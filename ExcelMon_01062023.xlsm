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Game\ExcelMon\"/>
    </mc:Choice>
  </mc:AlternateContent>
  <xr:revisionPtr revIDLastSave="0" documentId="13_ncr:1_{2870F3C6-C524-4C75-925C-03E3B20444EE}" xr6:coauthVersionLast="47" xr6:coauthVersionMax="47" xr10:uidLastSave="{00000000-0000-0000-0000-000000000000}"/>
  <bookViews>
    <workbookView xWindow="-108" yWindow="-108" windowWidth="23256" windowHeight="12456" tabRatio="748" firstSheet="3" activeTab="12" xr2:uid="{13CF2299-AD39-456F-B005-2D5AE798FC42}"/>
  </bookViews>
  <sheets>
    <sheet name="Create Sprite" sheetId="9" state="hidden" r:id="rId1"/>
    <sheet name="BDD_Sprite" sheetId="16" state="hidden" r:id="rId2"/>
    <sheet name="Listes_Sprites" sheetId="17" state="hidden" r:id="rId3"/>
    <sheet name="Originel Sprites" sheetId="23" r:id="rId4"/>
    <sheet name="Dimension Sprite" sheetId="20" r:id="rId5"/>
    <sheet name="Taille Pixel" sheetId="1" state="hidden" r:id="rId6"/>
    <sheet name="Pause" sheetId="36" r:id="rId7"/>
    <sheet name="TODO LIST" sheetId="50" r:id="rId8"/>
    <sheet name="Testing" sheetId="22" state="hidden" r:id="rId9"/>
    <sheet name="Testing KeyState" sheetId="25" state="hidden" r:id="rId10"/>
    <sheet name="Credit" sheetId="31" state="hidden" r:id="rId11"/>
    <sheet name="Liste Déroulante" sheetId="14" state="hidden" r:id="rId12"/>
    <sheet name="Data Pokemon" sheetId="48" r:id="rId13"/>
    <sheet name="Data Game" sheetId="29" r:id="rId14"/>
    <sheet name="Map" sheetId="49" r:id="rId15"/>
    <sheet name="Map Creation" sheetId="51" r:id="rId16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'Data Game'!$C$6</definedName>
    <definedName name="GridSpriteCrea">'Create Sprite'!$H$4:$X$20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param_SPF">'Data Game'!$C$3</definedName>
    <definedName name="ScrollH">'Data Game'!$C$4</definedName>
    <definedName name="ScrollV">'Data Game'!$C$5</definedName>
    <definedName name="Sp_Hero_B1">Listes_Sprites!$E$134</definedName>
    <definedName name="Sp_Hero_Marche">Listes_Sprites!$E$164</definedName>
    <definedName name="Sp_Mosaic">Listes_Sprites!$E$295</definedName>
    <definedName name="Sp_Mosaic2">Listes_Sprites!$E$315</definedName>
    <definedName name="Sp_of">Listes_Sprites!$E$1</definedName>
    <definedName name="Sp_PikaRay_1">Listes_Sprites!$E$14</definedName>
    <definedName name="Sp_PikaRay_2">Listes_Sprites!$E$74</definedName>
    <definedName name="t_bp">Map!$BW$306</definedName>
    <definedName name="t_fdj_nord">Map!$G$11</definedName>
    <definedName name="t_fdj_sud">Map!$AE$65</definedName>
    <definedName name="t_lc">Map!$CN$16</definedName>
    <definedName name="t_r02P_NO">Map!$BL$147</definedName>
    <definedName name="t_r02P_SO">Map!$BL$184</definedName>
    <definedName name="Tab_BDD_Sprite">Tab_BBD_Sprite[]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0" l="1"/>
  <c r="AK4" i="48" a="1"/>
  <c r="AK4" i="48" s="1"/>
  <c r="I653" i="48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G4" i="9" a="1"/>
  <c r="G4" i="9" s="1"/>
  <c r="H3" i="9" a="1"/>
  <c r="H3" i="9" s="1"/>
  <c r="H10" i="29" a="1"/>
  <c r="C10" i="20" a="1"/>
  <c r="F3" i="1" a="1"/>
  <c r="H5" i="29" a="1"/>
  <c r="G10" i="20" a="1"/>
  <c r="C32" i="20" a="1"/>
  <c r="H3" i="29" a="1"/>
  <c r="H4" i="29" a="1"/>
  <c r="H6" i="29" a="1"/>
  <c r="H7" i="29" a="1"/>
  <c r="H8" i="29" a="1"/>
  <c r="H9" i="29" a="1"/>
  <c r="C33" i="20" a="1"/>
  <c r="G9" i="20" a="1"/>
  <c r="C9" i="20" a="1"/>
  <c r="H10" i="29" l="1"/>
  <c r="H5" i="29"/>
  <c r="H9" i="29"/>
  <c r="H8" i="29"/>
  <c r="H7" i="29"/>
  <c r="H6" i="29"/>
  <c r="H4" i="29"/>
  <c r="H3" i="29"/>
  <c r="F3" i="1"/>
  <c r="C10" i="20"/>
  <c r="D13" i="20"/>
  <c r="C12" i="20"/>
  <c r="D12" i="20" s="1"/>
  <c r="C9" i="20"/>
  <c r="G10" i="20"/>
  <c r="G9" i="20"/>
  <c r="C32" i="20"/>
  <c r="C33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<sst xmlns="http://schemas.openxmlformats.org/spreadsheetml/2006/main" count="12616" uniqueCount="1440">
  <si>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</si>
  <si>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</si>
  <si>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</si>
  <si>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</si>
  <si>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</si>
  <si>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</si>
  <si>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</si>
  <si>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</si>
  <si>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</si>
  <si>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</si>
  <si>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</si>
  <si>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</si>
  <si>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</si>
  <si>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</si>
  <si>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</si>
  <si>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</si>
  <si>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</si>
  <si>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</si>
  <si>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</si>
  <si>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</si>
  <si>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</si>
  <si>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</si>
  <si>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</si>
  <si>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</si>
  <si>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</si>
  <si>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</si>
  <si>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</si>
  <si>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</si>
  <si>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</si>
  <si>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</si>
  <si>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</si>
  <si>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</si>
  <si>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</si>
  <si>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</si>
  <si>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</si>
  <si>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</si>
  <si>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</si>
  <si>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</si>
  <si>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</si>
  <si>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</si>
  <si>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</si>
  <si>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</si>
  <si>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</si>
  <si>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</si>
  <si>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</si>
  <si>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</si>
  <si>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</si>
  <si>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</si>
  <si>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</si>
  <si>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</si>
  <si>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</si>
  <si>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</si>
  <si>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</si>
  <si>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</si>
  <si>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</si>
  <si>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</si>
  <si>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</si>
  <si>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</si>
  <si>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</si>
  <si>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</si>
  <si>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</si>
  <si>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</si>
  <si>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</si>
  <si>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</si>
  <si>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</si>
  <si>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</si>
  <si>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</si>
  <si>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</si>
  <si>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</si>
  <si>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</si>
  <si>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</si>
  <si>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</si>
  <si>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</si>
  <si>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.</t>
  </si>
  <si>
    <t>End</t>
  </si>
  <si>
    <t>Mosaic</t>
  </si>
  <si>
    <t>Sp_Mosaic</t>
  </si>
  <si>
    <t>Mosaic2</t>
  </si>
  <si>
    <t>Sp_Mosaic2</t>
  </si>
  <si>
    <t>&gt;</t>
  </si>
  <si>
    <t>Remove Wall</t>
  </si>
  <si>
    <t>Ne pas toucher en dessous</t>
  </si>
  <si>
    <t/>
  </si>
  <si>
    <t>Genesect</t>
  </si>
  <si>
    <t>Meloetta</t>
  </si>
  <si>
    <t>Keldeo</t>
  </si>
  <si>
    <t>Kyurem</t>
  </si>
  <si>
    <t>Démétéros</t>
  </si>
  <si>
    <t>Zekrom</t>
  </si>
  <si>
    <t>Reshiram</t>
  </si>
  <si>
    <t>Fulguris</t>
  </si>
  <si>
    <t>Boréas</t>
  </si>
  <si>
    <t>Viridium</t>
  </si>
  <si>
    <t>Terrakium</t>
  </si>
  <si>
    <t>Cobaltium</t>
  </si>
  <si>
    <t>Pyrax</t>
  </si>
  <si>
    <t>Pyronille</t>
  </si>
  <si>
    <t>Trioxhydre</t>
  </si>
  <si>
    <t>Diamat</t>
  </si>
  <si>
    <t>Solochi</t>
  </si>
  <si>
    <t>Fermite</t>
  </si>
  <si>
    <t>Aflamanoir</t>
  </si>
  <si>
    <t>Vaututrice</t>
  </si>
  <si>
    <t>Vostourno</t>
  </si>
  <si>
    <t>Gueriaigle</t>
  </si>
  <si>
    <t>Furaiglon</t>
  </si>
  <si>
    <t>Frison</t>
  </si>
  <si>
    <t>Scalproie</t>
  </si>
  <si>
    <t>Scalpion</t>
  </si>
  <si>
    <t>Golemastoc</t>
  </si>
  <si>
    <t>Gringolem</t>
  </si>
  <si>
    <t>Drakkarmin</t>
  </si>
  <si>
    <t>Shaofouine</t>
  </si>
  <si>
    <t>Kungfouine</t>
  </si>
  <si>
    <t>Limonde</t>
  </si>
  <si>
    <t>Limaspeed</t>
  </si>
  <si>
    <t>Escargaume</t>
  </si>
  <si>
    <t>Hexagel</t>
  </si>
  <si>
    <t>Polagriffe</t>
  </si>
  <si>
    <t>Polarhume</t>
  </si>
  <si>
    <t>Tranchodon</t>
  </si>
  <si>
    <t>Incisache</t>
  </si>
  <si>
    <t>Coupenotte</t>
  </si>
  <si>
    <t>Lugulabre</t>
  </si>
  <si>
    <t>Mélancolux</t>
  </si>
  <si>
    <t>Funécire</t>
  </si>
  <si>
    <t>Neitram</t>
  </si>
  <si>
    <t>Lewsor</t>
  </si>
  <si>
    <t>Ohmassacre</t>
  </si>
  <si>
    <t>Lampéroie</t>
  </si>
  <si>
    <t>Anchwatt</t>
  </si>
  <si>
    <t>Cliticlic</t>
  </si>
  <si>
    <t>Clic</t>
  </si>
  <si>
    <t>Tic</t>
  </si>
  <si>
    <t>Noacier</t>
  </si>
  <si>
    <t>Grindur</t>
  </si>
  <si>
    <t>Mygavolt</t>
  </si>
  <si>
    <t>Statitik</t>
  </si>
  <si>
    <t>Mamanbo</t>
  </si>
  <si>
    <t>Moyade</t>
  </si>
  <si>
    <t>Viskuse</t>
  </si>
  <si>
    <t>Gaulet</t>
  </si>
  <si>
    <t>Trompignon</t>
  </si>
  <si>
    <t>Lançargot</t>
  </si>
  <si>
    <t>Carabing</t>
  </si>
  <si>
    <t>Emolga</t>
  </si>
  <si>
    <t>Haydaim</t>
  </si>
  <si>
    <t>Vivaldaim</t>
  </si>
  <si>
    <t>Sorbouboul</t>
  </si>
  <si>
    <t>Sorboul</t>
  </si>
  <si>
    <t>Sorbébé</t>
  </si>
  <si>
    <t>Lakmécygne</t>
  </si>
  <si>
    <t>Couaneton</t>
  </si>
  <si>
    <t>Symbios</t>
  </si>
  <si>
    <t>Méios</t>
  </si>
  <si>
    <t>Nucléos</t>
  </si>
  <si>
    <t>Sidérella</t>
  </si>
  <si>
    <t>Mesmérella</t>
  </si>
  <si>
    <t>Scrutella</t>
  </si>
  <si>
    <t>Pashmilla</t>
  </si>
  <si>
    <t>Chinchidou</t>
  </si>
  <si>
    <t>Zoroark</t>
  </si>
  <si>
    <t>Zorua</t>
  </si>
  <si>
    <t>Miasmax</t>
  </si>
  <si>
    <t>Miamiasme</t>
  </si>
  <si>
    <t>Aéroptéryx</t>
  </si>
  <si>
    <t>Arkéapti</t>
  </si>
  <si>
    <t>Mégapagos</t>
  </si>
  <si>
    <t>Carapagos</t>
  </si>
  <si>
    <t>Tutankafer</t>
  </si>
  <si>
    <t>Tutafeh</t>
  </si>
  <si>
    <t>Cryptéro</t>
  </si>
  <si>
    <t>Baggaïd</t>
  </si>
  <si>
    <t>Baggiguane</t>
  </si>
  <si>
    <t>Crabaraque</t>
  </si>
  <si>
    <t>Crabicoque</t>
  </si>
  <si>
    <t>Maracachi</t>
  </si>
  <si>
    <t>Darumacho</t>
  </si>
  <si>
    <t>Darumarond</t>
  </si>
  <si>
    <t>Crocorible</t>
  </si>
  <si>
    <t>Escroco</t>
  </si>
  <si>
    <t>Mascaïman</t>
  </si>
  <si>
    <t>Bargantua</t>
  </si>
  <si>
    <t>Fragilady</t>
  </si>
  <si>
    <t>Chlorobule</t>
  </si>
  <si>
    <t>Farfaduvet</t>
  </si>
  <si>
    <t>Doudouvet</t>
  </si>
  <si>
    <t>Brutapode</t>
  </si>
  <si>
    <t>Scobolide</t>
  </si>
  <si>
    <t>Venipatte</t>
  </si>
  <si>
    <t>Manternel</t>
  </si>
  <si>
    <t>Couverdure</t>
  </si>
  <si>
    <t>Larveyette</t>
  </si>
  <si>
    <t>Karaclée</t>
  </si>
  <si>
    <t>Judokrak</t>
  </si>
  <si>
    <t>Crapustule</t>
  </si>
  <si>
    <t>Batracné</t>
  </si>
  <si>
    <t>Tritonde</t>
  </si>
  <si>
    <t>Bétochef</t>
  </si>
  <si>
    <t>Ouvrifier</t>
  </si>
  <si>
    <t>Charpenti</t>
  </si>
  <si>
    <t>Nanméouïe</t>
  </si>
  <si>
    <t>Minotaupe</t>
  </si>
  <si>
    <t>Rototaupe</t>
  </si>
  <si>
    <t>Rhinolove</t>
  </si>
  <si>
    <t>Chovsourir</t>
  </si>
  <si>
    <t>Gigalithe</t>
  </si>
  <si>
    <t>Géolithe</t>
  </si>
  <si>
    <t>Nodulithe</t>
  </si>
  <si>
    <t>Zéblitz</t>
  </si>
  <si>
    <t>Zébibron</t>
  </si>
  <si>
    <t>Déflaisan</t>
  </si>
  <si>
    <t>Colombeau</t>
  </si>
  <si>
    <t>Poichigeon</t>
  </si>
  <si>
    <t>Mushana</t>
  </si>
  <si>
    <t>Munna</t>
  </si>
  <si>
    <t>Flotoutan</t>
  </si>
  <si>
    <t>Flotajou</t>
  </si>
  <si>
    <t>Flamoutan</t>
  </si>
  <si>
    <t>Flamajou</t>
  </si>
  <si>
    <t>Feuiloutan</t>
  </si>
  <si>
    <t>Feuillajou</t>
  </si>
  <si>
    <t>Léopardus</t>
  </si>
  <si>
    <t>Chacripan</t>
  </si>
  <si>
    <t>Mastouffe</t>
  </si>
  <si>
    <t>Ponchien</t>
  </si>
  <si>
    <t>Ponchiot</t>
  </si>
  <si>
    <t>Miradar</t>
  </si>
  <si>
    <t>Ratentif</t>
  </si>
  <si>
    <t>Clamiral</t>
  </si>
  <si>
    <t>Mateloutre</t>
  </si>
  <si>
    <t>Moustillon</t>
  </si>
  <si>
    <t>Roitiflam</t>
  </si>
  <si>
    <t>Grotichon</t>
  </si>
  <si>
    <t>Gruikui</t>
  </si>
  <si>
    <t>Majaspic</t>
  </si>
  <si>
    <t>Lianaja</t>
  </si>
  <si>
    <t>Vipélierre</t>
  </si>
  <si>
    <t>Victini</t>
  </si>
  <si>
    <t>Arceus</t>
  </si>
  <si>
    <t>Shaymin</t>
  </si>
  <si>
    <t>Darkrai</t>
  </si>
  <si>
    <t>Manaphy</t>
  </si>
  <si>
    <t>Phione</t>
  </si>
  <si>
    <t>Cresselia</t>
  </si>
  <si>
    <t>Giratina</t>
  </si>
  <si>
    <t>Regigigas</t>
  </si>
  <si>
    <t>Heatran</t>
  </si>
  <si>
    <t>Palkia</t>
  </si>
  <si>
    <t>Dialga</t>
  </si>
  <si>
    <t>Créfadet</t>
  </si>
  <si>
    <t>Créfollet</t>
  </si>
  <si>
    <t>Créhelf</t>
  </si>
  <si>
    <t>Motisma</t>
  </si>
  <si>
    <t>Momartik</t>
  </si>
  <si>
    <t>Noctunoir</t>
  </si>
  <si>
    <t>Tarinorme</t>
  </si>
  <si>
    <t>Gallame</t>
  </si>
  <si>
    <t>Porygon-Z</t>
  </si>
  <si>
    <t>Mammochon</t>
  </si>
  <si>
    <t>Scorvol</t>
  </si>
  <si>
    <t>Givrali</t>
  </si>
  <si>
    <t>Phyllali</t>
  </si>
  <si>
    <t>Yanmega</t>
  </si>
  <si>
    <t>Togekiss</t>
  </si>
  <si>
    <t>Maganon</t>
  </si>
  <si>
    <t>Élekable</t>
  </si>
  <si>
    <t>Bouldeneu</t>
  </si>
  <si>
    <t>Rhinastoc</t>
  </si>
  <si>
    <t>Coudlangue</t>
  </si>
  <si>
    <t>Magnézone</t>
  </si>
  <si>
    <t>Dimoret</t>
  </si>
  <si>
    <t>Blizzaroi</t>
  </si>
  <si>
    <t>Blizzi</t>
  </si>
  <si>
    <t>Babimanta</t>
  </si>
  <si>
    <t>Luminéon</t>
  </si>
  <si>
    <t>Écayon</t>
  </si>
  <si>
    <t>Vortente</t>
  </si>
  <si>
    <t>Coatox</t>
  </si>
  <si>
    <t>Cradopaud</t>
  </si>
  <si>
    <t>Drascore</t>
  </si>
  <si>
    <t>Rapion</t>
  </si>
  <si>
    <t>Hippodocus</t>
  </si>
  <si>
    <t>Hippopotas</t>
  </si>
  <si>
    <t>Lucario</t>
  </si>
  <si>
    <t>Riolu</t>
  </si>
  <si>
    <t>Goinfrex</t>
  </si>
  <si>
    <t>Carchacrok</t>
  </si>
  <si>
    <t>Carmache</t>
  </si>
  <si>
    <t>Griknot</t>
  </si>
  <si>
    <t>Spiritomb</t>
  </si>
  <si>
    <t>Pijako</t>
  </si>
  <si>
    <t>Ptiravi</t>
  </si>
  <si>
    <t>Mime Jr.</t>
  </si>
  <si>
    <t>Manzaï</t>
  </si>
  <si>
    <t>Archéodong</t>
  </si>
  <si>
    <t>Archéomire</t>
  </si>
  <si>
    <t>Moufflair</t>
  </si>
  <si>
    <t>Moufouette</t>
  </si>
  <si>
    <t>Korillon</t>
  </si>
  <si>
    <t>Chaffreux</t>
  </si>
  <si>
    <t>Chaglam</t>
  </si>
  <si>
    <t>Corboss</t>
  </si>
  <si>
    <t>Magirêve</t>
  </si>
  <si>
    <t>Lockpin</t>
  </si>
  <si>
    <t>Laporeille</t>
  </si>
  <si>
    <t>Grodrive</t>
  </si>
  <si>
    <t>Baudrive</t>
  </si>
  <si>
    <t>Capidextre</t>
  </si>
  <si>
    <t>Tritosor</t>
  </si>
  <si>
    <t>Sancoki</t>
  </si>
  <si>
    <t>Ceriflor</t>
  </si>
  <si>
    <t>Ceribou</t>
  </si>
  <si>
    <t>Mustéflott</t>
  </si>
  <si>
    <t>Mustébouée</t>
  </si>
  <si>
    <t>Pachirisu</t>
  </si>
  <si>
    <t>Apireine</t>
  </si>
  <si>
    <t>Apitrini</t>
  </si>
  <si>
    <t>Papilord</t>
  </si>
  <si>
    <t>Cheniselle</t>
  </si>
  <si>
    <t>Cheniti</t>
  </si>
  <si>
    <t>Bastiodon</t>
  </si>
  <si>
    <t>Dinoclier</t>
  </si>
  <si>
    <t>Charkos</t>
  </si>
  <si>
    <t>Kranidos</t>
  </si>
  <si>
    <t>Roserade</t>
  </si>
  <si>
    <t>Rozbouton</t>
  </si>
  <si>
    <t>Luxray</t>
  </si>
  <si>
    <t>Luxio</t>
  </si>
  <si>
    <t>Lixy</t>
  </si>
  <si>
    <t>Mélokrik</t>
  </si>
  <si>
    <t>Crikzik</t>
  </si>
  <si>
    <t>Castorno</t>
  </si>
  <si>
    <t>Keunotor</t>
  </si>
  <si>
    <t>Étouraptor</t>
  </si>
  <si>
    <t>Étourvol</t>
  </si>
  <si>
    <t>Étourmi</t>
  </si>
  <si>
    <t>Pingoléon</t>
  </si>
  <si>
    <t>Prinplouf</t>
  </si>
  <si>
    <t>Tiplouf</t>
  </si>
  <si>
    <t>Simiabraz</t>
  </si>
  <si>
    <t>Chimpenfeu</t>
  </si>
  <si>
    <t>Ouisticram</t>
  </si>
  <si>
    <t>Torterra</t>
  </si>
  <si>
    <t>Boskara</t>
  </si>
  <si>
    <t>Tortipouss</t>
  </si>
  <si>
    <t>Deoxys</t>
  </si>
  <si>
    <t>Jirachi</t>
  </si>
  <si>
    <t>Rayquaza</t>
  </si>
  <si>
    <t>Groudon</t>
  </si>
  <si>
    <t>Kyogre</t>
  </si>
  <si>
    <t>Latios</t>
  </si>
  <si>
    <t>Latias</t>
  </si>
  <si>
    <t>Registeel</t>
  </si>
  <si>
    <t>Regice</t>
  </si>
  <si>
    <t>Regirock</t>
  </si>
  <si>
    <t>Métalosse</t>
  </si>
  <si>
    <t>Métang</t>
  </si>
  <si>
    <t>Terhal</t>
  </si>
  <si>
    <t>Drattak</t>
  </si>
  <si>
    <t>Drackhaus</t>
  </si>
  <si>
    <t>Draby</t>
  </si>
  <si>
    <t>Lovdisc</t>
  </si>
  <si>
    <t>Relicanth</t>
  </si>
  <si>
    <t>Rosabyss</t>
  </si>
  <si>
    <t>Serpang</t>
  </si>
  <si>
    <t>Coquiperl</t>
  </si>
  <si>
    <t>Kaimorse</t>
  </si>
  <si>
    <t>Phogleur</t>
  </si>
  <si>
    <t>Obalie</t>
  </si>
  <si>
    <t>Oniglali</t>
  </si>
  <si>
    <t>Stalgamin</t>
  </si>
  <si>
    <t>Okéoké</t>
  </si>
  <si>
    <t>Absol</t>
  </si>
  <si>
    <t>Éoko</t>
  </si>
  <si>
    <t>Tropius</t>
  </si>
  <si>
    <t>Téraclope</t>
  </si>
  <si>
    <t>Skelénox</t>
  </si>
  <si>
    <t>Branette</t>
  </si>
  <si>
    <t>Polichombr</t>
  </si>
  <si>
    <t>Kecleon</t>
  </si>
  <si>
    <t>Morphéo</t>
  </si>
  <si>
    <t>Milobellus</t>
  </si>
  <si>
    <t>Barpau</t>
  </si>
  <si>
    <t>Armaldo</t>
  </si>
  <si>
    <t>Anorith</t>
  </si>
  <si>
    <t>Vacilys</t>
  </si>
  <si>
    <t>Lilia</t>
  </si>
  <si>
    <t>Kaorine</t>
  </si>
  <si>
    <t>Balbuto</t>
  </si>
  <si>
    <t>Colhomard</t>
  </si>
  <si>
    <t>Écrapince</t>
  </si>
  <si>
    <t>Barbicha</t>
  </si>
  <si>
    <t>Barloche</t>
  </si>
  <si>
    <t>Solaroc</t>
  </si>
  <si>
    <t>Séléroc</t>
  </si>
  <si>
    <t>Séviper</t>
  </si>
  <si>
    <t>Mangriff</t>
  </si>
  <si>
    <t>Altaria</t>
  </si>
  <si>
    <t>Tylton</t>
  </si>
  <si>
    <t>Cacturne</t>
  </si>
  <si>
    <t>Cacnea</t>
  </si>
  <si>
    <t>Libégon</t>
  </si>
  <si>
    <t>Vibraninf</t>
  </si>
  <si>
    <t>Kraknoix</t>
  </si>
  <si>
    <t>Spinda</t>
  </si>
  <si>
    <t>Groret</t>
  </si>
  <si>
    <t>Spoink</t>
  </si>
  <si>
    <t>Chartor</t>
  </si>
  <si>
    <t>Camérupt</t>
  </si>
  <si>
    <t>Chamallot</t>
  </si>
  <si>
    <t>Wailord</t>
  </si>
  <si>
    <t>Wailmer</t>
  </si>
  <si>
    <t>Sharpedo</t>
  </si>
  <si>
    <t>Carvanha</t>
  </si>
  <si>
    <t>Avaltout</t>
  </si>
  <si>
    <t>Gloupti</t>
  </si>
  <si>
    <t>Rosélia</t>
  </si>
  <si>
    <t>Lumivole</t>
  </si>
  <si>
    <t>Muciole</t>
  </si>
  <si>
    <t>Négapi</t>
  </si>
  <si>
    <t>Posipi</t>
  </si>
  <si>
    <t>Élecsprint</t>
  </si>
  <si>
    <t>Dynavolt</t>
  </si>
  <si>
    <t>Charmina</t>
  </si>
  <si>
    <t>Méditikka</t>
  </si>
  <si>
    <t>Galeking</t>
  </si>
  <si>
    <t>Galegon</t>
  </si>
  <si>
    <t>Galekid</t>
  </si>
  <si>
    <t>Mysdibule</t>
  </si>
  <si>
    <t>Ténéfix</t>
  </si>
  <si>
    <t>Delcatty</t>
  </si>
  <si>
    <t>Skitty</t>
  </si>
  <si>
    <t>Tarinor</t>
  </si>
  <si>
    <t>Azurill</t>
  </si>
  <si>
    <t>Hariyama</t>
  </si>
  <si>
    <t>Makuhita</t>
  </si>
  <si>
    <t>Brouhabam</t>
  </si>
  <si>
    <t>Ramboum</t>
  </si>
  <si>
    <t>Chuchmur</t>
  </si>
  <si>
    <t>Munja</t>
  </si>
  <si>
    <t>Ninjask</t>
  </si>
  <si>
    <t>Ningale</t>
  </si>
  <si>
    <t>Monaflèmit</t>
  </si>
  <si>
    <t>Vigoroth</t>
  </si>
  <si>
    <t>Parecool</t>
  </si>
  <si>
    <t>Chapignon</t>
  </si>
  <si>
    <t>Balignon</t>
  </si>
  <si>
    <t>Maskadra</t>
  </si>
  <si>
    <t>Arakdo</t>
  </si>
  <si>
    <t>Gardevoir</t>
  </si>
  <si>
    <t>Kirlia</t>
  </si>
  <si>
    <t>Tarsal</t>
  </si>
  <si>
    <t>Bekipan</t>
  </si>
  <si>
    <t>Goélise</t>
  </si>
  <si>
    <t>Hélédelle</t>
  </si>
  <si>
    <t>Nirondelle</t>
  </si>
  <si>
    <t>Tengalice</t>
  </si>
  <si>
    <t>Pifeuil</t>
  </si>
  <si>
    <t>Grainipiot</t>
  </si>
  <si>
    <t>Ludicolo</t>
  </si>
  <si>
    <t>Lombre</t>
  </si>
  <si>
    <t>Nénupiot</t>
  </si>
  <si>
    <t>Papinox</t>
  </si>
  <si>
    <t>Blindalys</t>
  </si>
  <si>
    <t>Charmillon</t>
  </si>
  <si>
    <t>Armulys</t>
  </si>
  <si>
    <t>Chenipotte</t>
  </si>
  <si>
    <t>Linéon</t>
  </si>
  <si>
    <t>Zigzaton</t>
  </si>
  <si>
    <t>Grahyèna</t>
  </si>
  <si>
    <t>Medhyèna</t>
  </si>
  <si>
    <t>Laggron</t>
  </si>
  <si>
    <t>Flobio</t>
  </si>
  <si>
    <t>Gobou</t>
  </si>
  <si>
    <t>Braségali</t>
  </si>
  <si>
    <t>Galifeu</t>
  </si>
  <si>
    <t>Poussifeu</t>
  </si>
  <si>
    <t>Jungko</t>
  </si>
  <si>
    <t>Massko</t>
  </si>
  <si>
    <t>Arcko</t>
  </si>
  <si>
    <t>Celebi</t>
  </si>
  <si>
    <t>Ho-Oh</t>
  </si>
  <si>
    <t>Lugia</t>
  </si>
  <si>
    <t>Tyranocif</t>
  </si>
  <si>
    <t>Ymphect</t>
  </si>
  <si>
    <t>Embrylex</t>
  </si>
  <si>
    <t>Suicune</t>
  </si>
  <si>
    <t>Entei</t>
  </si>
  <si>
    <t>Raikou</t>
  </si>
  <si>
    <t>Leuphorie</t>
  </si>
  <si>
    <t>Écrémeuh</t>
  </si>
  <si>
    <t>Magby</t>
  </si>
  <si>
    <t>Élekid</t>
  </si>
  <si>
    <t>Lippouti</t>
  </si>
  <si>
    <t>Kapoera</t>
  </si>
  <si>
    <t>Debugant</t>
  </si>
  <si>
    <t>Queulorior</t>
  </si>
  <si>
    <t>Cerfrousse</t>
  </si>
  <si>
    <t>Porygon2</t>
  </si>
  <si>
    <t>Donphan</t>
  </si>
  <si>
    <t>Phanpy</t>
  </si>
  <si>
    <t>Hyporoi</t>
  </si>
  <si>
    <t>Démolosse</t>
  </si>
  <si>
    <t>Malosse</t>
  </si>
  <si>
    <t>Airmure</t>
  </si>
  <si>
    <t>Démanta</t>
  </si>
  <si>
    <t>Cadoizo</t>
  </si>
  <si>
    <t>Octillery</t>
  </si>
  <si>
    <t>Rémoraid</t>
  </si>
  <si>
    <t>Corayon</t>
  </si>
  <si>
    <t>Cochignon</t>
  </si>
  <si>
    <t>Marcacrin</t>
  </si>
  <si>
    <t>Volcaropod</t>
  </si>
  <si>
    <t>Limagma</t>
  </si>
  <si>
    <t>Ursaring</t>
  </si>
  <si>
    <t>Teddiursa</t>
  </si>
  <si>
    <t>Farfuret</t>
  </si>
  <si>
    <t>Scarhino</t>
  </si>
  <si>
    <t>Caratroc</t>
  </si>
  <si>
    <t>Cizayox</t>
  </si>
  <si>
    <t>Qwilfish</t>
  </si>
  <si>
    <t>Granbull</t>
  </si>
  <si>
    <t>Snubbull</t>
  </si>
  <si>
    <t>Steelix</t>
  </si>
  <si>
    <t>Scorplane</t>
  </si>
  <si>
    <t>Insolourdo</t>
  </si>
  <si>
    <t>Foretress</t>
  </si>
  <si>
    <t>Pomdepik</t>
  </si>
  <si>
    <t>Girafarig</t>
  </si>
  <si>
    <t>Qulbutoké</t>
  </si>
  <si>
    <t>Zarbi</t>
  </si>
  <si>
    <t>Feuforêve</t>
  </si>
  <si>
    <t>Roigada</t>
  </si>
  <si>
    <t>Cornèbre</t>
  </si>
  <si>
    <t>Noctali</t>
  </si>
  <si>
    <t>Mentali</t>
  </si>
  <si>
    <t>Maraiste</t>
  </si>
  <si>
    <t>Axoloto</t>
  </si>
  <si>
    <t>Yanma</t>
  </si>
  <si>
    <t>Héliatronc</t>
  </si>
  <si>
    <t>Tournegrin</t>
  </si>
  <si>
    <t>Capumain</t>
  </si>
  <si>
    <t>Cotovol</t>
  </si>
  <si>
    <t>Floravol</t>
  </si>
  <si>
    <t>Granivol</t>
  </si>
  <si>
    <t>Tarpaud</t>
  </si>
  <si>
    <t>Simularbre</t>
  </si>
  <si>
    <t>Azumarill</t>
  </si>
  <si>
    <t>Marill</t>
  </si>
  <si>
    <t>Joliflor</t>
  </si>
  <si>
    <t>Pharamp</t>
  </si>
  <si>
    <t>Lainergie</t>
  </si>
  <si>
    <t>Wattouat</t>
  </si>
  <si>
    <t>Xatu</t>
  </si>
  <si>
    <t>Natu</t>
  </si>
  <si>
    <t>Togetic</t>
  </si>
  <si>
    <t>Togepi</t>
  </si>
  <si>
    <t>Toudoudou</t>
  </si>
  <si>
    <t>Mélo</t>
  </si>
  <si>
    <t>Pichu</t>
  </si>
  <si>
    <t>Lanturn</t>
  </si>
  <si>
    <t>Loupio</t>
  </si>
  <si>
    <t>Nostenfer</t>
  </si>
  <si>
    <t>Migalos</t>
  </si>
  <si>
    <t>Mimigal</t>
  </si>
  <si>
    <t>Coxyclaque</t>
  </si>
  <si>
    <t>Coxy</t>
  </si>
  <si>
    <t>Noarfang</t>
  </si>
  <si>
    <t>Hoothoot</t>
  </si>
  <si>
    <t>Fouinar</t>
  </si>
  <si>
    <t>Fouinette</t>
  </si>
  <si>
    <t>Aligatueur</t>
  </si>
  <si>
    <t>Crocrodil</t>
  </si>
  <si>
    <t>Kaiminus</t>
  </si>
  <si>
    <t>Typhlosion</t>
  </si>
  <si>
    <t>Feurisson</t>
  </si>
  <si>
    <t>Héricendre</t>
  </si>
  <si>
    <t>Méganium</t>
  </si>
  <si>
    <t>Macronium</t>
  </si>
  <si>
    <t>Germignon</t>
  </si>
  <si>
    <t>Mew</t>
  </si>
  <si>
    <t>Mewtwo</t>
  </si>
  <si>
    <t>Dracolosse</t>
  </si>
  <si>
    <t>Draco</t>
  </si>
  <si>
    <t>Minidraco</t>
  </si>
  <si>
    <t>Sulfura</t>
  </si>
  <si>
    <t>Électhor</t>
  </si>
  <si>
    <t>Artikodin</t>
  </si>
  <si>
    <t>Ronflex</t>
  </si>
  <si>
    <t>Ptéra</t>
  </si>
  <si>
    <t>Kabutops</t>
  </si>
  <si>
    <t>Kabuto</t>
  </si>
  <si>
    <t>Amonistar</t>
  </si>
  <si>
    <t>Amonita</t>
  </si>
  <si>
    <t>Porygon</t>
  </si>
  <si>
    <t>Pyroli</t>
  </si>
  <si>
    <t>Voltali</t>
  </si>
  <si>
    <t>Aquali</t>
  </si>
  <si>
    <t>Évoli</t>
  </si>
  <si>
    <t>Métamorph</t>
  </si>
  <si>
    <t>Lokhlass</t>
  </si>
  <si>
    <t>Léviator</t>
  </si>
  <si>
    <t>Magicarpe</t>
  </si>
  <si>
    <t>Tauros</t>
  </si>
  <si>
    <t>Scarabrute</t>
  </si>
  <si>
    <t>Magmar</t>
  </si>
  <si>
    <t>Élektek</t>
  </si>
  <si>
    <t>Lippoutou</t>
  </si>
  <si>
    <t>Insécateur</t>
  </si>
  <si>
    <t>M. Mime</t>
  </si>
  <si>
    <t>Staross</t>
  </si>
  <si>
    <t>Stari</t>
  </si>
  <si>
    <t>Poissoroy</t>
  </si>
  <si>
    <t>Poissirène</t>
  </si>
  <si>
    <t>Hypocéan</t>
  </si>
  <si>
    <t>Hypotrempe</t>
  </si>
  <si>
    <t>Kangourex</t>
  </si>
  <si>
    <t>Saquedeneu</t>
  </si>
  <si>
    <t>Leveinard</t>
  </si>
  <si>
    <t>Rhinoféros</t>
  </si>
  <si>
    <t>Rhinocorne</t>
  </si>
  <si>
    <t>Smogogo</t>
  </si>
  <si>
    <t>Smogo</t>
  </si>
  <si>
    <t>Excelangue</t>
  </si>
  <si>
    <t>Tygnon</t>
  </si>
  <si>
    <t>Kicklee</t>
  </si>
  <si>
    <t>Ossatueur</t>
  </si>
  <si>
    <t>Osselait</t>
  </si>
  <si>
    <t>Noadkoko</t>
  </si>
  <si>
    <t>Noeunoeuf</t>
  </si>
  <si>
    <t>Électrode</t>
  </si>
  <si>
    <t>Voltorbe</t>
  </si>
  <si>
    <t>Krabboss</t>
  </si>
  <si>
    <t>Krabby</t>
  </si>
  <si>
    <t>Hypnomade</t>
  </si>
  <si>
    <t>Soporifik</t>
  </si>
  <si>
    <t>Onix</t>
  </si>
  <si>
    <t>Ectoplasma</t>
  </si>
  <si>
    <t>Spectrum</t>
  </si>
  <si>
    <t>Fantominus</t>
  </si>
  <si>
    <t>Crustabri</t>
  </si>
  <si>
    <t>Kokiyas</t>
  </si>
  <si>
    <t>Grotadmorv</t>
  </si>
  <si>
    <t>Tadmorv</t>
  </si>
  <si>
    <t>Lamantine</t>
  </si>
  <si>
    <t>Otaria</t>
  </si>
  <si>
    <t>Dodrio</t>
  </si>
  <si>
    <t>Doduo</t>
  </si>
  <si>
    <t>Canarticho</t>
  </si>
  <si>
    <t>Magnéton</t>
  </si>
  <si>
    <t>Magnéti</t>
  </si>
  <si>
    <t>Flagadoss</t>
  </si>
  <si>
    <t>Ramoloss</t>
  </si>
  <si>
    <t>Galopa</t>
  </si>
  <si>
    <t>Ponyta</t>
  </si>
  <si>
    <t>Grolem</t>
  </si>
  <si>
    <t>Gravalanch</t>
  </si>
  <si>
    <t>Racaillou</t>
  </si>
  <si>
    <t>Tentacruel</t>
  </si>
  <si>
    <t>Tentacool</t>
  </si>
  <si>
    <t>Empiflor</t>
  </si>
  <si>
    <t>Boustiflor</t>
  </si>
  <si>
    <t>Chétiflor</t>
  </si>
  <si>
    <t>Mackogneur</t>
  </si>
  <si>
    <t>Machopeur</t>
  </si>
  <si>
    <t>Machoc</t>
  </si>
  <si>
    <t>Alakazam</t>
  </si>
  <si>
    <t>Kadabra</t>
  </si>
  <si>
    <t>Abra</t>
  </si>
  <si>
    <t>Tartard</t>
  </si>
  <si>
    <t>Têtarte</t>
  </si>
  <si>
    <t>Ptitard</t>
  </si>
  <si>
    <t>Arcanin</t>
  </si>
  <si>
    <t>Caninos</t>
  </si>
  <si>
    <t>Colossinge</t>
  </si>
  <si>
    <t>Férosinge</t>
  </si>
  <si>
    <t>Akwakwak</t>
  </si>
  <si>
    <t>Psykokwak</t>
  </si>
  <si>
    <t>Persian</t>
  </si>
  <si>
    <t>Miaouss</t>
  </si>
  <si>
    <t>Triopikeur</t>
  </si>
  <si>
    <t>Taupiqueur</t>
  </si>
  <si>
    <t>Aéromite</t>
  </si>
  <si>
    <t>Mimitoss</t>
  </si>
  <si>
    <t>Parasect</t>
  </si>
  <si>
    <t>Paras</t>
  </si>
  <si>
    <t>Rafflesia</t>
  </si>
  <si>
    <t>Ortide</t>
  </si>
  <si>
    <t>Mystherbe</t>
  </si>
  <si>
    <t>Nosferalto</t>
  </si>
  <si>
    <t>Nosferapti</t>
  </si>
  <si>
    <t>Grodoudou</t>
  </si>
  <si>
    <t>Rondoudou</t>
  </si>
  <si>
    <t>Feunard</t>
  </si>
  <si>
    <t>Goupix</t>
  </si>
  <si>
    <t>Mélodelfe</t>
  </si>
  <si>
    <t>Mélofée</t>
  </si>
  <si>
    <t>Nidoking</t>
  </si>
  <si>
    <t>Nidorino</t>
  </si>
  <si>
    <t>Nidoran♂️</t>
  </si>
  <si>
    <t>Nidoqueen</t>
  </si>
  <si>
    <t>Nidorina</t>
  </si>
  <si>
    <t>Nidoran♀️</t>
  </si>
  <si>
    <t>Sablaireau</t>
  </si>
  <si>
    <t>Sabelette</t>
  </si>
  <si>
    <t>Raichu</t>
  </si>
  <si>
    <t>Pikachu</t>
  </si>
  <si>
    <t>Arbok</t>
  </si>
  <si>
    <t>Abo</t>
  </si>
  <si>
    <t>Rapasdepic</t>
  </si>
  <si>
    <t>Piafabec</t>
  </si>
  <si>
    <t>Rattatac</t>
  </si>
  <si>
    <t>Rattata</t>
  </si>
  <si>
    <t>Roucarnage</t>
  </si>
  <si>
    <t>Roucoups</t>
  </si>
  <si>
    <t>Roucool</t>
  </si>
  <si>
    <t>Dardargnan</t>
  </si>
  <si>
    <t>Coconfort</t>
  </si>
  <si>
    <t>Aspicot</t>
  </si>
  <si>
    <t>Papilusion</t>
  </si>
  <si>
    <t>Chrysacier</t>
  </si>
  <si>
    <t>Chenipan</t>
  </si>
  <si>
    <t>Tortank</t>
  </si>
  <si>
    <t>Carabaffe</t>
  </si>
  <si>
    <t>Carapuce</t>
  </si>
  <si>
    <t>Dracaufeu</t>
  </si>
  <si>
    <t>Reptincel</t>
  </si>
  <si>
    <t>Salamèche</t>
  </si>
  <si>
    <t>Florizarre</t>
  </si>
  <si>
    <t>Herbizarre</t>
  </si>
  <si>
    <t>Bulbizarre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</si>
  <si>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</si>
  <si>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</si>
  <si>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</si>
  <si>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</si>
  <si>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</si>
  <si>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</si>
  <si>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</si>
  <si>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</si>
  <si>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</si>
  <si>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</si>
  <si>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</si>
  <si>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</si>
  <si>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</si>
  <si>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</si>
  <si>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</si>
  <si>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</si>
  <si>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</si>
  <si>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</si>
  <si>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</si>
  <si>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</si>
  <si>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Dragon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</si>
  <si>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</si>
  <si>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</si>
  <si>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</si>
  <si>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</si>
  <si>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</si>
  <si>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</si>
  <si>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</si>
  <si>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</si>
  <si>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</si>
  <si>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</si>
  <si>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</si>
  <si>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</si>
  <si>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</si>
  <si>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</si>
  <si>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</si>
  <si>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Raticate</t>
  </si>
  <si>
    <t>Spearow</t>
  </si>
  <si>
    <t>Fearow</t>
  </si>
  <si>
    <t>Ekans</t>
  </si>
  <si>
    <t>Electric</t>
  </si>
  <si>
    <t>Sandshrew</t>
  </si>
  <si>
    <t>Ground</t>
  </si>
  <si>
    <t>Sandslash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</si>
  <si>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</si>
  <si>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</si>
  <si>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</si>
  <si>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</si>
  <si>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</si>
  <si>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</si>
  <si>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</si>
  <si>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</si>
  <si>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</si>
  <si>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</si>
  <si>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</si>
  <si>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</si>
  <si>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Venonat</t>
  </si>
  <si>
    <t>Venomoth</t>
  </si>
  <si>
    <t>Diglett</t>
  </si>
  <si>
    <t>Dugtrio</t>
  </si>
  <si>
    <t>Meowth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</si>
  <si>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</si>
  <si>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</si>
  <si>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</si>
  <si>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</si>
  <si>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</si>
  <si>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</si>
  <si>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</si>
  <si>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</si>
  <si>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</si>
  <si>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</si>
  <si>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Psychic</t>
  </si>
  <si>
    <t>Machop</t>
  </si>
  <si>
    <t>Machoke</t>
  </si>
  <si>
    <t>Machamp</t>
  </si>
  <si>
    <t>Bellsprout</t>
  </si>
  <si>
    <t>Weepinbell</t>
  </si>
  <si>
    <t>Victreebel</t>
  </si>
  <si>
    <t>Geodude</t>
  </si>
  <si>
    <t>Rock</t>
  </si>
  <si>
    <t>Graveler</t>
  </si>
  <si>
    <t>Golem</t>
  </si>
  <si>
    <t>Rapidash</t>
  </si>
  <si>
    <t>Slowpoke</t>
  </si>
  <si>
    <t>Slowbro</t>
  </si>
  <si>
    <t>Magnemite</t>
  </si>
  <si>
    <t>Steel</t>
  </si>
  <si>
    <t>Magneton</t>
  </si>
  <si>
    <t>Farfetch'd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</si>
  <si>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</si>
  <si>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</si>
  <si>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</si>
  <si>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</si>
  <si>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</si>
  <si>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</si>
  <si>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</si>
  <si>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</si>
  <si>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</si>
  <si>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</si>
  <si>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</si>
  <si>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Drowzee</t>
  </si>
  <si>
    <t>Hypno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</si>
  <si>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</si>
  <si>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</si>
  <si>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</si>
  <si>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</si>
  <si>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</si>
  <si>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</si>
  <si>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</si>
  <si>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</si>
  <si>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</si>
  <si>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</si>
  <si>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</si>
  <si>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</si>
  <si>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</si>
  <si>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</si>
  <si>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</si>
  <si>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</si>
  <si>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</si>
  <si>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</si>
  <si>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</si>
  <si>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</si>
  <si>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</si>
  <si>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</si>
  <si>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</si>
  <si>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</si>
  <si>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</si>
  <si>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</si>
  <si>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</si>
  <si>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Pinsir</t>
  </si>
  <si>
    <t>Magikarp</t>
  </si>
  <si>
    <t>Gyarados</t>
  </si>
  <si>
    <t>Dark</t>
  </si>
  <si>
    <t>Lapras</t>
  </si>
  <si>
    <t>Ditto</t>
  </si>
  <si>
    <t>Eevee</t>
  </si>
  <si>
    <t>Vaporeon</t>
  </si>
  <si>
    <t>Jolteon</t>
  </si>
  <si>
    <t>Flareon</t>
  </si>
  <si>
    <t>Omanyte</t>
  </si>
  <si>
    <t>Omastar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</si>
  <si>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</si>
  <si>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</si>
  <si>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</si>
  <si>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</si>
  <si>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</si>
  <si>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</si>
  <si>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</si>
  <si>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</si>
  <si>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Chikorita</t>
  </si>
  <si>
    <t>Bayleef</t>
  </si>
  <si>
    <t>Meganium</t>
  </si>
  <si>
    <t>Cyndaquil</t>
  </si>
  <si>
    <t>Quilava</t>
  </si>
  <si>
    <t>Totodile</t>
  </si>
  <si>
    <t>Croconaw</t>
  </si>
  <si>
    <t>Feraligatr</t>
  </si>
  <si>
    <t>Sentret</t>
  </si>
  <si>
    <t>Furret</t>
  </si>
  <si>
    <t>Noctowl</t>
  </si>
  <si>
    <t>Ledyba</t>
  </si>
  <si>
    <t>Ledian</t>
  </si>
  <si>
    <t>Spinarak</t>
  </si>
  <si>
    <t>Ariados</t>
  </si>
  <si>
    <t>Crobat</t>
  </si>
  <si>
    <t>Chinchou</t>
  </si>
  <si>
    <t>Cleffa</t>
  </si>
  <si>
    <t>Igglybuff</t>
  </si>
  <si>
    <t>Mareep</t>
  </si>
  <si>
    <t>Flaaffy</t>
  </si>
  <si>
    <t>Ampharos</t>
  </si>
  <si>
    <t>Bellossom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</si>
  <si>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</si>
  <si>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</si>
  <si>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</si>
  <si>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</si>
  <si>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</si>
  <si>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</si>
  <si>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</si>
  <si>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</si>
  <si>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</si>
  <si>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</si>
  <si>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</si>
  <si>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</si>
  <si>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</si>
  <si>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</si>
  <si>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</si>
  <si>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</si>
  <si>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</si>
  <si>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Pineco</t>
  </si>
  <si>
    <t>Forretress</t>
  </si>
  <si>
    <t>Dunsparce</t>
  </si>
  <si>
    <t>Gligar</t>
  </si>
  <si>
    <t>Scizor</t>
  </si>
  <si>
    <t>Shuckle</t>
  </si>
  <si>
    <t>Heracross</t>
  </si>
  <si>
    <t>Sneasel</t>
  </si>
  <si>
    <t>Slugma</t>
  </si>
  <si>
    <t>Magcargo</t>
  </si>
  <si>
    <t>Swinub</t>
  </si>
  <si>
    <t>Piloswine</t>
  </si>
  <si>
    <t>Corsola</t>
  </si>
  <si>
    <t>Remoraid</t>
  </si>
  <si>
    <t>Delibird</t>
  </si>
  <si>
    <t>Mantine</t>
  </si>
  <si>
    <t>Skarmory</t>
  </si>
  <si>
    <t>Houndour</t>
  </si>
  <si>
    <t>Houndoom</t>
  </si>
  <si>
    <t>Kingdra</t>
  </si>
  <si>
    <t>Stantler</t>
  </si>
  <si>
    <t>Smeargle</t>
  </si>
  <si>
    <t>Tyrogue</t>
  </si>
  <si>
    <t>Hitmontop</t>
  </si>
  <si>
    <t>Smoochum</t>
  </si>
  <si>
    <t>Elekid</t>
  </si>
  <si>
    <t>Miltank</t>
  </si>
  <si>
    <t>Blissey</t>
  </si>
  <si>
    <t>Larvitar</t>
  </si>
  <si>
    <t>Pupitar</t>
  </si>
  <si>
    <t>Tyranitar</t>
  </si>
  <si>
    <t>Ho-oh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</si>
  <si>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</si>
  <si>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</si>
  <si>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</si>
  <si>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</si>
  <si>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</si>
  <si>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</si>
  <si>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</si>
  <si>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</si>
  <si>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</si>
  <si>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</si>
  <si>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</si>
  <si>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</si>
  <si>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</si>
  <si>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</si>
  <si>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</si>
  <si>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</si>
  <si>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</si>
  <si>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</si>
  <si>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</si>
  <si>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</si>
  <si>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</si>
  <si>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</si>
  <si>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</si>
  <si>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</si>
  <si>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</si>
  <si>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</si>
  <si>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</si>
  <si>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Surskit</t>
  </si>
  <si>
    <t>Masquerain</t>
  </si>
  <si>
    <t>Shroomish</t>
  </si>
  <si>
    <t>Breloom</t>
  </si>
  <si>
    <t>Slakoth</t>
  </si>
  <si>
    <t>Slaking</t>
  </si>
  <si>
    <t>Nincada</t>
  </si>
  <si>
    <t>Shedinja</t>
  </si>
  <si>
    <t>Whismur</t>
  </si>
  <si>
    <t>Loudred</t>
  </si>
  <si>
    <t>Exploud</t>
  </si>
  <si>
    <t>Nosepass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</si>
  <si>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</si>
  <si>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</si>
  <si>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</si>
  <si>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</si>
  <si>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</si>
  <si>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</si>
  <si>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</si>
  <si>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</si>
  <si>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</si>
  <si>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</si>
  <si>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</si>
  <si>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</si>
  <si>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</si>
  <si>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</si>
  <si>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</si>
  <si>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</si>
  <si>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Numel</t>
  </si>
  <si>
    <t>Camerupt</t>
  </si>
  <si>
    <t>Torkoal</t>
  </si>
  <si>
    <t>Grumpig</t>
  </si>
  <si>
    <t>Trapinch</t>
  </si>
  <si>
    <t>Vibrava</t>
  </si>
  <si>
    <t>Flygon</t>
  </si>
  <si>
    <t>Swablu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</si>
  <si>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</si>
  <si>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</si>
  <si>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</si>
  <si>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</si>
  <si>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</si>
  <si>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</si>
  <si>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</si>
  <si>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</si>
  <si>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</si>
  <si>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</si>
  <si>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</si>
  <si>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</si>
  <si>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Feebas</t>
  </si>
  <si>
    <t>Milotic</t>
  </si>
  <si>
    <t>Castform</t>
  </si>
  <si>
    <t>Shuppet</t>
  </si>
  <si>
    <t>Banette</t>
  </si>
  <si>
    <t>Duskull</t>
  </si>
  <si>
    <t>Dusclops</t>
  </si>
  <si>
    <t>Chimecho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</si>
  <si>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</si>
  <si>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</si>
  <si>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</si>
  <si>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</si>
  <si>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</si>
  <si>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</si>
  <si>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</si>
  <si>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</si>
  <si>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</si>
  <si>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Luvdisc</t>
  </si>
  <si>
    <t>Bagon</t>
  </si>
  <si>
    <t>Shelgon</t>
  </si>
  <si>
    <t>Salamence</t>
  </si>
  <si>
    <t>Beldum</t>
  </si>
  <si>
    <t>Metang</t>
  </si>
  <si>
    <t>Metagross</t>
  </si>
  <si>
    <t>DeoxysNormal Forme</t>
  </si>
  <si>
    <t>Turtwig</t>
  </si>
  <si>
    <t>Grotle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</si>
  <si>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</si>
  <si>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</si>
  <si>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</si>
  <si>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</si>
  <si>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</si>
  <si>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</si>
  <si>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</si>
  <si>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</si>
  <si>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</si>
  <si>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</si>
  <si>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</si>
  <si>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</si>
  <si>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</si>
  <si>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</si>
  <si>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Budew</t>
  </si>
  <si>
    <t>Cranidos</t>
  </si>
  <si>
    <t>Rampardos</t>
  </si>
  <si>
    <t>Shieldon</t>
  </si>
  <si>
    <t>Burmy</t>
  </si>
  <si>
    <t>Mothim</t>
  </si>
  <si>
    <t>Combee</t>
  </si>
  <si>
    <t>Vespiquen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</si>
  <si>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</si>
  <si>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</si>
  <si>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</si>
  <si>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</si>
  <si>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</si>
  <si>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</si>
  <si>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</si>
  <si>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</si>
  <si>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</si>
  <si>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</si>
  <si>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</si>
  <si>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</si>
  <si>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</si>
  <si>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</si>
  <si>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</si>
  <si>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</si>
  <si>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</si>
  <si>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</si>
  <si>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</si>
  <si>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</si>
  <si>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</si>
  <si>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Happiny</t>
  </si>
  <si>
    <t>Chatot</t>
  </si>
  <si>
    <t>Gible</t>
  </si>
  <si>
    <t>Gabite</t>
  </si>
  <si>
    <t>Garchomp</t>
  </si>
  <si>
    <t>Munchlax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</si>
  <si>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</si>
  <si>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</si>
  <si>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</si>
  <si>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</si>
  <si>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</si>
  <si>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</si>
  <si>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</si>
  <si>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</si>
  <si>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</si>
  <si>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</si>
  <si>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</si>
  <si>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</si>
  <si>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</si>
  <si>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</si>
  <si>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</si>
  <si>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</si>
  <si>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</si>
  <si>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</si>
  <si>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Leafeon</t>
  </si>
  <si>
    <t>Glaceon</t>
  </si>
  <si>
    <t>Gliscor</t>
  </si>
  <si>
    <t>Mamoswine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</si>
  <si>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</si>
  <si>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</si>
  <si>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</si>
  <si>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</si>
  <si>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</si>
  <si>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</si>
  <si>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</si>
  <si>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</si>
  <si>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GiratinaAltered Forme</t>
  </si>
  <si>
    <t>ShayminLand Forme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</si>
  <si>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</si>
  <si>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</si>
  <si>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</si>
  <si>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</si>
  <si>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</si>
  <si>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</si>
  <si>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</si>
  <si>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</si>
  <si>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</si>
  <si>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</si>
  <si>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</si>
  <si>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</si>
  <si>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</si>
  <si>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</si>
  <si>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</si>
  <si>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</si>
  <si>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</si>
  <si>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</si>
  <si>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</si>
  <si>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</si>
  <si>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</si>
  <si>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</si>
  <si>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</si>
  <si>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</si>
  <si>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</si>
  <si>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</si>
  <si>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</si>
  <si>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</si>
  <si>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</si>
  <si>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</si>
  <si>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</si>
  <si>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</si>
  <si>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</si>
  <si>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</si>
  <si>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</si>
  <si>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</si>
  <si>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</si>
  <si>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</si>
  <si>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</si>
  <si>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</si>
  <si>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</si>
  <si>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</si>
  <si>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</si>
  <si>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</si>
  <si>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</si>
  <si>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</si>
  <si>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</si>
  <si>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</si>
  <si>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</si>
  <si>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</si>
  <si>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</si>
  <si>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</si>
  <si>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</si>
  <si>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</si>
  <si>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</si>
  <si>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</si>
  <si>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</si>
  <si>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</si>
  <si>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</si>
  <si>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</si>
  <si>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</si>
  <si>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</si>
  <si>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</si>
  <si>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</si>
  <si>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</si>
  <si>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</si>
  <si>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</si>
  <si>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</si>
  <si>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</si>
  <si>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</si>
  <si>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</si>
  <si>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</si>
  <si>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</si>
  <si>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</si>
  <si>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</si>
  <si>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</si>
  <si>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</si>
  <si>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</si>
  <si>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</si>
  <si>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</si>
  <si>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</si>
  <si>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</si>
  <si>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</si>
  <si>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</si>
  <si>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</si>
  <si>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</si>
  <si>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</si>
  <si>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</si>
  <si>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</si>
  <si>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</si>
  <si>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</si>
  <si>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</si>
  <si>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</si>
  <si>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</si>
  <si>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</si>
  <si>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</si>
  <si>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</si>
  <si>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</si>
  <si>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</si>
  <si>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</si>
  <si>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</si>
  <si>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</si>
  <si>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</si>
  <si>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</si>
  <si>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</si>
  <si>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</si>
  <si>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</si>
  <si>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</si>
  <si>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</si>
  <si>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</si>
  <si>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</si>
  <si>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</si>
  <si>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</si>
  <si>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</si>
  <si>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</si>
  <si>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</si>
  <si>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</si>
  <si>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</si>
  <si>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</si>
  <si>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</si>
  <si>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</si>
  <si>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</si>
  <si>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</si>
  <si>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</si>
  <si>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</si>
  <si>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</si>
  <si>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</si>
  <si>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</si>
  <si>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</si>
  <si>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</si>
  <si>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</si>
  <si>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</si>
  <si>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</si>
  <si>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</si>
  <si>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</si>
  <si>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</si>
  <si>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</si>
  <si>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</si>
  <si>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</si>
  <si>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</si>
  <si>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</si>
  <si>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</si>
  <si>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ThundurusIncarnate Forme</t>
  </si>
  <si>
    <t>LandorusIncarnate Forme</t>
  </si>
  <si>
    <t>KeldeoOrdinary Forme</t>
  </si>
  <si>
    <t>MeloettaAria Forme</t>
  </si>
  <si>
    <t>PikaRay</t>
  </si>
  <si>
    <t>Attacking</t>
  </si>
  <si>
    <t>Ratio</t>
  </si>
  <si>
    <t>Defending</t>
  </si>
  <si>
    <t>Level</t>
  </si>
  <si>
    <t>Evolution</t>
  </si>
  <si>
    <t>Darmanitan</t>
  </si>
  <si>
    <t>Wormadam</t>
  </si>
  <si>
    <t>Switch Evolution</t>
  </si>
  <si>
    <t>PokeIndex</t>
  </si>
  <si>
    <t>PokeIndex Evolution</t>
  </si>
  <si>
    <t>HERO</t>
  </si>
  <si>
    <t>POKEDEX GAUCHE</t>
  </si>
  <si>
    <t>POKEDEX DROITE</t>
  </si>
  <si>
    <t>Liens</t>
  </si>
  <si>
    <t>Artiste</t>
  </si>
  <si>
    <t>Commentaire</t>
  </si>
  <si>
    <t>Icones</t>
  </si>
  <si>
    <t>Sprite Heros</t>
  </si>
  <si>
    <t>Barubary</t>
  </si>
  <si>
    <t>Raypath</t>
  </si>
  <si>
    <t>Island</t>
  </si>
  <si>
    <t>DeatHkof</t>
  </si>
  <si>
    <t>SailorVicious</t>
  </si>
  <si>
    <t>tuto_data</t>
  </si>
  <si>
    <t>maps RFVF</t>
  </si>
  <si>
    <t>NomFr</t>
  </si>
  <si>
    <t>Stats</t>
  </si>
  <si>
    <t>LevelEvol</t>
  </si>
  <si>
    <t>~</t>
  </si>
  <si>
    <t>Horizontal Scroll</t>
  </si>
  <si>
    <t>Vertical Scroll</t>
  </si>
  <si>
    <t>Paramètres</t>
  </si>
  <si>
    <t>Value</t>
  </si>
  <si>
    <t>Game State</t>
  </si>
  <si>
    <t>Colors</t>
  </si>
  <si>
    <t>FPS</t>
  </si>
  <si>
    <t>Map</t>
  </si>
  <si>
    <t>b</t>
  </si>
  <si>
    <t>a</t>
  </si>
  <si>
    <t>s</t>
  </si>
  <si>
    <t>c</t>
  </si>
  <si>
    <t>Element</t>
  </si>
  <si>
    <t>Etat</t>
  </si>
  <si>
    <t>foret_de_jade</t>
  </si>
  <si>
    <t>argenta</t>
  </si>
  <si>
    <t>route03</t>
  </si>
  <si>
    <t>route02</t>
  </si>
  <si>
    <t>route01</t>
  </si>
  <si>
    <t>jadielle</t>
  </si>
  <si>
    <t>bourg-palette</t>
  </si>
  <si>
    <t>Région</t>
  </si>
  <si>
    <t>Emplacement</t>
  </si>
  <si>
    <t>Combat Pokemon</t>
  </si>
  <si>
    <t>TP</t>
  </si>
  <si>
    <t>Centre Poke</t>
  </si>
  <si>
    <t>Shop</t>
  </si>
  <si>
    <t>Arène</t>
  </si>
  <si>
    <t>Lancement</t>
  </si>
  <si>
    <t>Detection</t>
  </si>
  <si>
    <t>Combat Loop</t>
  </si>
  <si>
    <t>Dresseur</t>
  </si>
  <si>
    <t>Thèmes</t>
  </si>
  <si>
    <t>Marche saut animation</t>
  </si>
  <si>
    <t>catch_rate</t>
  </si>
  <si>
    <t>base_experience</t>
  </si>
  <si>
    <t>p</t>
  </si>
  <si>
    <t>t</t>
  </si>
  <si>
    <t xml:space="preserve"> </t>
  </si>
  <si>
    <t>Zone</t>
  </si>
  <si>
    <t>Liste Pokemon</t>
  </si>
  <si>
    <t>Min Level</t>
  </si>
  <si>
    <t>Max Level</t>
  </si>
  <si>
    <t>route04</t>
  </si>
  <si>
    <t>route05</t>
  </si>
  <si>
    <t>route06</t>
  </si>
  <si>
    <t>route07</t>
  </si>
  <si>
    <t>route08</t>
  </si>
  <si>
    <t>route09</t>
  </si>
  <si>
    <t>p10</t>
  </si>
  <si>
    <t>route10</t>
  </si>
  <si>
    <t>p11</t>
  </si>
  <si>
    <t>route11</t>
  </si>
  <si>
    <t>p12</t>
  </si>
  <si>
    <t>route12</t>
  </si>
  <si>
    <t>p13</t>
  </si>
  <si>
    <t>route13</t>
  </si>
  <si>
    <t>p14</t>
  </si>
  <si>
    <t>route14</t>
  </si>
  <si>
    <t>p15</t>
  </si>
  <si>
    <t>route15</t>
  </si>
  <si>
    <t>p16</t>
  </si>
  <si>
    <t>route16</t>
  </si>
  <si>
    <t>p17</t>
  </si>
  <si>
    <t>route17</t>
  </si>
  <si>
    <t>p18</t>
  </si>
  <si>
    <t>route18</t>
  </si>
  <si>
    <t>p19</t>
  </si>
  <si>
    <t>route19</t>
  </si>
  <si>
    <t>p20</t>
  </si>
  <si>
    <t>route20</t>
  </si>
  <si>
    <t>p21</t>
  </si>
  <si>
    <t>route21</t>
  </si>
  <si>
    <t>p22</t>
  </si>
  <si>
    <t>route22</t>
  </si>
  <si>
    <t>p23</t>
  </si>
  <si>
    <t>route23</t>
  </si>
  <si>
    <t>16;19</t>
  </si>
  <si>
    <t>10;13;16;19</t>
  </si>
  <si>
    <t>Nidorana♀️</t>
  </si>
  <si>
    <t>Nidorana♂️</t>
  </si>
  <si>
    <t>16;21;29;32;39;56</t>
  </si>
  <si>
    <t>19;21;23;27;56;98;116</t>
  </si>
  <si>
    <t>16;43;52;69</t>
  </si>
  <si>
    <t>16;43;52;69;60;118;129;60;79</t>
  </si>
  <si>
    <t>16;37;43;52;58;69</t>
  </si>
  <si>
    <t>16;23;27;37;52;58</t>
  </si>
  <si>
    <t>19;21;23;27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</si>
  <si>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</si>
  <si>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</si>
  <si>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</si>
  <si>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</si>
  <si>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</si>
  <si>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</si>
  <si>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</si>
  <si>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</si>
  <si>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</si>
  <si>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21;23;27;100;54;72;98;129</t>
  </si>
  <si>
    <t>21;23;27;96</t>
  </si>
  <si>
    <t>16;43;44;48</t>
  </si>
  <si>
    <t>16;17;43;44;69;70;48</t>
  </si>
  <si>
    <t>16;17;43;44;69;70;49</t>
  </si>
  <si>
    <t>Zone Pokemon</t>
  </si>
  <si>
    <t>p_fdj</t>
  </si>
  <si>
    <t>Lieu</t>
  </si>
  <si>
    <t>10;11;13;14;25</t>
  </si>
  <si>
    <t>laboratoire_chen</t>
  </si>
  <si>
    <t>Batiment</t>
  </si>
  <si>
    <t>s1</t>
  </si>
  <si>
    <t>s2</t>
  </si>
  <si>
    <t>s3</t>
  </si>
  <si>
    <t>h1</t>
  </si>
  <si>
    <t>Lien 1</t>
  </si>
  <si>
    <t>Lien 2</t>
  </si>
  <si>
    <t>Endroit 1</t>
  </si>
  <si>
    <t>Endroit 2</t>
  </si>
  <si>
    <t>t_lc</t>
  </si>
  <si>
    <t>t_bp</t>
  </si>
  <si>
    <t>Evenement</t>
  </si>
  <si>
    <t>Description</t>
  </si>
  <si>
    <t>Obtention Starter 1 : Bulbizarre</t>
  </si>
  <si>
    <t>Obtention Starter 2 : Salamèche</t>
  </si>
  <si>
    <t>Obtention Starter 3 : Carapuce</t>
  </si>
  <si>
    <t>Heal Equipe</t>
  </si>
  <si>
    <t>t_fdj_sud</t>
  </si>
  <si>
    <t>t_fdj_nord</t>
  </si>
  <si>
    <t>t_r02P_SO</t>
  </si>
  <si>
    <t>t_r02P_NO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</si>
</sst>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8"/>
      <color rgb="FF000000"/>
      <name val="Calibri"/>
      <family val="2"/>
    </font>
    <font>
      <sz val="5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0"/>
      <color rgb="FF000000"/>
      <name val="Arial Unicode MS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sz val="11"/>
      <color rgb="FFD63232"/>
      <name val="Calibri"/>
      <family val="2"/>
      <scheme val="minor"/>
    </font>
    <font>
      <sz val="8"/>
      <color rgb="FF000000"/>
      <name val="Courier New"/>
      <family val="3"/>
    </font>
    <font>
      <sz val="4"/>
      <color theme="1"/>
      <name val="Calibri"/>
      <family val="2"/>
      <scheme val="minor"/>
    </font>
  </fonts>
  <fills count="82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CC99"/>
      </patternFill>
    </fill>
    <fill>
      <patternFill patternType="solid">
        <fgColor theme="2"/>
        <bgColor indexed="64"/>
      </patternFill>
    </fill>
  </fills>
  <borders count="7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8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7" borderId="0" applyNumberFormat="0" applyBorder="0" applyAlignment="0" applyProtection="0"/>
    <xf numFmtId="0" fontId="2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9" fillId="69" borderId="52" applyNumberFormat="0" applyAlignment="0" applyProtection="0"/>
    <xf numFmtId="0" fontId="2" fillId="79" borderId="0" applyNumberFormat="0" applyBorder="0" applyAlignment="0" applyProtection="0"/>
    <xf numFmtId="0" fontId="27" fillId="80" borderId="72" applyNumberFormat="0" applyAlignment="0" applyProtection="0"/>
  </cellStyleXfs>
  <cellXfs count="272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0" fillId="18" borderId="0" xfId="0" applyFill="1"/>
    <xf numFmtId="0" fontId="10" fillId="19" borderId="11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2" fillId="17" borderId="10" xfId="3" applyFont="1" applyBorder="1" applyAlignment="1">
      <alignment horizontal="center" vertical="center"/>
    </xf>
    <xf numFmtId="0" fontId="12" fillId="17" borderId="9" xfId="3" applyFont="1" applyBorder="1" applyAlignment="1">
      <alignment horizontal="center" vertical="center"/>
    </xf>
    <xf numFmtId="0" fontId="12" fillId="17" borderId="8" xfId="3" applyFont="1" applyBorder="1" applyAlignment="1">
      <alignment horizontal="center" vertical="center"/>
    </xf>
    <xf numFmtId="0" fontId="13" fillId="17" borderId="13" xfId="3" applyFont="1" applyBorder="1" applyAlignment="1">
      <alignment horizontal="center" vertical="center"/>
    </xf>
    <xf numFmtId="0" fontId="13" fillId="17" borderId="14" xfId="3" applyFont="1" applyBorder="1" applyAlignment="1">
      <alignment horizontal="center" vertical="center"/>
    </xf>
    <xf numFmtId="0" fontId="12" fillId="17" borderId="15" xfId="3" applyFont="1" applyBorder="1" applyAlignment="1">
      <alignment horizontal="center" vertical="center"/>
    </xf>
    <xf numFmtId="0" fontId="12" fillId="17" borderId="16" xfId="3" applyFont="1" applyBorder="1" applyAlignment="1">
      <alignment horizontal="center" vertical="center"/>
    </xf>
    <xf numFmtId="0" fontId="12" fillId="17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1" borderId="17" xfId="3" applyFont="1" applyFill="1" applyBorder="1" applyAlignment="1">
      <alignment horizontal="center" vertical="center"/>
    </xf>
    <xf numFmtId="0" fontId="12" fillId="21" borderId="1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6" fillId="20" borderId="0" xfId="0" applyFont="1" applyFill="1"/>
    <xf numFmtId="0" fontId="0" fillId="0" borderId="0" xfId="0" applyAlignment="1">
      <alignment horizontal="right"/>
    </xf>
    <xf numFmtId="0" fontId="14" fillId="18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6" fillId="24" borderId="0" xfId="0" applyFont="1" applyFill="1"/>
    <xf numFmtId="0" fontId="7" fillId="0" borderId="0" xfId="0" applyFont="1"/>
    <xf numFmtId="0" fontId="6" fillId="28" borderId="0" xfId="0" applyFont="1" applyFill="1"/>
    <xf numFmtId="0" fontId="6" fillId="26" borderId="0" xfId="0" applyFont="1" applyFill="1"/>
    <xf numFmtId="0" fontId="6" fillId="25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27" borderId="0" xfId="0" applyFont="1" applyFill="1"/>
    <xf numFmtId="0" fontId="6" fillId="31" borderId="0" xfId="0" applyFont="1" applyFill="1"/>
    <xf numFmtId="0" fontId="12" fillId="17" borderId="29" xfId="3" applyFont="1" applyBorder="1" applyAlignment="1">
      <alignment horizontal="center" vertical="center"/>
    </xf>
    <xf numFmtId="0" fontId="0" fillId="28" borderId="31" xfId="0" applyFill="1" applyBorder="1"/>
    <xf numFmtId="0" fontId="9" fillId="30" borderId="32" xfId="0" applyFont="1" applyFill="1" applyBorder="1"/>
    <xf numFmtId="0" fontId="0" fillId="29" borderId="33" xfId="0" applyFill="1" applyBorder="1"/>
    <xf numFmtId="0" fontId="0" fillId="25" borderId="34" xfId="0" applyFill="1" applyBorder="1"/>
    <xf numFmtId="0" fontId="0" fillId="27" borderId="34" xfId="0" applyFill="1" applyBorder="1"/>
    <xf numFmtId="0" fontId="0" fillId="31" borderId="33" xfId="0" applyFill="1" applyBorder="1"/>
    <xf numFmtId="0" fontId="9" fillId="32" borderId="33" xfId="0" applyFont="1" applyFill="1" applyBorder="1"/>
    <xf numFmtId="0" fontId="6" fillId="32" borderId="0" xfId="0" applyFont="1" applyFill="1"/>
    <xf numFmtId="0" fontId="0" fillId="33" borderId="34" xfId="0" applyFill="1" applyBorder="1"/>
    <xf numFmtId="0" fontId="6" fillId="33" borderId="0" xfId="0" applyFont="1" applyFill="1"/>
    <xf numFmtId="0" fontId="0" fillId="32" borderId="35" xfId="0" applyFill="1" applyBorder="1"/>
    <xf numFmtId="0" fontId="0" fillId="32" borderId="0" xfId="0" applyFill="1"/>
    <xf numFmtId="0" fontId="6" fillId="34" borderId="0" xfId="0" applyFont="1" applyFill="1"/>
    <xf numFmtId="0" fontId="0" fillId="35" borderId="36" xfId="0" applyFill="1" applyBorder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0" fillId="39" borderId="0" xfId="0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16" fillId="20" borderId="0" xfId="2" applyFont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3" fillId="17" borderId="39" xfId="3" applyFont="1" applyBorder="1" applyAlignment="1">
      <alignment horizontal="center"/>
    </xf>
    <xf numFmtId="0" fontId="17" fillId="64" borderId="27" xfId="11" applyBorder="1" applyAlignment="1">
      <alignment horizontal="center"/>
    </xf>
    <xf numFmtId="0" fontId="17" fillId="64" borderId="38" xfId="11" applyBorder="1" applyAlignment="1">
      <alignment horizontal="center"/>
    </xf>
    <xf numFmtId="0" fontId="17" fillId="64" borderId="5" xfId="11" applyBorder="1" applyAlignment="1">
      <alignment horizontal="center"/>
    </xf>
    <xf numFmtId="0" fontId="17" fillId="66" borderId="1" xfId="13" applyBorder="1" applyAlignment="1">
      <alignment horizontal="center"/>
    </xf>
    <xf numFmtId="0" fontId="17" fillId="59" borderId="40" xfId="6" applyBorder="1" applyAlignment="1">
      <alignment horizontal="left"/>
    </xf>
    <xf numFmtId="0" fontId="17" fillId="59" borderId="41" xfId="6" applyBorder="1" applyAlignment="1">
      <alignment horizontal="left"/>
    </xf>
    <xf numFmtId="0" fontId="17" fillId="59" borderId="42" xfId="6" applyBorder="1" applyAlignment="1">
      <alignment horizontal="left"/>
    </xf>
    <xf numFmtId="0" fontId="17" fillId="67" borderId="39" xfId="14" applyBorder="1" applyAlignment="1">
      <alignment horizontal="left"/>
    </xf>
    <xf numFmtId="0" fontId="17" fillId="63" borderId="40" xfId="10" applyBorder="1" applyAlignment="1">
      <alignment horizontal="left"/>
    </xf>
    <xf numFmtId="0" fontId="17" fillId="63" borderId="41" xfId="10" applyBorder="1" applyAlignment="1">
      <alignment horizontal="left"/>
    </xf>
    <xf numFmtId="0" fontId="17" fillId="63" borderId="42" xfId="10" applyBorder="1" applyAlignment="1">
      <alignment horizontal="left"/>
    </xf>
    <xf numFmtId="0" fontId="17" fillId="65" borderId="41" xfId="12" applyBorder="1" applyAlignment="1">
      <alignment horizontal="left"/>
    </xf>
    <xf numFmtId="0" fontId="17" fillId="58" borderId="27" xfId="5" applyBorder="1" applyAlignment="1">
      <alignment horizontal="center"/>
    </xf>
    <xf numFmtId="0" fontId="17" fillId="58" borderId="38" xfId="5" applyBorder="1" applyAlignment="1">
      <alignment horizontal="center"/>
    </xf>
    <xf numFmtId="0" fontId="17" fillId="58" borderId="5" xfId="5" applyBorder="1" applyAlignment="1">
      <alignment horizontal="center"/>
    </xf>
    <xf numFmtId="0" fontId="1" fillId="57" borderId="37" xfId="4" applyFont="1" applyBorder="1" applyAlignment="1">
      <alignment horizontal="center"/>
    </xf>
    <xf numFmtId="0" fontId="1" fillId="57" borderId="1" xfId="4" applyFont="1" applyBorder="1" applyAlignment="1">
      <alignment horizontal="center"/>
    </xf>
    <xf numFmtId="0" fontId="17" fillId="61" borderId="39" xfId="8" applyBorder="1" applyAlignment="1">
      <alignment horizontal="left"/>
    </xf>
    <xf numFmtId="0" fontId="17" fillId="58" borderId="44" xfId="5" applyBorder="1" applyAlignment="1">
      <alignment horizontal="center"/>
    </xf>
    <xf numFmtId="0" fontId="17" fillId="58" borderId="45" xfId="5" applyBorder="1" applyAlignment="1">
      <alignment horizontal="center"/>
    </xf>
    <xf numFmtId="0" fontId="17" fillId="58" borderId="46" xfId="5" applyBorder="1" applyAlignment="1">
      <alignment horizontal="center"/>
    </xf>
    <xf numFmtId="0" fontId="17" fillId="64" borderId="45" xfId="11" applyBorder="1" applyAlignment="1">
      <alignment horizontal="center"/>
    </xf>
    <xf numFmtId="0" fontId="17" fillId="64" borderId="46" xfId="11" applyBorder="1" applyAlignment="1">
      <alignment horizontal="center"/>
    </xf>
    <xf numFmtId="0" fontId="17" fillId="66" borderId="43" xfId="13" applyBorder="1" applyAlignment="1">
      <alignment horizontal="center"/>
    </xf>
    <xf numFmtId="0" fontId="17" fillId="60" borderId="43" xfId="7" applyBorder="1" applyAlignment="1">
      <alignment horizontal="center"/>
    </xf>
    <xf numFmtId="0" fontId="17" fillId="60" borderId="1" xfId="7" applyBorder="1" applyAlignment="1">
      <alignment horizontal="center"/>
    </xf>
    <xf numFmtId="0" fontId="17" fillId="61" borderId="40" xfId="8" applyBorder="1" applyAlignment="1">
      <alignment horizontal="left"/>
    </xf>
    <xf numFmtId="0" fontId="17" fillId="61" borderId="42" xfId="8" applyBorder="1" applyAlignment="1">
      <alignment horizontal="left"/>
    </xf>
    <xf numFmtId="0" fontId="17" fillId="65" borderId="40" xfId="12" applyBorder="1" applyAlignment="1">
      <alignment horizontal="left"/>
    </xf>
    <xf numFmtId="0" fontId="17" fillId="64" borderId="44" xfId="11" applyBorder="1" applyAlignment="1">
      <alignment horizontal="center"/>
    </xf>
    <xf numFmtId="0" fontId="17" fillId="65" borderId="42" xfId="12" applyBorder="1" applyAlignment="1">
      <alignment horizontal="left"/>
    </xf>
    <xf numFmtId="0" fontId="17" fillId="65" borderId="47" xfId="12" applyBorder="1" applyAlignment="1">
      <alignment horizontal="left"/>
    </xf>
    <xf numFmtId="0" fontId="17" fillId="64" borderId="48" xfId="11" applyBorder="1" applyAlignment="1">
      <alignment horizontal="center"/>
    </xf>
    <xf numFmtId="0" fontId="17" fillId="64" borderId="49" xfId="11" applyBorder="1" applyAlignment="1">
      <alignment horizontal="center"/>
    </xf>
    <xf numFmtId="0" fontId="0" fillId="68" borderId="26" xfId="0" applyFill="1" applyBorder="1"/>
    <xf numFmtId="0" fontId="0" fillId="68" borderId="27" xfId="0" applyFill="1" applyBorder="1"/>
    <xf numFmtId="0" fontId="0" fillId="68" borderId="0" xfId="0" applyFill="1"/>
    <xf numFmtId="0" fontId="0" fillId="68" borderId="38" xfId="0" applyFill="1" applyBorder="1"/>
    <xf numFmtId="0" fontId="0" fillId="68" borderId="22" xfId="0" applyFill="1" applyBorder="1"/>
    <xf numFmtId="0" fontId="0" fillId="68" borderId="5" xfId="0" applyFill="1" applyBorder="1"/>
    <xf numFmtId="0" fontId="0" fillId="68" borderId="40" xfId="0" applyFill="1" applyBorder="1"/>
    <xf numFmtId="0" fontId="0" fillId="68" borderId="42" xfId="0" applyFill="1" applyBorder="1"/>
    <xf numFmtId="0" fontId="0" fillId="68" borderId="41" xfId="0" applyFill="1" applyBorder="1"/>
    <xf numFmtId="0" fontId="17" fillId="60" borderId="44" xfId="7" applyBorder="1" applyAlignment="1">
      <alignment horizontal="center"/>
    </xf>
    <xf numFmtId="0" fontId="17" fillId="60" borderId="50" xfId="7" applyBorder="1" applyAlignment="1">
      <alignment horizontal="center"/>
    </xf>
    <xf numFmtId="0" fontId="17" fillId="60" borderId="46" xfId="7" applyBorder="1" applyAlignment="1">
      <alignment horizontal="center"/>
    </xf>
    <xf numFmtId="0" fontId="17" fillId="60" borderId="51" xfId="7" applyBorder="1" applyAlignment="1">
      <alignment horizontal="center"/>
    </xf>
    <xf numFmtId="10" fontId="0" fillId="0" borderId="0" xfId="0" applyNumberFormat="1"/>
    <xf numFmtId="0" fontId="19" fillId="69" borderId="53" xfId="15" applyBorder="1" applyAlignment="1">
      <alignment horizontal="center"/>
    </xf>
    <xf numFmtId="0" fontId="19" fillId="69" borderId="54" xfId="15" applyBorder="1" applyAlignment="1">
      <alignment horizontal="center"/>
    </xf>
    <xf numFmtId="0" fontId="19" fillId="69" borderId="56" xfId="15" applyBorder="1" applyAlignment="1">
      <alignment horizontal="center"/>
    </xf>
    <xf numFmtId="0" fontId="19" fillId="69" borderId="57" xfId="15" applyBorder="1" applyAlignment="1">
      <alignment horizontal="center"/>
    </xf>
    <xf numFmtId="0" fontId="19" fillId="69" borderId="58" xfId="15" applyBorder="1" applyAlignment="1">
      <alignment horizontal="center"/>
    </xf>
    <xf numFmtId="0" fontId="19" fillId="69" borderId="59" xfId="15" applyBorder="1" applyAlignment="1">
      <alignment horizontal="center"/>
    </xf>
    <xf numFmtId="0" fontId="19" fillId="69" borderId="60" xfId="15" applyBorder="1" applyAlignment="1">
      <alignment horizontal="center"/>
    </xf>
    <xf numFmtId="0" fontId="19" fillId="69" borderId="61" xfId="15" applyBorder="1" applyAlignment="1">
      <alignment horizontal="center"/>
    </xf>
    <xf numFmtId="22" fontId="19" fillId="69" borderId="55" xfId="15" applyNumberFormat="1" applyBorder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32" borderId="12" xfId="0" applyFill="1" applyBorder="1"/>
    <xf numFmtId="0" fontId="0" fillId="0" borderId="5" xfId="0" applyBorder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1" fillId="0" borderId="0" xfId="0" applyFont="1"/>
    <xf numFmtId="0" fontId="0" fillId="0" borderId="12" xfId="0" applyBorder="1"/>
    <xf numFmtId="0" fontId="5" fillId="0" borderId="0" xfId="2"/>
    <xf numFmtId="0" fontId="7" fillId="73" borderId="0" xfId="0" applyFont="1" applyFill="1"/>
    <xf numFmtId="0" fontId="6" fillId="73" borderId="0" xfId="0" applyFont="1" applyFill="1"/>
    <xf numFmtId="0" fontId="6" fillId="68" borderId="0" xfId="0" applyFont="1" applyFill="1"/>
    <xf numFmtId="0" fontId="6" fillId="74" borderId="0" xfId="0" applyFont="1" applyFill="1"/>
    <xf numFmtId="0" fontId="6" fillId="75" borderId="0" xfId="0" applyFont="1" applyFill="1"/>
    <xf numFmtId="0" fontId="7" fillId="76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8" fillId="0" borderId="30" xfId="3" applyFont="1" applyFill="1" applyBorder="1" applyAlignment="1">
      <alignment horizontal="center" vertical="center"/>
    </xf>
    <xf numFmtId="0" fontId="0" fillId="70" borderId="25" xfId="0" applyFill="1" applyBorder="1"/>
    <xf numFmtId="0" fontId="0" fillId="70" borderId="26" xfId="0" applyFill="1" applyBorder="1"/>
    <xf numFmtId="0" fontId="0" fillId="70" borderId="27" xfId="0" applyFill="1" applyBorder="1"/>
    <xf numFmtId="0" fontId="0" fillId="70" borderId="28" xfId="0" applyFill="1" applyBorder="1"/>
    <xf numFmtId="0" fontId="0" fillId="70" borderId="38" xfId="0" applyFill="1" applyBorder="1"/>
    <xf numFmtId="0" fontId="0" fillId="70" borderId="8" xfId="0" applyFill="1" applyBorder="1"/>
    <xf numFmtId="0" fontId="0" fillId="70" borderId="22" xfId="0" applyFill="1" applyBorder="1"/>
    <xf numFmtId="0" fontId="0" fillId="70" borderId="5" xfId="0" applyFill="1" applyBorder="1"/>
    <xf numFmtId="0" fontId="24" fillId="0" borderId="0" xfId="0" applyFont="1" applyAlignment="1">
      <alignment vertical="center"/>
    </xf>
    <xf numFmtId="0" fontId="1" fillId="2" borderId="39" xfId="1" applyFont="1" applyBorder="1" applyAlignment="1">
      <alignment horizontal="center"/>
    </xf>
    <xf numFmtId="0" fontId="1" fillId="79" borderId="39" xfId="16" applyFont="1" applyBorder="1" applyAlignment="1">
      <alignment horizontal="center"/>
    </xf>
    <xf numFmtId="0" fontId="25" fillId="63" borderId="39" xfId="10" applyFont="1" applyBorder="1" applyAlignment="1">
      <alignment horizontal="center"/>
    </xf>
    <xf numFmtId="0" fontId="1" fillId="17" borderId="39" xfId="3" applyFont="1" applyBorder="1" applyAlignment="1">
      <alignment horizontal="center"/>
    </xf>
    <xf numFmtId="0" fontId="1" fillId="79" borderId="28" xfId="16" applyFont="1" applyBorder="1" applyAlignment="1">
      <alignment horizontal="center" vertical="center"/>
    </xf>
    <xf numFmtId="0" fontId="1" fillId="79" borderId="8" xfId="16" applyFont="1" applyBorder="1" applyAlignment="1">
      <alignment horizontal="center" vertical="center"/>
    </xf>
    <xf numFmtId="0" fontId="1" fillId="2" borderId="26" xfId="1" applyFont="1" applyBorder="1" applyAlignment="1">
      <alignment horizontal="center"/>
    </xf>
    <xf numFmtId="0" fontId="1" fillId="2" borderId="27" xfId="1" applyFont="1" applyBorder="1" applyAlignment="1">
      <alignment horizontal="center"/>
    </xf>
    <xf numFmtId="0" fontId="17" fillId="62" borderId="63" xfId="9" applyBorder="1" applyAlignment="1">
      <alignment horizontal="center"/>
    </xf>
    <xf numFmtId="0" fontId="17" fillId="62" borderId="64" xfId="9" applyBorder="1" applyAlignment="1">
      <alignment horizontal="center"/>
    </xf>
    <xf numFmtId="0" fontId="17" fillId="62" borderId="65" xfId="9" applyBorder="1" applyAlignment="1">
      <alignment horizontal="center"/>
    </xf>
    <xf numFmtId="0" fontId="17" fillId="62" borderId="66" xfId="9" applyBorder="1" applyAlignment="1">
      <alignment horizontal="center"/>
    </xf>
    <xf numFmtId="0" fontId="17" fillId="62" borderId="67" xfId="9" applyBorder="1" applyAlignment="1">
      <alignment horizontal="center"/>
    </xf>
    <xf numFmtId="0" fontId="17" fillId="62" borderId="68" xfId="9" applyBorder="1" applyAlignment="1">
      <alignment horizontal="center"/>
    </xf>
    <xf numFmtId="0" fontId="17" fillId="62" borderId="69" xfId="9" applyBorder="1" applyAlignment="1">
      <alignment horizontal="center"/>
    </xf>
    <xf numFmtId="0" fontId="17" fillId="62" borderId="70" xfId="9" applyBorder="1" applyAlignment="1">
      <alignment horizontal="center"/>
    </xf>
    <xf numFmtId="0" fontId="17" fillId="62" borderId="71" xfId="9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8" xfId="0" applyBorder="1"/>
    <xf numFmtId="0" fontId="0" fillId="0" borderId="8" xfId="0" applyBorder="1"/>
    <xf numFmtId="0" fontId="0" fillId="0" borderId="0" xfId="0" applyAlignment="1">
      <alignment wrapText="1"/>
    </xf>
    <xf numFmtId="0" fontId="1" fillId="2" borderId="1" xfId="1" applyFont="1" applyBorder="1" applyAlignment="1">
      <alignment horizontal="center"/>
    </xf>
    <xf numFmtId="0" fontId="10" fillId="66" borderId="38" xfId="13" applyFont="1" applyBorder="1" applyAlignment="1">
      <alignment horizontal="center"/>
    </xf>
    <xf numFmtId="0" fontId="29" fillId="66" borderId="38" xfId="13" applyFont="1" applyBorder="1" applyAlignment="1">
      <alignment horizontal="center"/>
    </xf>
    <xf numFmtId="0" fontId="17" fillId="67" borderId="41" xfId="14" applyBorder="1" applyAlignment="1">
      <alignment horizontal="left"/>
    </xf>
    <xf numFmtId="0" fontId="17" fillId="67" borderId="73" xfId="14" applyBorder="1" applyAlignment="1">
      <alignment horizontal="left"/>
    </xf>
    <xf numFmtId="0" fontId="10" fillId="66" borderId="74" xfId="13" applyFont="1" applyBorder="1" applyAlignment="1">
      <alignment horizontal="center"/>
    </xf>
    <xf numFmtId="0" fontId="31" fillId="70" borderId="0" xfId="0" applyFont="1" applyFill="1"/>
    <xf numFmtId="0" fontId="0" fillId="0" borderId="26" xfId="0" applyBorder="1"/>
    <xf numFmtId="0" fontId="0" fillId="0" borderId="22" xfId="0" applyBorder="1"/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7" fillId="67" borderId="42" xfId="14" applyBorder="1" applyAlignment="1">
      <alignment horizontal="left"/>
    </xf>
    <xf numFmtId="0" fontId="10" fillId="66" borderId="5" xfId="13" applyFont="1" applyBorder="1" applyAlignment="1">
      <alignment horizontal="center" vertical="center"/>
    </xf>
    <xf numFmtId="0" fontId="17" fillId="62" borderId="0" xfId="9" applyAlignment="1">
      <alignment horizontal="center"/>
    </xf>
    <xf numFmtId="0" fontId="17" fillId="62" borderId="40" xfId="9" applyBorder="1" applyAlignment="1">
      <alignment horizontal="center"/>
    </xf>
    <xf numFmtId="0" fontId="17" fillId="62" borderId="41" xfId="9" applyBorder="1" applyAlignment="1">
      <alignment horizontal="center"/>
    </xf>
    <xf numFmtId="0" fontId="17" fillId="62" borderId="42" xfId="9" applyBorder="1" applyAlignment="1">
      <alignment horizontal="center"/>
    </xf>
    <xf numFmtId="0" fontId="17" fillId="62" borderId="26" xfId="9" applyBorder="1" applyAlignment="1">
      <alignment horizontal="center"/>
    </xf>
    <xf numFmtId="0" fontId="17" fillId="62" borderId="0" xfId="9" applyBorder="1" applyAlignment="1">
      <alignment horizontal="center"/>
    </xf>
    <xf numFmtId="0" fontId="1" fillId="17" borderId="22" xfId="3" applyFont="1" applyBorder="1" applyAlignment="1">
      <alignment horizontal="center"/>
    </xf>
    <xf numFmtId="0" fontId="12" fillId="17" borderId="25" xfId="3" applyFont="1" applyBorder="1" applyAlignment="1">
      <alignment horizontal="center" vertical="center"/>
    </xf>
    <xf numFmtId="0" fontId="12" fillId="17" borderId="27" xfId="3" applyFont="1" applyBorder="1" applyAlignment="1">
      <alignment horizontal="center" vertical="center"/>
    </xf>
    <xf numFmtId="0" fontId="28" fillId="80" borderId="37" xfId="17" applyFont="1" applyBorder="1" applyAlignment="1">
      <alignment horizontal="center"/>
    </xf>
    <xf numFmtId="0" fontId="28" fillId="80" borderId="62" xfId="17" applyFont="1" applyBorder="1" applyAlignment="1">
      <alignment horizontal="center"/>
    </xf>
    <xf numFmtId="0" fontId="28" fillId="80" borderId="1" xfId="17" applyFont="1" applyBorder="1" applyAlignment="1">
      <alignment horizontal="center"/>
    </xf>
    <xf numFmtId="0" fontId="17" fillId="62" borderId="25" xfId="9" applyBorder="1" applyAlignment="1">
      <alignment horizontal="center"/>
    </xf>
    <xf numFmtId="0" fontId="17" fillId="62" borderId="27" xfId="9" applyBorder="1" applyAlignment="1">
      <alignment horizontal="center"/>
    </xf>
    <xf numFmtId="0" fontId="17" fillId="62" borderId="28" xfId="9" applyBorder="1" applyAlignment="1">
      <alignment horizontal="center"/>
    </xf>
    <xf numFmtId="0" fontId="17" fillId="62" borderId="38" xfId="9" applyBorder="1" applyAlignment="1">
      <alignment horizontal="center"/>
    </xf>
    <xf numFmtId="0" fontId="17" fillId="62" borderId="8" xfId="9" applyBorder="1" applyAlignment="1">
      <alignment horizontal="center"/>
    </xf>
    <xf numFmtId="0" fontId="17" fillId="62" borderId="5" xfId="9" applyBorder="1" applyAlignment="1">
      <alignment horizontal="center"/>
    </xf>
    <xf numFmtId="0" fontId="23" fillId="60" borderId="41" xfId="7" applyFont="1" applyBorder="1" applyAlignment="1">
      <alignment horizontal="center" vertical="center"/>
    </xf>
    <xf numFmtId="0" fontId="23" fillId="60" borderId="42" xfId="7" applyFont="1" applyBorder="1" applyAlignment="1">
      <alignment horizontal="center" vertical="center"/>
    </xf>
    <xf numFmtId="0" fontId="10" fillId="66" borderId="62" xfId="13" applyFont="1" applyBorder="1" applyAlignment="1">
      <alignment horizontal="center" vertical="center"/>
    </xf>
    <xf numFmtId="0" fontId="10" fillId="66" borderId="1" xfId="13" applyFont="1" applyBorder="1" applyAlignment="1">
      <alignment horizontal="center" vertical="center"/>
    </xf>
    <xf numFmtId="0" fontId="0" fillId="70" borderId="26" xfId="0" applyFill="1" applyBorder="1" applyAlignment="1">
      <alignment horizontal="center"/>
    </xf>
    <xf numFmtId="0" fontId="0" fillId="70" borderId="0" xfId="0" applyFill="1" applyAlignment="1">
      <alignment horizontal="center"/>
    </xf>
    <xf numFmtId="0" fontId="20" fillId="22" borderId="37" xfId="3" applyFont="1" applyFill="1" applyBorder="1" applyAlignment="1">
      <alignment horizontal="center" vertical="center"/>
    </xf>
    <xf numFmtId="0" fontId="20" fillId="22" borderId="62" xfId="3" applyFont="1" applyFill="1" applyBorder="1" applyAlignment="1">
      <alignment horizontal="center" vertical="center"/>
    </xf>
    <xf numFmtId="0" fontId="20" fillId="22" borderId="1" xfId="3" applyFont="1" applyFill="1" applyBorder="1" applyAlignment="1">
      <alignment horizontal="center" vertical="center"/>
    </xf>
    <xf numFmtId="0" fontId="0" fillId="0" borderId="0" xfId="0" applyNumberFormat="1"/>
    <xf numFmtId="0" fontId="32" fillId="0" borderId="0" xfId="0" applyFont="1" applyAlignment="1">
      <alignment horizontal="left"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33" fillId="0" borderId="0" xfId="0" applyFont="1" applyAlignment="1">
      <alignment horizontal="left" vertical="center"/>
    </xf>
    <xf numFmtId="0" fontId="33" fillId="0" borderId="0" xfId="0" applyFont="1" applyBorder="1"/>
    <xf numFmtId="0" fontId="0" fillId="71" borderId="25" xfId="0" applyFill="1" applyBorder="1"/>
    <xf numFmtId="0" fontId="0" fillId="71" borderId="28" xfId="0" applyFill="1" applyBorder="1"/>
    <xf numFmtId="0" fontId="0" fillId="71" borderId="8" xfId="0" applyFill="1" applyBorder="1"/>
    <xf numFmtId="0" fontId="0" fillId="71" borderId="26" xfId="0" applyFill="1" applyBorder="1"/>
    <xf numFmtId="0" fontId="0" fillId="71" borderId="27" xfId="0" applyFill="1" applyBorder="1"/>
    <xf numFmtId="0" fontId="0" fillId="71" borderId="38" xfId="0" applyFill="1" applyBorder="1"/>
    <xf numFmtId="0" fontId="0" fillId="71" borderId="5" xfId="0" applyFill="1" applyBorder="1"/>
    <xf numFmtId="0" fontId="0" fillId="81" borderId="22" xfId="0" applyFill="1" applyBorder="1"/>
    <xf numFmtId="0" fontId="33" fillId="81" borderId="22" xfId="0" applyFont="1" applyFill="1" applyBorder="1"/>
  </cellXfs>
  <cellStyles count="18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2" xfId="16" builtinId="33"/>
    <cellStyle name="Accent3" xfId="3" builtinId="37"/>
    <cellStyle name="Accent6" xfId="1" builtinId="49"/>
    <cellStyle name="Entrée" xfId="17" builtinId="20"/>
    <cellStyle name="Lien hypertexte" xfId="2" builtinId="8"/>
    <cellStyle name="Normal" xfId="0" builtinId="0"/>
    <cellStyle name="Sortie" xfId="15" builtinId="21"/>
  </cellStyles>
  <dxfs count="61"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63232"/>
      <color rgb="FFFAFAFA"/>
      <color rgb="FFDCDCDC"/>
      <color rgb="FF565656"/>
      <color rgb="FF663300"/>
      <color rgb="FFF8D0B8"/>
      <color rgb="FF985868"/>
      <color rgb="FF42425A"/>
      <color rgb="FFE86868"/>
      <color rgb="FF4545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6" fmlaLink="$J$2" max="100" page="10" val="15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'Data Game'!$C$6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checked="Checked" fmlaLink="'Data Game'!$C$6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1" Type="http://schemas.openxmlformats.org/officeDocument/2006/relationships/image" Target="file:///C:\Users\bapti\OneDrive\Bureau\Game\ExcelMon\Image\Pokedex\Gauche\18.png" TargetMode="External"/><Relationship Id="rId170" Type="http://schemas.openxmlformats.org/officeDocument/2006/relationships/image" Target="file:///C:\Users\bapti\OneDrive\Bureau\Game\ExcelMon\Image\Pokedex\Gauche\167.png" TargetMode="External"/><Relationship Id="rId268" Type="http://schemas.openxmlformats.org/officeDocument/2006/relationships/image" Target="file:///C:\Users\bapti\OneDrive\Bureau\Game\ExcelMon\Image\Pokedex\Gauche\265.png" TargetMode="External"/><Relationship Id="rId475" Type="http://schemas.openxmlformats.org/officeDocument/2006/relationships/image" Target="file:///C:\Users\bapti\OneDrive\Bureau\Game\ExcelMon\Image\Pokedex\Gauche\472.png" TargetMode="External"/><Relationship Id="rId682" Type="http://schemas.openxmlformats.org/officeDocument/2006/relationships/image" Target="file:///C:\Users\bapti\OneDrive\Bureau\Game\ExcelMon\Image\Pokedex\Droite\29.png" TargetMode="External"/><Relationship Id="rId128" Type="http://schemas.openxmlformats.org/officeDocument/2006/relationships/image" Target="file:///C:\Users\bapti\OneDrive\Bureau\Game\ExcelMon\Image\Pokedex\Gauche\125.png" TargetMode="External"/><Relationship Id="rId335" Type="http://schemas.openxmlformats.org/officeDocument/2006/relationships/image" Target="file:///C:\Users\bapti\OneDrive\Bureau\Game\ExcelMon\Image\Pokedex\Gauche\332.png" TargetMode="External"/><Relationship Id="rId542" Type="http://schemas.openxmlformats.org/officeDocument/2006/relationships/image" Target="file:///C:\Users\bapti\OneDrive\Bureau\Game\ExcelMon\Image\Pokedex\Gauche\539.png" TargetMode="External"/><Relationship Id="rId987" Type="http://schemas.openxmlformats.org/officeDocument/2006/relationships/image" Target="file:///C:\Users\bapti\OneDrive\Bureau\Game\ExcelMon\Image\Pokedex\Droite\334.png" TargetMode="External"/><Relationship Id="rId1172" Type="http://schemas.openxmlformats.org/officeDocument/2006/relationships/image" Target="file:///C:\Users\bapti\OneDrive\Bureau\Game\ExcelMon\Image\Pokedex\Droite\519.png" TargetMode="External"/><Relationship Id="rId402" Type="http://schemas.openxmlformats.org/officeDocument/2006/relationships/image" Target="file:///C:\Users\bapti\OneDrive\Bureau\Game\ExcelMon\Image\Pokedex\Gauche\399.png" TargetMode="External"/><Relationship Id="rId847" Type="http://schemas.openxmlformats.org/officeDocument/2006/relationships/image" Target="file:///C:\Users\bapti\OneDrive\Bureau\Game\ExcelMon\Image\Pokedex\Droite\194.png" TargetMode="External"/><Relationship Id="rId1032" Type="http://schemas.openxmlformats.org/officeDocument/2006/relationships/image" Target="file:///C:\Users\bapti\OneDrive\Bureau\Game\ExcelMon\Image\Pokedex\Droite\379.png" TargetMode="External"/><Relationship Id="rId707" Type="http://schemas.openxmlformats.org/officeDocument/2006/relationships/image" Target="file:///C:\Users\bapti\OneDrive\Bureau\Game\ExcelMon\Image\Pokedex\Droite\54.png" TargetMode="External"/><Relationship Id="rId914" Type="http://schemas.openxmlformats.org/officeDocument/2006/relationships/image" Target="file:///C:\Users\bapti\OneDrive\Bureau\Game\ExcelMon\Image\Pokedex\Droite\261.png" TargetMode="External"/><Relationship Id="rId43" Type="http://schemas.openxmlformats.org/officeDocument/2006/relationships/image" Target="file:///C:\Users\bapti\OneDrive\Bureau\Game\ExcelMon\Image\Pokedex\Gauche\40.png" TargetMode="External"/><Relationship Id="rId192" Type="http://schemas.openxmlformats.org/officeDocument/2006/relationships/image" Target="file:///C:\Users\bapti\OneDrive\Bureau\Game\ExcelMon\Image\Pokedex\Gauche\189.png" TargetMode="External"/><Relationship Id="rId497" Type="http://schemas.openxmlformats.org/officeDocument/2006/relationships/image" Target="file:///C:\Users\bapti\OneDrive\Bureau\Game\ExcelMon\Image\Pokedex\Gauche\494.png" TargetMode="External"/><Relationship Id="rId357" Type="http://schemas.openxmlformats.org/officeDocument/2006/relationships/image" Target="file:///C:\Users\bapti\OneDrive\Bureau\Game\ExcelMon\Image\Pokedex\Gauche\354.png" TargetMode="External"/><Relationship Id="rId1194" Type="http://schemas.openxmlformats.org/officeDocument/2006/relationships/image" Target="file:///C:\Users\bapti\OneDrive\Bureau\Game\ExcelMon\Image\Pokedex\Droite\541.png" TargetMode="External"/><Relationship Id="rId217" Type="http://schemas.openxmlformats.org/officeDocument/2006/relationships/image" Target="file:///C:\Users\bapti\OneDrive\Bureau\Game\ExcelMon\Image\Pokedex\Gauche\214.png" TargetMode="External"/><Relationship Id="rId564" Type="http://schemas.openxmlformats.org/officeDocument/2006/relationships/image" Target="file:///C:\Users\bapti\OneDrive\Bureau\Game\ExcelMon\Image\Pokedex\Gauche\561.png" TargetMode="External"/><Relationship Id="rId771" Type="http://schemas.openxmlformats.org/officeDocument/2006/relationships/image" Target="file:///C:\Users\bapti\OneDrive\Bureau\Game\ExcelMon\Image\Pokedex\Droite\118.png" TargetMode="External"/><Relationship Id="rId869" Type="http://schemas.openxmlformats.org/officeDocument/2006/relationships/image" Target="file:///C:\Users\bapti\OneDrive\Bureau\Game\ExcelMon\Image\Pokedex\Droite\216.png" TargetMode="External"/><Relationship Id="rId424" Type="http://schemas.openxmlformats.org/officeDocument/2006/relationships/image" Target="file:///C:\Users\bapti\OneDrive\Bureau\Game\ExcelMon\Image\Pokedex\Gauche\421.png" TargetMode="External"/><Relationship Id="rId631" Type="http://schemas.openxmlformats.org/officeDocument/2006/relationships/image" Target="file:///C:\Users\bapti\OneDrive\Bureau\Game\ExcelMon\Image\Pokedex\Gauche\628.png" TargetMode="External"/><Relationship Id="rId729" Type="http://schemas.openxmlformats.org/officeDocument/2006/relationships/image" Target="file:///C:\Users\bapti\OneDrive\Bureau\Game\ExcelMon\Image\Pokedex\Droite\76.png" TargetMode="External"/><Relationship Id="rId1054" Type="http://schemas.openxmlformats.org/officeDocument/2006/relationships/image" Target="file:///C:\Users\bapti\OneDrive\Bureau\Game\ExcelMon\Image\Pokedex\Droite\401.png" TargetMode="External"/><Relationship Id="rId1261" Type="http://schemas.openxmlformats.org/officeDocument/2006/relationships/image" Target="file:///C:\Users\bapti\OneDrive\Bureau\Game\ExcelMon\Image\Pokedex\Droite\608.png" TargetMode="External"/><Relationship Id="rId936" Type="http://schemas.openxmlformats.org/officeDocument/2006/relationships/image" Target="file:///C:\Users\bapti\OneDrive\Bureau\Game\ExcelMon\Image\Pokedex\Droite\283.png" TargetMode="External"/><Relationship Id="rId1121" Type="http://schemas.openxmlformats.org/officeDocument/2006/relationships/image" Target="file:///C:\Users\bapti\OneDrive\Bureau\Game\ExcelMon\Image\Pokedex\Droite\468.png" TargetMode="External"/><Relationship Id="rId1219" Type="http://schemas.openxmlformats.org/officeDocument/2006/relationships/image" Target="file:///C:\Users\bapti\OneDrive\Bureau\Game\ExcelMon\Image\Pokedex\Droite\566.png" TargetMode="External"/><Relationship Id="rId65" Type="http://schemas.openxmlformats.org/officeDocument/2006/relationships/image" Target="file:///C:\Users\bapti\OneDrive\Bureau\Game\ExcelMon\Image\Pokedex\Gauche\62.png" TargetMode="External"/><Relationship Id="rId281" Type="http://schemas.openxmlformats.org/officeDocument/2006/relationships/image" Target="file:///C:\Users\bapti\OneDrive\Bureau\Game\ExcelMon\Image\Pokedex\Gauche\278.png" TargetMode="External"/><Relationship Id="rId141" Type="http://schemas.openxmlformats.org/officeDocument/2006/relationships/image" Target="file:///C:\Users\bapti\OneDrive\Bureau\Game\ExcelMon\Image\Pokedex\Gauche\138.png" TargetMode="External"/><Relationship Id="rId379" Type="http://schemas.openxmlformats.org/officeDocument/2006/relationships/image" Target="file:///C:\Users\bapti\OneDrive\Bureau\Game\ExcelMon\Image\Pokedex\Gauche\376.png" TargetMode="External"/><Relationship Id="rId586" Type="http://schemas.openxmlformats.org/officeDocument/2006/relationships/image" Target="file:///C:\Users\bapti\OneDrive\Bureau\Game\ExcelMon\Image\Pokedex\Gauche\583.png" TargetMode="External"/><Relationship Id="rId793" Type="http://schemas.openxmlformats.org/officeDocument/2006/relationships/image" Target="file:///C:\Users\bapti\OneDrive\Bureau\Game\ExcelMon\Image\Pokedex\Droite\140.png" TargetMode="External"/><Relationship Id="rId7" Type="http://schemas.openxmlformats.org/officeDocument/2006/relationships/image" Target="file:///C:\Users\bapti\OneDrive\Bureau\Game\ExcelMon\Image\Pokedex\Gauche\4.png" TargetMode="External"/><Relationship Id="rId239" Type="http://schemas.openxmlformats.org/officeDocument/2006/relationships/image" Target="file:///C:\Users\bapti\OneDrive\Bureau\Game\ExcelMon\Image\Pokedex\Gauche\236.png" TargetMode="External"/><Relationship Id="rId446" Type="http://schemas.openxmlformats.org/officeDocument/2006/relationships/image" Target="file:///C:\Users\bapti\OneDrive\Bureau\Game\ExcelMon\Image\Pokedex\Gauche\443.png" TargetMode="External"/><Relationship Id="rId653" Type="http://schemas.openxmlformats.org/officeDocument/2006/relationships/image" Target="file:///C:\Users\bapti\OneDrive\Bureau\Game\ExcelMon\Image\Pokedex\Droite\0.png" TargetMode="External"/><Relationship Id="rId1076" Type="http://schemas.openxmlformats.org/officeDocument/2006/relationships/image" Target="file:///C:\Users\bapti\OneDrive\Bureau\Game\ExcelMon\Image\Pokedex\Droite\423.png" TargetMode="External"/><Relationship Id="rId1283" Type="http://schemas.openxmlformats.org/officeDocument/2006/relationships/image" Target="file:///C:\Users\bapti\OneDrive\Bureau\Game\ExcelMon\Image\Pokedex\Droite\630.png" TargetMode="External"/><Relationship Id="rId306" Type="http://schemas.openxmlformats.org/officeDocument/2006/relationships/image" Target="file:///C:\Users\bapti\OneDrive\Bureau\Game\ExcelMon\Image\Pokedex\Gauche\303.png" TargetMode="External"/><Relationship Id="rId860" Type="http://schemas.openxmlformats.org/officeDocument/2006/relationships/image" Target="file:///C:\Users\bapti\OneDrive\Bureau\Game\ExcelMon\Image\Pokedex\Droite\207.png" TargetMode="External"/><Relationship Id="rId958" Type="http://schemas.openxmlformats.org/officeDocument/2006/relationships/image" Target="file:///C:\Users\bapti\OneDrive\Bureau\Game\ExcelMon\Image\Pokedex\Droite\305.png" TargetMode="External"/><Relationship Id="rId1143" Type="http://schemas.openxmlformats.org/officeDocument/2006/relationships/image" Target="file:///C:\Users\bapti\OneDrive\Bureau\Game\ExcelMon\Image\Pokedex\Droite\490.png" TargetMode="External"/><Relationship Id="rId87" Type="http://schemas.openxmlformats.org/officeDocument/2006/relationships/image" Target="file:///C:\Users\bapti\OneDrive\Bureau\Game\ExcelMon\Image\Pokedex\Gauche\84.png" TargetMode="External"/><Relationship Id="rId513" Type="http://schemas.openxmlformats.org/officeDocument/2006/relationships/image" Target="file:///C:\Users\bapti\OneDrive\Bureau\Game\ExcelMon\Image\Pokedex\Gauche\510.png" TargetMode="External"/><Relationship Id="rId720" Type="http://schemas.openxmlformats.org/officeDocument/2006/relationships/image" Target="file:///C:\Users\bapti\OneDrive\Bureau\Game\ExcelMon\Image\Pokedex\Droite\67.png" TargetMode="External"/><Relationship Id="rId818" Type="http://schemas.openxmlformats.org/officeDocument/2006/relationships/image" Target="file:///C:\Users\bapti\OneDrive\Bureau\Game\ExcelMon\Image\Pokedex\Droite\165.png" TargetMode="External"/><Relationship Id="rId1003" Type="http://schemas.openxmlformats.org/officeDocument/2006/relationships/image" Target="file:///C:\Users\bapti\OneDrive\Bureau\Game\ExcelMon\Image\Pokedex\Droite\350.png" TargetMode="External"/><Relationship Id="rId1210" Type="http://schemas.openxmlformats.org/officeDocument/2006/relationships/image" Target="file:///C:\Users\bapti\OneDrive\Bureau\Game\ExcelMon\Image\Pokedex\Droite\557.png" TargetMode="External"/><Relationship Id="rId14" Type="http://schemas.openxmlformats.org/officeDocument/2006/relationships/image" Target="file:///C:\Users\bapti\OneDrive\Bureau\Game\ExcelMon\Image\Pokedex\Gauche\11.png" TargetMode="External"/><Relationship Id="rId163" Type="http://schemas.openxmlformats.org/officeDocument/2006/relationships/image" Target="file:///C:\Users\bapti\OneDrive\Bureau\Game\ExcelMon\Image\Pokedex\Gauche\160.png" TargetMode="External"/><Relationship Id="rId370" Type="http://schemas.openxmlformats.org/officeDocument/2006/relationships/image" Target="file:///C:\Users\bapti\OneDrive\Bureau\Game\ExcelMon\Image\Pokedex\Gauche\367.png" TargetMode="External"/><Relationship Id="rId230" Type="http://schemas.openxmlformats.org/officeDocument/2006/relationships/image" Target="file:///C:\Users\bapti\OneDrive\Bureau\Game\ExcelMon\Image\Pokedex\Gauche\227.png" TargetMode="External"/><Relationship Id="rId468" Type="http://schemas.openxmlformats.org/officeDocument/2006/relationships/image" Target="file:///C:\Users\bapti\OneDrive\Bureau\Game\ExcelMon\Image\Pokedex\Gauche\465.png" TargetMode="External"/><Relationship Id="rId675" Type="http://schemas.openxmlformats.org/officeDocument/2006/relationships/image" Target="file:///C:\Users\bapti\OneDrive\Bureau\Game\ExcelMon\Image\Pokedex\Droite\22.png" TargetMode="External"/><Relationship Id="rId882" Type="http://schemas.openxmlformats.org/officeDocument/2006/relationships/image" Target="file:///C:\Users\bapti\OneDrive\Bureau\Game\ExcelMon\Image\Pokedex\Droite\229.png" TargetMode="External"/><Relationship Id="rId1098" Type="http://schemas.openxmlformats.org/officeDocument/2006/relationships/image" Target="file:///C:\Users\bapti\OneDrive\Bureau\Game\ExcelMon\Image\Pokedex\Droite\445.png" TargetMode="External"/><Relationship Id="rId328" Type="http://schemas.openxmlformats.org/officeDocument/2006/relationships/image" Target="file:///C:\Users\bapti\OneDrive\Bureau\Game\ExcelMon\Image\Pokedex\Gauche\325.png" TargetMode="External"/><Relationship Id="rId535" Type="http://schemas.openxmlformats.org/officeDocument/2006/relationships/image" Target="file:///C:\Users\bapti\OneDrive\Bureau\Game\ExcelMon\Image\Pokedex\Gauche\532.png" TargetMode="External"/><Relationship Id="rId742" Type="http://schemas.openxmlformats.org/officeDocument/2006/relationships/image" Target="file:///C:\Users\bapti\OneDrive\Bureau\Game\ExcelMon\Image\Pokedex\Droite\89.png" TargetMode="External"/><Relationship Id="rId1165" Type="http://schemas.openxmlformats.org/officeDocument/2006/relationships/image" Target="file:///C:\Users\bapti\OneDrive\Bureau\Game\ExcelMon\Image\Pokedex\Droite\512.png" TargetMode="External"/><Relationship Id="rId602" Type="http://schemas.openxmlformats.org/officeDocument/2006/relationships/image" Target="file:///C:\Users\bapti\OneDrive\Bureau\Game\ExcelMon\Image\Pokedex\Gauche\599.png" TargetMode="External"/><Relationship Id="rId1025" Type="http://schemas.openxmlformats.org/officeDocument/2006/relationships/image" Target="file:///C:\Users\bapti\OneDrive\Bureau\Game\ExcelMon\Image\Pokedex\Droite\372.png" TargetMode="External"/><Relationship Id="rId1232" Type="http://schemas.openxmlformats.org/officeDocument/2006/relationships/image" Target="file:///C:\Users\bapti\OneDrive\Bureau\Game\ExcelMon\Image\Pokedex\Droite\579.png" TargetMode="External"/><Relationship Id="rId907" Type="http://schemas.openxmlformats.org/officeDocument/2006/relationships/image" Target="file:///C:\Users\bapti\OneDrive\Bureau\Game\ExcelMon\Image\Pokedex\Droite\254.png" TargetMode="External"/><Relationship Id="rId36" Type="http://schemas.openxmlformats.org/officeDocument/2006/relationships/image" Target="file:///C:\Users\bapti\OneDrive\Bureau\Game\ExcelMon\Image\Pokedex\Gauche\33.png" TargetMode="External"/><Relationship Id="rId185" Type="http://schemas.openxmlformats.org/officeDocument/2006/relationships/image" Target="file:///C:\Users\bapti\OneDrive\Bureau\Game\ExcelMon\Image\Pokedex\Gauche\182.png" TargetMode="External"/><Relationship Id="rId392" Type="http://schemas.openxmlformats.org/officeDocument/2006/relationships/image" Target="file:///C:\Users\bapti\OneDrive\Bureau\Game\ExcelMon\Image\Pokedex\Gauche\389.png" TargetMode="External"/><Relationship Id="rId697" Type="http://schemas.openxmlformats.org/officeDocument/2006/relationships/image" Target="file:///C:\Users\bapti\OneDrive\Bureau\Game\ExcelMon\Image\Pokedex\Droite\44.png" TargetMode="External"/><Relationship Id="rId252" Type="http://schemas.openxmlformats.org/officeDocument/2006/relationships/image" Target="file:///C:\Users\bapti\OneDrive\Bureau\Game\ExcelMon\Image\Pokedex\Gauche\249.png" TargetMode="External"/><Relationship Id="rId1187" Type="http://schemas.openxmlformats.org/officeDocument/2006/relationships/image" Target="file:///C:\Users\bapti\OneDrive\Bureau\Game\ExcelMon\Image\Pokedex\Droite\534.png" TargetMode="External"/><Relationship Id="rId112" Type="http://schemas.openxmlformats.org/officeDocument/2006/relationships/image" Target="file:///C:\Users\bapti\OneDrive\Bureau\Game\ExcelMon\Image\Pokedex\Gauche\109.png" TargetMode="External"/><Relationship Id="rId557" Type="http://schemas.openxmlformats.org/officeDocument/2006/relationships/image" Target="file:///C:\Users\bapti\OneDrive\Bureau\Game\ExcelMon\Image\Pokedex\Gauche\554.png" TargetMode="External"/><Relationship Id="rId764" Type="http://schemas.openxmlformats.org/officeDocument/2006/relationships/image" Target="file:///C:\Users\bapti\OneDrive\Bureau\Game\ExcelMon\Image\Pokedex\Droite\111.png" TargetMode="External"/><Relationship Id="rId971" Type="http://schemas.openxmlformats.org/officeDocument/2006/relationships/image" Target="file:///C:\Users\bapti\OneDrive\Bureau\Game\ExcelMon\Image\Pokedex\Droite\318.png" TargetMode="External"/><Relationship Id="rId417" Type="http://schemas.openxmlformats.org/officeDocument/2006/relationships/image" Target="file:///C:\Users\bapti\OneDrive\Bureau\Game\ExcelMon\Image\Pokedex\Gauche\414.png" TargetMode="External"/><Relationship Id="rId624" Type="http://schemas.openxmlformats.org/officeDocument/2006/relationships/image" Target="file:///C:\Users\bapti\OneDrive\Bureau\Game\ExcelMon\Image\Pokedex\Gauche\621.png" TargetMode="External"/><Relationship Id="rId831" Type="http://schemas.openxmlformats.org/officeDocument/2006/relationships/image" Target="file:///C:\Users\bapti\OneDrive\Bureau\Game\ExcelMon\Image\Pokedex\Droite\178.png" TargetMode="External"/><Relationship Id="rId1047" Type="http://schemas.openxmlformats.org/officeDocument/2006/relationships/image" Target="file:///C:\Users\bapti\OneDrive\Bureau\Game\ExcelMon\Image\Pokedex\Droite\394.png" TargetMode="External"/><Relationship Id="rId1254" Type="http://schemas.openxmlformats.org/officeDocument/2006/relationships/image" Target="file:///C:\Users\bapti\OneDrive\Bureau\Game\ExcelMon\Image\Pokedex\Droite\601.png" TargetMode="External"/><Relationship Id="rId929" Type="http://schemas.openxmlformats.org/officeDocument/2006/relationships/image" Target="file:///C:\Users\bapti\OneDrive\Bureau\Game\ExcelMon\Image\Pokedex\Droite\276.png" TargetMode="External"/><Relationship Id="rId1114" Type="http://schemas.openxmlformats.org/officeDocument/2006/relationships/image" Target="file:///C:\Users\bapti\OneDrive\Bureau\Game\ExcelMon\Image\Pokedex\Droite\461.png" TargetMode="External"/><Relationship Id="rId58" Type="http://schemas.openxmlformats.org/officeDocument/2006/relationships/image" Target="file:///C:\Users\bapti\OneDrive\Bureau\Game\ExcelMon\Image\Pokedex\Gauche\55.png" TargetMode="External"/><Relationship Id="rId274" Type="http://schemas.openxmlformats.org/officeDocument/2006/relationships/image" Target="file:///C:\Users\bapti\OneDrive\Bureau\Game\ExcelMon\Image\Pokedex\Gauche\271.png" TargetMode="External"/><Relationship Id="rId481" Type="http://schemas.openxmlformats.org/officeDocument/2006/relationships/image" Target="file:///C:\Users\bapti\OneDrive\Bureau\Game\ExcelMon\Image\Pokedex\Gauche\478.png" TargetMode="External"/><Relationship Id="rId134" Type="http://schemas.openxmlformats.org/officeDocument/2006/relationships/image" Target="file:///C:\Users\bapti\OneDrive\Bureau\Game\ExcelMon\Image\Pokedex\Gauche\131.png" TargetMode="External"/><Relationship Id="rId579" Type="http://schemas.openxmlformats.org/officeDocument/2006/relationships/image" Target="file:///C:\Users\bapti\OneDrive\Bureau\Game\ExcelMon\Image\Pokedex\Gauche\576.png" TargetMode="External"/><Relationship Id="rId786" Type="http://schemas.openxmlformats.org/officeDocument/2006/relationships/image" Target="file:///C:\Users\bapti\OneDrive\Bureau\Game\ExcelMon\Image\Pokedex\Droite\133.png" TargetMode="External"/><Relationship Id="rId993" Type="http://schemas.openxmlformats.org/officeDocument/2006/relationships/image" Target="file:///C:\Users\bapti\OneDrive\Bureau\Game\ExcelMon\Image\Pokedex\Droite\340.png" TargetMode="External"/><Relationship Id="rId341" Type="http://schemas.openxmlformats.org/officeDocument/2006/relationships/image" Target="file:///C:\Users\bapti\OneDrive\Bureau\Game\ExcelMon\Image\Pokedex\Gauche\338.png" TargetMode="External"/><Relationship Id="rId439" Type="http://schemas.openxmlformats.org/officeDocument/2006/relationships/image" Target="file:///C:\Users\bapti\OneDrive\Bureau\Game\ExcelMon\Image\Pokedex\Gauche\436.png" TargetMode="External"/><Relationship Id="rId646" Type="http://schemas.openxmlformats.org/officeDocument/2006/relationships/image" Target="file:///C:\Users\bapti\OneDrive\Bureau\Game\ExcelMon\Image\Pokedex\Gauche\643.png" TargetMode="External"/><Relationship Id="rId1069" Type="http://schemas.openxmlformats.org/officeDocument/2006/relationships/image" Target="file:///C:\Users\bapti\OneDrive\Bureau\Game\ExcelMon\Image\Pokedex\Droite\416.png" TargetMode="External"/><Relationship Id="rId1276" Type="http://schemas.openxmlformats.org/officeDocument/2006/relationships/image" Target="file:///C:\Users\bapti\OneDrive\Bureau\Game\ExcelMon\Image\Pokedex\Droite\623.png" TargetMode="External"/><Relationship Id="rId201" Type="http://schemas.openxmlformats.org/officeDocument/2006/relationships/image" Target="file:///C:\Users\bapti\OneDrive\Bureau\Game\ExcelMon\Image\Pokedex\Gauche\198.png" TargetMode="External"/><Relationship Id="rId506" Type="http://schemas.openxmlformats.org/officeDocument/2006/relationships/image" Target="file:///C:\Users\bapti\OneDrive\Bureau\Game\ExcelMon\Image\Pokedex\Gauche\503.png" TargetMode="External"/><Relationship Id="rId853" Type="http://schemas.openxmlformats.org/officeDocument/2006/relationships/image" Target="file:///C:\Users\bapti\OneDrive\Bureau\Game\ExcelMon\Image\Pokedex\Droite\200.png" TargetMode="External"/><Relationship Id="rId1136" Type="http://schemas.openxmlformats.org/officeDocument/2006/relationships/image" Target="file:///C:\Users\bapti\OneDrive\Bureau\Game\ExcelMon\Image\Pokedex\Droite\483.png" TargetMode="External"/><Relationship Id="rId713" Type="http://schemas.openxmlformats.org/officeDocument/2006/relationships/image" Target="file:///C:\Users\bapti\OneDrive\Bureau\Game\ExcelMon\Image\Pokedex\Droite\60.png" TargetMode="External"/><Relationship Id="rId920" Type="http://schemas.openxmlformats.org/officeDocument/2006/relationships/image" Target="file:///C:\Users\bapti\OneDrive\Bureau\Game\ExcelMon\Image\Pokedex\Droite\267.png" TargetMode="External"/><Relationship Id="rId1203" Type="http://schemas.openxmlformats.org/officeDocument/2006/relationships/image" Target="file:///C:\Users\bapti\OneDrive\Bureau\Game\ExcelMon\Image\Pokedex\Droite\550.png" TargetMode="External"/><Relationship Id="rId296" Type="http://schemas.openxmlformats.org/officeDocument/2006/relationships/image" Target="file:///C:\Users\bapti\OneDrive\Bureau\Game\ExcelMon\Image\Pokedex\Gauche\293.png" TargetMode="External"/><Relationship Id="rId156" Type="http://schemas.openxmlformats.org/officeDocument/2006/relationships/image" Target="file:///C:\Users\bapti\OneDrive\Bureau\Game\ExcelMon\Image\Pokedex\Gauche\153.png" TargetMode="External"/><Relationship Id="rId363" Type="http://schemas.openxmlformats.org/officeDocument/2006/relationships/image" Target="file:///C:\Users\bapti\OneDrive\Bureau\Game\ExcelMon\Image\Pokedex\Gauche\360.png" TargetMode="External"/><Relationship Id="rId570" Type="http://schemas.openxmlformats.org/officeDocument/2006/relationships/image" Target="file:///C:\Users\bapti\OneDrive\Bureau\Game\ExcelMon\Image\Pokedex\Gauche\567.png" TargetMode="External"/><Relationship Id="rId223" Type="http://schemas.openxmlformats.org/officeDocument/2006/relationships/image" Target="file:///C:\Users\bapti\OneDrive\Bureau\Game\ExcelMon\Image\Pokedex\Gauche\220.png" TargetMode="External"/><Relationship Id="rId430" Type="http://schemas.openxmlformats.org/officeDocument/2006/relationships/image" Target="file:///C:\Users\bapti\OneDrive\Bureau\Game\ExcelMon\Image\Pokedex\Gauche\427.png" TargetMode="External"/><Relationship Id="rId668" Type="http://schemas.openxmlformats.org/officeDocument/2006/relationships/image" Target="file:///C:\Users\bapti\OneDrive\Bureau\Game\ExcelMon\Image\Pokedex\Droite\15.png" TargetMode="External"/><Relationship Id="rId875" Type="http://schemas.openxmlformats.org/officeDocument/2006/relationships/image" Target="file:///C:\Users\bapti\OneDrive\Bureau\Game\ExcelMon\Image\Pokedex\Droite\222.png" TargetMode="External"/><Relationship Id="rId1060" Type="http://schemas.openxmlformats.org/officeDocument/2006/relationships/image" Target="file:///C:\Users\bapti\OneDrive\Bureau\Game\ExcelMon\Image\Pokedex\Droite\407.png" TargetMode="External"/><Relationship Id="rId1298" Type="http://schemas.openxmlformats.org/officeDocument/2006/relationships/image" Target="file:///C:\Users\bapti\OneDrive\Bureau\Game\ExcelMon\Image\Pokedex\Droite\645.png" TargetMode="External"/><Relationship Id="rId528" Type="http://schemas.openxmlformats.org/officeDocument/2006/relationships/image" Target="file:///C:\Users\bapti\OneDrive\Bureau\Game\ExcelMon\Image\Pokedex\Gauche\525.png" TargetMode="External"/><Relationship Id="rId735" Type="http://schemas.openxmlformats.org/officeDocument/2006/relationships/image" Target="file:///C:\Users\bapti\OneDrive\Bureau\Game\ExcelMon\Image\Pokedex\Droite\82.png" TargetMode="External"/><Relationship Id="rId942" Type="http://schemas.openxmlformats.org/officeDocument/2006/relationships/image" Target="file:///C:\Users\bapti\OneDrive\Bureau\Game\ExcelMon\Image\Pokedex\Droite\289.png" TargetMode="External"/><Relationship Id="rId1158" Type="http://schemas.openxmlformats.org/officeDocument/2006/relationships/image" Target="file:///C:\Users\bapti\OneDrive\Bureau\Game\ExcelMon\Image\Pokedex\Droite\505.png" TargetMode="External"/><Relationship Id="rId1018" Type="http://schemas.openxmlformats.org/officeDocument/2006/relationships/image" Target="file:///C:\Users\bapti\OneDrive\Bureau\Game\ExcelMon\Image\Pokedex\Droite\365.png" TargetMode="External"/><Relationship Id="rId1225" Type="http://schemas.openxmlformats.org/officeDocument/2006/relationships/image" Target="file:///C:\Users\bapti\OneDrive\Bureau\Game\ExcelMon\Image\Pokedex\Droite\572.png" TargetMode="External"/><Relationship Id="rId71" Type="http://schemas.openxmlformats.org/officeDocument/2006/relationships/image" Target="file:///C:\Users\bapti\OneDrive\Bureau\Game\ExcelMon\Image\Pokedex\Gauche\68.png" TargetMode="External"/><Relationship Id="rId802" Type="http://schemas.openxmlformats.org/officeDocument/2006/relationships/image" Target="file:///C:\Users\bapti\OneDrive\Bureau\Game\ExcelMon\Image\Pokedex\Droite\149.png" TargetMode="External"/><Relationship Id="rId29" Type="http://schemas.openxmlformats.org/officeDocument/2006/relationships/image" Target="file:///C:\Users\bapti\OneDrive\Bureau\Game\ExcelMon\Image\Pokedex\Gauche\26.png" TargetMode="External"/><Relationship Id="rId178" Type="http://schemas.openxmlformats.org/officeDocument/2006/relationships/image" Target="file:///C:\Users\bapti\OneDrive\Bureau\Game\ExcelMon\Image\Pokedex\Gauche\175.png" TargetMode="External"/><Relationship Id="rId385" Type="http://schemas.openxmlformats.org/officeDocument/2006/relationships/image" Target="file:///C:\Users\bapti\OneDrive\Bureau\Game\ExcelMon\Image\Pokedex\Gauche\382.png" TargetMode="External"/><Relationship Id="rId592" Type="http://schemas.openxmlformats.org/officeDocument/2006/relationships/image" Target="file:///C:\Users\bapti\OneDrive\Bureau\Game\ExcelMon\Image\Pokedex\Gauche\589.png" TargetMode="External"/><Relationship Id="rId245" Type="http://schemas.openxmlformats.org/officeDocument/2006/relationships/image" Target="file:///C:\Users\bapti\OneDrive\Bureau\Game\ExcelMon\Image\Pokedex\Gauche\242.png" TargetMode="External"/><Relationship Id="rId452" Type="http://schemas.openxmlformats.org/officeDocument/2006/relationships/image" Target="file:///C:\Users\bapti\OneDrive\Bureau\Game\ExcelMon\Image\Pokedex\Gauche\449.png" TargetMode="External"/><Relationship Id="rId897" Type="http://schemas.openxmlformats.org/officeDocument/2006/relationships/image" Target="file:///C:\Users\bapti\OneDrive\Bureau\Game\ExcelMon\Image\Pokedex\Droite\244.png" TargetMode="External"/><Relationship Id="rId1082" Type="http://schemas.openxmlformats.org/officeDocument/2006/relationships/image" Target="file:///C:\Users\bapti\OneDrive\Bureau\Game\ExcelMon\Image\Pokedex\Droite\429.png" TargetMode="External"/><Relationship Id="rId105" Type="http://schemas.openxmlformats.org/officeDocument/2006/relationships/image" Target="file:///C:\Users\bapti\OneDrive\Bureau\Game\ExcelMon\Image\Pokedex\Gauche\102.png" TargetMode="External"/><Relationship Id="rId312" Type="http://schemas.openxmlformats.org/officeDocument/2006/relationships/image" Target="file:///C:\Users\bapti\OneDrive\Bureau\Game\ExcelMon\Image\Pokedex\Gauche\309.png" TargetMode="External"/><Relationship Id="rId757" Type="http://schemas.openxmlformats.org/officeDocument/2006/relationships/image" Target="file:///C:\Users\bapti\OneDrive\Bureau\Game\ExcelMon\Image\Pokedex\Droite\104.png" TargetMode="External"/><Relationship Id="rId964" Type="http://schemas.openxmlformats.org/officeDocument/2006/relationships/image" Target="file:///C:\Users\bapti\OneDrive\Bureau\Game\ExcelMon\Image\Pokedex\Droite\311.png" TargetMode="External"/><Relationship Id="rId93" Type="http://schemas.openxmlformats.org/officeDocument/2006/relationships/image" Target="file:///C:\Users\bapti\OneDrive\Bureau\Game\ExcelMon\Image\Pokedex\Gauche\90.png" TargetMode="External"/><Relationship Id="rId617" Type="http://schemas.openxmlformats.org/officeDocument/2006/relationships/image" Target="file:///C:\Users\bapti\OneDrive\Bureau\Game\ExcelMon\Image\Pokedex\Gauche\614.png" TargetMode="External"/><Relationship Id="rId824" Type="http://schemas.openxmlformats.org/officeDocument/2006/relationships/image" Target="file:///C:\Users\bapti\OneDrive\Bureau\Game\ExcelMon\Image\Pokedex\Droite\171.png" TargetMode="External"/><Relationship Id="rId1247" Type="http://schemas.openxmlformats.org/officeDocument/2006/relationships/image" Target="file:///C:\Users\bapti\OneDrive\Bureau\Game\ExcelMon\Image\Pokedex\Droite\594.png" TargetMode="External"/><Relationship Id="rId1107" Type="http://schemas.openxmlformats.org/officeDocument/2006/relationships/image" Target="file:///C:\Users\bapti\OneDrive\Bureau\Game\ExcelMon\Image\Pokedex\Droite\454.png" TargetMode="External"/><Relationship Id="rId20" Type="http://schemas.openxmlformats.org/officeDocument/2006/relationships/image" Target="file:///C:\Users\bapti\OneDrive\Bureau\Game\ExcelMon\Image\Pokedex\Gauche\17.png" TargetMode="External"/><Relationship Id="rId267" Type="http://schemas.openxmlformats.org/officeDocument/2006/relationships/image" Target="file:///C:\Users\bapti\OneDrive\Bureau\Game\ExcelMon\Image\Pokedex\Gauche\264.png" TargetMode="External"/><Relationship Id="rId474" Type="http://schemas.openxmlformats.org/officeDocument/2006/relationships/image" Target="file:///C:\Users\bapti\OneDrive\Bureau\Game\ExcelMon\Image\Pokedex\Gauche\471.png" TargetMode="External"/><Relationship Id="rId127" Type="http://schemas.openxmlformats.org/officeDocument/2006/relationships/image" Target="file:///C:\Users\bapti\OneDrive\Bureau\Game\ExcelMon\Image\Pokedex\Gauche\124.png" TargetMode="External"/><Relationship Id="rId681" Type="http://schemas.openxmlformats.org/officeDocument/2006/relationships/image" Target="file:///C:\Users\bapti\OneDrive\Bureau\Game\ExcelMon\Image\Pokedex\Droite\28.png" TargetMode="External"/><Relationship Id="rId779" Type="http://schemas.openxmlformats.org/officeDocument/2006/relationships/image" Target="file:///C:\Users\bapti\OneDrive\Bureau\Game\ExcelMon\Image\Pokedex\Droite\126.png" TargetMode="External"/><Relationship Id="rId986" Type="http://schemas.openxmlformats.org/officeDocument/2006/relationships/image" Target="file:///C:\Users\bapti\OneDrive\Bureau\Game\ExcelMon\Image\Pokedex\Droite\333.png" TargetMode="External"/><Relationship Id="rId334" Type="http://schemas.openxmlformats.org/officeDocument/2006/relationships/image" Target="file:///C:\Users\bapti\OneDrive\Bureau\Game\ExcelMon\Image\Pokedex\Gauche\331.png" TargetMode="External"/><Relationship Id="rId541" Type="http://schemas.openxmlformats.org/officeDocument/2006/relationships/image" Target="file:///C:\Users\bapti\OneDrive\Bureau\Game\ExcelMon\Image\Pokedex\Gauche\538.png" TargetMode="External"/><Relationship Id="rId639" Type="http://schemas.openxmlformats.org/officeDocument/2006/relationships/image" Target="file:///C:\Users\bapti\OneDrive\Bureau\Game\ExcelMon\Image\Pokedex\Gauche\636.png" TargetMode="External"/><Relationship Id="rId1171" Type="http://schemas.openxmlformats.org/officeDocument/2006/relationships/image" Target="file:///C:\Users\bapti\OneDrive\Bureau\Game\ExcelMon\Image\Pokedex\Droite\518.png" TargetMode="External"/><Relationship Id="rId1269" Type="http://schemas.openxmlformats.org/officeDocument/2006/relationships/image" Target="file:///C:\Users\bapti\OneDrive\Bureau\Game\ExcelMon\Image\Pokedex\Droite\616.png" TargetMode="External"/><Relationship Id="rId401" Type="http://schemas.openxmlformats.org/officeDocument/2006/relationships/image" Target="file:///C:\Users\bapti\OneDrive\Bureau\Game\ExcelMon\Image\Pokedex\Gauche\398.png" TargetMode="External"/><Relationship Id="rId846" Type="http://schemas.openxmlformats.org/officeDocument/2006/relationships/image" Target="file:///C:\Users\bapti\OneDrive\Bureau\Game\ExcelMon\Image\Pokedex\Droite\193.png" TargetMode="External"/><Relationship Id="rId1031" Type="http://schemas.openxmlformats.org/officeDocument/2006/relationships/image" Target="file:///C:\Users\bapti\OneDrive\Bureau\Game\ExcelMon\Image\Pokedex\Droite\378.png" TargetMode="External"/><Relationship Id="rId1129" Type="http://schemas.openxmlformats.org/officeDocument/2006/relationships/image" Target="file:///C:\Users\bapti\OneDrive\Bureau\Game\ExcelMon\Image\Pokedex\Droite\476.png" TargetMode="External"/><Relationship Id="rId706" Type="http://schemas.openxmlformats.org/officeDocument/2006/relationships/image" Target="file:///C:\Users\bapti\OneDrive\Bureau\Game\ExcelMon\Image\Pokedex\Droite\53.png" TargetMode="External"/><Relationship Id="rId913" Type="http://schemas.openxmlformats.org/officeDocument/2006/relationships/image" Target="file:///C:\Users\bapti\OneDrive\Bureau\Game\ExcelMon\Image\Pokedex\Droite\260.png" TargetMode="External"/><Relationship Id="rId42" Type="http://schemas.openxmlformats.org/officeDocument/2006/relationships/image" Target="file:///C:\Users\bapti\OneDrive\Bureau\Game\ExcelMon\Image\Pokedex\Gauche\39.png" TargetMode="External"/><Relationship Id="rId191" Type="http://schemas.openxmlformats.org/officeDocument/2006/relationships/image" Target="file:///C:\Users\bapti\OneDrive\Bureau\Game\ExcelMon\Image\Pokedex\Gauche\188.png" TargetMode="External"/><Relationship Id="rId289" Type="http://schemas.openxmlformats.org/officeDocument/2006/relationships/image" Target="file:///C:\Users\bapti\OneDrive\Bureau\Game\ExcelMon\Image\Pokedex\Gauche\286.png" TargetMode="External"/><Relationship Id="rId496" Type="http://schemas.openxmlformats.org/officeDocument/2006/relationships/image" Target="file:///C:\Users\bapti\OneDrive\Bureau\Game\ExcelMon\Image\Pokedex\Gauche\493.png" TargetMode="External"/><Relationship Id="rId149" Type="http://schemas.openxmlformats.org/officeDocument/2006/relationships/image" Target="file:///C:\Users\bapti\OneDrive\Bureau\Game\ExcelMon\Image\Pokedex\Gauche\146.png" TargetMode="External"/><Relationship Id="rId356" Type="http://schemas.openxmlformats.org/officeDocument/2006/relationships/image" Target="file:///C:\Users\bapti\OneDrive\Bureau\Game\ExcelMon\Image\Pokedex\Gauche\353.png" TargetMode="External"/><Relationship Id="rId563" Type="http://schemas.openxmlformats.org/officeDocument/2006/relationships/image" Target="file:///C:\Users\bapti\OneDrive\Bureau\Game\ExcelMon\Image\Pokedex\Gauche\560.png" TargetMode="External"/><Relationship Id="rId770" Type="http://schemas.openxmlformats.org/officeDocument/2006/relationships/image" Target="file:///C:\Users\bapti\OneDrive\Bureau\Game\ExcelMon\Image\Pokedex\Droite\117.png" TargetMode="External"/><Relationship Id="rId1193" Type="http://schemas.openxmlformats.org/officeDocument/2006/relationships/image" Target="file:///C:\Users\bapti\OneDrive\Bureau\Game\ExcelMon\Image\Pokedex\Droite\540.png" TargetMode="External"/><Relationship Id="rId216" Type="http://schemas.openxmlformats.org/officeDocument/2006/relationships/image" Target="file:///C:\Users\bapti\OneDrive\Bureau\Game\ExcelMon\Image\Pokedex\Gauche\213.png" TargetMode="External"/><Relationship Id="rId423" Type="http://schemas.openxmlformats.org/officeDocument/2006/relationships/image" Target="file:///C:\Users\bapti\OneDrive\Bureau\Game\ExcelMon\Image\Pokedex\Gauche\420.png" TargetMode="External"/><Relationship Id="rId868" Type="http://schemas.openxmlformats.org/officeDocument/2006/relationships/image" Target="file:///C:\Users\bapti\OneDrive\Bureau\Game\ExcelMon\Image\Pokedex\Droite\215.png" TargetMode="External"/><Relationship Id="rId1053" Type="http://schemas.openxmlformats.org/officeDocument/2006/relationships/image" Target="file:///C:\Users\bapti\OneDrive\Bureau\Game\ExcelMon\Image\Pokedex\Droite\400.png" TargetMode="External"/><Relationship Id="rId1260" Type="http://schemas.openxmlformats.org/officeDocument/2006/relationships/image" Target="file:///C:\Users\bapti\OneDrive\Bureau\Game\ExcelMon\Image\Pokedex\Droite\607.png" TargetMode="External"/><Relationship Id="rId630" Type="http://schemas.openxmlformats.org/officeDocument/2006/relationships/image" Target="file:///C:\Users\bapti\OneDrive\Bureau\Game\ExcelMon\Image\Pokedex\Gauche\627.png" TargetMode="External"/><Relationship Id="rId728" Type="http://schemas.openxmlformats.org/officeDocument/2006/relationships/image" Target="file:///C:\Users\bapti\OneDrive\Bureau\Game\ExcelMon\Image\Pokedex\Droite\75.png" TargetMode="External"/><Relationship Id="rId935" Type="http://schemas.openxmlformats.org/officeDocument/2006/relationships/image" Target="file:///C:\Users\bapti\OneDrive\Bureau\Game\ExcelMon\Image\Pokedex\Droite\282.png" TargetMode="External"/><Relationship Id="rId64" Type="http://schemas.openxmlformats.org/officeDocument/2006/relationships/image" Target="file:///C:\Users\bapti\OneDrive\Bureau\Game\ExcelMon\Image\Pokedex\Gauche\61.png" TargetMode="External"/><Relationship Id="rId367" Type="http://schemas.openxmlformats.org/officeDocument/2006/relationships/image" Target="file:///C:\Users\bapti\OneDrive\Bureau\Game\ExcelMon\Image\Pokedex\Gauche\364.png" TargetMode="External"/><Relationship Id="rId574" Type="http://schemas.openxmlformats.org/officeDocument/2006/relationships/image" Target="file:///C:\Users\bapti\OneDrive\Bureau\Game\ExcelMon\Image\Pokedex\Gauche\571.png" TargetMode="External"/><Relationship Id="rId1120" Type="http://schemas.openxmlformats.org/officeDocument/2006/relationships/image" Target="file:///C:\Users\bapti\OneDrive\Bureau\Game\ExcelMon\Image\Pokedex\Droite\467.png" TargetMode="External"/><Relationship Id="rId1218" Type="http://schemas.openxmlformats.org/officeDocument/2006/relationships/image" Target="file:///C:\Users\bapti\OneDrive\Bureau\Game\ExcelMon\Image\Pokedex\Droite\565.png" TargetMode="External"/><Relationship Id="rId227" Type="http://schemas.openxmlformats.org/officeDocument/2006/relationships/image" Target="file:///C:\Users\bapti\OneDrive\Bureau\Game\ExcelMon\Image\Pokedex\Gauche\224.png" TargetMode="External"/><Relationship Id="rId781" Type="http://schemas.openxmlformats.org/officeDocument/2006/relationships/image" Target="file:///C:\Users\bapti\OneDrive\Bureau\Game\ExcelMon\Image\Pokedex\Droite\128.png" TargetMode="External"/><Relationship Id="rId879" Type="http://schemas.openxmlformats.org/officeDocument/2006/relationships/image" Target="file:///C:\Users\bapti\OneDrive\Bureau\Game\ExcelMon\Image\Pokedex\Droite\226.png" TargetMode="External"/><Relationship Id="rId434" Type="http://schemas.openxmlformats.org/officeDocument/2006/relationships/image" Target="file:///C:\Users\bapti\OneDrive\Bureau\Game\ExcelMon\Image\Pokedex\Gauche\431.png" TargetMode="External"/><Relationship Id="rId641" Type="http://schemas.openxmlformats.org/officeDocument/2006/relationships/image" Target="file:///C:\Users\bapti\OneDrive\Bureau\Game\ExcelMon\Image\Pokedex\Gauche\638.png" TargetMode="External"/><Relationship Id="rId739" Type="http://schemas.openxmlformats.org/officeDocument/2006/relationships/image" Target="file:///C:\Users\bapti\OneDrive\Bureau\Game\ExcelMon\Image\Pokedex\Droite\86.png" TargetMode="External"/><Relationship Id="rId1064" Type="http://schemas.openxmlformats.org/officeDocument/2006/relationships/image" Target="file:///C:\Users\bapti\OneDrive\Bureau\Game\ExcelMon\Image\Pokedex\Droite\411.png" TargetMode="External"/><Relationship Id="rId1271" Type="http://schemas.openxmlformats.org/officeDocument/2006/relationships/image" Target="file:///C:\Users\bapti\OneDrive\Bureau\Game\ExcelMon\Image\Pokedex\Droite\618.png" TargetMode="External"/><Relationship Id="rId280" Type="http://schemas.openxmlformats.org/officeDocument/2006/relationships/image" Target="file:///C:\Users\bapti\OneDrive\Bureau\Game\ExcelMon\Image\Pokedex\Gauche\277.png" TargetMode="External"/><Relationship Id="rId501" Type="http://schemas.openxmlformats.org/officeDocument/2006/relationships/image" Target="file:///C:\Users\bapti\OneDrive\Bureau\Game\ExcelMon\Image\Pokedex\Gauche\498.png" TargetMode="External"/><Relationship Id="rId946" Type="http://schemas.openxmlformats.org/officeDocument/2006/relationships/image" Target="file:///C:\Users\bapti\OneDrive\Bureau\Game\ExcelMon\Image\Pokedex\Droite\293.png" TargetMode="External"/><Relationship Id="rId1131" Type="http://schemas.openxmlformats.org/officeDocument/2006/relationships/image" Target="file:///C:\Users\bapti\OneDrive\Bureau\Game\ExcelMon\Image\Pokedex\Droite\478.png" TargetMode="External"/><Relationship Id="rId1229" Type="http://schemas.openxmlformats.org/officeDocument/2006/relationships/image" Target="file:///C:\Users\bapti\OneDrive\Bureau\Game\ExcelMon\Image\Pokedex\Droite\576.png" TargetMode="External"/><Relationship Id="rId75" Type="http://schemas.openxmlformats.org/officeDocument/2006/relationships/image" Target="file:///C:\Users\bapti\OneDrive\Bureau\Game\ExcelMon\Image\Pokedex\Gauche\72.png" TargetMode="External"/><Relationship Id="rId140" Type="http://schemas.openxmlformats.org/officeDocument/2006/relationships/image" Target="file:///C:\Users\bapti\OneDrive\Bureau\Game\ExcelMon\Image\Pokedex\Gauche\137.png" TargetMode="External"/><Relationship Id="rId378" Type="http://schemas.openxmlformats.org/officeDocument/2006/relationships/image" Target="file:///C:\Users\bapti\OneDrive\Bureau\Game\ExcelMon\Image\Pokedex\Gauche\375.png" TargetMode="External"/><Relationship Id="rId585" Type="http://schemas.openxmlformats.org/officeDocument/2006/relationships/image" Target="file:///C:\Users\bapti\OneDrive\Bureau\Game\ExcelMon\Image\Pokedex\Gauche\582.png" TargetMode="External"/><Relationship Id="rId792" Type="http://schemas.openxmlformats.org/officeDocument/2006/relationships/image" Target="file:///C:\Users\bapti\OneDrive\Bureau\Game\ExcelMon\Image\Pokedex\Droite\139.png" TargetMode="External"/><Relationship Id="rId806" Type="http://schemas.openxmlformats.org/officeDocument/2006/relationships/image" Target="file:///C:\Users\bapti\OneDrive\Bureau\Game\ExcelMon\Image\Pokedex\Droite\153.png" TargetMode="External"/><Relationship Id="rId6" Type="http://schemas.openxmlformats.org/officeDocument/2006/relationships/image" Target="file:///C:\Users\bapti\OneDrive\Bureau\Game\ExcelMon\Image\Pokedex\Gauche\3.png" TargetMode="External"/><Relationship Id="rId238" Type="http://schemas.openxmlformats.org/officeDocument/2006/relationships/image" Target="file:///C:\Users\bapti\OneDrive\Bureau\Game\ExcelMon\Image\Pokedex\Gauche\235.png" TargetMode="External"/><Relationship Id="rId445" Type="http://schemas.openxmlformats.org/officeDocument/2006/relationships/image" Target="file:///C:\Users\bapti\OneDrive\Bureau\Game\ExcelMon\Image\Pokedex\Gauche\442.png" TargetMode="External"/><Relationship Id="rId652" Type="http://schemas.openxmlformats.org/officeDocument/2006/relationships/image" Target="file:///C:\Users\bapti\OneDrive\Bureau\Game\ExcelMon\Image\Pokedex\Gauche\649.png" TargetMode="External"/><Relationship Id="rId1075" Type="http://schemas.openxmlformats.org/officeDocument/2006/relationships/image" Target="file:///C:\Users\bapti\OneDrive\Bureau\Game\ExcelMon\Image\Pokedex\Droite\422.png" TargetMode="External"/><Relationship Id="rId1282" Type="http://schemas.openxmlformats.org/officeDocument/2006/relationships/image" Target="file:///C:\Users\bapti\OneDrive\Bureau\Game\ExcelMon\Image\Pokedex\Droite\629.png" TargetMode="External"/><Relationship Id="rId291" Type="http://schemas.openxmlformats.org/officeDocument/2006/relationships/image" Target="file:///C:\Users\bapti\OneDrive\Bureau\Game\ExcelMon\Image\Pokedex\Gauche\288.png" TargetMode="External"/><Relationship Id="rId305" Type="http://schemas.openxmlformats.org/officeDocument/2006/relationships/image" Target="file:///C:\Users\bapti\OneDrive\Bureau\Game\ExcelMon\Image\Pokedex\Gauche\302.png" TargetMode="External"/><Relationship Id="rId512" Type="http://schemas.openxmlformats.org/officeDocument/2006/relationships/image" Target="file:///C:\Users\bapti\OneDrive\Bureau\Game\ExcelMon\Image\Pokedex\Gauche\509.png" TargetMode="External"/><Relationship Id="rId957" Type="http://schemas.openxmlformats.org/officeDocument/2006/relationships/image" Target="file:///C:\Users\bapti\OneDrive\Bureau\Game\ExcelMon\Image\Pokedex\Droite\304.png" TargetMode="External"/><Relationship Id="rId1142" Type="http://schemas.openxmlformats.org/officeDocument/2006/relationships/image" Target="file:///C:\Users\bapti\OneDrive\Bureau\Game\ExcelMon\Image\Pokedex\Droite\489.png" TargetMode="External"/><Relationship Id="rId86" Type="http://schemas.openxmlformats.org/officeDocument/2006/relationships/image" Target="file:///C:\Users\bapti\OneDrive\Bureau\Game\ExcelMon\Image\Pokedex\Gauche\83.png" TargetMode="External"/><Relationship Id="rId151" Type="http://schemas.openxmlformats.org/officeDocument/2006/relationships/image" Target="file:///C:\Users\bapti\OneDrive\Bureau\Game\ExcelMon\Image\Pokedex\Gauche\148.png" TargetMode="External"/><Relationship Id="rId389" Type="http://schemas.openxmlformats.org/officeDocument/2006/relationships/image" Target="file:///C:\Users\bapti\OneDrive\Bureau\Game\ExcelMon\Image\Pokedex\Gauche\386.png" TargetMode="External"/><Relationship Id="rId596" Type="http://schemas.openxmlformats.org/officeDocument/2006/relationships/image" Target="file:///C:\Users\bapti\OneDrive\Bureau\Game\ExcelMon\Image\Pokedex\Gauche\593.png" TargetMode="External"/><Relationship Id="rId817" Type="http://schemas.openxmlformats.org/officeDocument/2006/relationships/image" Target="file:///C:\Users\bapti\OneDrive\Bureau\Game\ExcelMon\Image\Pokedex\Droite\164.png" TargetMode="External"/><Relationship Id="rId1002" Type="http://schemas.openxmlformats.org/officeDocument/2006/relationships/image" Target="file:///C:\Users\bapti\OneDrive\Bureau\Game\ExcelMon\Image\Pokedex\Droite\349.png" TargetMode="External"/><Relationship Id="rId249" Type="http://schemas.openxmlformats.org/officeDocument/2006/relationships/image" Target="file:///C:\Users\bapti\OneDrive\Bureau\Game\ExcelMon\Image\Pokedex\Gauche\246.png" TargetMode="External"/><Relationship Id="rId456" Type="http://schemas.openxmlformats.org/officeDocument/2006/relationships/image" Target="file:///C:\Users\bapti\OneDrive\Bureau\Game\ExcelMon\Image\Pokedex\Gauche\453.png" TargetMode="External"/><Relationship Id="rId663" Type="http://schemas.openxmlformats.org/officeDocument/2006/relationships/image" Target="file:///C:\Users\bapti\OneDrive\Bureau\Game\ExcelMon\Image\Pokedex\Droite\10.png" TargetMode="External"/><Relationship Id="rId870" Type="http://schemas.openxmlformats.org/officeDocument/2006/relationships/image" Target="file:///C:\Users\bapti\OneDrive\Bureau\Game\ExcelMon\Image\Pokedex\Droite\217.png" TargetMode="External"/><Relationship Id="rId1086" Type="http://schemas.openxmlformats.org/officeDocument/2006/relationships/image" Target="file:///C:\Users\bapti\OneDrive\Bureau\Game\ExcelMon\Image\Pokedex\Droite\433.png" TargetMode="External"/><Relationship Id="rId1293" Type="http://schemas.openxmlformats.org/officeDocument/2006/relationships/image" Target="file:///C:\Users\bapti\OneDrive\Bureau\Game\ExcelMon\Image\Pokedex\Droite\640.png" TargetMode="External"/><Relationship Id="rId13" Type="http://schemas.openxmlformats.org/officeDocument/2006/relationships/image" Target="file:///C:\Users\bapti\OneDrive\Bureau\Game\ExcelMon\Image\Pokedex\Gauche\10.png" TargetMode="External"/><Relationship Id="rId109" Type="http://schemas.openxmlformats.org/officeDocument/2006/relationships/image" Target="file:///C:\Users\bapti\OneDrive\Bureau\Game\ExcelMon\Image\Pokedex\Gauche\106.png" TargetMode="External"/><Relationship Id="rId316" Type="http://schemas.openxmlformats.org/officeDocument/2006/relationships/image" Target="file:///C:\Users\bapti\OneDrive\Bureau\Game\ExcelMon\Image\Pokedex\Gauche\313.png" TargetMode="External"/><Relationship Id="rId523" Type="http://schemas.openxmlformats.org/officeDocument/2006/relationships/image" Target="file:///C:\Users\bapti\OneDrive\Bureau\Game\ExcelMon\Image\Pokedex\Gauche\520.png" TargetMode="External"/><Relationship Id="rId968" Type="http://schemas.openxmlformats.org/officeDocument/2006/relationships/image" Target="file:///C:\Users\bapti\OneDrive\Bureau\Game\ExcelMon\Image\Pokedex\Droite\315.png" TargetMode="External"/><Relationship Id="rId1153" Type="http://schemas.openxmlformats.org/officeDocument/2006/relationships/image" Target="file:///C:\Users\bapti\OneDrive\Bureau\Game\ExcelMon\Image\Pokedex\Droite\500.png" TargetMode="External"/><Relationship Id="rId97" Type="http://schemas.openxmlformats.org/officeDocument/2006/relationships/image" Target="file:///C:\Users\bapti\OneDrive\Bureau\Game\ExcelMon\Image\Pokedex\Gauche\94.png" TargetMode="External"/><Relationship Id="rId730" Type="http://schemas.openxmlformats.org/officeDocument/2006/relationships/image" Target="file:///C:\Users\bapti\OneDrive\Bureau\Game\ExcelMon\Image\Pokedex\Droite\77.png" TargetMode="External"/><Relationship Id="rId828" Type="http://schemas.openxmlformats.org/officeDocument/2006/relationships/image" Target="file:///C:\Users\bapti\OneDrive\Bureau\Game\ExcelMon\Image\Pokedex\Droite\175.png" TargetMode="External"/><Relationship Id="rId1013" Type="http://schemas.openxmlformats.org/officeDocument/2006/relationships/image" Target="file:///C:\Users\bapti\OneDrive\Bureau\Game\ExcelMon\Image\Pokedex\Droite\360.png" TargetMode="External"/><Relationship Id="rId162" Type="http://schemas.openxmlformats.org/officeDocument/2006/relationships/image" Target="file:///C:\Users\bapti\OneDrive\Bureau\Game\ExcelMon\Image\Pokedex\Gauche\159.png" TargetMode="External"/><Relationship Id="rId467" Type="http://schemas.openxmlformats.org/officeDocument/2006/relationships/image" Target="file:///C:\Users\bapti\OneDrive\Bureau\Game\ExcelMon\Image\Pokedex\Gauche\464.png" TargetMode="External"/><Relationship Id="rId1097" Type="http://schemas.openxmlformats.org/officeDocument/2006/relationships/image" Target="file:///C:\Users\bapti\OneDrive\Bureau\Game\ExcelMon\Image\Pokedex\Droite\444.png" TargetMode="External"/><Relationship Id="rId1220" Type="http://schemas.openxmlformats.org/officeDocument/2006/relationships/image" Target="file:///C:\Users\bapti\OneDrive\Bureau\Game\ExcelMon\Image\Pokedex\Droite\567.png" TargetMode="External"/><Relationship Id="rId674" Type="http://schemas.openxmlformats.org/officeDocument/2006/relationships/image" Target="file:///C:\Users\bapti\OneDrive\Bureau\Game\ExcelMon\Image\Pokedex\Droite\21.png" TargetMode="External"/><Relationship Id="rId881" Type="http://schemas.openxmlformats.org/officeDocument/2006/relationships/image" Target="file:///C:\Users\bapti\OneDrive\Bureau\Game\ExcelMon\Image\Pokedex\Droite\228.png" TargetMode="External"/><Relationship Id="rId979" Type="http://schemas.openxmlformats.org/officeDocument/2006/relationships/image" Target="file:///C:\Users\bapti\OneDrive\Bureau\Game\ExcelMon\Image\Pokedex\Droite\326.png" TargetMode="External"/><Relationship Id="rId24" Type="http://schemas.openxmlformats.org/officeDocument/2006/relationships/image" Target="file:///C:\Users\bapti\OneDrive\Bureau\Game\ExcelMon\Image\Pokedex\Gauche\21.png" TargetMode="External"/><Relationship Id="rId327" Type="http://schemas.openxmlformats.org/officeDocument/2006/relationships/image" Target="file:///C:\Users\bapti\OneDrive\Bureau\Game\ExcelMon\Image\Pokedex\Gauche\324.png" TargetMode="External"/><Relationship Id="rId534" Type="http://schemas.openxmlformats.org/officeDocument/2006/relationships/image" Target="file:///C:\Users\bapti\OneDrive\Bureau\Game\ExcelMon\Image\Pokedex\Gauche\531.png" TargetMode="External"/><Relationship Id="rId741" Type="http://schemas.openxmlformats.org/officeDocument/2006/relationships/image" Target="file:///C:\Users\bapti\OneDrive\Bureau\Game\ExcelMon\Image\Pokedex\Droite\88.png" TargetMode="External"/><Relationship Id="rId839" Type="http://schemas.openxmlformats.org/officeDocument/2006/relationships/image" Target="file:///C:\Users\bapti\OneDrive\Bureau\Game\ExcelMon\Image\Pokedex\Droite\186.png" TargetMode="External"/><Relationship Id="rId1164" Type="http://schemas.openxmlformats.org/officeDocument/2006/relationships/image" Target="file:///C:\Users\bapti\OneDrive\Bureau\Game\ExcelMon\Image\Pokedex\Droite\511.png" TargetMode="External"/><Relationship Id="rId173" Type="http://schemas.openxmlformats.org/officeDocument/2006/relationships/image" Target="file:///C:\Users\bapti\OneDrive\Bureau\Game\ExcelMon\Image\Pokedex\Gauche\170.png" TargetMode="External"/><Relationship Id="rId380" Type="http://schemas.openxmlformats.org/officeDocument/2006/relationships/image" Target="file:///C:\Users\bapti\OneDrive\Bureau\Game\ExcelMon\Image\Pokedex\Gauche\377.png" TargetMode="External"/><Relationship Id="rId601" Type="http://schemas.openxmlformats.org/officeDocument/2006/relationships/image" Target="file:///C:\Users\bapti\OneDrive\Bureau\Game\ExcelMon\Image\Pokedex\Gauche\598.png" TargetMode="External"/><Relationship Id="rId1024" Type="http://schemas.openxmlformats.org/officeDocument/2006/relationships/image" Target="file:///C:\Users\bapti\OneDrive\Bureau\Game\ExcelMon\Image\Pokedex\Droite\371.png" TargetMode="External"/><Relationship Id="rId1231" Type="http://schemas.openxmlformats.org/officeDocument/2006/relationships/image" Target="file:///C:\Users\bapti\OneDrive\Bureau\Game\ExcelMon\Image\Pokedex\Droite\578.png" TargetMode="External"/><Relationship Id="rId240" Type="http://schemas.openxmlformats.org/officeDocument/2006/relationships/image" Target="file:///C:\Users\bapti\OneDrive\Bureau\Game\ExcelMon\Image\Pokedex\Gauche\237.png" TargetMode="External"/><Relationship Id="rId478" Type="http://schemas.openxmlformats.org/officeDocument/2006/relationships/image" Target="file:///C:\Users\bapti\OneDrive\Bureau\Game\ExcelMon\Image\Pokedex\Gauche\475.png" TargetMode="External"/><Relationship Id="rId685" Type="http://schemas.openxmlformats.org/officeDocument/2006/relationships/image" Target="file:///C:\Users\bapti\OneDrive\Bureau\Game\ExcelMon\Image\Pokedex\Droite\32.png" TargetMode="External"/><Relationship Id="rId892" Type="http://schemas.openxmlformats.org/officeDocument/2006/relationships/image" Target="file:///C:\Users\bapti\OneDrive\Bureau\Game\ExcelMon\Image\Pokedex\Droite\239.png" TargetMode="External"/><Relationship Id="rId906" Type="http://schemas.openxmlformats.org/officeDocument/2006/relationships/image" Target="file:///C:\Users\bapti\OneDrive\Bureau\Game\ExcelMon\Image\Pokedex\Droite\253.png" TargetMode="External"/><Relationship Id="rId35" Type="http://schemas.openxmlformats.org/officeDocument/2006/relationships/image" Target="file:///C:\Users\bapti\OneDrive\Bureau\Game\ExcelMon\Image\Pokedex\Gauche\32.png" TargetMode="External"/><Relationship Id="rId100" Type="http://schemas.openxmlformats.org/officeDocument/2006/relationships/image" Target="file:///C:\Users\bapti\OneDrive\Bureau\Game\ExcelMon\Image\Pokedex\Gauche\97.png" TargetMode="External"/><Relationship Id="rId338" Type="http://schemas.openxmlformats.org/officeDocument/2006/relationships/image" Target="file:///C:\Users\bapti\OneDrive\Bureau\Game\ExcelMon\Image\Pokedex\Gauche\335.png" TargetMode="External"/><Relationship Id="rId545" Type="http://schemas.openxmlformats.org/officeDocument/2006/relationships/image" Target="file:///C:\Users\bapti\OneDrive\Bureau\Game\ExcelMon\Image\Pokedex\Gauche\542.png" TargetMode="External"/><Relationship Id="rId752" Type="http://schemas.openxmlformats.org/officeDocument/2006/relationships/image" Target="file:///C:\Users\bapti\OneDrive\Bureau\Game\ExcelMon\Image\Pokedex\Droite\99.png" TargetMode="External"/><Relationship Id="rId1175" Type="http://schemas.openxmlformats.org/officeDocument/2006/relationships/image" Target="file:///C:\Users\bapti\OneDrive\Bureau\Game\ExcelMon\Image\Pokedex\Droite\522.png" TargetMode="External"/><Relationship Id="rId184" Type="http://schemas.openxmlformats.org/officeDocument/2006/relationships/image" Target="file:///C:\Users\bapti\OneDrive\Bureau\Game\ExcelMon\Image\Pokedex\Gauche\181.png" TargetMode="External"/><Relationship Id="rId391" Type="http://schemas.openxmlformats.org/officeDocument/2006/relationships/image" Target="file:///C:\Users\bapti\OneDrive\Bureau\Game\ExcelMon\Image\Pokedex\Gauche\388.png" TargetMode="External"/><Relationship Id="rId405" Type="http://schemas.openxmlformats.org/officeDocument/2006/relationships/image" Target="file:///C:\Users\bapti\OneDrive\Bureau\Game\ExcelMon\Image\Pokedex\Gauche\402.png" TargetMode="External"/><Relationship Id="rId612" Type="http://schemas.openxmlformats.org/officeDocument/2006/relationships/image" Target="file:///C:\Users\bapti\OneDrive\Bureau\Game\ExcelMon\Image\Pokedex\Gauche\609.png" TargetMode="External"/><Relationship Id="rId1035" Type="http://schemas.openxmlformats.org/officeDocument/2006/relationships/image" Target="file:///C:\Users\bapti\OneDrive\Bureau\Game\ExcelMon\Image\Pokedex\Droite\382.png" TargetMode="External"/><Relationship Id="rId1242" Type="http://schemas.openxmlformats.org/officeDocument/2006/relationships/image" Target="file:///C:\Users\bapti\OneDrive\Bureau\Game\ExcelMon\Image\Pokedex\Droite\589.png" TargetMode="External"/><Relationship Id="rId251" Type="http://schemas.openxmlformats.org/officeDocument/2006/relationships/image" Target="file:///C:\Users\bapti\OneDrive\Bureau\Game\ExcelMon\Image\Pokedex\Gauche\248.png" TargetMode="External"/><Relationship Id="rId489" Type="http://schemas.openxmlformats.org/officeDocument/2006/relationships/image" Target="file:///C:\Users\bapti\OneDrive\Bureau\Game\ExcelMon\Image\Pokedex\Gauche\486.png" TargetMode="External"/><Relationship Id="rId696" Type="http://schemas.openxmlformats.org/officeDocument/2006/relationships/image" Target="file:///C:\Users\bapti\OneDrive\Bureau\Game\ExcelMon\Image\Pokedex\Droite\43.png" TargetMode="External"/><Relationship Id="rId917" Type="http://schemas.openxmlformats.org/officeDocument/2006/relationships/image" Target="file:///C:\Users\bapti\OneDrive\Bureau\Game\ExcelMon\Image\Pokedex\Droite\264.png" TargetMode="External"/><Relationship Id="rId1102" Type="http://schemas.openxmlformats.org/officeDocument/2006/relationships/image" Target="file:///C:\Users\bapti\OneDrive\Bureau\Game\ExcelMon\Image\Pokedex\Droite\449.png" TargetMode="External"/><Relationship Id="rId46" Type="http://schemas.openxmlformats.org/officeDocument/2006/relationships/image" Target="file:///C:\Users\bapti\OneDrive\Bureau\Game\ExcelMon\Image\Pokedex\Gauche\43.png" TargetMode="External"/><Relationship Id="rId349" Type="http://schemas.openxmlformats.org/officeDocument/2006/relationships/image" Target="file:///C:\Users\bapti\OneDrive\Bureau\Game\ExcelMon\Image\Pokedex\Gauche\346.png" TargetMode="External"/><Relationship Id="rId556" Type="http://schemas.openxmlformats.org/officeDocument/2006/relationships/image" Target="file:///C:\Users\bapti\OneDrive\Bureau\Game\ExcelMon\Image\Pokedex\Gauche\553.png" TargetMode="External"/><Relationship Id="rId763" Type="http://schemas.openxmlformats.org/officeDocument/2006/relationships/image" Target="file:///C:\Users\bapti\OneDrive\Bureau\Game\ExcelMon\Image\Pokedex\Droite\110.png" TargetMode="External"/><Relationship Id="rId1186" Type="http://schemas.openxmlformats.org/officeDocument/2006/relationships/image" Target="file:///C:\Users\bapti\OneDrive\Bureau\Game\ExcelMon\Image\Pokedex\Droite\533.png" TargetMode="External"/><Relationship Id="rId111" Type="http://schemas.openxmlformats.org/officeDocument/2006/relationships/image" Target="file:///C:\Users\bapti\OneDrive\Bureau\Game\ExcelMon\Image\Pokedex\Gauche\108.png" TargetMode="External"/><Relationship Id="rId195" Type="http://schemas.openxmlformats.org/officeDocument/2006/relationships/image" Target="file:///C:\Users\bapti\OneDrive\Bureau\Game\ExcelMon\Image\Pokedex\Gauche\192.png" TargetMode="External"/><Relationship Id="rId209" Type="http://schemas.openxmlformats.org/officeDocument/2006/relationships/image" Target="file:///C:\Users\bapti\OneDrive\Bureau\Game\ExcelMon\Image\Pokedex\Gauche\206.png" TargetMode="External"/><Relationship Id="rId416" Type="http://schemas.openxmlformats.org/officeDocument/2006/relationships/image" Target="file:///C:\Users\bapti\OneDrive\Bureau\Game\ExcelMon\Image\Pokedex\Gauche\413.png" TargetMode="External"/><Relationship Id="rId970" Type="http://schemas.openxmlformats.org/officeDocument/2006/relationships/image" Target="file:///C:\Users\bapti\OneDrive\Bureau\Game\ExcelMon\Image\Pokedex\Droite\317.png" TargetMode="External"/><Relationship Id="rId1046" Type="http://schemas.openxmlformats.org/officeDocument/2006/relationships/image" Target="file:///C:\Users\bapti\OneDrive\Bureau\Game\ExcelMon\Image\Pokedex\Droite\393.png" TargetMode="External"/><Relationship Id="rId1253" Type="http://schemas.openxmlformats.org/officeDocument/2006/relationships/image" Target="file:///C:\Users\bapti\OneDrive\Bureau\Game\ExcelMon\Image\Pokedex\Droite\600.png" TargetMode="External"/><Relationship Id="rId623" Type="http://schemas.openxmlformats.org/officeDocument/2006/relationships/image" Target="file:///C:\Users\bapti\OneDrive\Bureau\Game\ExcelMon\Image\Pokedex\Gauche\620.png" TargetMode="External"/><Relationship Id="rId830" Type="http://schemas.openxmlformats.org/officeDocument/2006/relationships/image" Target="file:///C:\Users\bapti\OneDrive\Bureau\Game\ExcelMon\Image\Pokedex\Droite\177.png" TargetMode="External"/><Relationship Id="rId928" Type="http://schemas.openxmlformats.org/officeDocument/2006/relationships/image" Target="file:///C:\Users\bapti\OneDrive\Bureau\Game\ExcelMon\Image\Pokedex\Droite\275.png" TargetMode="External"/><Relationship Id="rId57" Type="http://schemas.openxmlformats.org/officeDocument/2006/relationships/image" Target="file:///C:\Users\bapti\OneDrive\Bureau\Game\ExcelMon\Image\Pokedex\Gauche\54.png" TargetMode="External"/><Relationship Id="rId262" Type="http://schemas.openxmlformats.org/officeDocument/2006/relationships/image" Target="file:///C:\Users\bapti\OneDrive\Bureau\Game\ExcelMon\Image\Pokedex\Gauche\259.png" TargetMode="External"/><Relationship Id="rId567" Type="http://schemas.openxmlformats.org/officeDocument/2006/relationships/image" Target="file:///C:\Users\bapti\OneDrive\Bureau\Game\ExcelMon\Image\Pokedex\Gauche\564.png" TargetMode="External"/><Relationship Id="rId1113" Type="http://schemas.openxmlformats.org/officeDocument/2006/relationships/image" Target="file:///C:\Users\bapti\OneDrive\Bureau\Game\ExcelMon\Image\Pokedex\Droite\460.png" TargetMode="External"/><Relationship Id="rId1197" Type="http://schemas.openxmlformats.org/officeDocument/2006/relationships/image" Target="file:///C:\Users\bapti\OneDrive\Bureau\Game\ExcelMon\Image\Pokedex\Droite\544.png" TargetMode="External"/><Relationship Id="rId122" Type="http://schemas.openxmlformats.org/officeDocument/2006/relationships/image" Target="file:///C:\Users\bapti\OneDrive\Bureau\Game\ExcelMon\Image\Pokedex\Gauche\119.png" TargetMode="External"/><Relationship Id="rId774" Type="http://schemas.openxmlformats.org/officeDocument/2006/relationships/image" Target="file:///C:\Users\bapti\OneDrive\Bureau\Game\ExcelMon\Image\Pokedex\Droite\121.png" TargetMode="External"/><Relationship Id="rId981" Type="http://schemas.openxmlformats.org/officeDocument/2006/relationships/image" Target="file:///C:\Users\bapti\OneDrive\Bureau\Game\ExcelMon\Image\Pokedex\Droite\328.png" TargetMode="External"/><Relationship Id="rId1057" Type="http://schemas.openxmlformats.org/officeDocument/2006/relationships/image" Target="file:///C:\Users\bapti\OneDrive\Bureau\Game\ExcelMon\Image\Pokedex\Droite\404.png" TargetMode="External"/><Relationship Id="rId427" Type="http://schemas.openxmlformats.org/officeDocument/2006/relationships/image" Target="file:///C:\Users\bapti\OneDrive\Bureau\Game\ExcelMon\Image\Pokedex\Gauche\424.png" TargetMode="External"/><Relationship Id="rId634" Type="http://schemas.openxmlformats.org/officeDocument/2006/relationships/image" Target="file:///C:\Users\bapti\OneDrive\Bureau\Game\ExcelMon\Image\Pokedex\Gauche\631.png" TargetMode="External"/><Relationship Id="rId841" Type="http://schemas.openxmlformats.org/officeDocument/2006/relationships/image" Target="file:///C:\Users\bapti\OneDrive\Bureau\Game\ExcelMon\Image\Pokedex\Droite\188.png" TargetMode="External"/><Relationship Id="rId1264" Type="http://schemas.openxmlformats.org/officeDocument/2006/relationships/image" Target="file:///C:\Users\bapti\OneDrive\Bureau\Game\ExcelMon\Image\Pokedex\Droite\611.png" TargetMode="External"/><Relationship Id="rId273" Type="http://schemas.openxmlformats.org/officeDocument/2006/relationships/image" Target="file:///C:\Users\bapti\OneDrive\Bureau\Game\ExcelMon\Image\Pokedex\Gauche\270.png" TargetMode="External"/><Relationship Id="rId480" Type="http://schemas.openxmlformats.org/officeDocument/2006/relationships/image" Target="file:///C:\Users\bapti\OneDrive\Bureau\Game\ExcelMon\Image\Pokedex\Gauche\477.png" TargetMode="External"/><Relationship Id="rId701" Type="http://schemas.openxmlformats.org/officeDocument/2006/relationships/image" Target="file:///C:\Users\bapti\OneDrive\Bureau\Game\ExcelMon\Image\Pokedex\Droite\48.png" TargetMode="External"/><Relationship Id="rId939" Type="http://schemas.openxmlformats.org/officeDocument/2006/relationships/image" Target="file:///C:\Users\bapti\OneDrive\Bureau\Game\ExcelMon\Image\Pokedex\Droite\286.png" TargetMode="External"/><Relationship Id="rId1124" Type="http://schemas.openxmlformats.org/officeDocument/2006/relationships/image" Target="file:///C:\Users\bapti\OneDrive\Bureau\Game\ExcelMon\Image\Pokedex\Droite\471.png" TargetMode="External"/><Relationship Id="rId68" Type="http://schemas.openxmlformats.org/officeDocument/2006/relationships/image" Target="file:///C:\Users\bapti\OneDrive\Bureau\Game\ExcelMon\Image\Pokedex\Gauche\65.png" TargetMode="External"/><Relationship Id="rId133" Type="http://schemas.openxmlformats.org/officeDocument/2006/relationships/image" Target="file:///C:\Users\bapti\OneDrive\Bureau\Game\ExcelMon\Image\Pokedex\Gauche\130.png" TargetMode="External"/><Relationship Id="rId340" Type="http://schemas.openxmlformats.org/officeDocument/2006/relationships/image" Target="file:///C:\Users\bapti\OneDrive\Bureau\Game\ExcelMon\Image\Pokedex\Gauche\337.png" TargetMode="External"/><Relationship Id="rId578" Type="http://schemas.openxmlformats.org/officeDocument/2006/relationships/image" Target="file:///C:\Users\bapti\OneDrive\Bureau\Game\ExcelMon\Image\Pokedex\Gauche\575.png" TargetMode="External"/><Relationship Id="rId785" Type="http://schemas.openxmlformats.org/officeDocument/2006/relationships/image" Target="file:///C:\Users\bapti\OneDrive\Bureau\Game\ExcelMon\Image\Pokedex\Droite\132.png" TargetMode="External"/><Relationship Id="rId992" Type="http://schemas.openxmlformats.org/officeDocument/2006/relationships/image" Target="file:///C:\Users\bapti\OneDrive\Bureau\Game\ExcelMon\Image\Pokedex\Droite\339.png" TargetMode="External"/><Relationship Id="rId200" Type="http://schemas.openxmlformats.org/officeDocument/2006/relationships/image" Target="file:///C:\Users\bapti\OneDrive\Bureau\Game\ExcelMon\Image\Pokedex\Gauche\197.png" TargetMode="External"/><Relationship Id="rId438" Type="http://schemas.openxmlformats.org/officeDocument/2006/relationships/image" Target="file:///C:\Users\bapti\OneDrive\Bureau\Game\ExcelMon\Image\Pokedex\Gauche\435.png" TargetMode="External"/><Relationship Id="rId645" Type="http://schemas.openxmlformats.org/officeDocument/2006/relationships/image" Target="file:///C:\Users\bapti\OneDrive\Bureau\Game\ExcelMon\Image\Pokedex\Gauche\642.png" TargetMode="External"/><Relationship Id="rId852" Type="http://schemas.openxmlformats.org/officeDocument/2006/relationships/image" Target="file:///C:\Users\bapti\OneDrive\Bureau\Game\ExcelMon\Image\Pokedex\Droite\199.png" TargetMode="External"/><Relationship Id="rId1068" Type="http://schemas.openxmlformats.org/officeDocument/2006/relationships/image" Target="file:///C:\Users\bapti\OneDrive\Bureau\Game\ExcelMon\Image\Pokedex\Droite\415.png" TargetMode="External"/><Relationship Id="rId1275" Type="http://schemas.openxmlformats.org/officeDocument/2006/relationships/image" Target="file:///C:\Users\bapti\OneDrive\Bureau\Game\ExcelMon\Image\Pokedex\Droite\622.png" TargetMode="External"/><Relationship Id="rId284" Type="http://schemas.openxmlformats.org/officeDocument/2006/relationships/image" Target="file:///C:\Users\bapti\OneDrive\Bureau\Game\ExcelMon\Image\Pokedex\Gauche\281.png" TargetMode="External"/><Relationship Id="rId491" Type="http://schemas.openxmlformats.org/officeDocument/2006/relationships/image" Target="file:///C:\Users\bapti\OneDrive\Bureau\Game\ExcelMon\Image\Pokedex\Gauche\488.png" TargetMode="External"/><Relationship Id="rId505" Type="http://schemas.openxmlformats.org/officeDocument/2006/relationships/image" Target="file:///C:\Users\bapti\OneDrive\Bureau\Game\ExcelMon\Image\Pokedex\Gauche\502.png" TargetMode="External"/><Relationship Id="rId712" Type="http://schemas.openxmlformats.org/officeDocument/2006/relationships/image" Target="file:///C:\Users\bapti\OneDrive\Bureau\Game\ExcelMon\Image\Pokedex\Droite\59.png" TargetMode="External"/><Relationship Id="rId1135" Type="http://schemas.openxmlformats.org/officeDocument/2006/relationships/image" Target="file:///C:\Users\bapti\OneDrive\Bureau\Game\ExcelMon\Image\Pokedex\Droite\482.png" TargetMode="External"/><Relationship Id="rId79" Type="http://schemas.openxmlformats.org/officeDocument/2006/relationships/image" Target="file:///C:\Users\bapti\OneDrive\Bureau\Game\ExcelMon\Image\Pokedex\Gauche\76.png" TargetMode="External"/><Relationship Id="rId144" Type="http://schemas.openxmlformats.org/officeDocument/2006/relationships/image" Target="file:///C:\Users\bapti\OneDrive\Bureau\Game\ExcelMon\Image\Pokedex\Gauche\141.png" TargetMode="External"/><Relationship Id="rId589" Type="http://schemas.openxmlformats.org/officeDocument/2006/relationships/image" Target="file:///C:\Users\bapti\OneDrive\Bureau\Game\ExcelMon\Image\Pokedex\Gauche\586.png" TargetMode="External"/><Relationship Id="rId796" Type="http://schemas.openxmlformats.org/officeDocument/2006/relationships/image" Target="file:///C:\Users\bapti\OneDrive\Bureau\Game\ExcelMon\Image\Pokedex\Droite\143.png" TargetMode="External"/><Relationship Id="rId1202" Type="http://schemas.openxmlformats.org/officeDocument/2006/relationships/image" Target="file:///C:\Users\bapti\OneDrive\Bureau\Game\ExcelMon\Image\Pokedex\Droite\549.png" TargetMode="External"/><Relationship Id="rId351" Type="http://schemas.openxmlformats.org/officeDocument/2006/relationships/image" Target="file:///C:\Users\bapti\OneDrive\Bureau\Game\ExcelMon\Image\Pokedex\Gauche\348.png" TargetMode="External"/><Relationship Id="rId449" Type="http://schemas.openxmlformats.org/officeDocument/2006/relationships/image" Target="file:///C:\Users\bapti\OneDrive\Bureau\Game\ExcelMon\Image\Pokedex\Gauche\446.png" TargetMode="External"/><Relationship Id="rId656" Type="http://schemas.openxmlformats.org/officeDocument/2006/relationships/image" Target="file:///C:\Users\bapti\OneDrive\Bureau\Game\ExcelMon\Image\Pokedex\Droite\3.png" TargetMode="External"/><Relationship Id="rId863" Type="http://schemas.openxmlformats.org/officeDocument/2006/relationships/image" Target="file:///C:\Users\bapti\OneDrive\Bureau\Game\ExcelMon\Image\Pokedex\Droite\210.png" TargetMode="External"/><Relationship Id="rId1079" Type="http://schemas.openxmlformats.org/officeDocument/2006/relationships/image" Target="file:///C:\Users\bapti\OneDrive\Bureau\Game\ExcelMon\Image\Pokedex\Droite\426.png" TargetMode="External"/><Relationship Id="rId1286" Type="http://schemas.openxmlformats.org/officeDocument/2006/relationships/image" Target="file:///C:\Users\bapti\OneDrive\Bureau\Game\ExcelMon\Image\Pokedex\Droite\633.png" TargetMode="External"/><Relationship Id="rId211" Type="http://schemas.openxmlformats.org/officeDocument/2006/relationships/image" Target="file:///C:\Users\bapti\OneDrive\Bureau\Game\ExcelMon\Image\Pokedex\Gauche\208.png" TargetMode="External"/><Relationship Id="rId295" Type="http://schemas.openxmlformats.org/officeDocument/2006/relationships/image" Target="file:///C:\Users\bapti\OneDrive\Bureau\Game\ExcelMon\Image\Pokedex\Gauche\292.png" TargetMode="External"/><Relationship Id="rId309" Type="http://schemas.openxmlformats.org/officeDocument/2006/relationships/image" Target="file:///C:\Users\bapti\OneDrive\Bureau\Game\ExcelMon\Image\Pokedex\Gauche\306.png" TargetMode="External"/><Relationship Id="rId516" Type="http://schemas.openxmlformats.org/officeDocument/2006/relationships/image" Target="file:///C:\Users\bapti\OneDrive\Bureau\Game\ExcelMon\Image\Pokedex\Gauche\513.png" TargetMode="External"/><Relationship Id="rId1146" Type="http://schemas.openxmlformats.org/officeDocument/2006/relationships/image" Target="file:///C:\Users\bapti\OneDrive\Bureau\Game\ExcelMon\Image\Pokedex\Droite\493.png" TargetMode="External"/><Relationship Id="rId723" Type="http://schemas.openxmlformats.org/officeDocument/2006/relationships/image" Target="file:///C:\Users\bapti\OneDrive\Bureau\Game\ExcelMon\Image\Pokedex\Droite\70.png" TargetMode="External"/><Relationship Id="rId930" Type="http://schemas.openxmlformats.org/officeDocument/2006/relationships/image" Target="file:///C:\Users\bapti\OneDrive\Bureau\Game\ExcelMon\Image\Pokedex\Droite\277.png" TargetMode="External"/><Relationship Id="rId1006" Type="http://schemas.openxmlformats.org/officeDocument/2006/relationships/image" Target="file:///C:\Users\bapti\OneDrive\Bureau\Game\ExcelMon\Image\Pokedex\Droite\353.png" TargetMode="External"/><Relationship Id="rId155" Type="http://schemas.openxmlformats.org/officeDocument/2006/relationships/image" Target="file:///C:\Users\bapti\OneDrive\Bureau\Game\ExcelMon\Image\Pokedex\Gauche\152.png" TargetMode="External"/><Relationship Id="rId362" Type="http://schemas.openxmlformats.org/officeDocument/2006/relationships/image" Target="file:///C:\Users\bapti\OneDrive\Bureau\Game\ExcelMon\Image\Pokedex\Gauche\359.png" TargetMode="External"/><Relationship Id="rId1213" Type="http://schemas.openxmlformats.org/officeDocument/2006/relationships/image" Target="file:///C:\Users\bapti\OneDrive\Bureau\Game\ExcelMon\Image\Pokedex\Droite\560.png" TargetMode="External"/><Relationship Id="rId1297" Type="http://schemas.openxmlformats.org/officeDocument/2006/relationships/image" Target="file:///C:\Users\bapti\OneDrive\Bureau\Game\ExcelMon\Image\Pokedex\Droite\644.png" TargetMode="External"/><Relationship Id="rId222" Type="http://schemas.openxmlformats.org/officeDocument/2006/relationships/image" Target="file:///C:\Users\bapti\OneDrive\Bureau\Game\ExcelMon\Image\Pokedex\Gauche\219.png" TargetMode="External"/><Relationship Id="rId667" Type="http://schemas.openxmlformats.org/officeDocument/2006/relationships/image" Target="file:///C:\Users\bapti\OneDrive\Bureau\Game\ExcelMon\Image\Pokedex\Droite\14.png" TargetMode="External"/><Relationship Id="rId874" Type="http://schemas.openxmlformats.org/officeDocument/2006/relationships/image" Target="file:///C:\Users\bapti\OneDrive\Bureau\Game\ExcelMon\Image\Pokedex\Droite\221.png" TargetMode="External"/><Relationship Id="rId17" Type="http://schemas.openxmlformats.org/officeDocument/2006/relationships/image" Target="file:///C:\Users\bapti\OneDrive\Bureau\Game\ExcelMon\Image\Pokedex\Gauche\14.png" TargetMode="External"/><Relationship Id="rId527" Type="http://schemas.openxmlformats.org/officeDocument/2006/relationships/image" Target="file:///C:\Users\bapti\OneDrive\Bureau\Game\ExcelMon\Image\Pokedex\Gauche\524.png" TargetMode="External"/><Relationship Id="rId734" Type="http://schemas.openxmlformats.org/officeDocument/2006/relationships/image" Target="file:///C:\Users\bapti\OneDrive\Bureau\Game\ExcelMon\Image\Pokedex\Droite\81.png" TargetMode="External"/><Relationship Id="rId941" Type="http://schemas.openxmlformats.org/officeDocument/2006/relationships/image" Target="file:///C:\Users\bapti\OneDrive\Bureau\Game\ExcelMon\Image\Pokedex\Droite\288.png" TargetMode="External"/><Relationship Id="rId1157" Type="http://schemas.openxmlformats.org/officeDocument/2006/relationships/image" Target="file:///C:\Users\bapti\OneDrive\Bureau\Game\ExcelMon\Image\Pokedex\Droite\504.png" TargetMode="External"/><Relationship Id="rId70" Type="http://schemas.openxmlformats.org/officeDocument/2006/relationships/image" Target="file:///C:\Users\bapti\OneDrive\Bureau\Game\ExcelMon\Image\Pokedex\Gauche\67.png" TargetMode="External"/><Relationship Id="rId166" Type="http://schemas.openxmlformats.org/officeDocument/2006/relationships/image" Target="file:///C:\Users\bapti\OneDrive\Bureau\Game\ExcelMon\Image\Pokedex\Gauche\163.png" TargetMode="External"/><Relationship Id="rId373" Type="http://schemas.openxmlformats.org/officeDocument/2006/relationships/image" Target="file:///C:\Users\bapti\OneDrive\Bureau\Game\ExcelMon\Image\Pokedex\Gauche\370.png" TargetMode="External"/><Relationship Id="rId580" Type="http://schemas.openxmlformats.org/officeDocument/2006/relationships/image" Target="file:///C:\Users\bapti\OneDrive\Bureau\Game\ExcelMon\Image\Pokedex\Gauche\577.png" TargetMode="External"/><Relationship Id="rId801" Type="http://schemas.openxmlformats.org/officeDocument/2006/relationships/image" Target="file:///C:\Users\bapti\OneDrive\Bureau\Game\ExcelMon\Image\Pokedex\Droite\148.png" TargetMode="External"/><Relationship Id="rId1017" Type="http://schemas.openxmlformats.org/officeDocument/2006/relationships/image" Target="file:///C:\Users\bapti\OneDrive\Bureau\Game\ExcelMon\Image\Pokedex\Droite\364.png" TargetMode="External"/><Relationship Id="rId1224" Type="http://schemas.openxmlformats.org/officeDocument/2006/relationships/image" Target="file:///C:\Users\bapti\OneDrive\Bureau\Game\ExcelMon\Image\Pokedex\Droite\571.png" TargetMode="External"/><Relationship Id="rId1" Type="http://schemas.openxmlformats.org/officeDocument/2006/relationships/image" Target="../media/image12.png"/><Relationship Id="rId233" Type="http://schemas.openxmlformats.org/officeDocument/2006/relationships/image" Target="file:///C:\Users\bapti\OneDrive\Bureau\Game\ExcelMon\Image\Pokedex\Gauche\230.png" TargetMode="External"/><Relationship Id="rId440" Type="http://schemas.openxmlformats.org/officeDocument/2006/relationships/image" Target="file:///C:\Users\bapti\OneDrive\Bureau\Game\ExcelMon\Image\Pokedex\Gauche\437.png" TargetMode="External"/><Relationship Id="rId678" Type="http://schemas.openxmlformats.org/officeDocument/2006/relationships/image" Target="file:///C:\Users\bapti\OneDrive\Bureau\Game\ExcelMon\Image\Pokedex\Droite\25.png" TargetMode="External"/><Relationship Id="rId885" Type="http://schemas.openxmlformats.org/officeDocument/2006/relationships/image" Target="file:///C:\Users\bapti\OneDrive\Bureau\Game\ExcelMon\Image\Pokedex\Droite\232.png" TargetMode="External"/><Relationship Id="rId1070" Type="http://schemas.openxmlformats.org/officeDocument/2006/relationships/image" Target="file:///C:\Users\bapti\OneDrive\Bureau\Game\ExcelMon\Image\Pokedex\Droite\417.png" TargetMode="External"/><Relationship Id="rId28" Type="http://schemas.openxmlformats.org/officeDocument/2006/relationships/image" Target="file:///C:\Users\bapti\OneDrive\Bureau\Game\ExcelMon\Image\Pokedex\Gauche\25.png" TargetMode="External"/><Relationship Id="rId300" Type="http://schemas.openxmlformats.org/officeDocument/2006/relationships/image" Target="file:///C:\Users\bapti\OneDrive\Bureau\Game\ExcelMon\Image\Pokedex\Gauche\297.png" TargetMode="External"/><Relationship Id="rId538" Type="http://schemas.openxmlformats.org/officeDocument/2006/relationships/image" Target="file:///C:\Users\bapti\OneDrive\Bureau\Game\ExcelMon\Image\Pokedex\Gauche\535.png" TargetMode="External"/><Relationship Id="rId745" Type="http://schemas.openxmlformats.org/officeDocument/2006/relationships/image" Target="file:///C:\Users\bapti\OneDrive\Bureau\Game\ExcelMon\Image\Pokedex\Droite\92.png" TargetMode="External"/><Relationship Id="rId952" Type="http://schemas.openxmlformats.org/officeDocument/2006/relationships/image" Target="file:///C:\Users\bapti\OneDrive\Bureau\Game\ExcelMon\Image\Pokedex\Droite\299.png" TargetMode="External"/><Relationship Id="rId1168" Type="http://schemas.openxmlformats.org/officeDocument/2006/relationships/image" Target="file:///C:\Users\bapti\OneDrive\Bureau\Game\ExcelMon\Image\Pokedex\Droite\515.png" TargetMode="External"/><Relationship Id="rId81" Type="http://schemas.openxmlformats.org/officeDocument/2006/relationships/image" Target="file:///C:\Users\bapti\OneDrive\Bureau\Game\ExcelMon\Image\Pokedex\Gauche\78.png" TargetMode="External"/><Relationship Id="rId177" Type="http://schemas.openxmlformats.org/officeDocument/2006/relationships/image" Target="file:///C:\Users\bapti\OneDrive\Bureau\Game\ExcelMon\Image\Pokedex\Gauche\174.png" TargetMode="External"/><Relationship Id="rId384" Type="http://schemas.openxmlformats.org/officeDocument/2006/relationships/image" Target="file:///C:\Users\bapti\OneDrive\Bureau\Game\ExcelMon\Image\Pokedex\Gauche\381.png" TargetMode="External"/><Relationship Id="rId591" Type="http://schemas.openxmlformats.org/officeDocument/2006/relationships/image" Target="file:///C:\Users\bapti\OneDrive\Bureau\Game\ExcelMon\Image\Pokedex\Gauche\588.png" TargetMode="External"/><Relationship Id="rId605" Type="http://schemas.openxmlformats.org/officeDocument/2006/relationships/image" Target="file:///C:\Users\bapti\OneDrive\Bureau\Game\ExcelMon\Image\Pokedex\Gauche\602.png" TargetMode="External"/><Relationship Id="rId812" Type="http://schemas.openxmlformats.org/officeDocument/2006/relationships/image" Target="file:///C:\Users\bapti\OneDrive\Bureau\Game\ExcelMon\Image\Pokedex\Droite\159.png" TargetMode="External"/><Relationship Id="rId1028" Type="http://schemas.openxmlformats.org/officeDocument/2006/relationships/image" Target="file:///C:\Users\bapti\OneDrive\Bureau\Game\ExcelMon\Image\Pokedex\Droite\375.png" TargetMode="External"/><Relationship Id="rId1235" Type="http://schemas.openxmlformats.org/officeDocument/2006/relationships/image" Target="file:///C:\Users\bapti\OneDrive\Bureau\Game\ExcelMon\Image\Pokedex\Droite\582.png" TargetMode="External"/><Relationship Id="rId244" Type="http://schemas.openxmlformats.org/officeDocument/2006/relationships/image" Target="file:///C:\Users\bapti\OneDrive\Bureau\Game\ExcelMon\Image\Pokedex\Gauche\241.png" TargetMode="External"/><Relationship Id="rId689" Type="http://schemas.openxmlformats.org/officeDocument/2006/relationships/image" Target="file:///C:\Users\bapti\OneDrive\Bureau\Game\ExcelMon\Image\Pokedex\Droite\36.png" TargetMode="External"/><Relationship Id="rId896" Type="http://schemas.openxmlformats.org/officeDocument/2006/relationships/image" Target="file:///C:\Users\bapti\OneDrive\Bureau\Game\ExcelMon\Image\Pokedex\Droite\243.png" TargetMode="External"/><Relationship Id="rId1081" Type="http://schemas.openxmlformats.org/officeDocument/2006/relationships/image" Target="file:///C:\Users\bapti\OneDrive\Bureau\Game\ExcelMon\Image\Pokedex\Droite\428.png" TargetMode="External"/><Relationship Id="rId1302" Type="http://schemas.openxmlformats.org/officeDocument/2006/relationships/image" Target="file:///C:\Users\bapti\OneDrive\Bureau\Game\ExcelMon\Image\Pokedex\Droite\649.png" TargetMode="External"/><Relationship Id="rId39" Type="http://schemas.openxmlformats.org/officeDocument/2006/relationships/image" Target="file:///C:\Users\bapti\OneDrive\Bureau\Game\ExcelMon\Image\Pokedex\Gauche\36.png" TargetMode="External"/><Relationship Id="rId451" Type="http://schemas.openxmlformats.org/officeDocument/2006/relationships/image" Target="file:///C:\Users\bapti\OneDrive\Bureau\Game\ExcelMon\Image\Pokedex\Gauche\448.png" TargetMode="External"/><Relationship Id="rId549" Type="http://schemas.openxmlformats.org/officeDocument/2006/relationships/image" Target="file:///C:\Users\bapti\OneDrive\Bureau\Game\ExcelMon\Image\Pokedex\Gauche\546.png" TargetMode="External"/><Relationship Id="rId756" Type="http://schemas.openxmlformats.org/officeDocument/2006/relationships/image" Target="file:///C:\Users\bapti\OneDrive\Bureau\Game\ExcelMon\Image\Pokedex\Droite\103.png" TargetMode="External"/><Relationship Id="rId1179" Type="http://schemas.openxmlformats.org/officeDocument/2006/relationships/image" Target="file:///C:\Users\bapti\OneDrive\Bureau\Game\ExcelMon\Image\Pokedex\Droite\526.png" TargetMode="External"/><Relationship Id="rId104" Type="http://schemas.openxmlformats.org/officeDocument/2006/relationships/image" Target="file:///C:\Users\bapti\OneDrive\Bureau\Game\ExcelMon\Image\Pokedex\Gauche\101.png" TargetMode="External"/><Relationship Id="rId188" Type="http://schemas.openxmlformats.org/officeDocument/2006/relationships/image" Target="file:///C:\Users\bapti\OneDrive\Bureau\Game\ExcelMon\Image\Pokedex\Gauche\185.png" TargetMode="External"/><Relationship Id="rId311" Type="http://schemas.openxmlformats.org/officeDocument/2006/relationships/image" Target="file:///C:\Users\bapti\OneDrive\Bureau\Game\ExcelMon\Image\Pokedex\Gauche\308.png" TargetMode="External"/><Relationship Id="rId395" Type="http://schemas.openxmlformats.org/officeDocument/2006/relationships/image" Target="file:///C:\Users\bapti\OneDrive\Bureau\Game\ExcelMon\Image\Pokedex\Gauche\392.png" TargetMode="External"/><Relationship Id="rId409" Type="http://schemas.openxmlformats.org/officeDocument/2006/relationships/image" Target="file:///C:\Users\bapti\OneDrive\Bureau\Game\ExcelMon\Image\Pokedex\Gauche\406.png" TargetMode="External"/><Relationship Id="rId963" Type="http://schemas.openxmlformats.org/officeDocument/2006/relationships/image" Target="file:///C:\Users\bapti\OneDrive\Bureau\Game\ExcelMon\Image\Pokedex\Droite\310.png" TargetMode="External"/><Relationship Id="rId1039" Type="http://schemas.openxmlformats.org/officeDocument/2006/relationships/image" Target="file:///C:\Users\bapti\OneDrive\Bureau\Game\ExcelMon\Image\Pokedex\Droite\386.png" TargetMode="External"/><Relationship Id="rId1246" Type="http://schemas.openxmlformats.org/officeDocument/2006/relationships/image" Target="file:///C:\Users\bapti\OneDrive\Bureau\Game\ExcelMon\Image\Pokedex\Droite\593.png" TargetMode="External"/><Relationship Id="rId92" Type="http://schemas.openxmlformats.org/officeDocument/2006/relationships/image" Target="file:///C:\Users\bapti\OneDrive\Bureau\Game\ExcelMon\Image\Pokedex\Gauche\89.png" TargetMode="External"/><Relationship Id="rId616" Type="http://schemas.openxmlformats.org/officeDocument/2006/relationships/image" Target="file:///C:\Users\bapti\OneDrive\Bureau\Game\ExcelMon\Image\Pokedex\Gauche\613.png" TargetMode="External"/><Relationship Id="rId823" Type="http://schemas.openxmlformats.org/officeDocument/2006/relationships/image" Target="file:///C:\Users\bapti\OneDrive\Bureau\Game\ExcelMon\Image\Pokedex\Droite\170.png" TargetMode="External"/><Relationship Id="rId255" Type="http://schemas.openxmlformats.org/officeDocument/2006/relationships/image" Target="file:///C:\Users\bapti\OneDrive\Bureau\Game\ExcelMon\Image\Pokedex\Gauche\252.png" TargetMode="External"/><Relationship Id="rId462" Type="http://schemas.openxmlformats.org/officeDocument/2006/relationships/image" Target="file:///C:\Users\bapti\OneDrive\Bureau\Game\ExcelMon\Image\Pokedex\Gauche\459.png" TargetMode="External"/><Relationship Id="rId1092" Type="http://schemas.openxmlformats.org/officeDocument/2006/relationships/image" Target="file:///C:\Users\bapti\OneDrive\Bureau\Game\ExcelMon\Image\Pokedex\Droite\439.png" TargetMode="External"/><Relationship Id="rId1106" Type="http://schemas.openxmlformats.org/officeDocument/2006/relationships/image" Target="file:///C:\Users\bapti\OneDrive\Bureau\Game\ExcelMon\Image\Pokedex\Droite\453.png" TargetMode="External"/><Relationship Id="rId115" Type="http://schemas.openxmlformats.org/officeDocument/2006/relationships/image" Target="file:///C:\Users\bapti\OneDrive\Bureau\Game\ExcelMon\Image\Pokedex\Gauche\112.png" TargetMode="External"/><Relationship Id="rId322" Type="http://schemas.openxmlformats.org/officeDocument/2006/relationships/image" Target="file:///C:\Users\bapti\OneDrive\Bureau\Game\ExcelMon\Image\Pokedex\Gauche\319.png" TargetMode="External"/><Relationship Id="rId767" Type="http://schemas.openxmlformats.org/officeDocument/2006/relationships/image" Target="file:///C:\Users\bapti\OneDrive\Bureau\Game\ExcelMon\Image\Pokedex\Droite\114.png" TargetMode="External"/><Relationship Id="rId974" Type="http://schemas.openxmlformats.org/officeDocument/2006/relationships/image" Target="file:///C:\Users\bapti\OneDrive\Bureau\Game\ExcelMon\Image\Pokedex\Droite\321.png" TargetMode="External"/><Relationship Id="rId199" Type="http://schemas.openxmlformats.org/officeDocument/2006/relationships/image" Target="file:///C:\Users\bapti\OneDrive\Bureau\Game\ExcelMon\Image\Pokedex\Gauche\196.png" TargetMode="External"/><Relationship Id="rId627" Type="http://schemas.openxmlformats.org/officeDocument/2006/relationships/image" Target="file:///C:\Users\bapti\OneDrive\Bureau\Game\ExcelMon\Image\Pokedex\Gauche\624.png" TargetMode="External"/><Relationship Id="rId834" Type="http://schemas.openxmlformats.org/officeDocument/2006/relationships/image" Target="file:///C:\Users\bapti\OneDrive\Bureau\Game\ExcelMon\Image\Pokedex\Droite\181.png" TargetMode="External"/><Relationship Id="rId1257" Type="http://schemas.openxmlformats.org/officeDocument/2006/relationships/image" Target="file:///C:\Users\bapti\OneDrive\Bureau\Game\ExcelMon\Image\Pokedex\Droite\604.png" TargetMode="External"/><Relationship Id="rId266" Type="http://schemas.openxmlformats.org/officeDocument/2006/relationships/image" Target="file:///C:\Users\bapti\OneDrive\Bureau\Game\ExcelMon\Image\Pokedex\Gauche\263.png" TargetMode="External"/><Relationship Id="rId473" Type="http://schemas.openxmlformats.org/officeDocument/2006/relationships/image" Target="file:///C:\Users\bapti\OneDrive\Bureau\Game\ExcelMon\Image\Pokedex\Gauche\470.png" TargetMode="External"/><Relationship Id="rId680" Type="http://schemas.openxmlformats.org/officeDocument/2006/relationships/image" Target="file:///C:\Users\bapti\OneDrive\Bureau\Game\ExcelMon\Image\Pokedex\Droite\27.png" TargetMode="External"/><Relationship Id="rId901" Type="http://schemas.openxmlformats.org/officeDocument/2006/relationships/image" Target="file:///C:\Users\bapti\OneDrive\Bureau\Game\ExcelMon\Image\Pokedex\Droite\248.png" TargetMode="External"/><Relationship Id="rId1117" Type="http://schemas.openxmlformats.org/officeDocument/2006/relationships/image" Target="file:///C:\Users\bapti\OneDrive\Bureau\Game\ExcelMon\Image\Pokedex\Droite\464.png" TargetMode="External"/><Relationship Id="rId30" Type="http://schemas.openxmlformats.org/officeDocument/2006/relationships/image" Target="file:///C:\Users\bapti\OneDrive\Bureau\Game\ExcelMon\Image\Pokedex\Gauche\27.png" TargetMode="External"/><Relationship Id="rId126" Type="http://schemas.openxmlformats.org/officeDocument/2006/relationships/image" Target="file:///C:\Users\bapti\OneDrive\Bureau\Game\ExcelMon\Image\Pokedex\Gauche\123.png" TargetMode="External"/><Relationship Id="rId333" Type="http://schemas.openxmlformats.org/officeDocument/2006/relationships/image" Target="file:///C:\Users\bapti\OneDrive\Bureau\Game\ExcelMon\Image\Pokedex\Gauche\330.png" TargetMode="External"/><Relationship Id="rId540" Type="http://schemas.openxmlformats.org/officeDocument/2006/relationships/image" Target="file:///C:\Users\bapti\OneDrive\Bureau\Game\ExcelMon\Image\Pokedex\Gauche\537.png" TargetMode="External"/><Relationship Id="rId778" Type="http://schemas.openxmlformats.org/officeDocument/2006/relationships/image" Target="file:///C:\Users\bapti\OneDrive\Bureau\Game\ExcelMon\Image\Pokedex\Droite\125.png" TargetMode="External"/><Relationship Id="rId985" Type="http://schemas.openxmlformats.org/officeDocument/2006/relationships/image" Target="file:///C:\Users\bapti\OneDrive\Bureau\Game\ExcelMon\Image\Pokedex\Droite\332.png" TargetMode="External"/><Relationship Id="rId1170" Type="http://schemas.openxmlformats.org/officeDocument/2006/relationships/image" Target="file:///C:\Users\bapti\OneDrive\Bureau\Game\ExcelMon\Image\Pokedex\Droite\517.png" TargetMode="External"/><Relationship Id="rId638" Type="http://schemas.openxmlformats.org/officeDocument/2006/relationships/image" Target="file:///C:\Users\bapti\OneDrive\Bureau\Game\ExcelMon\Image\Pokedex\Gauche\635.png" TargetMode="External"/><Relationship Id="rId845" Type="http://schemas.openxmlformats.org/officeDocument/2006/relationships/image" Target="file:///C:\Users\bapti\OneDrive\Bureau\Game\ExcelMon\Image\Pokedex\Droite\192.png" TargetMode="External"/><Relationship Id="rId1030" Type="http://schemas.openxmlformats.org/officeDocument/2006/relationships/image" Target="file:///C:\Users\bapti\OneDrive\Bureau\Game\ExcelMon\Image\Pokedex\Droite\377.png" TargetMode="External"/><Relationship Id="rId1268" Type="http://schemas.openxmlformats.org/officeDocument/2006/relationships/image" Target="file:///C:\Users\bapti\OneDrive\Bureau\Game\ExcelMon\Image\Pokedex\Droite\615.png" TargetMode="External"/><Relationship Id="rId277" Type="http://schemas.openxmlformats.org/officeDocument/2006/relationships/image" Target="file:///C:\Users\bapti\OneDrive\Bureau\Game\ExcelMon\Image\Pokedex\Gauche\274.png" TargetMode="External"/><Relationship Id="rId400" Type="http://schemas.openxmlformats.org/officeDocument/2006/relationships/image" Target="file:///C:\Users\bapti\OneDrive\Bureau\Game\ExcelMon\Image\Pokedex\Gauche\397.png" TargetMode="External"/><Relationship Id="rId484" Type="http://schemas.openxmlformats.org/officeDocument/2006/relationships/image" Target="file:///C:\Users\bapti\OneDrive\Bureau\Game\ExcelMon\Image\Pokedex\Gauche\481.png" TargetMode="External"/><Relationship Id="rId705" Type="http://schemas.openxmlformats.org/officeDocument/2006/relationships/image" Target="file:///C:\Users\bapti\OneDrive\Bureau\Game\ExcelMon\Image\Pokedex\Droite\52.png" TargetMode="External"/><Relationship Id="rId1128" Type="http://schemas.openxmlformats.org/officeDocument/2006/relationships/image" Target="file:///C:\Users\bapti\OneDrive\Bureau\Game\ExcelMon\Image\Pokedex\Droite\475.png" TargetMode="External"/><Relationship Id="rId137" Type="http://schemas.openxmlformats.org/officeDocument/2006/relationships/image" Target="file:///C:\Users\bapti\OneDrive\Bureau\Game\ExcelMon\Image\Pokedex\Gauche\134.png" TargetMode="External"/><Relationship Id="rId344" Type="http://schemas.openxmlformats.org/officeDocument/2006/relationships/image" Target="file:///C:\Users\bapti\OneDrive\Bureau\Game\ExcelMon\Image\Pokedex\Gauche\341.png" TargetMode="External"/><Relationship Id="rId691" Type="http://schemas.openxmlformats.org/officeDocument/2006/relationships/image" Target="file:///C:\Users\bapti\OneDrive\Bureau\Game\ExcelMon\Image\Pokedex\Droite\38.png" TargetMode="External"/><Relationship Id="rId789" Type="http://schemas.openxmlformats.org/officeDocument/2006/relationships/image" Target="file:///C:\Users\bapti\OneDrive\Bureau\Game\ExcelMon\Image\Pokedex\Droite\136.png" TargetMode="External"/><Relationship Id="rId912" Type="http://schemas.openxmlformats.org/officeDocument/2006/relationships/image" Target="file:///C:\Users\bapti\OneDrive\Bureau\Game\ExcelMon\Image\Pokedex\Droite\259.png" TargetMode="External"/><Relationship Id="rId996" Type="http://schemas.openxmlformats.org/officeDocument/2006/relationships/image" Target="file:///C:\Users\bapti\OneDrive\Bureau\Game\ExcelMon\Image\Pokedex\Droite\343.png" TargetMode="External"/><Relationship Id="rId41" Type="http://schemas.openxmlformats.org/officeDocument/2006/relationships/image" Target="file:///C:\Users\bapti\OneDrive\Bureau\Game\ExcelMon\Image\Pokedex\Gauche\38.png" TargetMode="External"/><Relationship Id="rId551" Type="http://schemas.openxmlformats.org/officeDocument/2006/relationships/image" Target="file:///C:\Users\bapti\OneDrive\Bureau\Game\ExcelMon\Image\Pokedex\Gauche\548.png" TargetMode="External"/><Relationship Id="rId649" Type="http://schemas.openxmlformats.org/officeDocument/2006/relationships/image" Target="file:///C:\Users\bapti\OneDrive\Bureau\Game\ExcelMon\Image\Pokedex\Gauche\646.png" TargetMode="External"/><Relationship Id="rId856" Type="http://schemas.openxmlformats.org/officeDocument/2006/relationships/image" Target="file:///C:\Users\bapti\OneDrive\Bureau\Game\ExcelMon\Image\Pokedex\Droite\203.png" TargetMode="External"/><Relationship Id="rId1181" Type="http://schemas.openxmlformats.org/officeDocument/2006/relationships/image" Target="file:///C:\Users\bapti\OneDrive\Bureau\Game\ExcelMon\Image\Pokedex\Droite\528.png" TargetMode="External"/><Relationship Id="rId1279" Type="http://schemas.openxmlformats.org/officeDocument/2006/relationships/image" Target="file:///C:\Users\bapti\OneDrive\Bureau\Game\ExcelMon\Image\Pokedex\Droite\626.png" TargetMode="External"/><Relationship Id="rId190" Type="http://schemas.openxmlformats.org/officeDocument/2006/relationships/image" Target="file:///C:\Users\bapti\OneDrive\Bureau\Game\ExcelMon\Image\Pokedex\Gauche\187.png" TargetMode="External"/><Relationship Id="rId204" Type="http://schemas.openxmlformats.org/officeDocument/2006/relationships/image" Target="file:///C:\Users\bapti\OneDrive\Bureau\Game\ExcelMon\Image\Pokedex\Gauche\201.png" TargetMode="External"/><Relationship Id="rId288" Type="http://schemas.openxmlformats.org/officeDocument/2006/relationships/image" Target="file:///C:\Users\bapti\OneDrive\Bureau\Game\ExcelMon\Image\Pokedex\Gauche\285.png" TargetMode="External"/><Relationship Id="rId411" Type="http://schemas.openxmlformats.org/officeDocument/2006/relationships/image" Target="file:///C:\Users\bapti\OneDrive\Bureau\Game\ExcelMon\Image\Pokedex\Gauche\408.png" TargetMode="External"/><Relationship Id="rId509" Type="http://schemas.openxmlformats.org/officeDocument/2006/relationships/image" Target="file:///C:\Users\bapti\OneDrive\Bureau\Game\ExcelMon\Image\Pokedex\Gauche\506.png" TargetMode="External"/><Relationship Id="rId1041" Type="http://schemas.openxmlformats.org/officeDocument/2006/relationships/image" Target="file:///C:\Users\bapti\OneDrive\Bureau\Game\ExcelMon\Image\Pokedex\Droite\388.png" TargetMode="External"/><Relationship Id="rId1139" Type="http://schemas.openxmlformats.org/officeDocument/2006/relationships/image" Target="file:///C:\Users\bapti\OneDrive\Bureau\Game\ExcelMon\Image\Pokedex\Droite\486.png" TargetMode="External"/><Relationship Id="rId495" Type="http://schemas.openxmlformats.org/officeDocument/2006/relationships/image" Target="file:///C:\Users\bapti\OneDrive\Bureau\Game\ExcelMon\Image\Pokedex\Gauche\492.png" TargetMode="External"/><Relationship Id="rId716" Type="http://schemas.openxmlformats.org/officeDocument/2006/relationships/image" Target="file:///C:\Users\bapti\OneDrive\Bureau\Game\ExcelMon\Image\Pokedex\Droite\63.png" TargetMode="External"/><Relationship Id="rId923" Type="http://schemas.openxmlformats.org/officeDocument/2006/relationships/image" Target="file:///C:\Users\bapti\OneDrive\Bureau\Game\ExcelMon\Image\Pokedex\Droite\270.png" TargetMode="External"/><Relationship Id="rId52" Type="http://schemas.openxmlformats.org/officeDocument/2006/relationships/image" Target="file:///C:\Users\bapti\OneDrive\Bureau\Game\ExcelMon\Image\Pokedex\Gauche\49.png" TargetMode="External"/><Relationship Id="rId148" Type="http://schemas.openxmlformats.org/officeDocument/2006/relationships/image" Target="file:///C:\Users\bapti\OneDrive\Bureau\Game\ExcelMon\Image\Pokedex\Gauche\145.png" TargetMode="External"/><Relationship Id="rId355" Type="http://schemas.openxmlformats.org/officeDocument/2006/relationships/image" Target="file:///C:\Users\bapti\OneDrive\Bureau\Game\ExcelMon\Image\Pokedex\Gauche\352.png" TargetMode="External"/><Relationship Id="rId562" Type="http://schemas.openxmlformats.org/officeDocument/2006/relationships/image" Target="file:///C:\Users\bapti\OneDrive\Bureau\Game\ExcelMon\Image\Pokedex\Gauche\559.png" TargetMode="External"/><Relationship Id="rId1192" Type="http://schemas.openxmlformats.org/officeDocument/2006/relationships/image" Target="file:///C:\Users\bapti\OneDrive\Bureau\Game\ExcelMon\Image\Pokedex\Droite\539.png" TargetMode="External"/><Relationship Id="rId1206" Type="http://schemas.openxmlformats.org/officeDocument/2006/relationships/image" Target="file:///C:\Users\bapti\OneDrive\Bureau\Game\ExcelMon\Image\Pokedex\Droite\553.png" TargetMode="External"/><Relationship Id="rId215" Type="http://schemas.openxmlformats.org/officeDocument/2006/relationships/image" Target="file:///C:\Users\bapti\OneDrive\Bureau\Game\ExcelMon\Image\Pokedex\Gauche\212.png" TargetMode="External"/><Relationship Id="rId422" Type="http://schemas.openxmlformats.org/officeDocument/2006/relationships/image" Target="file:///C:\Users\bapti\OneDrive\Bureau\Game\ExcelMon\Image\Pokedex\Gauche\419.png" TargetMode="External"/><Relationship Id="rId867" Type="http://schemas.openxmlformats.org/officeDocument/2006/relationships/image" Target="file:///C:\Users\bapti\OneDrive\Bureau\Game\ExcelMon\Image\Pokedex\Droite\214.png" TargetMode="External"/><Relationship Id="rId1052" Type="http://schemas.openxmlformats.org/officeDocument/2006/relationships/image" Target="file:///C:\Users\bapti\OneDrive\Bureau\Game\ExcelMon\Image\Pokedex\Droite\399.png" TargetMode="External"/><Relationship Id="rId299" Type="http://schemas.openxmlformats.org/officeDocument/2006/relationships/image" Target="file:///C:\Users\bapti\OneDrive\Bureau\Game\ExcelMon\Image\Pokedex\Gauche\296.png" TargetMode="External"/><Relationship Id="rId727" Type="http://schemas.openxmlformats.org/officeDocument/2006/relationships/image" Target="file:///C:\Users\bapti\OneDrive\Bureau\Game\ExcelMon\Image\Pokedex\Droite\74.png" TargetMode="External"/><Relationship Id="rId934" Type="http://schemas.openxmlformats.org/officeDocument/2006/relationships/image" Target="file:///C:\Users\bapti\OneDrive\Bureau\Game\ExcelMon\Image\Pokedex\Droite\281.png" TargetMode="External"/><Relationship Id="rId63" Type="http://schemas.openxmlformats.org/officeDocument/2006/relationships/image" Target="file:///C:\Users\bapti\OneDrive\Bureau\Game\ExcelMon\Image\Pokedex\Gauche\60.png" TargetMode="External"/><Relationship Id="rId159" Type="http://schemas.openxmlformats.org/officeDocument/2006/relationships/image" Target="file:///C:\Users\bapti\OneDrive\Bureau\Game\ExcelMon\Image\Pokedex\Gauche\156.png" TargetMode="External"/><Relationship Id="rId366" Type="http://schemas.openxmlformats.org/officeDocument/2006/relationships/image" Target="file:///C:\Users\bapti\OneDrive\Bureau\Game\ExcelMon\Image\Pokedex\Gauche\363.png" TargetMode="External"/><Relationship Id="rId573" Type="http://schemas.openxmlformats.org/officeDocument/2006/relationships/image" Target="file:///C:\Users\bapti\OneDrive\Bureau\Game\ExcelMon\Image\Pokedex\Gauche\570.png" TargetMode="External"/><Relationship Id="rId780" Type="http://schemas.openxmlformats.org/officeDocument/2006/relationships/image" Target="file:///C:\Users\bapti\OneDrive\Bureau\Game\ExcelMon\Image\Pokedex\Droite\127.png" TargetMode="External"/><Relationship Id="rId1217" Type="http://schemas.openxmlformats.org/officeDocument/2006/relationships/image" Target="file:///C:\Users\bapti\OneDrive\Bureau\Game\ExcelMon\Image\Pokedex\Droite\564.png" TargetMode="External"/><Relationship Id="rId226" Type="http://schemas.openxmlformats.org/officeDocument/2006/relationships/image" Target="file:///C:\Users\bapti\OneDrive\Bureau\Game\ExcelMon\Image\Pokedex\Gauche\223.png" TargetMode="External"/><Relationship Id="rId433" Type="http://schemas.openxmlformats.org/officeDocument/2006/relationships/image" Target="file:///C:\Users\bapti\OneDrive\Bureau\Game\ExcelMon\Image\Pokedex\Gauche\430.png" TargetMode="External"/><Relationship Id="rId878" Type="http://schemas.openxmlformats.org/officeDocument/2006/relationships/image" Target="file:///C:\Users\bapti\OneDrive\Bureau\Game\ExcelMon\Image\Pokedex\Droite\225.png" TargetMode="External"/><Relationship Id="rId1063" Type="http://schemas.openxmlformats.org/officeDocument/2006/relationships/image" Target="file:///C:\Users\bapti\OneDrive\Bureau\Game\ExcelMon\Image\Pokedex\Droite\410.png" TargetMode="External"/><Relationship Id="rId1270" Type="http://schemas.openxmlformats.org/officeDocument/2006/relationships/image" Target="file:///C:\Users\bapti\OneDrive\Bureau\Game\ExcelMon\Image\Pokedex\Droite\617.png" TargetMode="External"/><Relationship Id="rId640" Type="http://schemas.openxmlformats.org/officeDocument/2006/relationships/image" Target="file:///C:\Users\bapti\OneDrive\Bureau\Game\ExcelMon\Image\Pokedex\Gauche\637.png" TargetMode="External"/><Relationship Id="rId738" Type="http://schemas.openxmlformats.org/officeDocument/2006/relationships/image" Target="file:///C:\Users\bapti\OneDrive\Bureau\Game\ExcelMon\Image\Pokedex\Droite\85.png" TargetMode="External"/><Relationship Id="rId945" Type="http://schemas.openxmlformats.org/officeDocument/2006/relationships/image" Target="file:///C:\Users\bapti\OneDrive\Bureau\Game\ExcelMon\Image\Pokedex\Droite\292.png" TargetMode="External"/><Relationship Id="rId74" Type="http://schemas.openxmlformats.org/officeDocument/2006/relationships/image" Target="file:///C:\Users\bapti\OneDrive\Bureau\Game\ExcelMon\Image\Pokedex\Gauche\71.png" TargetMode="External"/><Relationship Id="rId377" Type="http://schemas.openxmlformats.org/officeDocument/2006/relationships/image" Target="file:///C:\Users\bapti\OneDrive\Bureau\Game\ExcelMon\Image\Pokedex\Gauche\374.png" TargetMode="External"/><Relationship Id="rId500" Type="http://schemas.openxmlformats.org/officeDocument/2006/relationships/image" Target="file:///C:\Users\bapti\OneDrive\Bureau\Game\ExcelMon\Image\Pokedex\Gauche\497.png" TargetMode="External"/><Relationship Id="rId584" Type="http://schemas.openxmlformats.org/officeDocument/2006/relationships/image" Target="file:///C:\Users\bapti\OneDrive\Bureau\Game\ExcelMon\Image\Pokedex\Gauche\581.png" TargetMode="External"/><Relationship Id="rId805" Type="http://schemas.openxmlformats.org/officeDocument/2006/relationships/image" Target="file:///C:\Users\bapti\OneDrive\Bureau\Game\ExcelMon\Image\Pokedex\Droite\152.png" TargetMode="External"/><Relationship Id="rId1130" Type="http://schemas.openxmlformats.org/officeDocument/2006/relationships/image" Target="file:///C:\Users\bapti\OneDrive\Bureau\Game\ExcelMon\Image\Pokedex\Droite\477.png" TargetMode="External"/><Relationship Id="rId1228" Type="http://schemas.openxmlformats.org/officeDocument/2006/relationships/image" Target="file:///C:\Users\bapti\OneDrive\Bureau\Game\ExcelMon\Image\Pokedex\Droite\575.png" TargetMode="External"/><Relationship Id="rId5" Type="http://schemas.openxmlformats.org/officeDocument/2006/relationships/image" Target="file:///C:\Users\bapti\OneDrive\Bureau\Game\ExcelMon\Image\Pokedex\Gauche\2.png" TargetMode="External"/><Relationship Id="rId237" Type="http://schemas.openxmlformats.org/officeDocument/2006/relationships/image" Target="file:///C:\Users\bapti\OneDrive\Bureau\Game\ExcelMon\Image\Pokedex\Gauche\234.png" TargetMode="External"/><Relationship Id="rId791" Type="http://schemas.openxmlformats.org/officeDocument/2006/relationships/image" Target="file:///C:\Users\bapti\OneDrive\Bureau\Game\ExcelMon\Image\Pokedex\Droite\138.png" TargetMode="External"/><Relationship Id="rId889" Type="http://schemas.openxmlformats.org/officeDocument/2006/relationships/image" Target="file:///C:\Users\bapti\OneDrive\Bureau\Game\ExcelMon\Image\Pokedex\Droite\236.png" TargetMode="External"/><Relationship Id="rId1074" Type="http://schemas.openxmlformats.org/officeDocument/2006/relationships/image" Target="file:///C:\Users\bapti\OneDrive\Bureau\Game\ExcelMon\Image\Pokedex\Droite\421.png" TargetMode="External"/><Relationship Id="rId444" Type="http://schemas.openxmlformats.org/officeDocument/2006/relationships/image" Target="file:///C:\Users\bapti\OneDrive\Bureau\Game\ExcelMon\Image\Pokedex\Gauche\441.png" TargetMode="External"/><Relationship Id="rId651" Type="http://schemas.openxmlformats.org/officeDocument/2006/relationships/image" Target="file:///C:\Users\bapti\OneDrive\Bureau\Game\ExcelMon\Image\Pokedex\Gauche\648.png" TargetMode="External"/><Relationship Id="rId749" Type="http://schemas.openxmlformats.org/officeDocument/2006/relationships/image" Target="file:///C:\Users\bapti\OneDrive\Bureau\Game\ExcelMon\Image\Pokedex\Droite\96.png" TargetMode="External"/><Relationship Id="rId1281" Type="http://schemas.openxmlformats.org/officeDocument/2006/relationships/image" Target="file:///C:\Users\bapti\OneDrive\Bureau\Game\ExcelMon\Image\Pokedex\Droite\628.png" TargetMode="External"/><Relationship Id="rId290" Type="http://schemas.openxmlformats.org/officeDocument/2006/relationships/image" Target="file:///C:\Users\bapti\OneDrive\Bureau\Game\ExcelMon\Image\Pokedex\Gauche\287.png" TargetMode="External"/><Relationship Id="rId304" Type="http://schemas.openxmlformats.org/officeDocument/2006/relationships/image" Target="file:///C:\Users\bapti\OneDrive\Bureau\Game\ExcelMon\Image\Pokedex\Gauche\301.png" TargetMode="External"/><Relationship Id="rId388" Type="http://schemas.openxmlformats.org/officeDocument/2006/relationships/image" Target="file:///C:\Users\bapti\OneDrive\Bureau\Game\ExcelMon\Image\Pokedex\Gauche\385.png" TargetMode="External"/><Relationship Id="rId511" Type="http://schemas.openxmlformats.org/officeDocument/2006/relationships/image" Target="file:///C:\Users\bapti\OneDrive\Bureau\Game\ExcelMon\Image\Pokedex\Gauche\508.png" TargetMode="External"/><Relationship Id="rId609" Type="http://schemas.openxmlformats.org/officeDocument/2006/relationships/image" Target="file:///C:\Users\bapti\OneDrive\Bureau\Game\ExcelMon\Image\Pokedex\Gauche\606.png" TargetMode="External"/><Relationship Id="rId956" Type="http://schemas.openxmlformats.org/officeDocument/2006/relationships/image" Target="file:///C:\Users\bapti\OneDrive\Bureau\Game\ExcelMon\Image\Pokedex\Droite\303.png" TargetMode="External"/><Relationship Id="rId1141" Type="http://schemas.openxmlformats.org/officeDocument/2006/relationships/image" Target="file:///C:\Users\bapti\OneDrive\Bureau\Game\ExcelMon\Image\Pokedex\Droite\488.png" TargetMode="External"/><Relationship Id="rId1239" Type="http://schemas.openxmlformats.org/officeDocument/2006/relationships/image" Target="file:///C:\Users\bapti\OneDrive\Bureau\Game\ExcelMon\Image\Pokedex\Droite\586.png" TargetMode="External"/><Relationship Id="rId85" Type="http://schemas.openxmlformats.org/officeDocument/2006/relationships/image" Target="file:///C:\Users\bapti\OneDrive\Bureau\Game\ExcelMon\Image\Pokedex\Gauche\82.png" TargetMode="External"/><Relationship Id="rId150" Type="http://schemas.openxmlformats.org/officeDocument/2006/relationships/image" Target="file:///C:\Users\bapti\OneDrive\Bureau\Game\ExcelMon\Image\Pokedex\Gauche\147.png" TargetMode="External"/><Relationship Id="rId595" Type="http://schemas.openxmlformats.org/officeDocument/2006/relationships/image" Target="file:///C:\Users\bapti\OneDrive\Bureau\Game\ExcelMon\Image\Pokedex\Gauche\592.png" TargetMode="External"/><Relationship Id="rId816" Type="http://schemas.openxmlformats.org/officeDocument/2006/relationships/image" Target="file:///C:\Users\bapti\OneDrive\Bureau\Game\ExcelMon\Image\Pokedex\Droite\163.png" TargetMode="External"/><Relationship Id="rId1001" Type="http://schemas.openxmlformats.org/officeDocument/2006/relationships/image" Target="file:///C:\Users\bapti\OneDrive\Bureau\Game\ExcelMon\Image\Pokedex\Droite\348.png" TargetMode="External"/><Relationship Id="rId248" Type="http://schemas.openxmlformats.org/officeDocument/2006/relationships/image" Target="file:///C:\Users\bapti\OneDrive\Bureau\Game\ExcelMon\Image\Pokedex\Gauche\245.png" TargetMode="External"/><Relationship Id="rId455" Type="http://schemas.openxmlformats.org/officeDocument/2006/relationships/image" Target="file:///C:\Users\bapti\OneDrive\Bureau\Game\ExcelMon\Image\Pokedex\Gauche\452.png" TargetMode="External"/><Relationship Id="rId662" Type="http://schemas.openxmlformats.org/officeDocument/2006/relationships/image" Target="file:///C:\Users\bapti\OneDrive\Bureau\Game\ExcelMon\Image\Pokedex\Droite\9.png" TargetMode="External"/><Relationship Id="rId1085" Type="http://schemas.openxmlformats.org/officeDocument/2006/relationships/image" Target="file:///C:\Users\bapti\OneDrive\Bureau\Game\ExcelMon\Image\Pokedex\Droite\432.png" TargetMode="External"/><Relationship Id="rId1292" Type="http://schemas.openxmlformats.org/officeDocument/2006/relationships/image" Target="file:///C:\Users\bapti\OneDrive\Bureau\Game\ExcelMon\Image\Pokedex\Droite\639.png" TargetMode="External"/><Relationship Id="rId12" Type="http://schemas.openxmlformats.org/officeDocument/2006/relationships/image" Target="file:///C:\Users\bapti\OneDrive\Bureau\Game\ExcelMon\Image\Pokedex\Gauche\9.png" TargetMode="External"/><Relationship Id="rId108" Type="http://schemas.openxmlformats.org/officeDocument/2006/relationships/image" Target="file:///C:\Users\bapti\OneDrive\Bureau\Game\ExcelMon\Image\Pokedex\Gauche\105.png" TargetMode="External"/><Relationship Id="rId315" Type="http://schemas.openxmlformats.org/officeDocument/2006/relationships/image" Target="file:///C:\Users\bapti\OneDrive\Bureau\Game\ExcelMon\Image\Pokedex\Gauche\312.png" TargetMode="External"/><Relationship Id="rId522" Type="http://schemas.openxmlformats.org/officeDocument/2006/relationships/image" Target="file:///C:\Users\bapti\OneDrive\Bureau\Game\ExcelMon\Image\Pokedex\Gauche\519.png" TargetMode="External"/><Relationship Id="rId967" Type="http://schemas.openxmlformats.org/officeDocument/2006/relationships/image" Target="file:///C:\Users\bapti\OneDrive\Bureau\Game\ExcelMon\Image\Pokedex\Droite\314.png" TargetMode="External"/><Relationship Id="rId1152" Type="http://schemas.openxmlformats.org/officeDocument/2006/relationships/image" Target="file:///C:\Users\bapti\OneDrive\Bureau\Game\ExcelMon\Image\Pokedex\Droite\499.png" TargetMode="External"/><Relationship Id="rId96" Type="http://schemas.openxmlformats.org/officeDocument/2006/relationships/image" Target="file:///C:\Users\bapti\OneDrive\Bureau\Game\ExcelMon\Image\Pokedex\Gauche\93.png" TargetMode="External"/><Relationship Id="rId161" Type="http://schemas.openxmlformats.org/officeDocument/2006/relationships/image" Target="file:///C:\Users\bapti\OneDrive\Bureau\Game\ExcelMon\Image\Pokedex\Gauche\158.png" TargetMode="External"/><Relationship Id="rId399" Type="http://schemas.openxmlformats.org/officeDocument/2006/relationships/image" Target="file:///C:\Users\bapti\OneDrive\Bureau\Game\ExcelMon\Image\Pokedex\Gauche\396.png" TargetMode="External"/><Relationship Id="rId827" Type="http://schemas.openxmlformats.org/officeDocument/2006/relationships/image" Target="file:///C:\Users\bapti\OneDrive\Bureau\Game\ExcelMon\Image\Pokedex\Droite\174.png" TargetMode="External"/><Relationship Id="rId1012" Type="http://schemas.openxmlformats.org/officeDocument/2006/relationships/image" Target="file:///C:\Users\bapti\OneDrive\Bureau\Game\ExcelMon\Image\Pokedex\Droite\359.png" TargetMode="External"/><Relationship Id="rId259" Type="http://schemas.openxmlformats.org/officeDocument/2006/relationships/image" Target="file:///C:\Users\bapti\OneDrive\Bureau\Game\ExcelMon\Image\Pokedex\Gauche\256.png" TargetMode="External"/><Relationship Id="rId466" Type="http://schemas.openxmlformats.org/officeDocument/2006/relationships/image" Target="file:///C:\Users\bapti\OneDrive\Bureau\Game\ExcelMon\Image\Pokedex\Gauche\463.png" TargetMode="External"/><Relationship Id="rId673" Type="http://schemas.openxmlformats.org/officeDocument/2006/relationships/image" Target="file:///C:\Users\bapti\OneDrive\Bureau\Game\ExcelMon\Image\Pokedex\Droite\20.png" TargetMode="External"/><Relationship Id="rId880" Type="http://schemas.openxmlformats.org/officeDocument/2006/relationships/image" Target="file:///C:\Users\bapti\OneDrive\Bureau\Game\ExcelMon\Image\Pokedex\Droite\227.png" TargetMode="External"/><Relationship Id="rId1096" Type="http://schemas.openxmlformats.org/officeDocument/2006/relationships/image" Target="file:///C:\Users\bapti\OneDrive\Bureau\Game\ExcelMon\Image\Pokedex\Droite\443.png" TargetMode="External"/><Relationship Id="rId23" Type="http://schemas.openxmlformats.org/officeDocument/2006/relationships/image" Target="file:///C:\Users\bapti\OneDrive\Bureau\Game\ExcelMon\Image\Pokedex\Gauche\20.png" TargetMode="External"/><Relationship Id="rId119" Type="http://schemas.openxmlformats.org/officeDocument/2006/relationships/image" Target="file:///C:\Users\bapti\OneDrive\Bureau\Game\ExcelMon\Image\Pokedex\Gauche\116.png" TargetMode="External"/><Relationship Id="rId326" Type="http://schemas.openxmlformats.org/officeDocument/2006/relationships/image" Target="file:///C:\Users\bapti\OneDrive\Bureau\Game\ExcelMon\Image\Pokedex\Gauche\323.png" TargetMode="External"/><Relationship Id="rId533" Type="http://schemas.openxmlformats.org/officeDocument/2006/relationships/image" Target="file:///C:\Users\bapti\OneDrive\Bureau\Game\ExcelMon\Image\Pokedex\Gauche\530.png" TargetMode="External"/><Relationship Id="rId978" Type="http://schemas.openxmlformats.org/officeDocument/2006/relationships/image" Target="file:///C:\Users\bapti\OneDrive\Bureau\Game\ExcelMon\Image\Pokedex\Droite\325.png" TargetMode="External"/><Relationship Id="rId1163" Type="http://schemas.openxmlformats.org/officeDocument/2006/relationships/image" Target="file:///C:\Users\bapti\OneDrive\Bureau\Game\ExcelMon\Image\Pokedex\Droite\510.png" TargetMode="External"/><Relationship Id="rId740" Type="http://schemas.openxmlformats.org/officeDocument/2006/relationships/image" Target="file:///C:\Users\bapti\OneDrive\Bureau\Game\ExcelMon\Image\Pokedex\Droite\87.png" TargetMode="External"/><Relationship Id="rId838" Type="http://schemas.openxmlformats.org/officeDocument/2006/relationships/image" Target="file:///C:\Users\bapti\OneDrive\Bureau\Game\ExcelMon\Image\Pokedex\Droite\185.png" TargetMode="External"/><Relationship Id="rId1023" Type="http://schemas.openxmlformats.org/officeDocument/2006/relationships/image" Target="file:///C:\Users\bapti\OneDrive\Bureau\Game\ExcelMon\Image\Pokedex\Droite\370.png" TargetMode="External"/><Relationship Id="rId172" Type="http://schemas.openxmlformats.org/officeDocument/2006/relationships/image" Target="file:///C:\Users\bapti\OneDrive\Bureau\Game\ExcelMon\Image\Pokedex\Gauche\169.png" TargetMode="External"/><Relationship Id="rId477" Type="http://schemas.openxmlformats.org/officeDocument/2006/relationships/image" Target="file:///C:\Users\bapti\OneDrive\Bureau\Game\ExcelMon\Image\Pokedex\Gauche\474.png" TargetMode="External"/><Relationship Id="rId600" Type="http://schemas.openxmlformats.org/officeDocument/2006/relationships/image" Target="file:///C:\Users\bapti\OneDrive\Bureau\Game\ExcelMon\Image\Pokedex\Gauche\597.png" TargetMode="External"/><Relationship Id="rId684" Type="http://schemas.openxmlformats.org/officeDocument/2006/relationships/image" Target="file:///C:\Users\bapti\OneDrive\Bureau\Game\ExcelMon\Image\Pokedex\Droite\31.png" TargetMode="External"/><Relationship Id="rId1230" Type="http://schemas.openxmlformats.org/officeDocument/2006/relationships/image" Target="file:///C:\Users\bapti\OneDrive\Bureau\Game\ExcelMon\Image\Pokedex\Droite\577.png" TargetMode="External"/><Relationship Id="rId337" Type="http://schemas.openxmlformats.org/officeDocument/2006/relationships/image" Target="file:///C:\Users\bapti\OneDrive\Bureau\Game\ExcelMon\Image\Pokedex\Gauche\334.png" TargetMode="External"/><Relationship Id="rId891" Type="http://schemas.openxmlformats.org/officeDocument/2006/relationships/image" Target="file:///C:\Users\bapti\OneDrive\Bureau\Game\ExcelMon\Image\Pokedex\Droite\238.png" TargetMode="External"/><Relationship Id="rId905" Type="http://schemas.openxmlformats.org/officeDocument/2006/relationships/image" Target="file:///C:\Users\bapti\OneDrive\Bureau\Game\ExcelMon\Image\Pokedex\Droite\252.png" TargetMode="External"/><Relationship Id="rId989" Type="http://schemas.openxmlformats.org/officeDocument/2006/relationships/image" Target="file:///C:\Users\bapti\OneDrive\Bureau\Game\ExcelMon\Image\Pokedex\Droite\336.png" TargetMode="External"/><Relationship Id="rId34" Type="http://schemas.openxmlformats.org/officeDocument/2006/relationships/image" Target="file:///C:\Users\bapti\OneDrive\Bureau\Game\ExcelMon\Image\Pokedex\Gauche\31.png" TargetMode="External"/><Relationship Id="rId544" Type="http://schemas.openxmlformats.org/officeDocument/2006/relationships/image" Target="file:///C:\Users\bapti\OneDrive\Bureau\Game\ExcelMon\Image\Pokedex\Gauche\541.png" TargetMode="External"/><Relationship Id="rId751" Type="http://schemas.openxmlformats.org/officeDocument/2006/relationships/image" Target="file:///C:\Users\bapti\OneDrive\Bureau\Game\ExcelMon\Image\Pokedex\Droite\98.png" TargetMode="External"/><Relationship Id="rId849" Type="http://schemas.openxmlformats.org/officeDocument/2006/relationships/image" Target="file:///C:\Users\bapti\OneDrive\Bureau\Game\ExcelMon\Image\Pokedex\Droite\196.png" TargetMode="External"/><Relationship Id="rId1174" Type="http://schemas.openxmlformats.org/officeDocument/2006/relationships/image" Target="file:///C:\Users\bapti\OneDrive\Bureau\Game\ExcelMon\Image\Pokedex\Droite\521.png" TargetMode="External"/><Relationship Id="rId183" Type="http://schemas.openxmlformats.org/officeDocument/2006/relationships/image" Target="file:///C:\Users\bapti\OneDrive\Bureau\Game\ExcelMon\Image\Pokedex\Gauche\180.png" TargetMode="External"/><Relationship Id="rId390" Type="http://schemas.openxmlformats.org/officeDocument/2006/relationships/image" Target="file:///C:\Users\bapti\OneDrive\Bureau\Game\ExcelMon\Image\Pokedex\Gauche\387.png" TargetMode="External"/><Relationship Id="rId404" Type="http://schemas.openxmlformats.org/officeDocument/2006/relationships/image" Target="file:///C:\Users\bapti\OneDrive\Bureau\Game\ExcelMon\Image\Pokedex\Gauche\401.png" TargetMode="External"/><Relationship Id="rId611" Type="http://schemas.openxmlformats.org/officeDocument/2006/relationships/image" Target="file:///C:\Users\bapti\OneDrive\Bureau\Game\ExcelMon\Image\Pokedex\Gauche\608.png" TargetMode="External"/><Relationship Id="rId1034" Type="http://schemas.openxmlformats.org/officeDocument/2006/relationships/image" Target="file:///C:\Users\bapti\OneDrive\Bureau\Game\ExcelMon\Image\Pokedex\Droite\381.png" TargetMode="External"/><Relationship Id="rId1241" Type="http://schemas.openxmlformats.org/officeDocument/2006/relationships/image" Target="file:///C:\Users\bapti\OneDrive\Bureau\Game\ExcelMon\Image\Pokedex\Droite\588.png" TargetMode="External"/><Relationship Id="rId250" Type="http://schemas.openxmlformats.org/officeDocument/2006/relationships/image" Target="file:///C:\Users\bapti\OneDrive\Bureau\Game\ExcelMon\Image\Pokedex\Gauche\247.png" TargetMode="External"/><Relationship Id="rId488" Type="http://schemas.openxmlformats.org/officeDocument/2006/relationships/image" Target="file:///C:\Users\bapti\OneDrive\Bureau\Game\ExcelMon\Image\Pokedex\Gauche\485.png" TargetMode="External"/><Relationship Id="rId695" Type="http://schemas.openxmlformats.org/officeDocument/2006/relationships/image" Target="file:///C:\Users\bapti\OneDrive\Bureau\Game\ExcelMon\Image\Pokedex\Droite\42.png" TargetMode="External"/><Relationship Id="rId709" Type="http://schemas.openxmlformats.org/officeDocument/2006/relationships/image" Target="file:///C:\Users\bapti\OneDrive\Bureau\Game\ExcelMon\Image\Pokedex\Droite\56.png" TargetMode="External"/><Relationship Id="rId916" Type="http://schemas.openxmlformats.org/officeDocument/2006/relationships/image" Target="file:///C:\Users\bapti\OneDrive\Bureau\Game\ExcelMon\Image\Pokedex\Droite\263.png" TargetMode="External"/><Relationship Id="rId1101" Type="http://schemas.openxmlformats.org/officeDocument/2006/relationships/image" Target="file:///C:\Users\bapti\OneDrive\Bureau\Game\ExcelMon\Image\Pokedex\Droite\448.png" TargetMode="External"/><Relationship Id="rId45" Type="http://schemas.openxmlformats.org/officeDocument/2006/relationships/image" Target="file:///C:\Users\bapti\OneDrive\Bureau\Game\ExcelMon\Image\Pokedex\Gauche\42.png" TargetMode="External"/><Relationship Id="rId110" Type="http://schemas.openxmlformats.org/officeDocument/2006/relationships/image" Target="file:///C:\Users\bapti\OneDrive\Bureau\Game\ExcelMon\Image\Pokedex\Gauche\107.png" TargetMode="External"/><Relationship Id="rId348" Type="http://schemas.openxmlformats.org/officeDocument/2006/relationships/image" Target="file:///C:\Users\bapti\OneDrive\Bureau\Game\ExcelMon\Image\Pokedex\Gauche\345.png" TargetMode="External"/><Relationship Id="rId555" Type="http://schemas.openxmlformats.org/officeDocument/2006/relationships/image" Target="file:///C:\Users\bapti\OneDrive\Bureau\Game\ExcelMon\Image\Pokedex\Gauche\552.png" TargetMode="External"/><Relationship Id="rId762" Type="http://schemas.openxmlformats.org/officeDocument/2006/relationships/image" Target="file:///C:\Users\bapti\OneDrive\Bureau\Game\ExcelMon\Image\Pokedex\Droite\109.png" TargetMode="External"/><Relationship Id="rId1185" Type="http://schemas.openxmlformats.org/officeDocument/2006/relationships/image" Target="file:///C:\Users\bapti\OneDrive\Bureau\Game\ExcelMon\Image\Pokedex\Droite\532.png" TargetMode="External"/><Relationship Id="rId194" Type="http://schemas.openxmlformats.org/officeDocument/2006/relationships/image" Target="file:///C:\Users\bapti\OneDrive\Bureau\Game\ExcelMon\Image\Pokedex\Gauche\191.png" TargetMode="External"/><Relationship Id="rId208" Type="http://schemas.openxmlformats.org/officeDocument/2006/relationships/image" Target="file:///C:\Users\bapti\OneDrive\Bureau\Game\ExcelMon\Image\Pokedex\Gauche\205.png" TargetMode="External"/><Relationship Id="rId415" Type="http://schemas.openxmlformats.org/officeDocument/2006/relationships/image" Target="file:///C:\Users\bapti\OneDrive\Bureau\Game\ExcelMon\Image\Pokedex\Gauche\412.png" TargetMode="External"/><Relationship Id="rId622" Type="http://schemas.openxmlformats.org/officeDocument/2006/relationships/image" Target="file:///C:\Users\bapti\OneDrive\Bureau\Game\ExcelMon\Image\Pokedex\Gauche\619.png" TargetMode="External"/><Relationship Id="rId1045" Type="http://schemas.openxmlformats.org/officeDocument/2006/relationships/image" Target="file:///C:\Users\bapti\OneDrive\Bureau\Game\ExcelMon\Image\Pokedex\Droite\392.png" TargetMode="External"/><Relationship Id="rId1252" Type="http://schemas.openxmlformats.org/officeDocument/2006/relationships/image" Target="file:///C:\Users\bapti\OneDrive\Bureau\Game\ExcelMon\Image\Pokedex\Droite\599.png" TargetMode="External"/><Relationship Id="rId261" Type="http://schemas.openxmlformats.org/officeDocument/2006/relationships/image" Target="file:///C:\Users\bapti\OneDrive\Bureau\Game\ExcelMon\Image\Pokedex\Gauche\258.png" TargetMode="External"/><Relationship Id="rId499" Type="http://schemas.openxmlformats.org/officeDocument/2006/relationships/image" Target="file:///C:\Users\bapti\OneDrive\Bureau\Game\ExcelMon\Image\Pokedex\Gauche\496.png" TargetMode="External"/><Relationship Id="rId927" Type="http://schemas.openxmlformats.org/officeDocument/2006/relationships/image" Target="file:///C:\Users\bapti\OneDrive\Bureau\Game\ExcelMon\Image\Pokedex\Droite\274.png" TargetMode="External"/><Relationship Id="rId1112" Type="http://schemas.openxmlformats.org/officeDocument/2006/relationships/image" Target="file:///C:\Users\bapti\OneDrive\Bureau\Game\ExcelMon\Image\Pokedex\Droite\459.png" TargetMode="External"/><Relationship Id="rId56" Type="http://schemas.openxmlformats.org/officeDocument/2006/relationships/image" Target="file:///C:\Users\bapti\OneDrive\Bureau\Game\ExcelMon\Image\Pokedex\Gauche\53.png" TargetMode="External"/><Relationship Id="rId359" Type="http://schemas.openxmlformats.org/officeDocument/2006/relationships/image" Target="file:///C:\Users\bapti\OneDrive\Bureau\Game\ExcelMon\Image\Pokedex\Gauche\356.png" TargetMode="External"/><Relationship Id="rId566" Type="http://schemas.openxmlformats.org/officeDocument/2006/relationships/image" Target="file:///C:\Users\bapti\OneDrive\Bureau\Game\ExcelMon\Image\Pokedex\Gauche\563.png" TargetMode="External"/><Relationship Id="rId773" Type="http://schemas.openxmlformats.org/officeDocument/2006/relationships/image" Target="file:///C:\Users\bapti\OneDrive\Bureau\Game\ExcelMon\Image\Pokedex\Droite\120.png" TargetMode="External"/><Relationship Id="rId1196" Type="http://schemas.openxmlformats.org/officeDocument/2006/relationships/image" Target="file:///C:\Users\bapti\OneDrive\Bureau\Game\ExcelMon\Image\Pokedex\Droite\543.png" TargetMode="External"/><Relationship Id="rId121" Type="http://schemas.openxmlformats.org/officeDocument/2006/relationships/image" Target="file:///C:\Users\bapti\OneDrive\Bureau\Game\ExcelMon\Image\Pokedex\Gauche\118.png" TargetMode="External"/><Relationship Id="rId219" Type="http://schemas.openxmlformats.org/officeDocument/2006/relationships/image" Target="file:///C:\Users\bapti\OneDrive\Bureau\Game\ExcelMon\Image\Pokedex\Gauche\216.png" TargetMode="External"/><Relationship Id="rId426" Type="http://schemas.openxmlformats.org/officeDocument/2006/relationships/image" Target="file:///C:\Users\bapti\OneDrive\Bureau\Game\ExcelMon\Image\Pokedex\Gauche\423.png" TargetMode="External"/><Relationship Id="rId633" Type="http://schemas.openxmlformats.org/officeDocument/2006/relationships/image" Target="file:///C:\Users\bapti\OneDrive\Bureau\Game\ExcelMon\Image\Pokedex\Gauche\630.png" TargetMode="External"/><Relationship Id="rId980" Type="http://schemas.openxmlformats.org/officeDocument/2006/relationships/image" Target="file:///C:\Users\bapti\OneDrive\Bureau\Game\ExcelMon\Image\Pokedex\Droite\327.png" TargetMode="External"/><Relationship Id="rId1056" Type="http://schemas.openxmlformats.org/officeDocument/2006/relationships/image" Target="file:///C:\Users\bapti\OneDrive\Bureau\Game\ExcelMon\Image\Pokedex\Droite\403.png" TargetMode="External"/><Relationship Id="rId1263" Type="http://schemas.openxmlformats.org/officeDocument/2006/relationships/image" Target="file:///C:\Users\bapti\OneDrive\Bureau\Game\ExcelMon\Image\Pokedex\Droite\610.png" TargetMode="External"/><Relationship Id="rId840" Type="http://schemas.openxmlformats.org/officeDocument/2006/relationships/image" Target="file:///C:\Users\bapti\OneDrive\Bureau\Game\ExcelMon\Image\Pokedex\Droite\187.png" TargetMode="External"/><Relationship Id="rId938" Type="http://schemas.openxmlformats.org/officeDocument/2006/relationships/image" Target="file:///C:\Users\bapti\OneDrive\Bureau\Game\ExcelMon\Image\Pokedex\Droite\285.png" TargetMode="External"/><Relationship Id="rId67" Type="http://schemas.openxmlformats.org/officeDocument/2006/relationships/image" Target="file:///C:\Users\bapti\OneDrive\Bureau\Game\ExcelMon\Image\Pokedex\Gauche\64.png" TargetMode="External"/><Relationship Id="rId272" Type="http://schemas.openxmlformats.org/officeDocument/2006/relationships/image" Target="file:///C:\Users\bapti\OneDrive\Bureau\Game\ExcelMon\Image\Pokedex\Gauche\269.png" TargetMode="External"/><Relationship Id="rId577" Type="http://schemas.openxmlformats.org/officeDocument/2006/relationships/image" Target="file:///C:\Users\bapti\OneDrive\Bureau\Game\ExcelMon\Image\Pokedex\Gauche\574.png" TargetMode="External"/><Relationship Id="rId700" Type="http://schemas.openxmlformats.org/officeDocument/2006/relationships/image" Target="file:///C:\Users\bapti\OneDrive\Bureau\Game\ExcelMon\Image\Pokedex\Droite\47.png" TargetMode="External"/><Relationship Id="rId1123" Type="http://schemas.openxmlformats.org/officeDocument/2006/relationships/image" Target="file:///C:\Users\bapti\OneDrive\Bureau\Game\ExcelMon\Image\Pokedex\Droite\470.png" TargetMode="External"/><Relationship Id="rId132" Type="http://schemas.openxmlformats.org/officeDocument/2006/relationships/image" Target="file:///C:\Users\bapti\OneDrive\Bureau\Game\ExcelMon\Image\Pokedex\Gauche\129.png" TargetMode="External"/><Relationship Id="rId784" Type="http://schemas.openxmlformats.org/officeDocument/2006/relationships/image" Target="file:///C:\Users\bapti\OneDrive\Bureau\Game\ExcelMon\Image\Pokedex\Droite\131.png" TargetMode="External"/><Relationship Id="rId991" Type="http://schemas.openxmlformats.org/officeDocument/2006/relationships/image" Target="file:///C:\Users\bapti\OneDrive\Bureau\Game\ExcelMon\Image\Pokedex\Droite\338.png" TargetMode="External"/><Relationship Id="rId1067" Type="http://schemas.openxmlformats.org/officeDocument/2006/relationships/image" Target="file:///C:\Users\bapti\OneDrive\Bureau\Game\ExcelMon\Image\Pokedex\Droite\414.png" TargetMode="External"/><Relationship Id="rId437" Type="http://schemas.openxmlformats.org/officeDocument/2006/relationships/image" Target="file:///C:\Users\bapti\OneDrive\Bureau\Game\ExcelMon\Image\Pokedex\Gauche\434.png" TargetMode="External"/><Relationship Id="rId644" Type="http://schemas.openxmlformats.org/officeDocument/2006/relationships/image" Target="file:///C:\Users\bapti\OneDrive\Bureau\Game\ExcelMon\Image\Pokedex\Gauche\641.png" TargetMode="External"/><Relationship Id="rId851" Type="http://schemas.openxmlformats.org/officeDocument/2006/relationships/image" Target="file:///C:\Users\bapti\OneDrive\Bureau\Game\ExcelMon\Image\Pokedex\Droite\198.png" TargetMode="External"/><Relationship Id="rId1274" Type="http://schemas.openxmlformats.org/officeDocument/2006/relationships/image" Target="file:///C:\Users\bapti\OneDrive\Bureau\Game\ExcelMon\Image\Pokedex\Droite\621.png" TargetMode="External"/><Relationship Id="rId283" Type="http://schemas.openxmlformats.org/officeDocument/2006/relationships/image" Target="file:///C:\Users\bapti\OneDrive\Bureau\Game\ExcelMon\Image\Pokedex\Gauche\280.png" TargetMode="External"/><Relationship Id="rId490" Type="http://schemas.openxmlformats.org/officeDocument/2006/relationships/image" Target="file:///C:\Users\bapti\OneDrive\Bureau\Game\ExcelMon\Image\Pokedex\Gauche\487.png" TargetMode="External"/><Relationship Id="rId504" Type="http://schemas.openxmlformats.org/officeDocument/2006/relationships/image" Target="file:///C:\Users\bapti\OneDrive\Bureau\Game\ExcelMon\Image\Pokedex\Gauche\501.png" TargetMode="External"/><Relationship Id="rId711" Type="http://schemas.openxmlformats.org/officeDocument/2006/relationships/image" Target="file:///C:\Users\bapti\OneDrive\Bureau\Game\ExcelMon\Image\Pokedex\Droite\58.png" TargetMode="External"/><Relationship Id="rId949" Type="http://schemas.openxmlformats.org/officeDocument/2006/relationships/image" Target="file:///C:\Users\bapti\OneDrive\Bureau\Game\ExcelMon\Image\Pokedex\Droite\296.png" TargetMode="External"/><Relationship Id="rId1134" Type="http://schemas.openxmlformats.org/officeDocument/2006/relationships/image" Target="file:///C:\Users\bapti\OneDrive\Bureau\Game\ExcelMon\Image\Pokedex\Droite\481.png" TargetMode="External"/><Relationship Id="rId78" Type="http://schemas.openxmlformats.org/officeDocument/2006/relationships/image" Target="file:///C:\Users\bapti\OneDrive\Bureau\Game\ExcelMon\Image\Pokedex\Gauche\75.png" TargetMode="External"/><Relationship Id="rId143" Type="http://schemas.openxmlformats.org/officeDocument/2006/relationships/image" Target="file:///C:\Users\bapti\OneDrive\Bureau\Game\ExcelMon\Image\Pokedex\Gauche\140.png" TargetMode="External"/><Relationship Id="rId350" Type="http://schemas.openxmlformats.org/officeDocument/2006/relationships/image" Target="file:///C:\Users\bapti\OneDrive\Bureau\Game\ExcelMon\Image\Pokedex\Gauche\347.png" TargetMode="External"/><Relationship Id="rId588" Type="http://schemas.openxmlformats.org/officeDocument/2006/relationships/image" Target="file:///C:\Users\bapti\OneDrive\Bureau\Game\ExcelMon\Image\Pokedex\Gauche\585.png" TargetMode="External"/><Relationship Id="rId795" Type="http://schemas.openxmlformats.org/officeDocument/2006/relationships/image" Target="file:///C:\Users\bapti\OneDrive\Bureau\Game\ExcelMon\Image\Pokedex\Droite\142.png" TargetMode="External"/><Relationship Id="rId809" Type="http://schemas.openxmlformats.org/officeDocument/2006/relationships/image" Target="file:///C:\Users\bapti\OneDrive\Bureau\Game\ExcelMon\Image\Pokedex\Droite\156.png" TargetMode="External"/><Relationship Id="rId1201" Type="http://schemas.openxmlformats.org/officeDocument/2006/relationships/image" Target="file:///C:\Users\bapti\OneDrive\Bureau\Game\ExcelMon\Image\Pokedex\Droite\548.png" TargetMode="External"/><Relationship Id="rId9" Type="http://schemas.openxmlformats.org/officeDocument/2006/relationships/image" Target="file:///C:\Users\bapti\OneDrive\Bureau\Game\ExcelMon\Image\Pokedex\Gauche\6.png" TargetMode="External"/><Relationship Id="rId210" Type="http://schemas.openxmlformats.org/officeDocument/2006/relationships/image" Target="file:///C:\Users\bapti\OneDrive\Bureau\Game\ExcelMon\Image\Pokedex\Gauche\207.png" TargetMode="External"/><Relationship Id="rId448" Type="http://schemas.openxmlformats.org/officeDocument/2006/relationships/image" Target="file:///C:\Users\bapti\OneDrive\Bureau\Game\ExcelMon\Image\Pokedex\Gauche\445.png" TargetMode="External"/><Relationship Id="rId655" Type="http://schemas.openxmlformats.org/officeDocument/2006/relationships/image" Target="file:///C:\Users\bapti\OneDrive\Bureau\Game\ExcelMon\Image\Pokedex\Droite\2.png" TargetMode="External"/><Relationship Id="rId862" Type="http://schemas.openxmlformats.org/officeDocument/2006/relationships/image" Target="file:///C:\Users\bapti\OneDrive\Bureau\Game\ExcelMon\Image\Pokedex\Droite\209.png" TargetMode="External"/><Relationship Id="rId1078" Type="http://schemas.openxmlformats.org/officeDocument/2006/relationships/image" Target="file:///C:\Users\bapti\OneDrive\Bureau\Game\ExcelMon\Image\Pokedex\Droite\425.png" TargetMode="External"/><Relationship Id="rId1285" Type="http://schemas.openxmlformats.org/officeDocument/2006/relationships/image" Target="file:///C:\Users\bapti\OneDrive\Bureau\Game\ExcelMon\Image\Pokedex\Droite\632.png" TargetMode="External"/><Relationship Id="rId294" Type="http://schemas.openxmlformats.org/officeDocument/2006/relationships/image" Target="file:///C:\Users\bapti\OneDrive\Bureau\Game\ExcelMon\Image\Pokedex\Gauche\291.png" TargetMode="External"/><Relationship Id="rId308" Type="http://schemas.openxmlformats.org/officeDocument/2006/relationships/image" Target="file:///C:\Users\bapti\OneDrive\Bureau\Game\ExcelMon\Image\Pokedex\Gauche\305.png" TargetMode="External"/><Relationship Id="rId515" Type="http://schemas.openxmlformats.org/officeDocument/2006/relationships/image" Target="file:///C:\Users\bapti\OneDrive\Bureau\Game\ExcelMon\Image\Pokedex\Gauche\512.png" TargetMode="External"/><Relationship Id="rId722" Type="http://schemas.openxmlformats.org/officeDocument/2006/relationships/image" Target="file:///C:\Users\bapti\OneDrive\Bureau\Game\ExcelMon\Image\Pokedex\Droite\69.png" TargetMode="External"/><Relationship Id="rId1145" Type="http://schemas.openxmlformats.org/officeDocument/2006/relationships/image" Target="file:///C:\Users\bapti\OneDrive\Bureau\Game\ExcelMon\Image\Pokedex\Droite\492.png" TargetMode="External"/><Relationship Id="rId89" Type="http://schemas.openxmlformats.org/officeDocument/2006/relationships/image" Target="file:///C:\Users\bapti\OneDrive\Bureau\Game\ExcelMon\Image\Pokedex\Gauche\86.png" TargetMode="External"/><Relationship Id="rId154" Type="http://schemas.openxmlformats.org/officeDocument/2006/relationships/image" Target="file:///C:\Users\bapti\OneDrive\Bureau\Game\ExcelMon\Image\Pokedex\Gauche\151.png" TargetMode="External"/><Relationship Id="rId361" Type="http://schemas.openxmlformats.org/officeDocument/2006/relationships/image" Target="file:///C:\Users\bapti\OneDrive\Bureau\Game\ExcelMon\Image\Pokedex\Gauche\358.png" TargetMode="External"/><Relationship Id="rId599" Type="http://schemas.openxmlformats.org/officeDocument/2006/relationships/image" Target="file:///C:\Users\bapti\OneDrive\Bureau\Game\ExcelMon\Image\Pokedex\Gauche\596.png" TargetMode="External"/><Relationship Id="rId1005" Type="http://schemas.openxmlformats.org/officeDocument/2006/relationships/image" Target="file:///C:\Users\bapti\OneDrive\Bureau\Game\ExcelMon\Image\Pokedex\Droite\352.png" TargetMode="External"/><Relationship Id="rId1212" Type="http://schemas.openxmlformats.org/officeDocument/2006/relationships/image" Target="file:///C:\Users\bapti\OneDrive\Bureau\Game\ExcelMon\Image\Pokedex\Droite\559.png" TargetMode="External"/><Relationship Id="rId459" Type="http://schemas.openxmlformats.org/officeDocument/2006/relationships/image" Target="file:///C:\Users\bapti\OneDrive\Bureau\Game\ExcelMon\Image\Pokedex\Gauche\456.png" TargetMode="External"/><Relationship Id="rId666" Type="http://schemas.openxmlformats.org/officeDocument/2006/relationships/image" Target="file:///C:\Users\bapti\OneDrive\Bureau\Game\ExcelMon\Image\Pokedex\Droite\13.png" TargetMode="External"/><Relationship Id="rId873" Type="http://schemas.openxmlformats.org/officeDocument/2006/relationships/image" Target="file:///C:\Users\bapti\OneDrive\Bureau\Game\ExcelMon\Image\Pokedex\Droite\220.png" TargetMode="External"/><Relationship Id="rId1089" Type="http://schemas.openxmlformats.org/officeDocument/2006/relationships/image" Target="file:///C:\Users\bapti\OneDrive\Bureau\Game\ExcelMon\Image\Pokedex\Droite\436.png" TargetMode="External"/><Relationship Id="rId1296" Type="http://schemas.openxmlformats.org/officeDocument/2006/relationships/image" Target="file:///C:\Users\bapti\OneDrive\Bureau\Game\ExcelMon\Image\Pokedex\Droite\643.png" TargetMode="External"/><Relationship Id="rId16" Type="http://schemas.openxmlformats.org/officeDocument/2006/relationships/image" Target="file:///C:\Users\bapti\OneDrive\Bureau\Game\ExcelMon\Image\Pokedex\Gauche\13.png" TargetMode="External"/><Relationship Id="rId221" Type="http://schemas.openxmlformats.org/officeDocument/2006/relationships/image" Target="file:///C:\Users\bapti\OneDrive\Bureau\Game\ExcelMon\Image\Pokedex\Gauche\218.png" TargetMode="External"/><Relationship Id="rId319" Type="http://schemas.openxmlformats.org/officeDocument/2006/relationships/image" Target="file:///C:\Users\bapti\OneDrive\Bureau\Game\ExcelMon\Image\Pokedex\Gauche\316.png" TargetMode="External"/><Relationship Id="rId526" Type="http://schemas.openxmlformats.org/officeDocument/2006/relationships/image" Target="file:///C:\Users\bapti\OneDrive\Bureau\Game\ExcelMon\Image\Pokedex\Gauche\523.png" TargetMode="External"/><Relationship Id="rId1156" Type="http://schemas.openxmlformats.org/officeDocument/2006/relationships/image" Target="file:///C:\Users\bapti\OneDrive\Bureau\Game\ExcelMon\Image\Pokedex\Droite\503.png" TargetMode="External"/><Relationship Id="rId733" Type="http://schemas.openxmlformats.org/officeDocument/2006/relationships/image" Target="file:///C:\Users\bapti\OneDrive\Bureau\Game\ExcelMon\Image\Pokedex\Droite\80.png" TargetMode="External"/><Relationship Id="rId940" Type="http://schemas.openxmlformats.org/officeDocument/2006/relationships/image" Target="file:///C:\Users\bapti\OneDrive\Bureau\Game\ExcelMon\Image\Pokedex\Droite\287.png" TargetMode="External"/><Relationship Id="rId1016" Type="http://schemas.openxmlformats.org/officeDocument/2006/relationships/image" Target="file:///C:\Users\bapti\OneDrive\Bureau\Game\ExcelMon\Image\Pokedex\Droite\363.png" TargetMode="External"/><Relationship Id="rId165" Type="http://schemas.openxmlformats.org/officeDocument/2006/relationships/image" Target="file:///C:\Users\bapti\OneDrive\Bureau\Game\ExcelMon\Image\Pokedex\Gauche\162.png" TargetMode="External"/><Relationship Id="rId372" Type="http://schemas.openxmlformats.org/officeDocument/2006/relationships/image" Target="file:///C:\Users\bapti\OneDrive\Bureau\Game\ExcelMon\Image\Pokedex\Gauche\369.png" TargetMode="External"/><Relationship Id="rId677" Type="http://schemas.openxmlformats.org/officeDocument/2006/relationships/image" Target="file:///C:\Users\bapti\OneDrive\Bureau\Game\ExcelMon\Image\Pokedex\Droite\24.png" TargetMode="External"/><Relationship Id="rId800" Type="http://schemas.openxmlformats.org/officeDocument/2006/relationships/image" Target="file:///C:\Users\bapti\OneDrive\Bureau\Game\ExcelMon\Image\Pokedex\Droite\147.png" TargetMode="External"/><Relationship Id="rId1223" Type="http://schemas.openxmlformats.org/officeDocument/2006/relationships/image" Target="file:///C:\Users\bapti\OneDrive\Bureau\Game\ExcelMon\Image\Pokedex\Droite\570.png" TargetMode="External"/><Relationship Id="rId232" Type="http://schemas.openxmlformats.org/officeDocument/2006/relationships/image" Target="file:///C:\Users\bapti\OneDrive\Bureau\Game\ExcelMon\Image\Pokedex\Gauche\229.png" TargetMode="External"/><Relationship Id="rId884" Type="http://schemas.openxmlformats.org/officeDocument/2006/relationships/image" Target="file:///C:\Users\bapti\OneDrive\Bureau\Game\ExcelMon\Image\Pokedex\Droite\231.png" TargetMode="External"/><Relationship Id="rId27" Type="http://schemas.openxmlformats.org/officeDocument/2006/relationships/image" Target="file:///C:\Users\bapti\OneDrive\Bureau\Game\ExcelMon\Image\Pokedex\Gauche\24.png" TargetMode="External"/><Relationship Id="rId537" Type="http://schemas.openxmlformats.org/officeDocument/2006/relationships/image" Target="file:///C:\Users\bapti\OneDrive\Bureau\Game\ExcelMon\Image\Pokedex\Gauche\534.png" TargetMode="External"/><Relationship Id="rId744" Type="http://schemas.openxmlformats.org/officeDocument/2006/relationships/image" Target="file:///C:\Users\bapti\OneDrive\Bureau\Game\ExcelMon\Image\Pokedex\Droite\91.png" TargetMode="External"/><Relationship Id="rId951" Type="http://schemas.openxmlformats.org/officeDocument/2006/relationships/image" Target="file:///C:\Users\bapti\OneDrive\Bureau\Game\ExcelMon\Image\Pokedex\Droite\298.png" TargetMode="External"/><Relationship Id="rId1167" Type="http://schemas.openxmlformats.org/officeDocument/2006/relationships/image" Target="file:///C:\Users\bapti\OneDrive\Bureau\Game\ExcelMon\Image\Pokedex\Droite\514.png" TargetMode="External"/><Relationship Id="rId80" Type="http://schemas.openxmlformats.org/officeDocument/2006/relationships/image" Target="file:///C:\Users\bapti\OneDrive\Bureau\Game\ExcelMon\Image\Pokedex\Gauche\77.png" TargetMode="External"/><Relationship Id="rId176" Type="http://schemas.openxmlformats.org/officeDocument/2006/relationships/image" Target="file:///C:\Users\bapti\OneDrive\Bureau\Game\ExcelMon\Image\Pokedex\Gauche\173.png" TargetMode="External"/><Relationship Id="rId383" Type="http://schemas.openxmlformats.org/officeDocument/2006/relationships/image" Target="file:///C:\Users\bapti\OneDrive\Bureau\Game\ExcelMon\Image\Pokedex\Gauche\380.png" TargetMode="External"/><Relationship Id="rId590" Type="http://schemas.openxmlformats.org/officeDocument/2006/relationships/image" Target="file:///C:\Users\bapti\OneDrive\Bureau\Game\ExcelMon\Image\Pokedex\Gauche\587.png" TargetMode="External"/><Relationship Id="rId604" Type="http://schemas.openxmlformats.org/officeDocument/2006/relationships/image" Target="file:///C:\Users\bapti\OneDrive\Bureau\Game\ExcelMon\Image\Pokedex\Gauche\601.png" TargetMode="External"/><Relationship Id="rId811" Type="http://schemas.openxmlformats.org/officeDocument/2006/relationships/image" Target="file:///C:\Users\bapti\OneDrive\Bureau\Game\ExcelMon\Image\Pokedex\Droite\158.png" TargetMode="External"/><Relationship Id="rId1027" Type="http://schemas.openxmlformats.org/officeDocument/2006/relationships/image" Target="file:///C:\Users\bapti\OneDrive\Bureau\Game\ExcelMon\Image\Pokedex\Droite\374.png" TargetMode="External"/><Relationship Id="rId1234" Type="http://schemas.openxmlformats.org/officeDocument/2006/relationships/image" Target="file:///C:\Users\bapti\OneDrive\Bureau\Game\ExcelMon\Image\Pokedex\Droite\581.png" TargetMode="External"/><Relationship Id="rId243" Type="http://schemas.openxmlformats.org/officeDocument/2006/relationships/image" Target="file:///C:\Users\bapti\OneDrive\Bureau\Game\ExcelMon\Image\Pokedex\Gauche\240.png" TargetMode="External"/><Relationship Id="rId450" Type="http://schemas.openxmlformats.org/officeDocument/2006/relationships/image" Target="file:///C:\Users\bapti\OneDrive\Bureau\Game\ExcelMon\Image\Pokedex\Gauche\447.png" TargetMode="External"/><Relationship Id="rId688" Type="http://schemas.openxmlformats.org/officeDocument/2006/relationships/image" Target="file:///C:\Users\bapti\OneDrive\Bureau\Game\ExcelMon\Image\Pokedex\Droite\35.png" TargetMode="External"/><Relationship Id="rId895" Type="http://schemas.openxmlformats.org/officeDocument/2006/relationships/image" Target="file:///C:\Users\bapti\OneDrive\Bureau\Game\ExcelMon\Image\Pokedex\Droite\242.png" TargetMode="External"/><Relationship Id="rId909" Type="http://schemas.openxmlformats.org/officeDocument/2006/relationships/image" Target="file:///C:\Users\bapti\OneDrive\Bureau\Game\ExcelMon\Image\Pokedex\Droite\256.png" TargetMode="External"/><Relationship Id="rId1080" Type="http://schemas.openxmlformats.org/officeDocument/2006/relationships/image" Target="file:///C:\Users\bapti\OneDrive\Bureau\Game\ExcelMon\Image\Pokedex\Droite\427.png" TargetMode="External"/><Relationship Id="rId1301" Type="http://schemas.openxmlformats.org/officeDocument/2006/relationships/image" Target="file:///C:\Users\bapti\OneDrive\Bureau\Game\ExcelMon\Image\Pokedex\Droite\648.png" TargetMode="External"/><Relationship Id="rId38" Type="http://schemas.openxmlformats.org/officeDocument/2006/relationships/image" Target="file:///C:\Users\bapti\OneDrive\Bureau\Game\ExcelMon\Image\Pokedex\Gauche\35.png" TargetMode="External"/><Relationship Id="rId103" Type="http://schemas.openxmlformats.org/officeDocument/2006/relationships/image" Target="file:///C:\Users\bapti\OneDrive\Bureau\Game\ExcelMon\Image\Pokedex\Gauche\100.png" TargetMode="External"/><Relationship Id="rId310" Type="http://schemas.openxmlformats.org/officeDocument/2006/relationships/image" Target="file:///C:\Users\bapti\OneDrive\Bureau\Game\ExcelMon\Image\Pokedex\Gauche\307.png" TargetMode="External"/><Relationship Id="rId548" Type="http://schemas.openxmlformats.org/officeDocument/2006/relationships/image" Target="file:///C:\Users\bapti\OneDrive\Bureau\Game\ExcelMon\Image\Pokedex\Gauche\545.png" TargetMode="External"/><Relationship Id="rId755" Type="http://schemas.openxmlformats.org/officeDocument/2006/relationships/image" Target="file:///C:\Users\bapti\OneDrive\Bureau\Game\ExcelMon\Image\Pokedex\Droite\102.png" TargetMode="External"/><Relationship Id="rId962" Type="http://schemas.openxmlformats.org/officeDocument/2006/relationships/image" Target="file:///C:\Users\bapti\OneDrive\Bureau\Game\ExcelMon\Image\Pokedex\Droite\309.png" TargetMode="External"/><Relationship Id="rId1178" Type="http://schemas.openxmlformats.org/officeDocument/2006/relationships/image" Target="file:///C:\Users\bapti\OneDrive\Bureau\Game\ExcelMon\Image\Pokedex\Droite\525.png" TargetMode="External"/><Relationship Id="rId91" Type="http://schemas.openxmlformats.org/officeDocument/2006/relationships/image" Target="file:///C:\Users\bapti\OneDrive\Bureau\Game\ExcelMon\Image\Pokedex\Gauche\88.png" TargetMode="External"/><Relationship Id="rId187" Type="http://schemas.openxmlformats.org/officeDocument/2006/relationships/image" Target="file:///C:\Users\bapti\OneDrive\Bureau\Game\ExcelMon\Image\Pokedex\Gauche\184.png" TargetMode="External"/><Relationship Id="rId394" Type="http://schemas.openxmlformats.org/officeDocument/2006/relationships/image" Target="file:///C:\Users\bapti\OneDrive\Bureau\Game\ExcelMon\Image\Pokedex\Gauche\391.png" TargetMode="External"/><Relationship Id="rId408" Type="http://schemas.openxmlformats.org/officeDocument/2006/relationships/image" Target="file:///C:\Users\bapti\OneDrive\Bureau\Game\ExcelMon\Image\Pokedex\Gauche\405.png" TargetMode="External"/><Relationship Id="rId615" Type="http://schemas.openxmlformats.org/officeDocument/2006/relationships/image" Target="file:///C:\Users\bapti\OneDrive\Bureau\Game\ExcelMon\Image\Pokedex\Gauche\612.png" TargetMode="External"/><Relationship Id="rId822" Type="http://schemas.openxmlformats.org/officeDocument/2006/relationships/image" Target="file:///C:\Users\bapti\OneDrive\Bureau\Game\ExcelMon\Image\Pokedex\Droite\169.png" TargetMode="External"/><Relationship Id="rId1038" Type="http://schemas.openxmlformats.org/officeDocument/2006/relationships/image" Target="file:///C:\Users\bapti\OneDrive\Bureau\Game\ExcelMon\Image\Pokedex\Droite\385.png" TargetMode="External"/><Relationship Id="rId1245" Type="http://schemas.openxmlformats.org/officeDocument/2006/relationships/image" Target="file:///C:\Users\bapti\OneDrive\Bureau\Game\ExcelMon\Image\Pokedex\Droite\592.png" TargetMode="External"/><Relationship Id="rId254" Type="http://schemas.openxmlformats.org/officeDocument/2006/relationships/image" Target="file:///C:\Users\bapti\OneDrive\Bureau\Game\ExcelMon\Image\Pokedex\Gauche\251.png" TargetMode="External"/><Relationship Id="rId699" Type="http://schemas.openxmlformats.org/officeDocument/2006/relationships/image" Target="file:///C:\Users\bapti\OneDrive\Bureau\Game\ExcelMon\Image\Pokedex\Droite\46.png" TargetMode="External"/><Relationship Id="rId1091" Type="http://schemas.openxmlformats.org/officeDocument/2006/relationships/image" Target="file:///C:\Users\bapti\OneDrive\Bureau\Game\ExcelMon\Image\Pokedex\Droite\438.png" TargetMode="External"/><Relationship Id="rId1105" Type="http://schemas.openxmlformats.org/officeDocument/2006/relationships/image" Target="file:///C:\Users\bapti\OneDrive\Bureau\Game\ExcelMon\Image\Pokedex\Droite\452.png" TargetMode="External"/><Relationship Id="rId49" Type="http://schemas.openxmlformats.org/officeDocument/2006/relationships/image" Target="file:///C:\Users\bapti\OneDrive\Bureau\Game\ExcelMon\Image\Pokedex\Gauche\46.png" TargetMode="External"/><Relationship Id="rId114" Type="http://schemas.openxmlformats.org/officeDocument/2006/relationships/image" Target="file:///C:\Users\bapti\OneDrive\Bureau\Game\ExcelMon\Image\Pokedex\Gauche\111.png" TargetMode="External"/><Relationship Id="rId461" Type="http://schemas.openxmlformats.org/officeDocument/2006/relationships/image" Target="file:///C:\Users\bapti\OneDrive\Bureau\Game\ExcelMon\Image\Pokedex\Gauche\458.png" TargetMode="External"/><Relationship Id="rId559" Type="http://schemas.openxmlformats.org/officeDocument/2006/relationships/image" Target="file:///C:\Users\bapti\OneDrive\Bureau\Game\ExcelMon\Image\Pokedex\Gauche\556.png" TargetMode="External"/><Relationship Id="rId766" Type="http://schemas.openxmlformats.org/officeDocument/2006/relationships/image" Target="file:///C:\Users\bapti\OneDrive\Bureau\Game\ExcelMon\Image\Pokedex\Droite\113.png" TargetMode="External"/><Relationship Id="rId1189" Type="http://schemas.openxmlformats.org/officeDocument/2006/relationships/image" Target="file:///C:\Users\bapti\OneDrive\Bureau\Game\ExcelMon\Image\Pokedex\Droite\536.png" TargetMode="External"/><Relationship Id="rId198" Type="http://schemas.openxmlformats.org/officeDocument/2006/relationships/image" Target="file:///C:\Users\bapti\OneDrive\Bureau\Game\ExcelMon\Image\Pokedex\Gauche\195.png" TargetMode="External"/><Relationship Id="rId321" Type="http://schemas.openxmlformats.org/officeDocument/2006/relationships/image" Target="file:///C:\Users\bapti\OneDrive\Bureau\Game\ExcelMon\Image\Pokedex\Gauche\318.png" TargetMode="External"/><Relationship Id="rId419" Type="http://schemas.openxmlformats.org/officeDocument/2006/relationships/image" Target="file:///C:\Users\bapti\OneDrive\Bureau\Game\ExcelMon\Image\Pokedex\Gauche\416.png" TargetMode="External"/><Relationship Id="rId626" Type="http://schemas.openxmlformats.org/officeDocument/2006/relationships/image" Target="file:///C:\Users\bapti\OneDrive\Bureau\Game\ExcelMon\Image\Pokedex\Gauche\623.png" TargetMode="External"/><Relationship Id="rId973" Type="http://schemas.openxmlformats.org/officeDocument/2006/relationships/image" Target="file:///C:\Users\bapti\OneDrive\Bureau\Game\ExcelMon\Image\Pokedex\Droite\320.png" TargetMode="External"/><Relationship Id="rId1049" Type="http://schemas.openxmlformats.org/officeDocument/2006/relationships/image" Target="file:///C:\Users\bapti\OneDrive\Bureau\Game\ExcelMon\Image\Pokedex\Droite\396.png" TargetMode="External"/><Relationship Id="rId1256" Type="http://schemas.openxmlformats.org/officeDocument/2006/relationships/image" Target="file:///C:\Users\bapti\OneDrive\Bureau\Game\ExcelMon\Image\Pokedex\Droite\603.png" TargetMode="External"/><Relationship Id="rId833" Type="http://schemas.openxmlformats.org/officeDocument/2006/relationships/image" Target="file:///C:\Users\bapti\OneDrive\Bureau\Game\ExcelMon\Image\Pokedex\Droite\180.png" TargetMode="External"/><Relationship Id="rId1116" Type="http://schemas.openxmlformats.org/officeDocument/2006/relationships/image" Target="file:///C:\Users\bapti\OneDrive\Bureau\Game\ExcelMon\Image\Pokedex\Droite\463.png" TargetMode="External"/><Relationship Id="rId265" Type="http://schemas.openxmlformats.org/officeDocument/2006/relationships/image" Target="file:///C:\Users\bapti\OneDrive\Bureau\Game\ExcelMon\Image\Pokedex\Gauche\262.png" TargetMode="External"/><Relationship Id="rId472" Type="http://schemas.openxmlformats.org/officeDocument/2006/relationships/image" Target="file:///C:\Users\bapti\OneDrive\Bureau\Game\ExcelMon\Image\Pokedex\Gauche\469.png" TargetMode="External"/><Relationship Id="rId900" Type="http://schemas.openxmlformats.org/officeDocument/2006/relationships/image" Target="file:///C:\Users\bapti\OneDrive\Bureau\Game\ExcelMon\Image\Pokedex\Droite\247.png" TargetMode="External"/><Relationship Id="rId125" Type="http://schemas.openxmlformats.org/officeDocument/2006/relationships/image" Target="file:///C:\Users\bapti\OneDrive\Bureau\Game\ExcelMon\Image\Pokedex\Gauche\122.png" TargetMode="External"/><Relationship Id="rId332" Type="http://schemas.openxmlformats.org/officeDocument/2006/relationships/image" Target="file:///C:\Users\bapti\OneDrive\Bureau\Game\ExcelMon\Image\Pokedex\Gauche\329.png" TargetMode="External"/><Relationship Id="rId777" Type="http://schemas.openxmlformats.org/officeDocument/2006/relationships/image" Target="file:///C:\Users\bapti\OneDrive\Bureau\Game\ExcelMon\Image\Pokedex\Droite\124.png" TargetMode="External"/><Relationship Id="rId984" Type="http://schemas.openxmlformats.org/officeDocument/2006/relationships/image" Target="file:///C:\Users\bapti\OneDrive\Bureau\Game\ExcelMon\Image\Pokedex\Droite\331.png" TargetMode="External"/><Relationship Id="rId637" Type="http://schemas.openxmlformats.org/officeDocument/2006/relationships/image" Target="file:///C:\Users\bapti\OneDrive\Bureau\Game\ExcelMon\Image\Pokedex\Gauche\634.png" TargetMode="External"/><Relationship Id="rId844" Type="http://schemas.openxmlformats.org/officeDocument/2006/relationships/image" Target="file:///C:\Users\bapti\OneDrive\Bureau\Game\ExcelMon\Image\Pokedex\Droite\191.png" TargetMode="External"/><Relationship Id="rId1267" Type="http://schemas.openxmlformats.org/officeDocument/2006/relationships/image" Target="file:///C:\Users\bapti\OneDrive\Bureau\Game\ExcelMon\Image\Pokedex\Droite\614.png" TargetMode="External"/><Relationship Id="rId276" Type="http://schemas.openxmlformats.org/officeDocument/2006/relationships/image" Target="file:///C:\Users\bapti\OneDrive\Bureau\Game\ExcelMon\Image\Pokedex\Gauche\273.png" TargetMode="External"/><Relationship Id="rId483" Type="http://schemas.openxmlformats.org/officeDocument/2006/relationships/image" Target="file:///C:\Users\bapti\OneDrive\Bureau\Game\ExcelMon\Image\Pokedex\Gauche\480.png" TargetMode="External"/><Relationship Id="rId690" Type="http://schemas.openxmlformats.org/officeDocument/2006/relationships/image" Target="file:///C:\Users\bapti\OneDrive\Bureau\Game\ExcelMon\Image\Pokedex\Droite\37.png" TargetMode="External"/><Relationship Id="rId704" Type="http://schemas.openxmlformats.org/officeDocument/2006/relationships/image" Target="file:///C:\Users\bapti\OneDrive\Bureau\Game\ExcelMon\Image\Pokedex\Droite\51.png" TargetMode="External"/><Relationship Id="rId911" Type="http://schemas.openxmlformats.org/officeDocument/2006/relationships/image" Target="file:///C:\Users\bapti\OneDrive\Bureau\Game\ExcelMon\Image\Pokedex\Droite\258.png" TargetMode="External"/><Relationship Id="rId1127" Type="http://schemas.openxmlformats.org/officeDocument/2006/relationships/image" Target="file:///C:\Users\bapti\OneDrive\Bureau\Game\ExcelMon\Image\Pokedex\Droite\474.png" TargetMode="External"/><Relationship Id="rId40" Type="http://schemas.openxmlformats.org/officeDocument/2006/relationships/image" Target="file:///C:\Users\bapti\OneDrive\Bureau\Game\ExcelMon\Image\Pokedex\Gauche\37.png" TargetMode="External"/><Relationship Id="rId136" Type="http://schemas.openxmlformats.org/officeDocument/2006/relationships/image" Target="file:///C:\Users\bapti\OneDrive\Bureau\Game\ExcelMon\Image\Pokedex\Gauche\133.png" TargetMode="External"/><Relationship Id="rId343" Type="http://schemas.openxmlformats.org/officeDocument/2006/relationships/image" Target="file:///C:\Users\bapti\OneDrive\Bureau\Game\ExcelMon\Image\Pokedex\Gauche\340.png" TargetMode="External"/><Relationship Id="rId550" Type="http://schemas.openxmlformats.org/officeDocument/2006/relationships/image" Target="file:///C:\Users\bapti\OneDrive\Bureau\Game\ExcelMon\Image\Pokedex\Gauche\547.png" TargetMode="External"/><Relationship Id="rId788" Type="http://schemas.openxmlformats.org/officeDocument/2006/relationships/image" Target="file:///C:\Users\bapti\OneDrive\Bureau\Game\ExcelMon\Image\Pokedex\Droite\135.png" TargetMode="External"/><Relationship Id="rId995" Type="http://schemas.openxmlformats.org/officeDocument/2006/relationships/image" Target="file:///C:\Users\bapti\OneDrive\Bureau\Game\ExcelMon\Image\Pokedex\Droite\342.png" TargetMode="External"/><Relationship Id="rId1180" Type="http://schemas.openxmlformats.org/officeDocument/2006/relationships/image" Target="file:///C:\Users\bapti\OneDrive\Bureau\Game\ExcelMon\Image\Pokedex\Droite\527.png" TargetMode="External"/><Relationship Id="rId203" Type="http://schemas.openxmlformats.org/officeDocument/2006/relationships/image" Target="file:///C:\Users\bapti\OneDrive\Bureau\Game\ExcelMon\Image\Pokedex\Gauche\200.png" TargetMode="External"/><Relationship Id="rId648" Type="http://schemas.openxmlformats.org/officeDocument/2006/relationships/image" Target="file:///C:\Users\bapti\OneDrive\Bureau\Game\ExcelMon\Image\Pokedex\Gauche\645.png" TargetMode="External"/><Relationship Id="rId855" Type="http://schemas.openxmlformats.org/officeDocument/2006/relationships/image" Target="file:///C:\Users\bapti\OneDrive\Bureau\Game\ExcelMon\Image\Pokedex\Droite\202.png" TargetMode="External"/><Relationship Id="rId1040" Type="http://schemas.openxmlformats.org/officeDocument/2006/relationships/image" Target="file:///C:\Users\bapti\OneDrive\Bureau\Game\ExcelMon\Image\Pokedex\Droite\387.png" TargetMode="External"/><Relationship Id="rId1278" Type="http://schemas.openxmlformats.org/officeDocument/2006/relationships/image" Target="file:///C:\Users\bapti\OneDrive\Bureau\Game\ExcelMon\Image\Pokedex\Droite\625.png" TargetMode="External"/><Relationship Id="rId287" Type="http://schemas.openxmlformats.org/officeDocument/2006/relationships/image" Target="file:///C:\Users\bapti\OneDrive\Bureau\Game\ExcelMon\Image\Pokedex\Gauche\284.png" TargetMode="External"/><Relationship Id="rId410" Type="http://schemas.openxmlformats.org/officeDocument/2006/relationships/image" Target="file:///C:\Users\bapti\OneDrive\Bureau\Game\ExcelMon\Image\Pokedex\Gauche\407.png" TargetMode="External"/><Relationship Id="rId494" Type="http://schemas.openxmlformats.org/officeDocument/2006/relationships/image" Target="file:///C:\Users\bapti\OneDrive\Bureau\Game\ExcelMon\Image\Pokedex\Gauche\491.png" TargetMode="External"/><Relationship Id="rId508" Type="http://schemas.openxmlformats.org/officeDocument/2006/relationships/image" Target="file:///C:\Users\bapti\OneDrive\Bureau\Game\ExcelMon\Image\Pokedex\Gauche\505.png" TargetMode="External"/><Relationship Id="rId715" Type="http://schemas.openxmlformats.org/officeDocument/2006/relationships/image" Target="file:///C:\Users\bapti\OneDrive\Bureau\Game\ExcelMon\Image\Pokedex\Droite\62.png" TargetMode="External"/><Relationship Id="rId922" Type="http://schemas.openxmlformats.org/officeDocument/2006/relationships/image" Target="file:///C:\Users\bapti\OneDrive\Bureau\Game\ExcelMon\Image\Pokedex\Droite\269.png" TargetMode="External"/><Relationship Id="rId1138" Type="http://schemas.openxmlformats.org/officeDocument/2006/relationships/image" Target="file:///C:\Users\bapti\OneDrive\Bureau\Game\ExcelMon\Image\Pokedex\Droite\485.png" TargetMode="External"/><Relationship Id="rId147" Type="http://schemas.openxmlformats.org/officeDocument/2006/relationships/image" Target="file:///C:\Users\bapti\OneDrive\Bureau\Game\ExcelMon\Image\Pokedex\Gauche\144.png" TargetMode="External"/><Relationship Id="rId354" Type="http://schemas.openxmlformats.org/officeDocument/2006/relationships/image" Target="file:///C:\Users\bapti\OneDrive\Bureau\Game\ExcelMon\Image\Pokedex\Gauche\351.png" TargetMode="External"/><Relationship Id="rId799" Type="http://schemas.openxmlformats.org/officeDocument/2006/relationships/image" Target="file:///C:\Users\bapti\OneDrive\Bureau\Game\ExcelMon\Image\Pokedex\Droite\146.png" TargetMode="External"/><Relationship Id="rId1191" Type="http://schemas.openxmlformats.org/officeDocument/2006/relationships/image" Target="file:///C:\Users\bapti\OneDrive\Bureau\Game\ExcelMon\Image\Pokedex\Droite\538.png" TargetMode="External"/><Relationship Id="rId1205" Type="http://schemas.openxmlformats.org/officeDocument/2006/relationships/image" Target="file:///C:\Users\bapti\OneDrive\Bureau\Game\ExcelMon\Image\Pokedex\Droite\552.png" TargetMode="External"/><Relationship Id="rId51" Type="http://schemas.openxmlformats.org/officeDocument/2006/relationships/image" Target="file:///C:\Users\bapti\OneDrive\Bureau\Game\ExcelMon\Image\Pokedex\Gauche\48.png" TargetMode="External"/><Relationship Id="rId561" Type="http://schemas.openxmlformats.org/officeDocument/2006/relationships/image" Target="file:///C:\Users\bapti\OneDrive\Bureau\Game\ExcelMon\Image\Pokedex\Gauche\558.png" TargetMode="External"/><Relationship Id="rId659" Type="http://schemas.openxmlformats.org/officeDocument/2006/relationships/image" Target="file:///C:\Users\bapti\OneDrive\Bureau\Game\ExcelMon\Image\Pokedex\Droite\6.png" TargetMode="External"/><Relationship Id="rId866" Type="http://schemas.openxmlformats.org/officeDocument/2006/relationships/image" Target="file:///C:\Users\bapti\OneDrive\Bureau\Game\ExcelMon\Image\Pokedex\Droite\213.png" TargetMode="External"/><Relationship Id="rId1289" Type="http://schemas.openxmlformats.org/officeDocument/2006/relationships/image" Target="file:///C:\Users\bapti\OneDrive\Bureau\Game\ExcelMon\Image\Pokedex\Droite\636.png" TargetMode="External"/><Relationship Id="rId214" Type="http://schemas.openxmlformats.org/officeDocument/2006/relationships/image" Target="file:///C:\Users\bapti\OneDrive\Bureau\Game\ExcelMon\Image\Pokedex\Gauche\211.png" TargetMode="External"/><Relationship Id="rId298" Type="http://schemas.openxmlformats.org/officeDocument/2006/relationships/image" Target="file:///C:\Users\bapti\OneDrive\Bureau\Game\ExcelMon\Image\Pokedex\Gauche\295.png" TargetMode="External"/><Relationship Id="rId421" Type="http://schemas.openxmlformats.org/officeDocument/2006/relationships/image" Target="file:///C:\Users\bapti\OneDrive\Bureau\Game\ExcelMon\Image\Pokedex\Gauche\418.png" TargetMode="External"/><Relationship Id="rId519" Type="http://schemas.openxmlformats.org/officeDocument/2006/relationships/image" Target="file:///C:\Users\bapti\OneDrive\Bureau\Game\ExcelMon\Image\Pokedex\Gauche\516.png" TargetMode="External"/><Relationship Id="rId1051" Type="http://schemas.openxmlformats.org/officeDocument/2006/relationships/image" Target="file:///C:\Users\bapti\OneDrive\Bureau\Game\ExcelMon\Image\Pokedex\Droite\398.png" TargetMode="External"/><Relationship Id="rId1149" Type="http://schemas.openxmlformats.org/officeDocument/2006/relationships/image" Target="file:///C:\Users\bapti\OneDrive\Bureau\Game\ExcelMon\Image\Pokedex\Droite\496.png" TargetMode="External"/><Relationship Id="rId158" Type="http://schemas.openxmlformats.org/officeDocument/2006/relationships/image" Target="file:///C:\Users\bapti\OneDrive\Bureau\Game\ExcelMon\Image\Pokedex\Gauche\155.png" TargetMode="External"/><Relationship Id="rId726" Type="http://schemas.openxmlformats.org/officeDocument/2006/relationships/image" Target="file:///C:\Users\bapti\OneDrive\Bureau\Game\ExcelMon\Image\Pokedex\Droite\73.png" TargetMode="External"/><Relationship Id="rId933" Type="http://schemas.openxmlformats.org/officeDocument/2006/relationships/image" Target="file:///C:\Users\bapti\OneDrive\Bureau\Game\ExcelMon\Image\Pokedex\Droite\280.png" TargetMode="External"/><Relationship Id="rId1009" Type="http://schemas.openxmlformats.org/officeDocument/2006/relationships/image" Target="file:///C:\Users\bapti\OneDrive\Bureau\Game\ExcelMon\Image\Pokedex\Droite\356.png" TargetMode="External"/><Relationship Id="rId62" Type="http://schemas.openxmlformats.org/officeDocument/2006/relationships/image" Target="file:///C:\Users\bapti\OneDrive\Bureau\Game\ExcelMon\Image\Pokedex\Gauche\59.png" TargetMode="External"/><Relationship Id="rId365" Type="http://schemas.openxmlformats.org/officeDocument/2006/relationships/image" Target="file:///C:\Users\bapti\OneDrive\Bureau\Game\ExcelMon\Image\Pokedex\Gauche\362.png" TargetMode="External"/><Relationship Id="rId572" Type="http://schemas.openxmlformats.org/officeDocument/2006/relationships/image" Target="file:///C:\Users\bapti\OneDrive\Bureau\Game\ExcelMon\Image\Pokedex\Gauche\569.png" TargetMode="External"/><Relationship Id="rId1216" Type="http://schemas.openxmlformats.org/officeDocument/2006/relationships/image" Target="file:///C:\Users\bapti\OneDrive\Bureau\Game\ExcelMon\Image\Pokedex\Droite\563.png" TargetMode="External"/><Relationship Id="rId225" Type="http://schemas.openxmlformats.org/officeDocument/2006/relationships/image" Target="file:///C:\Users\bapti\OneDrive\Bureau\Game\ExcelMon\Image\Pokedex\Gauche\222.png" TargetMode="External"/><Relationship Id="rId432" Type="http://schemas.openxmlformats.org/officeDocument/2006/relationships/image" Target="file:///C:\Users\bapti\OneDrive\Bureau\Game\ExcelMon\Image\Pokedex\Gauche\429.png" TargetMode="External"/><Relationship Id="rId877" Type="http://schemas.openxmlformats.org/officeDocument/2006/relationships/image" Target="file:///C:\Users\bapti\OneDrive\Bureau\Game\ExcelMon\Image\Pokedex\Droite\224.png" TargetMode="External"/><Relationship Id="rId1062" Type="http://schemas.openxmlformats.org/officeDocument/2006/relationships/image" Target="file:///C:\Users\bapti\OneDrive\Bureau\Game\ExcelMon\Image\Pokedex\Droite\409.png" TargetMode="External"/><Relationship Id="rId737" Type="http://schemas.openxmlformats.org/officeDocument/2006/relationships/image" Target="file:///C:\Users\bapti\OneDrive\Bureau\Game\ExcelMon\Image\Pokedex\Droite\84.png" TargetMode="External"/><Relationship Id="rId944" Type="http://schemas.openxmlformats.org/officeDocument/2006/relationships/image" Target="file:///C:\Users\bapti\OneDrive\Bureau\Game\ExcelMon\Image\Pokedex\Droite\291.png" TargetMode="External"/><Relationship Id="rId73" Type="http://schemas.openxmlformats.org/officeDocument/2006/relationships/image" Target="file:///C:\Users\bapti\OneDrive\Bureau\Game\ExcelMon\Image\Pokedex\Gauche\70.png" TargetMode="External"/><Relationship Id="rId169" Type="http://schemas.openxmlformats.org/officeDocument/2006/relationships/image" Target="file:///C:\Users\bapti\OneDrive\Bureau\Game\ExcelMon\Image\Pokedex\Gauche\166.png" TargetMode="External"/><Relationship Id="rId376" Type="http://schemas.openxmlformats.org/officeDocument/2006/relationships/image" Target="file:///C:\Users\bapti\OneDrive\Bureau\Game\ExcelMon\Image\Pokedex\Gauche\373.png" TargetMode="External"/><Relationship Id="rId583" Type="http://schemas.openxmlformats.org/officeDocument/2006/relationships/image" Target="file:///C:\Users\bapti\OneDrive\Bureau\Game\ExcelMon\Image\Pokedex\Gauche\580.png" TargetMode="External"/><Relationship Id="rId790" Type="http://schemas.openxmlformats.org/officeDocument/2006/relationships/image" Target="file:///C:\Users\bapti\OneDrive\Bureau\Game\ExcelMon\Image\Pokedex\Droite\137.png" TargetMode="External"/><Relationship Id="rId804" Type="http://schemas.openxmlformats.org/officeDocument/2006/relationships/image" Target="file:///C:\Users\bapti\OneDrive\Bureau\Game\ExcelMon\Image\Pokedex\Droite\151.png" TargetMode="External"/><Relationship Id="rId1227" Type="http://schemas.openxmlformats.org/officeDocument/2006/relationships/image" Target="file:///C:\Users\bapti\OneDrive\Bureau\Game\ExcelMon\Image\Pokedex\Droite\574.png" TargetMode="External"/><Relationship Id="rId4" Type="http://schemas.openxmlformats.org/officeDocument/2006/relationships/image" Target="file:///C:\Users\bapti\OneDrive\Bureau\Game\ExcelMon\Image\Pokedex\Gauche\1.png" TargetMode="External"/><Relationship Id="rId236" Type="http://schemas.openxmlformats.org/officeDocument/2006/relationships/image" Target="file:///C:\Users\bapti\OneDrive\Bureau\Game\ExcelMon\Image\Pokedex\Gauche\233.png" TargetMode="External"/><Relationship Id="rId443" Type="http://schemas.openxmlformats.org/officeDocument/2006/relationships/image" Target="file:///C:\Users\bapti\OneDrive\Bureau\Game\ExcelMon\Image\Pokedex\Gauche\440.png" TargetMode="External"/><Relationship Id="rId650" Type="http://schemas.openxmlformats.org/officeDocument/2006/relationships/image" Target="file:///C:\Users\bapti\OneDrive\Bureau\Game\ExcelMon\Image\Pokedex\Gauche\647.png" TargetMode="External"/><Relationship Id="rId888" Type="http://schemas.openxmlformats.org/officeDocument/2006/relationships/image" Target="file:///C:\Users\bapti\OneDrive\Bureau\Game\ExcelMon\Image\Pokedex\Droite\235.png" TargetMode="External"/><Relationship Id="rId1073" Type="http://schemas.openxmlformats.org/officeDocument/2006/relationships/image" Target="file:///C:\Users\bapti\OneDrive\Bureau\Game\ExcelMon\Image\Pokedex\Droite\420.png" TargetMode="External"/><Relationship Id="rId1280" Type="http://schemas.openxmlformats.org/officeDocument/2006/relationships/image" Target="file:///C:\Users\bapti\OneDrive\Bureau\Game\ExcelMon\Image\Pokedex\Droite\627.png" TargetMode="External"/><Relationship Id="rId303" Type="http://schemas.openxmlformats.org/officeDocument/2006/relationships/image" Target="file:///C:\Users\bapti\OneDrive\Bureau\Game\ExcelMon\Image\Pokedex\Gauche\300.png" TargetMode="External"/><Relationship Id="rId748" Type="http://schemas.openxmlformats.org/officeDocument/2006/relationships/image" Target="file:///C:\Users\bapti\OneDrive\Bureau\Game\ExcelMon\Image\Pokedex\Droite\95.png" TargetMode="External"/><Relationship Id="rId955" Type="http://schemas.openxmlformats.org/officeDocument/2006/relationships/image" Target="file:///C:\Users\bapti\OneDrive\Bureau\Game\ExcelMon\Image\Pokedex\Droite\302.png" TargetMode="External"/><Relationship Id="rId1140" Type="http://schemas.openxmlformats.org/officeDocument/2006/relationships/image" Target="file:///C:\Users\bapti\OneDrive\Bureau\Game\ExcelMon\Image\Pokedex\Droite\487.png" TargetMode="External"/><Relationship Id="rId84" Type="http://schemas.openxmlformats.org/officeDocument/2006/relationships/image" Target="file:///C:\Users\bapti\OneDrive\Bureau\Game\ExcelMon\Image\Pokedex\Gauche\81.png" TargetMode="External"/><Relationship Id="rId387" Type="http://schemas.openxmlformats.org/officeDocument/2006/relationships/image" Target="file:///C:\Users\bapti\OneDrive\Bureau\Game\ExcelMon\Image\Pokedex\Gauche\384.png" TargetMode="External"/><Relationship Id="rId510" Type="http://schemas.openxmlformats.org/officeDocument/2006/relationships/image" Target="file:///C:\Users\bapti\OneDrive\Bureau\Game\ExcelMon\Image\Pokedex\Gauche\507.png" TargetMode="External"/><Relationship Id="rId594" Type="http://schemas.openxmlformats.org/officeDocument/2006/relationships/image" Target="file:///C:\Users\bapti\OneDrive\Bureau\Game\ExcelMon\Image\Pokedex\Gauche\591.png" TargetMode="External"/><Relationship Id="rId608" Type="http://schemas.openxmlformats.org/officeDocument/2006/relationships/image" Target="file:///C:\Users\bapti\OneDrive\Bureau\Game\ExcelMon\Image\Pokedex\Gauche\605.png" TargetMode="External"/><Relationship Id="rId815" Type="http://schemas.openxmlformats.org/officeDocument/2006/relationships/image" Target="file:///C:\Users\bapti\OneDrive\Bureau\Game\ExcelMon\Image\Pokedex\Droite\162.png" TargetMode="External"/><Relationship Id="rId1238" Type="http://schemas.openxmlformats.org/officeDocument/2006/relationships/image" Target="file:///C:\Users\bapti\OneDrive\Bureau\Game\ExcelMon\Image\Pokedex\Droite\585.png" TargetMode="External"/><Relationship Id="rId247" Type="http://schemas.openxmlformats.org/officeDocument/2006/relationships/image" Target="file:///C:\Users\bapti\OneDrive\Bureau\Game\ExcelMon\Image\Pokedex\Gauche\244.png" TargetMode="External"/><Relationship Id="rId899" Type="http://schemas.openxmlformats.org/officeDocument/2006/relationships/image" Target="file:///C:\Users\bapti\OneDrive\Bureau\Game\ExcelMon\Image\Pokedex\Droite\246.png" TargetMode="External"/><Relationship Id="rId1000" Type="http://schemas.openxmlformats.org/officeDocument/2006/relationships/image" Target="file:///C:\Users\bapti\OneDrive\Bureau\Game\ExcelMon\Image\Pokedex\Droite\347.png" TargetMode="External"/><Relationship Id="rId1084" Type="http://schemas.openxmlformats.org/officeDocument/2006/relationships/image" Target="file:///C:\Users\bapti\OneDrive\Bureau\Game\ExcelMon\Image\Pokedex\Droite\431.png" TargetMode="External"/><Relationship Id="rId107" Type="http://schemas.openxmlformats.org/officeDocument/2006/relationships/image" Target="file:///C:\Users\bapti\OneDrive\Bureau\Game\ExcelMon\Image\Pokedex\Gauche\104.png" TargetMode="External"/><Relationship Id="rId454" Type="http://schemas.openxmlformats.org/officeDocument/2006/relationships/image" Target="file:///C:\Users\bapti\OneDrive\Bureau\Game\ExcelMon\Image\Pokedex\Gauche\451.png" TargetMode="External"/><Relationship Id="rId661" Type="http://schemas.openxmlformats.org/officeDocument/2006/relationships/image" Target="file:///C:\Users\bapti\OneDrive\Bureau\Game\ExcelMon\Image\Pokedex\Droite\8.png" TargetMode="External"/><Relationship Id="rId759" Type="http://schemas.openxmlformats.org/officeDocument/2006/relationships/image" Target="file:///C:\Users\bapti\OneDrive\Bureau\Game\ExcelMon\Image\Pokedex\Droite\106.png" TargetMode="External"/><Relationship Id="rId966" Type="http://schemas.openxmlformats.org/officeDocument/2006/relationships/image" Target="file:///C:\Users\bapti\OneDrive\Bureau\Game\ExcelMon\Image\Pokedex\Droite\313.png" TargetMode="External"/><Relationship Id="rId1291" Type="http://schemas.openxmlformats.org/officeDocument/2006/relationships/image" Target="file:///C:\Users\bapti\OneDrive\Bureau\Game\ExcelMon\Image\Pokedex\Droite\638.png" TargetMode="External"/><Relationship Id="rId11" Type="http://schemas.openxmlformats.org/officeDocument/2006/relationships/image" Target="file:///C:\Users\bapti\OneDrive\Bureau\Game\ExcelMon\Image\Pokedex\Gauche\8.png" TargetMode="External"/><Relationship Id="rId314" Type="http://schemas.openxmlformats.org/officeDocument/2006/relationships/image" Target="file:///C:\Users\bapti\OneDrive\Bureau\Game\ExcelMon\Image\Pokedex\Gauche\311.png" TargetMode="External"/><Relationship Id="rId398" Type="http://schemas.openxmlformats.org/officeDocument/2006/relationships/image" Target="file:///C:\Users\bapti\OneDrive\Bureau\Game\ExcelMon\Image\Pokedex\Gauche\395.png" TargetMode="External"/><Relationship Id="rId521" Type="http://schemas.openxmlformats.org/officeDocument/2006/relationships/image" Target="file:///C:\Users\bapti\OneDrive\Bureau\Game\ExcelMon\Image\Pokedex\Gauche\518.png" TargetMode="External"/><Relationship Id="rId619" Type="http://schemas.openxmlformats.org/officeDocument/2006/relationships/image" Target="file:///C:\Users\bapti\OneDrive\Bureau\Game\ExcelMon\Image\Pokedex\Gauche\616.png" TargetMode="External"/><Relationship Id="rId1151" Type="http://schemas.openxmlformats.org/officeDocument/2006/relationships/image" Target="file:///C:\Users\bapti\OneDrive\Bureau\Game\ExcelMon\Image\Pokedex\Droite\498.png" TargetMode="External"/><Relationship Id="rId1249" Type="http://schemas.openxmlformats.org/officeDocument/2006/relationships/image" Target="file:///C:\Users\bapti\OneDrive\Bureau\Game\ExcelMon\Image\Pokedex\Droite\596.png" TargetMode="External"/><Relationship Id="rId95" Type="http://schemas.openxmlformats.org/officeDocument/2006/relationships/image" Target="file:///C:\Users\bapti\OneDrive\Bureau\Game\ExcelMon\Image\Pokedex\Gauche\92.png" TargetMode="External"/><Relationship Id="rId160" Type="http://schemas.openxmlformats.org/officeDocument/2006/relationships/image" Target="file:///C:\Users\bapti\OneDrive\Bureau\Game\ExcelMon\Image\Pokedex\Gauche\157.png" TargetMode="External"/><Relationship Id="rId826" Type="http://schemas.openxmlformats.org/officeDocument/2006/relationships/image" Target="file:///C:\Users\bapti\OneDrive\Bureau\Game\ExcelMon\Image\Pokedex\Droite\173.png" TargetMode="External"/><Relationship Id="rId1011" Type="http://schemas.openxmlformats.org/officeDocument/2006/relationships/image" Target="file:///C:\Users\bapti\OneDrive\Bureau\Game\ExcelMon\Image\Pokedex\Droite\358.png" TargetMode="External"/><Relationship Id="rId1109" Type="http://schemas.openxmlformats.org/officeDocument/2006/relationships/image" Target="file:///C:\Users\bapti\OneDrive\Bureau\Game\ExcelMon\Image\Pokedex\Droite\456.png" TargetMode="External"/><Relationship Id="rId258" Type="http://schemas.openxmlformats.org/officeDocument/2006/relationships/image" Target="file:///C:\Users\bapti\OneDrive\Bureau\Game\ExcelMon\Image\Pokedex\Gauche\255.png" TargetMode="External"/><Relationship Id="rId465" Type="http://schemas.openxmlformats.org/officeDocument/2006/relationships/image" Target="file:///C:\Users\bapti\OneDrive\Bureau\Game\ExcelMon\Image\Pokedex\Gauche\462.png" TargetMode="External"/><Relationship Id="rId672" Type="http://schemas.openxmlformats.org/officeDocument/2006/relationships/image" Target="file:///C:\Users\bapti\OneDrive\Bureau\Game\ExcelMon\Image\Pokedex\Droite\19.png" TargetMode="External"/><Relationship Id="rId1095" Type="http://schemas.openxmlformats.org/officeDocument/2006/relationships/image" Target="file:///C:\Users\bapti\OneDrive\Bureau\Game\ExcelMon\Image\Pokedex\Droite\442.png" TargetMode="External"/><Relationship Id="rId22" Type="http://schemas.openxmlformats.org/officeDocument/2006/relationships/image" Target="file:///C:\Users\bapti\OneDrive\Bureau\Game\ExcelMon\Image\Pokedex\Gauche\19.png" TargetMode="External"/><Relationship Id="rId118" Type="http://schemas.openxmlformats.org/officeDocument/2006/relationships/image" Target="file:///C:\Users\bapti\OneDrive\Bureau\Game\ExcelMon\Image\Pokedex\Gauche\115.png" TargetMode="External"/><Relationship Id="rId325" Type="http://schemas.openxmlformats.org/officeDocument/2006/relationships/image" Target="file:///C:\Users\bapti\OneDrive\Bureau\Game\ExcelMon\Image\Pokedex\Gauche\322.png" TargetMode="External"/><Relationship Id="rId532" Type="http://schemas.openxmlformats.org/officeDocument/2006/relationships/image" Target="file:///C:\Users\bapti\OneDrive\Bureau\Game\ExcelMon\Image\Pokedex\Gauche\529.png" TargetMode="External"/><Relationship Id="rId977" Type="http://schemas.openxmlformats.org/officeDocument/2006/relationships/image" Target="file:///C:\Users\bapti\OneDrive\Bureau\Game\ExcelMon\Image\Pokedex\Droite\324.png" TargetMode="External"/><Relationship Id="rId1162" Type="http://schemas.openxmlformats.org/officeDocument/2006/relationships/image" Target="file:///C:\Users\bapti\OneDrive\Bureau\Game\ExcelMon\Image\Pokedex\Droite\509.png" TargetMode="External"/><Relationship Id="rId171" Type="http://schemas.openxmlformats.org/officeDocument/2006/relationships/image" Target="file:///C:\Users\bapti\OneDrive\Bureau\Game\ExcelMon\Image\Pokedex\Gauche\168.png" TargetMode="External"/><Relationship Id="rId837" Type="http://schemas.openxmlformats.org/officeDocument/2006/relationships/image" Target="file:///C:\Users\bapti\OneDrive\Bureau\Game\ExcelMon\Image\Pokedex\Droite\184.png" TargetMode="External"/><Relationship Id="rId1022" Type="http://schemas.openxmlformats.org/officeDocument/2006/relationships/image" Target="file:///C:\Users\bapti\OneDrive\Bureau\Game\ExcelMon\Image\Pokedex\Droite\369.png" TargetMode="External"/><Relationship Id="rId269" Type="http://schemas.openxmlformats.org/officeDocument/2006/relationships/image" Target="file:///C:\Users\bapti\OneDrive\Bureau\Game\ExcelMon\Image\Pokedex\Gauche\266.png" TargetMode="External"/><Relationship Id="rId476" Type="http://schemas.openxmlformats.org/officeDocument/2006/relationships/image" Target="file:///C:\Users\bapti\OneDrive\Bureau\Game\ExcelMon\Image\Pokedex\Gauche\473.png" TargetMode="External"/><Relationship Id="rId683" Type="http://schemas.openxmlformats.org/officeDocument/2006/relationships/image" Target="file:///C:\Users\bapti\OneDrive\Bureau\Game\ExcelMon\Image\Pokedex\Droite\30.png" TargetMode="External"/><Relationship Id="rId890" Type="http://schemas.openxmlformats.org/officeDocument/2006/relationships/image" Target="file:///C:\Users\bapti\OneDrive\Bureau\Game\ExcelMon\Image\Pokedex\Droite\237.png" TargetMode="External"/><Relationship Id="rId904" Type="http://schemas.openxmlformats.org/officeDocument/2006/relationships/image" Target="file:///C:\Users\bapti\OneDrive\Bureau\Game\ExcelMon\Image\Pokedex\Droite\251.png" TargetMode="External"/><Relationship Id="rId33" Type="http://schemas.openxmlformats.org/officeDocument/2006/relationships/image" Target="file:///C:\Users\bapti\OneDrive\Bureau\Game\ExcelMon\Image\Pokedex\Gauche\30.png" TargetMode="External"/><Relationship Id="rId129" Type="http://schemas.openxmlformats.org/officeDocument/2006/relationships/image" Target="file:///C:\Users\bapti\OneDrive\Bureau\Game\ExcelMon\Image\Pokedex\Gauche\126.png" TargetMode="External"/><Relationship Id="rId336" Type="http://schemas.openxmlformats.org/officeDocument/2006/relationships/image" Target="file:///C:\Users\bapti\OneDrive\Bureau\Game\ExcelMon\Image\Pokedex\Gauche\333.png" TargetMode="External"/><Relationship Id="rId543" Type="http://schemas.openxmlformats.org/officeDocument/2006/relationships/image" Target="file:///C:\Users\bapti\OneDrive\Bureau\Game\ExcelMon\Image\Pokedex\Gauche\540.png" TargetMode="External"/><Relationship Id="rId988" Type="http://schemas.openxmlformats.org/officeDocument/2006/relationships/image" Target="file:///C:\Users\bapti\OneDrive\Bureau\Game\ExcelMon\Image\Pokedex\Droite\335.png" TargetMode="External"/><Relationship Id="rId1173" Type="http://schemas.openxmlformats.org/officeDocument/2006/relationships/image" Target="file:///C:\Users\bapti\OneDrive\Bureau\Game\ExcelMon\Image\Pokedex\Droite\520.png" TargetMode="External"/><Relationship Id="rId182" Type="http://schemas.openxmlformats.org/officeDocument/2006/relationships/image" Target="file:///C:\Users\bapti\OneDrive\Bureau\Game\ExcelMon\Image\Pokedex\Gauche\179.png" TargetMode="External"/><Relationship Id="rId403" Type="http://schemas.openxmlformats.org/officeDocument/2006/relationships/image" Target="file:///C:\Users\bapti\OneDrive\Bureau\Game\ExcelMon\Image\Pokedex\Gauche\400.png" TargetMode="External"/><Relationship Id="rId750" Type="http://schemas.openxmlformats.org/officeDocument/2006/relationships/image" Target="file:///C:\Users\bapti\OneDrive\Bureau\Game\ExcelMon\Image\Pokedex\Droite\97.png" TargetMode="External"/><Relationship Id="rId848" Type="http://schemas.openxmlformats.org/officeDocument/2006/relationships/image" Target="file:///C:\Users\bapti\OneDrive\Bureau\Game\ExcelMon\Image\Pokedex\Droite\195.png" TargetMode="External"/><Relationship Id="rId1033" Type="http://schemas.openxmlformats.org/officeDocument/2006/relationships/image" Target="file:///C:\Users\bapti\OneDrive\Bureau\Game\ExcelMon\Image\Pokedex\Droite\380.png" TargetMode="External"/><Relationship Id="rId487" Type="http://schemas.openxmlformats.org/officeDocument/2006/relationships/image" Target="file:///C:\Users\bapti\OneDrive\Bureau\Game\ExcelMon\Image\Pokedex\Gauche\484.png" TargetMode="External"/><Relationship Id="rId610" Type="http://schemas.openxmlformats.org/officeDocument/2006/relationships/image" Target="file:///C:\Users\bapti\OneDrive\Bureau\Game\ExcelMon\Image\Pokedex\Gauche\607.png" TargetMode="External"/><Relationship Id="rId694" Type="http://schemas.openxmlformats.org/officeDocument/2006/relationships/image" Target="file:///C:\Users\bapti\OneDrive\Bureau\Game\ExcelMon\Image\Pokedex\Droite\41.png" TargetMode="External"/><Relationship Id="rId708" Type="http://schemas.openxmlformats.org/officeDocument/2006/relationships/image" Target="file:///C:\Users\bapti\OneDrive\Bureau\Game\ExcelMon\Image\Pokedex\Droite\55.png" TargetMode="External"/><Relationship Id="rId915" Type="http://schemas.openxmlformats.org/officeDocument/2006/relationships/image" Target="file:///C:\Users\bapti\OneDrive\Bureau\Game\ExcelMon\Image\Pokedex\Droite\262.png" TargetMode="External"/><Relationship Id="rId1240" Type="http://schemas.openxmlformats.org/officeDocument/2006/relationships/image" Target="file:///C:\Users\bapti\OneDrive\Bureau\Game\ExcelMon\Image\Pokedex\Droite\587.png" TargetMode="External"/><Relationship Id="rId347" Type="http://schemas.openxmlformats.org/officeDocument/2006/relationships/image" Target="file:///C:\Users\bapti\OneDrive\Bureau\Game\ExcelMon\Image\Pokedex\Gauche\344.png" TargetMode="External"/><Relationship Id="rId999" Type="http://schemas.openxmlformats.org/officeDocument/2006/relationships/image" Target="file:///C:\Users\bapti\OneDrive\Bureau\Game\ExcelMon\Image\Pokedex\Droite\346.png" TargetMode="External"/><Relationship Id="rId1100" Type="http://schemas.openxmlformats.org/officeDocument/2006/relationships/image" Target="file:///C:\Users\bapti\OneDrive\Bureau\Game\ExcelMon\Image\Pokedex\Droite\447.png" TargetMode="External"/><Relationship Id="rId1184" Type="http://schemas.openxmlformats.org/officeDocument/2006/relationships/image" Target="file:///C:\Users\bapti\OneDrive\Bureau\Game\ExcelMon\Image\Pokedex\Droite\531.png" TargetMode="External"/><Relationship Id="rId44" Type="http://schemas.openxmlformats.org/officeDocument/2006/relationships/image" Target="file:///C:\Users\bapti\OneDrive\Bureau\Game\ExcelMon\Image\Pokedex\Gauche\41.png" TargetMode="External"/><Relationship Id="rId554" Type="http://schemas.openxmlformats.org/officeDocument/2006/relationships/image" Target="file:///C:\Users\bapti\OneDrive\Bureau\Game\ExcelMon\Image\Pokedex\Gauche\551.png" TargetMode="External"/><Relationship Id="rId761" Type="http://schemas.openxmlformats.org/officeDocument/2006/relationships/image" Target="file:///C:\Users\bapti\OneDrive\Bureau\Game\ExcelMon\Image\Pokedex\Droite\108.png" TargetMode="External"/><Relationship Id="rId859" Type="http://schemas.openxmlformats.org/officeDocument/2006/relationships/image" Target="file:///C:\Users\bapti\OneDrive\Bureau\Game\ExcelMon\Image\Pokedex\Droite\206.png" TargetMode="External"/><Relationship Id="rId193" Type="http://schemas.openxmlformats.org/officeDocument/2006/relationships/image" Target="file:///C:\Users\bapti\OneDrive\Bureau\Game\ExcelMon\Image\Pokedex\Gauche\190.png" TargetMode="External"/><Relationship Id="rId207" Type="http://schemas.openxmlformats.org/officeDocument/2006/relationships/image" Target="file:///C:\Users\bapti\OneDrive\Bureau\Game\ExcelMon\Image\Pokedex\Gauche\204.png" TargetMode="External"/><Relationship Id="rId414" Type="http://schemas.openxmlformats.org/officeDocument/2006/relationships/image" Target="file:///C:\Users\bapti\OneDrive\Bureau\Game\ExcelMon\Image\Pokedex\Gauche\411.png" TargetMode="External"/><Relationship Id="rId498" Type="http://schemas.openxmlformats.org/officeDocument/2006/relationships/image" Target="file:///C:\Users\bapti\OneDrive\Bureau\Game\ExcelMon\Image\Pokedex\Gauche\495.png" TargetMode="External"/><Relationship Id="rId621" Type="http://schemas.openxmlformats.org/officeDocument/2006/relationships/image" Target="file:///C:\Users\bapti\OneDrive\Bureau\Game\ExcelMon\Image\Pokedex\Gauche\618.png" TargetMode="External"/><Relationship Id="rId1044" Type="http://schemas.openxmlformats.org/officeDocument/2006/relationships/image" Target="file:///C:\Users\bapti\OneDrive\Bureau\Game\ExcelMon\Image\Pokedex\Droite\391.png" TargetMode="External"/><Relationship Id="rId1251" Type="http://schemas.openxmlformats.org/officeDocument/2006/relationships/image" Target="file:///C:\Users\bapti\OneDrive\Bureau\Game\ExcelMon\Image\Pokedex\Droite\598.png" TargetMode="External"/><Relationship Id="rId260" Type="http://schemas.openxmlformats.org/officeDocument/2006/relationships/image" Target="file:///C:\Users\bapti\OneDrive\Bureau\Game\ExcelMon\Image\Pokedex\Gauche\257.png" TargetMode="External"/><Relationship Id="rId719" Type="http://schemas.openxmlformats.org/officeDocument/2006/relationships/image" Target="file:///C:\Users\bapti\OneDrive\Bureau\Game\ExcelMon\Image\Pokedex\Droite\66.png" TargetMode="External"/><Relationship Id="rId926" Type="http://schemas.openxmlformats.org/officeDocument/2006/relationships/image" Target="file:///C:\Users\bapti\OneDrive\Bureau\Game\ExcelMon\Image\Pokedex\Droite\273.png" TargetMode="External"/><Relationship Id="rId1111" Type="http://schemas.openxmlformats.org/officeDocument/2006/relationships/image" Target="file:///C:\Users\bapti\OneDrive\Bureau\Game\ExcelMon\Image\Pokedex\Droite\458.png" TargetMode="External"/><Relationship Id="rId55" Type="http://schemas.openxmlformats.org/officeDocument/2006/relationships/image" Target="file:///C:\Users\bapti\OneDrive\Bureau\Game\ExcelMon\Image\Pokedex\Gauche\52.png" TargetMode="External"/><Relationship Id="rId120" Type="http://schemas.openxmlformats.org/officeDocument/2006/relationships/image" Target="file:///C:\Users\bapti\OneDrive\Bureau\Game\ExcelMon\Image\Pokedex\Gauche\117.png" TargetMode="External"/><Relationship Id="rId358" Type="http://schemas.openxmlformats.org/officeDocument/2006/relationships/image" Target="file:///C:\Users\bapti\OneDrive\Bureau\Game\ExcelMon\Image\Pokedex\Gauche\355.png" TargetMode="External"/><Relationship Id="rId565" Type="http://schemas.openxmlformats.org/officeDocument/2006/relationships/image" Target="file:///C:\Users\bapti\OneDrive\Bureau\Game\ExcelMon\Image\Pokedex\Gauche\562.png" TargetMode="External"/><Relationship Id="rId772" Type="http://schemas.openxmlformats.org/officeDocument/2006/relationships/image" Target="file:///C:\Users\bapti\OneDrive\Bureau\Game\ExcelMon\Image\Pokedex\Droite\119.png" TargetMode="External"/><Relationship Id="rId1195" Type="http://schemas.openxmlformats.org/officeDocument/2006/relationships/image" Target="file:///C:\Users\bapti\OneDrive\Bureau\Game\ExcelMon\Image\Pokedex\Droite\542.png" TargetMode="External"/><Relationship Id="rId1209" Type="http://schemas.openxmlformats.org/officeDocument/2006/relationships/image" Target="file:///C:\Users\bapti\OneDrive\Bureau\Game\ExcelMon\Image\Pokedex\Droite\556.png" TargetMode="External"/><Relationship Id="rId218" Type="http://schemas.openxmlformats.org/officeDocument/2006/relationships/image" Target="file:///C:\Users\bapti\OneDrive\Bureau\Game\ExcelMon\Image\Pokedex\Gauche\215.png" TargetMode="External"/><Relationship Id="rId425" Type="http://schemas.openxmlformats.org/officeDocument/2006/relationships/image" Target="file:///C:\Users\bapti\OneDrive\Bureau\Game\ExcelMon\Image\Pokedex\Gauche\422.png" TargetMode="External"/><Relationship Id="rId632" Type="http://schemas.openxmlformats.org/officeDocument/2006/relationships/image" Target="file:///C:\Users\bapti\OneDrive\Bureau\Game\ExcelMon\Image\Pokedex\Gauche\629.png" TargetMode="External"/><Relationship Id="rId1055" Type="http://schemas.openxmlformats.org/officeDocument/2006/relationships/image" Target="file:///C:\Users\bapti\OneDrive\Bureau\Game\ExcelMon\Image\Pokedex\Droite\402.png" TargetMode="External"/><Relationship Id="rId1262" Type="http://schemas.openxmlformats.org/officeDocument/2006/relationships/image" Target="file:///C:\Users\bapti\OneDrive\Bureau\Game\ExcelMon\Image\Pokedex\Droite\609.png" TargetMode="External"/><Relationship Id="rId271" Type="http://schemas.openxmlformats.org/officeDocument/2006/relationships/image" Target="file:///C:\Users\bapti\OneDrive\Bureau\Game\ExcelMon\Image\Pokedex\Gauche\268.png" TargetMode="External"/><Relationship Id="rId937" Type="http://schemas.openxmlformats.org/officeDocument/2006/relationships/image" Target="file:///C:\Users\bapti\OneDrive\Bureau\Game\ExcelMon\Image\Pokedex\Droite\284.png" TargetMode="External"/><Relationship Id="rId1122" Type="http://schemas.openxmlformats.org/officeDocument/2006/relationships/image" Target="file:///C:\Users\bapti\OneDrive\Bureau\Game\ExcelMon\Image\Pokedex\Droite\469.png" TargetMode="External"/><Relationship Id="rId66" Type="http://schemas.openxmlformats.org/officeDocument/2006/relationships/image" Target="file:///C:\Users\bapti\OneDrive\Bureau\Game\ExcelMon\Image\Pokedex\Gauche\63.png" TargetMode="External"/><Relationship Id="rId131" Type="http://schemas.openxmlformats.org/officeDocument/2006/relationships/image" Target="file:///C:\Users\bapti\OneDrive\Bureau\Game\ExcelMon\Image\Pokedex\Gauche\128.png" TargetMode="External"/><Relationship Id="rId369" Type="http://schemas.openxmlformats.org/officeDocument/2006/relationships/image" Target="file:///C:\Users\bapti\OneDrive\Bureau\Game\ExcelMon\Image\Pokedex\Gauche\366.png" TargetMode="External"/><Relationship Id="rId576" Type="http://schemas.openxmlformats.org/officeDocument/2006/relationships/image" Target="file:///C:\Users\bapti\OneDrive\Bureau\Game\ExcelMon\Image\Pokedex\Gauche\573.png" TargetMode="External"/><Relationship Id="rId783" Type="http://schemas.openxmlformats.org/officeDocument/2006/relationships/image" Target="file:///C:\Users\bapti\OneDrive\Bureau\Game\ExcelMon\Image\Pokedex\Droite\130.png" TargetMode="External"/><Relationship Id="rId990" Type="http://schemas.openxmlformats.org/officeDocument/2006/relationships/image" Target="file:///C:\Users\bapti\OneDrive\Bureau\Game\ExcelMon\Image\Pokedex\Droite\337.png" TargetMode="External"/><Relationship Id="rId229" Type="http://schemas.openxmlformats.org/officeDocument/2006/relationships/image" Target="file:///C:\Users\bapti\OneDrive\Bureau\Game\ExcelMon\Image\Pokedex\Gauche\226.png" TargetMode="External"/><Relationship Id="rId436" Type="http://schemas.openxmlformats.org/officeDocument/2006/relationships/image" Target="file:///C:\Users\bapti\OneDrive\Bureau\Game\ExcelMon\Image\Pokedex\Gauche\433.png" TargetMode="External"/><Relationship Id="rId643" Type="http://schemas.openxmlformats.org/officeDocument/2006/relationships/image" Target="file:///C:\Users\bapti\OneDrive\Bureau\Game\ExcelMon\Image\Pokedex\Gauche\640.png" TargetMode="External"/><Relationship Id="rId1066" Type="http://schemas.openxmlformats.org/officeDocument/2006/relationships/image" Target="file:///C:\Users\bapti\OneDrive\Bureau\Game\ExcelMon\Image\Pokedex\Droite\413.png" TargetMode="External"/><Relationship Id="rId1273" Type="http://schemas.openxmlformats.org/officeDocument/2006/relationships/image" Target="file:///C:\Users\bapti\OneDrive\Bureau\Game\ExcelMon\Image\Pokedex\Droite\620.png" TargetMode="External"/><Relationship Id="rId850" Type="http://schemas.openxmlformats.org/officeDocument/2006/relationships/image" Target="file:///C:\Users\bapti\OneDrive\Bureau\Game\ExcelMon\Image\Pokedex\Droite\197.png" TargetMode="External"/><Relationship Id="rId948" Type="http://schemas.openxmlformats.org/officeDocument/2006/relationships/image" Target="file:///C:\Users\bapti\OneDrive\Bureau\Game\ExcelMon\Image\Pokedex\Droite\295.png" TargetMode="External"/><Relationship Id="rId1133" Type="http://schemas.openxmlformats.org/officeDocument/2006/relationships/image" Target="file:///C:\Users\bapti\OneDrive\Bureau\Game\ExcelMon\Image\Pokedex\Droite\480.png" TargetMode="External"/><Relationship Id="rId77" Type="http://schemas.openxmlformats.org/officeDocument/2006/relationships/image" Target="file:///C:\Users\bapti\OneDrive\Bureau\Game\ExcelMon\Image\Pokedex\Gauche\74.png" TargetMode="External"/><Relationship Id="rId282" Type="http://schemas.openxmlformats.org/officeDocument/2006/relationships/image" Target="file:///C:\Users\bapti\OneDrive\Bureau\Game\ExcelMon\Image\Pokedex\Gauche\279.png" TargetMode="External"/><Relationship Id="rId503" Type="http://schemas.openxmlformats.org/officeDocument/2006/relationships/image" Target="file:///C:\Users\bapti\OneDrive\Bureau\Game\ExcelMon\Image\Pokedex\Gauche\500.png" TargetMode="External"/><Relationship Id="rId587" Type="http://schemas.openxmlformats.org/officeDocument/2006/relationships/image" Target="file:///C:\Users\bapti\OneDrive\Bureau\Game\ExcelMon\Image\Pokedex\Gauche\584.png" TargetMode="External"/><Relationship Id="rId710" Type="http://schemas.openxmlformats.org/officeDocument/2006/relationships/image" Target="file:///C:\Users\bapti\OneDrive\Bureau\Game\ExcelMon\Image\Pokedex\Droite\57.png" TargetMode="External"/><Relationship Id="rId808" Type="http://schemas.openxmlformats.org/officeDocument/2006/relationships/image" Target="file:///C:\Users\bapti\OneDrive\Bureau\Game\ExcelMon\Image\Pokedex\Droite\155.png" TargetMode="External"/><Relationship Id="rId8" Type="http://schemas.openxmlformats.org/officeDocument/2006/relationships/image" Target="file:///C:\Users\bapti\OneDrive\Bureau\Game\ExcelMon\Image\Pokedex\Gauche\5.png" TargetMode="External"/><Relationship Id="rId142" Type="http://schemas.openxmlformats.org/officeDocument/2006/relationships/image" Target="file:///C:\Users\bapti\OneDrive\Bureau\Game\ExcelMon\Image\Pokedex\Gauche\139.png" TargetMode="External"/><Relationship Id="rId447" Type="http://schemas.openxmlformats.org/officeDocument/2006/relationships/image" Target="file:///C:\Users\bapti\OneDrive\Bureau\Game\ExcelMon\Image\Pokedex\Gauche\444.png" TargetMode="External"/><Relationship Id="rId794" Type="http://schemas.openxmlformats.org/officeDocument/2006/relationships/image" Target="file:///C:\Users\bapti\OneDrive\Bureau\Game\ExcelMon\Image\Pokedex\Droite\141.png" TargetMode="External"/><Relationship Id="rId1077" Type="http://schemas.openxmlformats.org/officeDocument/2006/relationships/image" Target="file:///C:\Users\bapti\OneDrive\Bureau\Game\ExcelMon\Image\Pokedex\Droite\424.png" TargetMode="External"/><Relationship Id="rId1200" Type="http://schemas.openxmlformats.org/officeDocument/2006/relationships/image" Target="file:///C:\Users\bapti\OneDrive\Bureau\Game\ExcelMon\Image\Pokedex\Droite\547.png" TargetMode="External"/><Relationship Id="rId654" Type="http://schemas.openxmlformats.org/officeDocument/2006/relationships/image" Target="file:///C:\Users\bapti\OneDrive\Bureau\Game\ExcelMon\Image\Pokedex\Droite\1.png" TargetMode="External"/><Relationship Id="rId861" Type="http://schemas.openxmlformats.org/officeDocument/2006/relationships/image" Target="file:///C:\Users\bapti\OneDrive\Bureau\Game\ExcelMon\Image\Pokedex\Droite\208.png" TargetMode="External"/><Relationship Id="rId959" Type="http://schemas.openxmlformats.org/officeDocument/2006/relationships/image" Target="file:///C:\Users\bapti\OneDrive\Bureau\Game\ExcelMon\Image\Pokedex\Droite\306.png" TargetMode="External"/><Relationship Id="rId1284" Type="http://schemas.openxmlformats.org/officeDocument/2006/relationships/image" Target="file:///C:\Users\bapti\OneDrive\Bureau\Game\ExcelMon\Image\Pokedex\Droite\631.png" TargetMode="External"/><Relationship Id="rId293" Type="http://schemas.openxmlformats.org/officeDocument/2006/relationships/image" Target="file:///C:\Users\bapti\OneDrive\Bureau\Game\ExcelMon\Image\Pokedex\Gauche\290.png" TargetMode="External"/><Relationship Id="rId307" Type="http://schemas.openxmlformats.org/officeDocument/2006/relationships/image" Target="file:///C:\Users\bapti\OneDrive\Bureau\Game\ExcelMon\Image\Pokedex\Gauche\304.png" TargetMode="External"/><Relationship Id="rId514" Type="http://schemas.openxmlformats.org/officeDocument/2006/relationships/image" Target="file:///C:\Users\bapti\OneDrive\Bureau\Game\ExcelMon\Image\Pokedex\Gauche\511.png" TargetMode="External"/><Relationship Id="rId721" Type="http://schemas.openxmlformats.org/officeDocument/2006/relationships/image" Target="file:///C:\Users\bapti\OneDrive\Bureau\Game\ExcelMon\Image\Pokedex\Droite\68.png" TargetMode="External"/><Relationship Id="rId1144" Type="http://schemas.openxmlformats.org/officeDocument/2006/relationships/image" Target="file:///C:\Users\bapti\OneDrive\Bureau\Game\ExcelMon\Image\Pokedex\Droite\491.png" TargetMode="External"/><Relationship Id="rId88" Type="http://schemas.openxmlformats.org/officeDocument/2006/relationships/image" Target="file:///C:\Users\bapti\OneDrive\Bureau\Game\ExcelMon\Image\Pokedex\Gauche\85.png" TargetMode="External"/><Relationship Id="rId153" Type="http://schemas.openxmlformats.org/officeDocument/2006/relationships/image" Target="file:///C:\Users\bapti\OneDrive\Bureau\Game\ExcelMon\Image\Pokedex\Gauche\150.png" TargetMode="External"/><Relationship Id="rId360" Type="http://schemas.openxmlformats.org/officeDocument/2006/relationships/image" Target="file:///C:\Users\bapti\OneDrive\Bureau\Game\ExcelMon\Image\Pokedex\Gauche\357.png" TargetMode="External"/><Relationship Id="rId598" Type="http://schemas.openxmlformats.org/officeDocument/2006/relationships/image" Target="file:///C:\Users\bapti\OneDrive\Bureau\Game\ExcelMon\Image\Pokedex\Gauche\595.png" TargetMode="External"/><Relationship Id="rId819" Type="http://schemas.openxmlformats.org/officeDocument/2006/relationships/image" Target="file:///C:\Users\bapti\OneDrive\Bureau\Game\ExcelMon\Image\Pokedex\Droite\166.png" TargetMode="External"/><Relationship Id="rId1004" Type="http://schemas.openxmlformats.org/officeDocument/2006/relationships/image" Target="file:///C:\Users\bapti\OneDrive\Bureau\Game\ExcelMon\Image\Pokedex\Droite\351.png" TargetMode="External"/><Relationship Id="rId1211" Type="http://schemas.openxmlformats.org/officeDocument/2006/relationships/image" Target="file:///C:\Users\bapti\OneDrive\Bureau\Game\ExcelMon\Image\Pokedex\Droite\558.png" TargetMode="External"/><Relationship Id="rId220" Type="http://schemas.openxmlformats.org/officeDocument/2006/relationships/image" Target="file:///C:\Users\bapti\OneDrive\Bureau\Game\ExcelMon\Image\Pokedex\Gauche\217.png" TargetMode="External"/><Relationship Id="rId458" Type="http://schemas.openxmlformats.org/officeDocument/2006/relationships/image" Target="file:///C:\Users\bapti\OneDrive\Bureau\Game\ExcelMon\Image\Pokedex\Gauche\455.png" TargetMode="External"/><Relationship Id="rId665" Type="http://schemas.openxmlformats.org/officeDocument/2006/relationships/image" Target="file:///C:\Users\bapti\OneDrive\Bureau\Game\ExcelMon\Image\Pokedex\Droite\12.png" TargetMode="External"/><Relationship Id="rId872" Type="http://schemas.openxmlformats.org/officeDocument/2006/relationships/image" Target="file:///C:\Users\bapti\OneDrive\Bureau\Game\ExcelMon\Image\Pokedex\Droite\219.png" TargetMode="External"/><Relationship Id="rId1088" Type="http://schemas.openxmlformats.org/officeDocument/2006/relationships/image" Target="file:///C:\Users\bapti\OneDrive\Bureau\Game\ExcelMon\Image\Pokedex\Droite\435.png" TargetMode="External"/><Relationship Id="rId1295" Type="http://schemas.openxmlformats.org/officeDocument/2006/relationships/image" Target="file:///C:\Users\bapti\OneDrive\Bureau\Game\ExcelMon\Image\Pokedex\Droite\642.png" TargetMode="External"/><Relationship Id="rId15" Type="http://schemas.openxmlformats.org/officeDocument/2006/relationships/image" Target="file:///C:\Users\bapti\OneDrive\Bureau\Game\ExcelMon\Image\Pokedex\Gauche\12.png" TargetMode="External"/><Relationship Id="rId318" Type="http://schemas.openxmlformats.org/officeDocument/2006/relationships/image" Target="file:///C:\Users\bapti\OneDrive\Bureau\Game\ExcelMon\Image\Pokedex\Gauche\315.png" TargetMode="External"/><Relationship Id="rId525" Type="http://schemas.openxmlformats.org/officeDocument/2006/relationships/image" Target="file:///C:\Users\bapti\OneDrive\Bureau\Game\ExcelMon\Image\Pokedex\Gauche\522.png" TargetMode="External"/><Relationship Id="rId732" Type="http://schemas.openxmlformats.org/officeDocument/2006/relationships/image" Target="file:///C:\Users\bapti\OneDrive\Bureau\Game\ExcelMon\Image\Pokedex\Droite\79.png" TargetMode="External"/><Relationship Id="rId1155" Type="http://schemas.openxmlformats.org/officeDocument/2006/relationships/image" Target="file:///C:\Users\bapti\OneDrive\Bureau\Game\ExcelMon\Image\Pokedex\Droite\502.png" TargetMode="External"/><Relationship Id="rId99" Type="http://schemas.openxmlformats.org/officeDocument/2006/relationships/image" Target="file:///C:\Users\bapti\OneDrive\Bureau\Game\ExcelMon\Image\Pokedex\Gauche\96.png" TargetMode="External"/><Relationship Id="rId164" Type="http://schemas.openxmlformats.org/officeDocument/2006/relationships/image" Target="file:///C:\Users\bapti\OneDrive\Bureau\Game\ExcelMon\Image\Pokedex\Gauche\161.png" TargetMode="External"/><Relationship Id="rId371" Type="http://schemas.openxmlformats.org/officeDocument/2006/relationships/image" Target="file:///C:\Users\bapti\OneDrive\Bureau\Game\ExcelMon\Image\Pokedex\Gauche\368.png" TargetMode="External"/><Relationship Id="rId1015" Type="http://schemas.openxmlformats.org/officeDocument/2006/relationships/image" Target="file:///C:\Users\bapti\OneDrive\Bureau\Game\ExcelMon\Image\Pokedex\Droite\362.png" TargetMode="External"/><Relationship Id="rId1222" Type="http://schemas.openxmlformats.org/officeDocument/2006/relationships/image" Target="file:///C:\Users\bapti\OneDrive\Bureau\Game\ExcelMon\Image\Pokedex\Droite\569.png" TargetMode="External"/><Relationship Id="rId469" Type="http://schemas.openxmlformats.org/officeDocument/2006/relationships/image" Target="file:///C:\Users\bapti\OneDrive\Bureau\Game\ExcelMon\Image\Pokedex\Gauche\466.png" TargetMode="External"/><Relationship Id="rId676" Type="http://schemas.openxmlformats.org/officeDocument/2006/relationships/image" Target="file:///C:\Users\bapti\OneDrive\Bureau\Game\ExcelMon\Image\Pokedex\Droite\23.png" TargetMode="External"/><Relationship Id="rId883" Type="http://schemas.openxmlformats.org/officeDocument/2006/relationships/image" Target="file:///C:\Users\bapti\OneDrive\Bureau\Game\ExcelMon\Image\Pokedex\Droite\230.png" TargetMode="External"/><Relationship Id="rId1099" Type="http://schemas.openxmlformats.org/officeDocument/2006/relationships/image" Target="file:///C:\Users\bapti\OneDrive\Bureau\Game\ExcelMon\Image\Pokedex\Droite\446.png" TargetMode="External"/><Relationship Id="rId26" Type="http://schemas.openxmlformats.org/officeDocument/2006/relationships/image" Target="file:///C:\Users\bapti\OneDrive\Bureau\Game\ExcelMon\Image\Pokedex\Gauche\23.png" TargetMode="External"/><Relationship Id="rId231" Type="http://schemas.openxmlformats.org/officeDocument/2006/relationships/image" Target="file:///C:\Users\bapti\OneDrive\Bureau\Game\ExcelMon\Image\Pokedex\Gauche\228.png" TargetMode="External"/><Relationship Id="rId329" Type="http://schemas.openxmlformats.org/officeDocument/2006/relationships/image" Target="file:///C:\Users\bapti\OneDrive\Bureau\Game\ExcelMon\Image\Pokedex\Gauche\326.png" TargetMode="External"/><Relationship Id="rId536" Type="http://schemas.openxmlformats.org/officeDocument/2006/relationships/image" Target="file:///C:\Users\bapti\OneDrive\Bureau\Game\ExcelMon\Image\Pokedex\Gauche\533.png" TargetMode="External"/><Relationship Id="rId1166" Type="http://schemas.openxmlformats.org/officeDocument/2006/relationships/image" Target="file:///C:\Users\bapti\OneDrive\Bureau\Game\ExcelMon\Image\Pokedex\Droite\513.png" TargetMode="External"/><Relationship Id="rId175" Type="http://schemas.openxmlformats.org/officeDocument/2006/relationships/image" Target="file:///C:\Users\bapti\OneDrive\Bureau\Game\ExcelMon\Image\Pokedex\Gauche\172.png" TargetMode="External"/><Relationship Id="rId743" Type="http://schemas.openxmlformats.org/officeDocument/2006/relationships/image" Target="file:///C:\Users\bapti\OneDrive\Bureau\Game\ExcelMon\Image\Pokedex\Droite\90.png" TargetMode="External"/><Relationship Id="rId950" Type="http://schemas.openxmlformats.org/officeDocument/2006/relationships/image" Target="file:///C:\Users\bapti\OneDrive\Bureau\Game\ExcelMon\Image\Pokedex\Droite\297.png" TargetMode="External"/><Relationship Id="rId1026" Type="http://schemas.openxmlformats.org/officeDocument/2006/relationships/image" Target="file:///C:\Users\bapti\OneDrive\Bureau\Game\ExcelMon\Image\Pokedex\Droite\373.png" TargetMode="External"/><Relationship Id="rId382" Type="http://schemas.openxmlformats.org/officeDocument/2006/relationships/image" Target="file:///C:\Users\bapti\OneDrive\Bureau\Game\ExcelMon\Image\Pokedex\Gauche\379.png" TargetMode="External"/><Relationship Id="rId603" Type="http://schemas.openxmlformats.org/officeDocument/2006/relationships/image" Target="file:///C:\Users\bapti\OneDrive\Bureau\Game\ExcelMon\Image\Pokedex\Gauche\600.png" TargetMode="External"/><Relationship Id="rId687" Type="http://schemas.openxmlformats.org/officeDocument/2006/relationships/image" Target="file:///C:\Users\bapti\OneDrive\Bureau\Game\ExcelMon\Image\Pokedex\Droite\34.png" TargetMode="External"/><Relationship Id="rId810" Type="http://schemas.openxmlformats.org/officeDocument/2006/relationships/image" Target="file:///C:\Users\bapti\OneDrive\Bureau\Game\ExcelMon\Image\Pokedex\Droite\157.png" TargetMode="External"/><Relationship Id="rId908" Type="http://schemas.openxmlformats.org/officeDocument/2006/relationships/image" Target="file:///C:\Users\bapti\OneDrive\Bureau\Game\ExcelMon\Image\Pokedex\Droite\255.png" TargetMode="External"/><Relationship Id="rId1233" Type="http://schemas.openxmlformats.org/officeDocument/2006/relationships/image" Target="file:///C:\Users\bapti\OneDrive\Bureau\Game\ExcelMon\Image\Pokedex\Droite\580.png" TargetMode="External"/><Relationship Id="rId242" Type="http://schemas.openxmlformats.org/officeDocument/2006/relationships/image" Target="file:///C:\Users\bapti\OneDrive\Bureau\Game\ExcelMon\Image\Pokedex\Gauche\239.png" TargetMode="External"/><Relationship Id="rId894" Type="http://schemas.openxmlformats.org/officeDocument/2006/relationships/image" Target="file:///C:\Users\bapti\OneDrive\Bureau\Game\ExcelMon\Image\Pokedex\Droite\241.png" TargetMode="External"/><Relationship Id="rId1177" Type="http://schemas.openxmlformats.org/officeDocument/2006/relationships/image" Target="file:///C:\Users\bapti\OneDrive\Bureau\Game\ExcelMon\Image\Pokedex\Droite\524.png" TargetMode="External"/><Relationship Id="rId1300" Type="http://schemas.openxmlformats.org/officeDocument/2006/relationships/image" Target="file:///C:\Users\bapti\OneDrive\Bureau\Game\ExcelMon\Image\Pokedex\Droite\647.png" TargetMode="External"/><Relationship Id="rId37" Type="http://schemas.openxmlformats.org/officeDocument/2006/relationships/image" Target="file:///C:\Users\bapti\OneDrive\Bureau\Game\ExcelMon\Image\Pokedex\Gauche\34.png" TargetMode="External"/><Relationship Id="rId102" Type="http://schemas.openxmlformats.org/officeDocument/2006/relationships/image" Target="file:///C:\Users\bapti\OneDrive\Bureau\Game\ExcelMon\Image\Pokedex\Gauche\99.png" TargetMode="External"/><Relationship Id="rId547" Type="http://schemas.openxmlformats.org/officeDocument/2006/relationships/image" Target="file:///C:\Users\bapti\OneDrive\Bureau\Game\ExcelMon\Image\Pokedex\Gauche\544.png" TargetMode="External"/><Relationship Id="rId754" Type="http://schemas.openxmlformats.org/officeDocument/2006/relationships/image" Target="file:///C:\Users\bapti\OneDrive\Bureau\Game\ExcelMon\Image\Pokedex\Droite\101.png" TargetMode="External"/><Relationship Id="rId961" Type="http://schemas.openxmlformats.org/officeDocument/2006/relationships/image" Target="file:///C:\Users\bapti\OneDrive\Bureau\Game\ExcelMon\Image\Pokedex\Droite\308.png" TargetMode="External"/><Relationship Id="rId90" Type="http://schemas.openxmlformats.org/officeDocument/2006/relationships/image" Target="file:///C:\Users\bapti\OneDrive\Bureau\Game\ExcelMon\Image\Pokedex\Gauche\87.png" TargetMode="External"/><Relationship Id="rId186" Type="http://schemas.openxmlformats.org/officeDocument/2006/relationships/image" Target="file:///C:\Users\bapti\OneDrive\Bureau\Game\ExcelMon\Image\Pokedex\Gauche\183.png" TargetMode="External"/><Relationship Id="rId393" Type="http://schemas.openxmlformats.org/officeDocument/2006/relationships/image" Target="file:///C:\Users\bapti\OneDrive\Bureau\Game\ExcelMon\Image\Pokedex\Gauche\390.png" TargetMode="External"/><Relationship Id="rId407" Type="http://schemas.openxmlformats.org/officeDocument/2006/relationships/image" Target="file:///C:\Users\bapti\OneDrive\Bureau\Game\ExcelMon\Image\Pokedex\Gauche\404.png" TargetMode="External"/><Relationship Id="rId614" Type="http://schemas.openxmlformats.org/officeDocument/2006/relationships/image" Target="file:///C:\Users\bapti\OneDrive\Bureau\Game\ExcelMon\Image\Pokedex\Gauche\611.png" TargetMode="External"/><Relationship Id="rId821" Type="http://schemas.openxmlformats.org/officeDocument/2006/relationships/image" Target="file:///C:\Users\bapti\OneDrive\Bureau\Game\ExcelMon\Image\Pokedex\Droite\168.png" TargetMode="External"/><Relationship Id="rId1037" Type="http://schemas.openxmlformats.org/officeDocument/2006/relationships/image" Target="file:///C:\Users\bapti\OneDrive\Bureau\Game\ExcelMon\Image\Pokedex\Droite\384.png" TargetMode="External"/><Relationship Id="rId1244" Type="http://schemas.openxmlformats.org/officeDocument/2006/relationships/image" Target="file:///C:\Users\bapti\OneDrive\Bureau\Game\ExcelMon\Image\Pokedex\Droite\591.png" TargetMode="External"/><Relationship Id="rId253" Type="http://schemas.openxmlformats.org/officeDocument/2006/relationships/image" Target="file:///C:\Users\bapti\OneDrive\Bureau\Game\ExcelMon\Image\Pokedex\Gauche\250.png" TargetMode="External"/><Relationship Id="rId460" Type="http://schemas.openxmlformats.org/officeDocument/2006/relationships/image" Target="file:///C:\Users\bapti\OneDrive\Bureau\Game\ExcelMon\Image\Pokedex\Gauche\457.png" TargetMode="External"/><Relationship Id="rId698" Type="http://schemas.openxmlformats.org/officeDocument/2006/relationships/image" Target="file:///C:\Users\bapti\OneDrive\Bureau\Game\ExcelMon\Image\Pokedex\Droite\45.png" TargetMode="External"/><Relationship Id="rId919" Type="http://schemas.openxmlformats.org/officeDocument/2006/relationships/image" Target="file:///C:\Users\bapti\OneDrive\Bureau\Game\ExcelMon\Image\Pokedex\Droite\266.png" TargetMode="External"/><Relationship Id="rId1090" Type="http://schemas.openxmlformats.org/officeDocument/2006/relationships/image" Target="file:///C:\Users\bapti\OneDrive\Bureau\Game\ExcelMon\Image\Pokedex\Droite\437.png" TargetMode="External"/><Relationship Id="rId1104" Type="http://schemas.openxmlformats.org/officeDocument/2006/relationships/image" Target="file:///C:\Users\bapti\OneDrive\Bureau\Game\ExcelMon\Image\Pokedex\Droite\451.png" TargetMode="External"/><Relationship Id="rId48" Type="http://schemas.openxmlformats.org/officeDocument/2006/relationships/image" Target="file:///C:\Users\bapti\OneDrive\Bureau\Game\ExcelMon\Image\Pokedex\Gauche\45.png" TargetMode="External"/><Relationship Id="rId113" Type="http://schemas.openxmlformats.org/officeDocument/2006/relationships/image" Target="file:///C:\Users\bapti\OneDrive\Bureau\Game\ExcelMon\Image\Pokedex\Gauche\110.png" TargetMode="External"/><Relationship Id="rId320" Type="http://schemas.openxmlformats.org/officeDocument/2006/relationships/image" Target="file:///C:\Users\bapti\OneDrive\Bureau\Game\ExcelMon\Image\Pokedex\Gauche\317.png" TargetMode="External"/><Relationship Id="rId558" Type="http://schemas.openxmlformats.org/officeDocument/2006/relationships/image" Target="file:///C:\Users\bapti\OneDrive\Bureau\Game\ExcelMon\Image\Pokedex\Gauche\555.png" TargetMode="External"/><Relationship Id="rId765" Type="http://schemas.openxmlformats.org/officeDocument/2006/relationships/image" Target="file:///C:\Users\bapti\OneDrive\Bureau\Game\ExcelMon\Image\Pokedex\Droite\112.png" TargetMode="External"/><Relationship Id="rId972" Type="http://schemas.openxmlformats.org/officeDocument/2006/relationships/image" Target="file:///C:\Users\bapti\OneDrive\Bureau\Game\ExcelMon\Image\Pokedex\Droite\319.png" TargetMode="External"/><Relationship Id="rId1188" Type="http://schemas.openxmlformats.org/officeDocument/2006/relationships/image" Target="file:///C:\Users\bapti\OneDrive\Bureau\Game\ExcelMon\Image\Pokedex\Droite\535.png" TargetMode="External"/><Relationship Id="rId197" Type="http://schemas.openxmlformats.org/officeDocument/2006/relationships/image" Target="file:///C:\Users\bapti\OneDrive\Bureau\Game\ExcelMon\Image\Pokedex\Gauche\194.png" TargetMode="External"/><Relationship Id="rId418" Type="http://schemas.openxmlformats.org/officeDocument/2006/relationships/image" Target="file:///C:\Users\bapti\OneDrive\Bureau\Game\ExcelMon\Image\Pokedex\Gauche\415.png" TargetMode="External"/><Relationship Id="rId625" Type="http://schemas.openxmlformats.org/officeDocument/2006/relationships/image" Target="file:///C:\Users\bapti\OneDrive\Bureau\Game\ExcelMon\Image\Pokedex\Gauche\622.png" TargetMode="External"/><Relationship Id="rId832" Type="http://schemas.openxmlformats.org/officeDocument/2006/relationships/image" Target="file:///C:\Users\bapti\OneDrive\Bureau\Game\ExcelMon\Image\Pokedex\Droite\179.png" TargetMode="External"/><Relationship Id="rId1048" Type="http://schemas.openxmlformats.org/officeDocument/2006/relationships/image" Target="file:///C:\Users\bapti\OneDrive\Bureau\Game\ExcelMon\Image\Pokedex\Droite\395.png" TargetMode="External"/><Relationship Id="rId1255" Type="http://schemas.openxmlformats.org/officeDocument/2006/relationships/image" Target="file:///C:\Users\bapti\OneDrive\Bureau\Game\ExcelMon\Image\Pokedex\Droite\602.png" TargetMode="External"/><Relationship Id="rId264" Type="http://schemas.openxmlformats.org/officeDocument/2006/relationships/image" Target="file:///C:\Users\bapti\OneDrive\Bureau\Game\ExcelMon\Image\Pokedex\Gauche\261.png" TargetMode="External"/><Relationship Id="rId471" Type="http://schemas.openxmlformats.org/officeDocument/2006/relationships/image" Target="file:///C:\Users\bapti\OneDrive\Bureau\Game\ExcelMon\Image\Pokedex\Gauche\468.png" TargetMode="External"/><Relationship Id="rId1115" Type="http://schemas.openxmlformats.org/officeDocument/2006/relationships/image" Target="file:///C:\Users\bapti\OneDrive\Bureau\Game\ExcelMon\Image\Pokedex\Droite\462.png" TargetMode="External"/><Relationship Id="rId59" Type="http://schemas.openxmlformats.org/officeDocument/2006/relationships/image" Target="file:///C:\Users\bapti\OneDrive\Bureau\Game\ExcelMon\Image\Pokedex\Gauche\56.png" TargetMode="External"/><Relationship Id="rId124" Type="http://schemas.openxmlformats.org/officeDocument/2006/relationships/image" Target="file:///C:\Users\bapti\OneDrive\Bureau\Game\ExcelMon\Image\Pokedex\Gauche\121.png" TargetMode="External"/><Relationship Id="rId569" Type="http://schemas.openxmlformats.org/officeDocument/2006/relationships/image" Target="file:///C:\Users\bapti\OneDrive\Bureau\Game\ExcelMon\Image\Pokedex\Gauche\566.png" TargetMode="External"/><Relationship Id="rId776" Type="http://schemas.openxmlformats.org/officeDocument/2006/relationships/image" Target="file:///C:\Users\bapti\OneDrive\Bureau\Game\ExcelMon\Image\Pokedex\Droite\123.png" TargetMode="External"/><Relationship Id="rId983" Type="http://schemas.openxmlformats.org/officeDocument/2006/relationships/image" Target="file:///C:\Users\bapti\OneDrive\Bureau\Game\ExcelMon\Image\Pokedex\Droite\330.png" TargetMode="External"/><Relationship Id="rId1199" Type="http://schemas.openxmlformats.org/officeDocument/2006/relationships/image" Target="file:///C:\Users\bapti\OneDrive\Bureau\Game\ExcelMon\Image\Pokedex\Droite\546.png" TargetMode="External"/><Relationship Id="rId331" Type="http://schemas.openxmlformats.org/officeDocument/2006/relationships/image" Target="file:///C:\Users\bapti\OneDrive\Bureau\Game\ExcelMon\Image\Pokedex\Gauche\328.png" TargetMode="External"/><Relationship Id="rId429" Type="http://schemas.openxmlformats.org/officeDocument/2006/relationships/image" Target="file:///C:\Users\bapti\OneDrive\Bureau\Game\ExcelMon\Image\Pokedex\Gauche\426.png" TargetMode="External"/><Relationship Id="rId636" Type="http://schemas.openxmlformats.org/officeDocument/2006/relationships/image" Target="file:///C:\Users\bapti\OneDrive\Bureau\Game\ExcelMon\Image\Pokedex\Gauche\633.png" TargetMode="External"/><Relationship Id="rId1059" Type="http://schemas.openxmlformats.org/officeDocument/2006/relationships/image" Target="file:///C:\Users\bapti\OneDrive\Bureau\Game\ExcelMon\Image\Pokedex\Droite\406.png" TargetMode="External"/><Relationship Id="rId1266" Type="http://schemas.openxmlformats.org/officeDocument/2006/relationships/image" Target="file:///C:\Users\bapti\OneDrive\Bureau\Game\ExcelMon\Image\Pokedex\Droite\613.png" TargetMode="External"/><Relationship Id="rId843" Type="http://schemas.openxmlformats.org/officeDocument/2006/relationships/image" Target="file:///C:\Users\bapti\OneDrive\Bureau\Game\ExcelMon\Image\Pokedex\Droite\190.png" TargetMode="External"/><Relationship Id="rId1126" Type="http://schemas.openxmlformats.org/officeDocument/2006/relationships/image" Target="file:///C:\Users\bapti\OneDrive\Bureau\Game\ExcelMon\Image\Pokedex\Droite\473.png" TargetMode="External"/><Relationship Id="rId275" Type="http://schemas.openxmlformats.org/officeDocument/2006/relationships/image" Target="file:///C:\Users\bapti\OneDrive\Bureau\Game\ExcelMon\Image\Pokedex\Gauche\272.png" TargetMode="External"/><Relationship Id="rId482" Type="http://schemas.openxmlformats.org/officeDocument/2006/relationships/image" Target="file:///C:\Users\bapti\OneDrive\Bureau\Game\ExcelMon\Image\Pokedex\Gauche\479.png" TargetMode="External"/><Relationship Id="rId703" Type="http://schemas.openxmlformats.org/officeDocument/2006/relationships/image" Target="file:///C:\Users\bapti\OneDrive\Bureau\Game\ExcelMon\Image\Pokedex\Droite\50.png" TargetMode="External"/><Relationship Id="rId910" Type="http://schemas.openxmlformats.org/officeDocument/2006/relationships/image" Target="file:///C:\Users\bapti\OneDrive\Bureau\Game\ExcelMon\Image\Pokedex\Droite\257.png" TargetMode="External"/><Relationship Id="rId135" Type="http://schemas.openxmlformats.org/officeDocument/2006/relationships/image" Target="file:///C:\Users\bapti\OneDrive\Bureau\Game\ExcelMon\Image\Pokedex\Gauche\132.png" TargetMode="External"/><Relationship Id="rId342" Type="http://schemas.openxmlformats.org/officeDocument/2006/relationships/image" Target="file:///C:\Users\bapti\OneDrive\Bureau\Game\ExcelMon\Image\Pokedex\Gauche\339.png" TargetMode="External"/><Relationship Id="rId787" Type="http://schemas.openxmlformats.org/officeDocument/2006/relationships/image" Target="file:///C:\Users\bapti\OneDrive\Bureau\Game\ExcelMon\Image\Pokedex\Droite\134.png" TargetMode="External"/><Relationship Id="rId994" Type="http://schemas.openxmlformats.org/officeDocument/2006/relationships/image" Target="file:///C:\Users\bapti\OneDrive\Bureau\Game\ExcelMon\Image\Pokedex\Droite\341.png" TargetMode="External"/><Relationship Id="rId202" Type="http://schemas.openxmlformats.org/officeDocument/2006/relationships/image" Target="file:///C:\Users\bapti\OneDrive\Bureau\Game\ExcelMon\Image\Pokedex\Gauche\199.png" TargetMode="External"/><Relationship Id="rId647" Type="http://schemas.openxmlformats.org/officeDocument/2006/relationships/image" Target="file:///C:\Users\bapti\OneDrive\Bureau\Game\ExcelMon\Image\Pokedex\Gauche\644.png" TargetMode="External"/><Relationship Id="rId854" Type="http://schemas.openxmlformats.org/officeDocument/2006/relationships/image" Target="file:///C:\Users\bapti\OneDrive\Bureau\Game\ExcelMon\Image\Pokedex\Droite\201.png" TargetMode="External"/><Relationship Id="rId1277" Type="http://schemas.openxmlformats.org/officeDocument/2006/relationships/image" Target="file:///C:\Users\bapti\OneDrive\Bureau\Game\ExcelMon\Image\Pokedex\Droite\624.png" TargetMode="External"/><Relationship Id="rId286" Type="http://schemas.openxmlformats.org/officeDocument/2006/relationships/image" Target="file:///C:\Users\bapti\OneDrive\Bureau\Game\ExcelMon\Image\Pokedex\Gauche\283.png" TargetMode="External"/><Relationship Id="rId493" Type="http://schemas.openxmlformats.org/officeDocument/2006/relationships/image" Target="file:///C:\Users\bapti\OneDrive\Bureau\Game\ExcelMon\Image\Pokedex\Gauche\490.png" TargetMode="External"/><Relationship Id="rId507" Type="http://schemas.openxmlformats.org/officeDocument/2006/relationships/image" Target="file:///C:\Users\bapti\OneDrive\Bureau\Game\ExcelMon\Image\Pokedex\Gauche\504.png" TargetMode="External"/><Relationship Id="rId714" Type="http://schemas.openxmlformats.org/officeDocument/2006/relationships/image" Target="file:///C:\Users\bapti\OneDrive\Bureau\Game\ExcelMon\Image\Pokedex\Droite\61.png" TargetMode="External"/><Relationship Id="rId921" Type="http://schemas.openxmlformats.org/officeDocument/2006/relationships/image" Target="file:///C:\Users\bapti\OneDrive\Bureau\Game\ExcelMon\Image\Pokedex\Droite\268.png" TargetMode="External"/><Relationship Id="rId1137" Type="http://schemas.openxmlformats.org/officeDocument/2006/relationships/image" Target="file:///C:\Users\bapti\OneDrive\Bureau\Game\ExcelMon\Image\Pokedex\Droite\484.png" TargetMode="External"/><Relationship Id="rId50" Type="http://schemas.openxmlformats.org/officeDocument/2006/relationships/image" Target="file:///C:\Users\bapti\OneDrive\Bureau\Game\ExcelMon\Image\Pokedex\Gauche\47.png" TargetMode="External"/><Relationship Id="rId146" Type="http://schemas.openxmlformats.org/officeDocument/2006/relationships/image" Target="file:///C:\Users\bapti\OneDrive\Bureau\Game\ExcelMon\Image\Pokedex\Gauche\143.png" TargetMode="External"/><Relationship Id="rId353" Type="http://schemas.openxmlformats.org/officeDocument/2006/relationships/image" Target="file:///C:\Users\bapti\OneDrive\Bureau\Game\ExcelMon\Image\Pokedex\Gauche\350.png" TargetMode="External"/><Relationship Id="rId560" Type="http://schemas.openxmlformats.org/officeDocument/2006/relationships/image" Target="file:///C:\Users\bapti\OneDrive\Bureau\Game\ExcelMon\Image\Pokedex\Gauche\557.png" TargetMode="External"/><Relationship Id="rId798" Type="http://schemas.openxmlformats.org/officeDocument/2006/relationships/image" Target="file:///C:\Users\bapti\OneDrive\Bureau\Game\ExcelMon\Image\Pokedex\Droite\145.png" TargetMode="External"/><Relationship Id="rId1190" Type="http://schemas.openxmlformats.org/officeDocument/2006/relationships/image" Target="file:///C:\Users\bapti\OneDrive\Bureau\Game\ExcelMon\Image\Pokedex\Droite\537.png" TargetMode="External"/><Relationship Id="rId1204" Type="http://schemas.openxmlformats.org/officeDocument/2006/relationships/image" Target="file:///C:\Users\bapti\OneDrive\Bureau\Game\ExcelMon\Image\Pokedex\Droite\551.png" TargetMode="External"/><Relationship Id="rId213" Type="http://schemas.openxmlformats.org/officeDocument/2006/relationships/image" Target="file:///C:\Users\bapti\OneDrive\Bureau\Game\ExcelMon\Image\Pokedex\Gauche\210.png" TargetMode="External"/><Relationship Id="rId420" Type="http://schemas.openxmlformats.org/officeDocument/2006/relationships/image" Target="file:///C:\Users\bapti\OneDrive\Bureau\Game\ExcelMon\Image\Pokedex\Gauche\417.png" TargetMode="External"/><Relationship Id="rId658" Type="http://schemas.openxmlformats.org/officeDocument/2006/relationships/image" Target="file:///C:\Users\bapti\OneDrive\Bureau\Game\ExcelMon\Image\Pokedex\Droite\5.png" TargetMode="External"/><Relationship Id="rId865" Type="http://schemas.openxmlformats.org/officeDocument/2006/relationships/image" Target="file:///C:\Users\bapti\OneDrive\Bureau\Game\ExcelMon\Image\Pokedex\Droite\212.png" TargetMode="External"/><Relationship Id="rId1050" Type="http://schemas.openxmlformats.org/officeDocument/2006/relationships/image" Target="file:///C:\Users\bapti\OneDrive\Bureau\Game\ExcelMon\Image\Pokedex\Droite\397.png" TargetMode="External"/><Relationship Id="rId1288" Type="http://schemas.openxmlformats.org/officeDocument/2006/relationships/image" Target="file:///C:\Users\bapti\OneDrive\Bureau\Game\ExcelMon\Image\Pokedex\Droite\635.png" TargetMode="External"/><Relationship Id="rId297" Type="http://schemas.openxmlformats.org/officeDocument/2006/relationships/image" Target="file:///C:\Users\bapti\OneDrive\Bureau\Game\ExcelMon\Image\Pokedex\Gauche\294.png" TargetMode="External"/><Relationship Id="rId518" Type="http://schemas.openxmlformats.org/officeDocument/2006/relationships/image" Target="file:///C:\Users\bapti\OneDrive\Bureau\Game\ExcelMon\Image\Pokedex\Gauche\515.png" TargetMode="External"/><Relationship Id="rId725" Type="http://schemas.openxmlformats.org/officeDocument/2006/relationships/image" Target="file:///C:\Users\bapti\OneDrive\Bureau\Game\ExcelMon\Image\Pokedex\Droite\72.png" TargetMode="External"/><Relationship Id="rId932" Type="http://schemas.openxmlformats.org/officeDocument/2006/relationships/image" Target="file:///C:\Users\bapti\OneDrive\Bureau\Game\ExcelMon\Image\Pokedex\Droite\279.png" TargetMode="External"/><Relationship Id="rId1148" Type="http://schemas.openxmlformats.org/officeDocument/2006/relationships/image" Target="file:///C:\Users\bapti\OneDrive\Bureau\Game\ExcelMon\Image\Pokedex\Droite\495.png" TargetMode="External"/><Relationship Id="rId157" Type="http://schemas.openxmlformats.org/officeDocument/2006/relationships/image" Target="file:///C:\Users\bapti\OneDrive\Bureau\Game\ExcelMon\Image\Pokedex\Gauche\154.png" TargetMode="External"/><Relationship Id="rId364" Type="http://schemas.openxmlformats.org/officeDocument/2006/relationships/image" Target="file:///C:\Users\bapti\OneDrive\Bureau\Game\ExcelMon\Image\Pokedex\Gauche\361.png" TargetMode="External"/><Relationship Id="rId1008" Type="http://schemas.openxmlformats.org/officeDocument/2006/relationships/image" Target="file:///C:\Users\bapti\OneDrive\Bureau\Game\ExcelMon\Image\Pokedex\Droite\355.png" TargetMode="External"/><Relationship Id="rId1215" Type="http://schemas.openxmlformats.org/officeDocument/2006/relationships/image" Target="file:///C:\Users\bapti\OneDrive\Bureau\Game\ExcelMon\Image\Pokedex\Droite\562.png" TargetMode="External"/><Relationship Id="rId61" Type="http://schemas.openxmlformats.org/officeDocument/2006/relationships/image" Target="file:///C:\Users\bapti\OneDrive\Bureau\Game\ExcelMon\Image\Pokedex\Gauche\58.png" TargetMode="External"/><Relationship Id="rId571" Type="http://schemas.openxmlformats.org/officeDocument/2006/relationships/image" Target="file:///C:\Users\bapti\OneDrive\Bureau\Game\ExcelMon\Image\Pokedex\Gauche\568.png" TargetMode="External"/><Relationship Id="rId669" Type="http://schemas.openxmlformats.org/officeDocument/2006/relationships/image" Target="file:///C:\Users\bapti\OneDrive\Bureau\Game\ExcelMon\Image\Pokedex\Droite\16.png" TargetMode="External"/><Relationship Id="rId876" Type="http://schemas.openxmlformats.org/officeDocument/2006/relationships/image" Target="file:///C:\Users\bapti\OneDrive\Bureau\Game\ExcelMon\Image\Pokedex\Droite\223.png" TargetMode="External"/><Relationship Id="rId1299" Type="http://schemas.openxmlformats.org/officeDocument/2006/relationships/image" Target="file:///C:\Users\bapti\OneDrive\Bureau\Game\ExcelMon\Image\Pokedex\Droite\646.png" TargetMode="External"/><Relationship Id="rId19" Type="http://schemas.openxmlformats.org/officeDocument/2006/relationships/image" Target="file:///C:\Users\bapti\OneDrive\Bureau\Game\ExcelMon\Image\Pokedex\Gauche\16.png" TargetMode="External"/><Relationship Id="rId224" Type="http://schemas.openxmlformats.org/officeDocument/2006/relationships/image" Target="file:///C:\Users\bapti\OneDrive\Bureau\Game\ExcelMon\Image\Pokedex\Gauche\221.png" TargetMode="External"/><Relationship Id="rId431" Type="http://schemas.openxmlformats.org/officeDocument/2006/relationships/image" Target="file:///C:\Users\bapti\OneDrive\Bureau\Game\ExcelMon\Image\Pokedex\Gauche\428.png" TargetMode="External"/><Relationship Id="rId529" Type="http://schemas.openxmlformats.org/officeDocument/2006/relationships/image" Target="file:///C:\Users\bapti\OneDrive\Bureau\Game\ExcelMon\Image\Pokedex\Gauche\526.png" TargetMode="External"/><Relationship Id="rId736" Type="http://schemas.openxmlformats.org/officeDocument/2006/relationships/image" Target="file:///C:\Users\bapti\OneDrive\Bureau\Game\ExcelMon\Image\Pokedex\Droite\83.png" TargetMode="External"/><Relationship Id="rId1061" Type="http://schemas.openxmlformats.org/officeDocument/2006/relationships/image" Target="file:///C:\Users\bapti\OneDrive\Bureau\Game\ExcelMon\Image\Pokedex\Droite\408.png" TargetMode="External"/><Relationship Id="rId1159" Type="http://schemas.openxmlformats.org/officeDocument/2006/relationships/image" Target="file:///C:\Users\bapti\OneDrive\Bureau\Game\ExcelMon\Image\Pokedex\Droite\506.png" TargetMode="External"/><Relationship Id="rId168" Type="http://schemas.openxmlformats.org/officeDocument/2006/relationships/image" Target="file:///C:\Users\bapti\OneDrive\Bureau\Game\ExcelMon\Image\Pokedex\Gauche\165.png" TargetMode="External"/><Relationship Id="rId943" Type="http://schemas.openxmlformats.org/officeDocument/2006/relationships/image" Target="file:///C:\Users\bapti\OneDrive\Bureau\Game\ExcelMon\Image\Pokedex\Droite\290.png" TargetMode="External"/><Relationship Id="rId1019" Type="http://schemas.openxmlformats.org/officeDocument/2006/relationships/image" Target="file:///C:\Users\bapti\OneDrive\Bureau\Game\ExcelMon\Image\Pokedex\Droite\366.png" TargetMode="External"/><Relationship Id="rId72" Type="http://schemas.openxmlformats.org/officeDocument/2006/relationships/image" Target="file:///C:\Users\bapti\OneDrive\Bureau\Game\ExcelMon\Image\Pokedex\Gauche\69.png" TargetMode="External"/><Relationship Id="rId375" Type="http://schemas.openxmlformats.org/officeDocument/2006/relationships/image" Target="file:///C:\Users\bapti\OneDrive\Bureau\Game\ExcelMon\Image\Pokedex\Gauche\372.png" TargetMode="External"/><Relationship Id="rId582" Type="http://schemas.openxmlformats.org/officeDocument/2006/relationships/image" Target="file:///C:\Users\bapti\OneDrive\Bureau\Game\ExcelMon\Image\Pokedex\Gauche\579.png" TargetMode="External"/><Relationship Id="rId803" Type="http://schemas.openxmlformats.org/officeDocument/2006/relationships/image" Target="file:///C:\Users\bapti\OneDrive\Bureau\Game\ExcelMon\Image\Pokedex\Droite\150.png" TargetMode="External"/><Relationship Id="rId1226" Type="http://schemas.openxmlformats.org/officeDocument/2006/relationships/image" Target="file:///C:\Users\bapti\OneDrive\Bureau\Game\ExcelMon\Image\Pokedex\Droite\573.png" TargetMode="External"/><Relationship Id="rId3" Type="http://schemas.openxmlformats.org/officeDocument/2006/relationships/image" Target="file:///C:\Users\bapti\OneDrive\Bureau\Game\ExcelMon\Image\Pokedex\Gauche\0.png" TargetMode="External"/><Relationship Id="rId235" Type="http://schemas.openxmlformats.org/officeDocument/2006/relationships/image" Target="file:///C:\Users\bapti\OneDrive\Bureau\Game\ExcelMon\Image\Pokedex\Gauche\232.png" TargetMode="External"/><Relationship Id="rId442" Type="http://schemas.openxmlformats.org/officeDocument/2006/relationships/image" Target="file:///C:\Users\bapti\OneDrive\Bureau\Game\ExcelMon\Image\Pokedex\Gauche\439.png" TargetMode="External"/><Relationship Id="rId887" Type="http://schemas.openxmlformats.org/officeDocument/2006/relationships/image" Target="file:///C:\Users\bapti\OneDrive\Bureau\Game\ExcelMon\Image\Pokedex\Droite\234.png" TargetMode="External"/><Relationship Id="rId1072" Type="http://schemas.openxmlformats.org/officeDocument/2006/relationships/image" Target="file:///C:\Users\bapti\OneDrive\Bureau\Game\ExcelMon\Image\Pokedex\Droite\419.png" TargetMode="External"/><Relationship Id="rId302" Type="http://schemas.openxmlformats.org/officeDocument/2006/relationships/image" Target="file:///C:\Users\bapti\OneDrive\Bureau\Game\ExcelMon\Image\Pokedex\Gauche\299.png" TargetMode="External"/><Relationship Id="rId747" Type="http://schemas.openxmlformats.org/officeDocument/2006/relationships/image" Target="file:///C:\Users\bapti\OneDrive\Bureau\Game\ExcelMon\Image\Pokedex\Droite\94.png" TargetMode="External"/><Relationship Id="rId954" Type="http://schemas.openxmlformats.org/officeDocument/2006/relationships/image" Target="file:///C:\Users\bapti\OneDrive\Bureau\Game\ExcelMon\Image\Pokedex\Droite\301.png" TargetMode="External"/><Relationship Id="rId83" Type="http://schemas.openxmlformats.org/officeDocument/2006/relationships/image" Target="file:///C:\Users\bapti\OneDrive\Bureau\Game\ExcelMon\Image\Pokedex\Gauche\80.png" TargetMode="External"/><Relationship Id="rId179" Type="http://schemas.openxmlformats.org/officeDocument/2006/relationships/image" Target="file:///C:\Users\bapti\OneDrive\Bureau\Game\ExcelMon\Image\Pokedex\Gauche\176.png" TargetMode="External"/><Relationship Id="rId386" Type="http://schemas.openxmlformats.org/officeDocument/2006/relationships/image" Target="file:///C:\Users\bapti\OneDrive\Bureau\Game\ExcelMon\Image\Pokedex\Gauche\383.png" TargetMode="External"/><Relationship Id="rId593" Type="http://schemas.openxmlformats.org/officeDocument/2006/relationships/image" Target="file:///C:\Users\bapti\OneDrive\Bureau\Game\ExcelMon\Image\Pokedex\Gauche\590.png" TargetMode="External"/><Relationship Id="rId607" Type="http://schemas.openxmlformats.org/officeDocument/2006/relationships/image" Target="file:///C:\Users\bapti\OneDrive\Bureau\Game\ExcelMon\Image\Pokedex\Gauche\604.png" TargetMode="External"/><Relationship Id="rId814" Type="http://schemas.openxmlformats.org/officeDocument/2006/relationships/image" Target="file:///C:\Users\bapti\OneDrive\Bureau\Game\ExcelMon\Image\Pokedex\Droite\161.png" TargetMode="External"/><Relationship Id="rId1237" Type="http://schemas.openxmlformats.org/officeDocument/2006/relationships/image" Target="file:///C:\Users\bapti\OneDrive\Bureau\Game\ExcelMon\Image\Pokedex\Droite\584.png" TargetMode="External"/><Relationship Id="rId246" Type="http://schemas.openxmlformats.org/officeDocument/2006/relationships/image" Target="file:///C:\Users\bapti\OneDrive\Bureau\Game\ExcelMon\Image\Pokedex\Gauche\243.png" TargetMode="External"/><Relationship Id="rId453" Type="http://schemas.openxmlformats.org/officeDocument/2006/relationships/image" Target="file:///C:\Users\bapti\OneDrive\Bureau\Game\ExcelMon\Image\Pokedex\Gauche\450.png" TargetMode="External"/><Relationship Id="rId660" Type="http://schemas.openxmlformats.org/officeDocument/2006/relationships/image" Target="file:///C:\Users\bapti\OneDrive\Bureau\Game\ExcelMon\Image\Pokedex\Droite\7.png" TargetMode="External"/><Relationship Id="rId898" Type="http://schemas.openxmlformats.org/officeDocument/2006/relationships/image" Target="file:///C:\Users\bapti\OneDrive\Bureau\Game\ExcelMon\Image\Pokedex\Droite\245.png" TargetMode="External"/><Relationship Id="rId1083" Type="http://schemas.openxmlformats.org/officeDocument/2006/relationships/image" Target="file:///C:\Users\bapti\OneDrive\Bureau\Game\ExcelMon\Image\Pokedex\Droite\430.png" TargetMode="External"/><Relationship Id="rId1290" Type="http://schemas.openxmlformats.org/officeDocument/2006/relationships/image" Target="file:///C:\Users\bapti\OneDrive\Bureau\Game\ExcelMon\Image\Pokedex\Droite\637.png" TargetMode="External"/><Relationship Id="rId106" Type="http://schemas.openxmlformats.org/officeDocument/2006/relationships/image" Target="file:///C:\Users\bapti\OneDrive\Bureau\Game\ExcelMon\Image\Pokedex\Gauche\103.png" TargetMode="External"/><Relationship Id="rId313" Type="http://schemas.openxmlformats.org/officeDocument/2006/relationships/image" Target="file:///C:\Users\bapti\OneDrive\Bureau\Game\ExcelMon\Image\Pokedex\Gauche\310.png" TargetMode="External"/><Relationship Id="rId758" Type="http://schemas.openxmlformats.org/officeDocument/2006/relationships/image" Target="file:///C:\Users\bapti\OneDrive\Bureau\Game\ExcelMon\Image\Pokedex\Droite\105.png" TargetMode="External"/><Relationship Id="rId965" Type="http://schemas.openxmlformats.org/officeDocument/2006/relationships/image" Target="file:///C:\Users\bapti\OneDrive\Bureau\Game\ExcelMon\Image\Pokedex\Droite\312.png" TargetMode="External"/><Relationship Id="rId1150" Type="http://schemas.openxmlformats.org/officeDocument/2006/relationships/image" Target="file:///C:\Users\bapti\OneDrive\Bureau\Game\ExcelMon\Image\Pokedex\Droite\497.png" TargetMode="External"/><Relationship Id="rId10" Type="http://schemas.openxmlformats.org/officeDocument/2006/relationships/image" Target="file:///C:\Users\bapti\OneDrive\Bureau\Game\ExcelMon\Image\Pokedex\Gauche\7.png" TargetMode="External"/><Relationship Id="rId94" Type="http://schemas.openxmlformats.org/officeDocument/2006/relationships/image" Target="file:///C:\Users\bapti\OneDrive\Bureau\Game\ExcelMon\Image\Pokedex\Gauche\91.png" TargetMode="External"/><Relationship Id="rId397" Type="http://schemas.openxmlformats.org/officeDocument/2006/relationships/image" Target="file:///C:\Users\bapti\OneDrive\Bureau\Game\ExcelMon\Image\Pokedex\Gauche\394.png" TargetMode="External"/><Relationship Id="rId520" Type="http://schemas.openxmlformats.org/officeDocument/2006/relationships/image" Target="file:///C:\Users\bapti\OneDrive\Bureau\Game\ExcelMon\Image\Pokedex\Gauche\517.png" TargetMode="External"/><Relationship Id="rId618" Type="http://schemas.openxmlformats.org/officeDocument/2006/relationships/image" Target="file:///C:\Users\bapti\OneDrive\Bureau\Game\ExcelMon\Image\Pokedex\Gauche\615.png" TargetMode="External"/><Relationship Id="rId825" Type="http://schemas.openxmlformats.org/officeDocument/2006/relationships/image" Target="file:///C:\Users\bapti\OneDrive\Bureau\Game\ExcelMon\Image\Pokedex\Droite\172.png" TargetMode="External"/><Relationship Id="rId1248" Type="http://schemas.openxmlformats.org/officeDocument/2006/relationships/image" Target="file:///C:\Users\bapti\OneDrive\Bureau\Game\ExcelMon\Image\Pokedex\Droite\595.png" TargetMode="External"/><Relationship Id="rId257" Type="http://schemas.openxmlformats.org/officeDocument/2006/relationships/image" Target="file:///C:\Users\bapti\OneDrive\Bureau\Game\ExcelMon\Image\Pokedex\Gauche\254.png" TargetMode="External"/><Relationship Id="rId464" Type="http://schemas.openxmlformats.org/officeDocument/2006/relationships/image" Target="file:///C:\Users\bapti\OneDrive\Bureau\Game\ExcelMon\Image\Pokedex\Gauche\461.png" TargetMode="External"/><Relationship Id="rId1010" Type="http://schemas.openxmlformats.org/officeDocument/2006/relationships/image" Target="file:///C:\Users\bapti\OneDrive\Bureau\Game\ExcelMon\Image\Pokedex\Droite\357.png" TargetMode="External"/><Relationship Id="rId1094" Type="http://schemas.openxmlformats.org/officeDocument/2006/relationships/image" Target="file:///C:\Users\bapti\OneDrive\Bureau\Game\ExcelMon\Image\Pokedex\Droite\441.png" TargetMode="External"/><Relationship Id="rId1108" Type="http://schemas.openxmlformats.org/officeDocument/2006/relationships/image" Target="file:///C:\Users\bapti\OneDrive\Bureau\Game\ExcelMon\Image\Pokedex\Droite\455.png" TargetMode="External"/><Relationship Id="rId117" Type="http://schemas.openxmlformats.org/officeDocument/2006/relationships/image" Target="file:///C:\Users\bapti\OneDrive\Bureau\Game\ExcelMon\Image\Pokedex\Gauche\114.png" TargetMode="External"/><Relationship Id="rId671" Type="http://schemas.openxmlformats.org/officeDocument/2006/relationships/image" Target="file:///C:\Users\bapti\OneDrive\Bureau\Game\ExcelMon\Image\Pokedex\Droite\18.png" TargetMode="External"/><Relationship Id="rId769" Type="http://schemas.openxmlformats.org/officeDocument/2006/relationships/image" Target="file:///C:\Users\bapti\OneDrive\Bureau\Game\ExcelMon\Image\Pokedex\Droite\116.png" TargetMode="External"/><Relationship Id="rId976" Type="http://schemas.openxmlformats.org/officeDocument/2006/relationships/image" Target="file:///C:\Users\bapti\OneDrive\Bureau\Game\ExcelMon\Image\Pokedex\Droite\323.png" TargetMode="External"/><Relationship Id="rId324" Type="http://schemas.openxmlformats.org/officeDocument/2006/relationships/image" Target="file:///C:\Users\bapti\OneDrive\Bureau\Game\ExcelMon\Image\Pokedex\Gauche\321.png" TargetMode="External"/><Relationship Id="rId531" Type="http://schemas.openxmlformats.org/officeDocument/2006/relationships/image" Target="file:///C:\Users\bapti\OneDrive\Bureau\Game\ExcelMon\Image\Pokedex\Gauche\528.png" TargetMode="External"/><Relationship Id="rId629" Type="http://schemas.openxmlformats.org/officeDocument/2006/relationships/image" Target="file:///C:\Users\bapti\OneDrive\Bureau\Game\ExcelMon\Image\Pokedex\Gauche\626.png" TargetMode="External"/><Relationship Id="rId1161" Type="http://schemas.openxmlformats.org/officeDocument/2006/relationships/image" Target="file:///C:\Users\bapti\OneDrive\Bureau\Game\ExcelMon\Image\Pokedex\Droite\508.png" TargetMode="External"/><Relationship Id="rId1259" Type="http://schemas.openxmlformats.org/officeDocument/2006/relationships/image" Target="file:///C:\Users\bapti\OneDrive\Bureau\Game\ExcelMon\Image\Pokedex\Droite\606.png" TargetMode="External"/><Relationship Id="rId836" Type="http://schemas.openxmlformats.org/officeDocument/2006/relationships/image" Target="file:///C:\Users\bapti\OneDrive\Bureau\Game\ExcelMon\Image\Pokedex\Droite\183.png" TargetMode="External"/><Relationship Id="rId1021" Type="http://schemas.openxmlformats.org/officeDocument/2006/relationships/image" Target="file:///C:\Users\bapti\OneDrive\Bureau\Game\ExcelMon\Image\Pokedex\Droite\368.png" TargetMode="External"/><Relationship Id="rId1119" Type="http://schemas.openxmlformats.org/officeDocument/2006/relationships/image" Target="file:///C:\Users\bapti\OneDrive\Bureau\Game\ExcelMon\Image\Pokedex\Droite\466.png" TargetMode="External"/><Relationship Id="rId903" Type="http://schemas.openxmlformats.org/officeDocument/2006/relationships/image" Target="file:///C:\Users\bapti\OneDrive\Bureau\Game\ExcelMon\Image\Pokedex\Droite\250.png" TargetMode="External"/><Relationship Id="rId32" Type="http://schemas.openxmlformats.org/officeDocument/2006/relationships/image" Target="file:///C:\Users\bapti\OneDrive\Bureau\Game\ExcelMon\Image\Pokedex\Gauche\29.png" TargetMode="External"/><Relationship Id="rId181" Type="http://schemas.openxmlformats.org/officeDocument/2006/relationships/image" Target="file:///C:\Users\bapti\OneDrive\Bureau\Game\ExcelMon\Image\Pokedex\Gauche\178.png" TargetMode="External"/><Relationship Id="rId279" Type="http://schemas.openxmlformats.org/officeDocument/2006/relationships/image" Target="file:///C:\Users\bapti\OneDrive\Bureau\Game\ExcelMon\Image\Pokedex\Gauche\276.png" TargetMode="External"/><Relationship Id="rId486" Type="http://schemas.openxmlformats.org/officeDocument/2006/relationships/image" Target="file:///C:\Users\bapti\OneDrive\Bureau\Game\ExcelMon\Image\Pokedex\Gauche\483.png" TargetMode="External"/><Relationship Id="rId693" Type="http://schemas.openxmlformats.org/officeDocument/2006/relationships/image" Target="file:///C:\Users\bapti\OneDrive\Bureau\Game\ExcelMon\Image\Pokedex\Droite\40.png" TargetMode="External"/><Relationship Id="rId139" Type="http://schemas.openxmlformats.org/officeDocument/2006/relationships/image" Target="file:///C:\Users\bapti\OneDrive\Bureau\Game\ExcelMon\Image\Pokedex\Gauche\136.png" TargetMode="External"/><Relationship Id="rId346" Type="http://schemas.openxmlformats.org/officeDocument/2006/relationships/image" Target="file:///C:\Users\bapti\OneDrive\Bureau\Game\ExcelMon\Image\Pokedex\Gauche\343.png" TargetMode="External"/><Relationship Id="rId553" Type="http://schemas.openxmlformats.org/officeDocument/2006/relationships/image" Target="file:///C:\Users\bapti\OneDrive\Bureau\Game\ExcelMon\Image\Pokedex\Gauche\550.png" TargetMode="External"/><Relationship Id="rId760" Type="http://schemas.openxmlformats.org/officeDocument/2006/relationships/image" Target="file:///C:\Users\bapti\OneDrive\Bureau\Game\ExcelMon\Image\Pokedex\Droite\107.png" TargetMode="External"/><Relationship Id="rId998" Type="http://schemas.openxmlformats.org/officeDocument/2006/relationships/image" Target="file:///C:\Users\bapti\OneDrive\Bureau\Game\ExcelMon\Image\Pokedex\Droite\345.png" TargetMode="External"/><Relationship Id="rId1183" Type="http://schemas.openxmlformats.org/officeDocument/2006/relationships/image" Target="file:///C:\Users\bapti\OneDrive\Bureau\Game\ExcelMon\Image\Pokedex\Droite\530.png" TargetMode="External"/><Relationship Id="rId206" Type="http://schemas.openxmlformats.org/officeDocument/2006/relationships/image" Target="file:///C:\Users\bapti\OneDrive\Bureau\Game\ExcelMon\Image\Pokedex\Gauche\203.png" TargetMode="External"/><Relationship Id="rId413" Type="http://schemas.openxmlformats.org/officeDocument/2006/relationships/image" Target="file:///C:\Users\bapti\OneDrive\Bureau\Game\ExcelMon\Image\Pokedex\Gauche\410.png" TargetMode="External"/><Relationship Id="rId858" Type="http://schemas.openxmlformats.org/officeDocument/2006/relationships/image" Target="file:///C:\Users\bapti\OneDrive\Bureau\Game\ExcelMon\Image\Pokedex\Droite\205.png" TargetMode="External"/><Relationship Id="rId1043" Type="http://schemas.openxmlformats.org/officeDocument/2006/relationships/image" Target="file:///C:\Users\bapti\OneDrive\Bureau\Game\ExcelMon\Image\Pokedex\Droite\390.png" TargetMode="External"/><Relationship Id="rId620" Type="http://schemas.openxmlformats.org/officeDocument/2006/relationships/image" Target="file:///C:\Users\bapti\OneDrive\Bureau\Game\ExcelMon\Image\Pokedex\Gauche\617.png" TargetMode="External"/><Relationship Id="rId718" Type="http://schemas.openxmlformats.org/officeDocument/2006/relationships/image" Target="file:///C:\Users\bapti\OneDrive\Bureau\Game\ExcelMon\Image\Pokedex\Droite\65.png" TargetMode="External"/><Relationship Id="rId925" Type="http://schemas.openxmlformats.org/officeDocument/2006/relationships/image" Target="file:///C:\Users\bapti\OneDrive\Bureau\Game\ExcelMon\Image\Pokedex\Droite\272.png" TargetMode="External"/><Relationship Id="rId1250" Type="http://schemas.openxmlformats.org/officeDocument/2006/relationships/image" Target="file:///C:\Users\bapti\OneDrive\Bureau\Game\ExcelMon\Image\Pokedex\Droite\597.png" TargetMode="External"/><Relationship Id="rId1110" Type="http://schemas.openxmlformats.org/officeDocument/2006/relationships/image" Target="file:///C:\Users\bapti\OneDrive\Bureau\Game\ExcelMon\Image\Pokedex\Droite\457.png" TargetMode="External"/><Relationship Id="rId1208" Type="http://schemas.openxmlformats.org/officeDocument/2006/relationships/image" Target="file:///C:\Users\bapti\OneDrive\Bureau\Game\ExcelMon\Image\Pokedex\Droite\555.png" TargetMode="External"/><Relationship Id="rId54" Type="http://schemas.openxmlformats.org/officeDocument/2006/relationships/image" Target="file:///C:\Users\bapti\OneDrive\Bureau\Game\ExcelMon\Image\Pokedex\Gauche\51.png" TargetMode="External"/><Relationship Id="rId270" Type="http://schemas.openxmlformats.org/officeDocument/2006/relationships/image" Target="file:///C:\Users\bapti\OneDrive\Bureau\Game\ExcelMon\Image\Pokedex\Gauche\267.png" TargetMode="External"/><Relationship Id="rId130" Type="http://schemas.openxmlformats.org/officeDocument/2006/relationships/image" Target="file:///C:\Users\bapti\OneDrive\Bureau\Game\ExcelMon\Image\Pokedex\Gauche\127.png" TargetMode="External"/><Relationship Id="rId368" Type="http://schemas.openxmlformats.org/officeDocument/2006/relationships/image" Target="file:///C:\Users\bapti\OneDrive\Bureau\Game\ExcelMon\Image\Pokedex\Gauche\365.png" TargetMode="External"/><Relationship Id="rId575" Type="http://schemas.openxmlformats.org/officeDocument/2006/relationships/image" Target="file:///C:\Users\bapti\OneDrive\Bureau\Game\ExcelMon\Image\Pokedex\Gauche\572.png" TargetMode="External"/><Relationship Id="rId782" Type="http://schemas.openxmlformats.org/officeDocument/2006/relationships/image" Target="file:///C:\Users\bapti\OneDrive\Bureau\Game\ExcelMon\Image\Pokedex\Droite\129.png" TargetMode="External"/><Relationship Id="rId228" Type="http://schemas.openxmlformats.org/officeDocument/2006/relationships/image" Target="file:///C:\Users\bapti\OneDrive\Bureau\Game\ExcelMon\Image\Pokedex\Gauche\225.png" TargetMode="External"/><Relationship Id="rId435" Type="http://schemas.openxmlformats.org/officeDocument/2006/relationships/image" Target="file:///C:\Users\bapti\OneDrive\Bureau\Game\ExcelMon\Image\Pokedex\Gauche\432.png" TargetMode="External"/><Relationship Id="rId642" Type="http://schemas.openxmlformats.org/officeDocument/2006/relationships/image" Target="file:///C:\Users\bapti\OneDrive\Bureau\Game\ExcelMon\Image\Pokedex\Gauche\639.png" TargetMode="External"/><Relationship Id="rId1065" Type="http://schemas.openxmlformats.org/officeDocument/2006/relationships/image" Target="file:///C:\Users\bapti\OneDrive\Bureau\Game\ExcelMon\Image\Pokedex\Droite\412.png" TargetMode="External"/><Relationship Id="rId1272" Type="http://schemas.openxmlformats.org/officeDocument/2006/relationships/image" Target="file:///C:\Users\bapti\OneDrive\Bureau\Game\ExcelMon\Image\Pokedex\Droite\619.png" TargetMode="External"/><Relationship Id="rId502" Type="http://schemas.openxmlformats.org/officeDocument/2006/relationships/image" Target="file:///C:\Users\bapti\OneDrive\Bureau\Game\ExcelMon\Image\Pokedex\Gauche\499.png" TargetMode="External"/><Relationship Id="rId947" Type="http://schemas.openxmlformats.org/officeDocument/2006/relationships/image" Target="file:///C:\Users\bapti\OneDrive\Bureau\Game\ExcelMon\Image\Pokedex\Droite\294.png" TargetMode="External"/><Relationship Id="rId1132" Type="http://schemas.openxmlformats.org/officeDocument/2006/relationships/image" Target="file:///C:\Users\bapti\OneDrive\Bureau\Game\ExcelMon\Image\Pokedex\Droite\479.png" TargetMode="External"/><Relationship Id="rId76" Type="http://schemas.openxmlformats.org/officeDocument/2006/relationships/image" Target="file:///C:\Users\bapti\OneDrive\Bureau\Game\ExcelMon\Image\Pokedex\Gauche\73.png" TargetMode="External"/><Relationship Id="rId807" Type="http://schemas.openxmlformats.org/officeDocument/2006/relationships/image" Target="file:///C:\Users\bapti\OneDrive\Bureau\Game\ExcelMon\Image\Pokedex\Droite\154.png" TargetMode="External"/><Relationship Id="rId292" Type="http://schemas.openxmlformats.org/officeDocument/2006/relationships/image" Target="file:///C:\Users\bapti\OneDrive\Bureau\Game\ExcelMon\Image\Pokedex\Gauche\289.png" TargetMode="External"/><Relationship Id="rId597" Type="http://schemas.openxmlformats.org/officeDocument/2006/relationships/image" Target="file:///C:\Users\bapti\OneDrive\Bureau\Game\ExcelMon\Image\Pokedex\Gauche\594.png" TargetMode="External"/><Relationship Id="rId152" Type="http://schemas.openxmlformats.org/officeDocument/2006/relationships/image" Target="file:///C:\Users\bapti\OneDrive\Bureau\Game\ExcelMon\Image\Pokedex\Gauche\149.png" TargetMode="External"/><Relationship Id="rId457" Type="http://schemas.openxmlformats.org/officeDocument/2006/relationships/image" Target="file:///C:\Users\bapti\OneDrive\Bureau\Game\ExcelMon\Image\Pokedex\Gauche\454.png" TargetMode="External"/><Relationship Id="rId1087" Type="http://schemas.openxmlformats.org/officeDocument/2006/relationships/image" Target="file:///C:\Users\bapti\OneDrive\Bureau\Game\ExcelMon\Image\Pokedex\Droite\434.png" TargetMode="External"/><Relationship Id="rId1294" Type="http://schemas.openxmlformats.org/officeDocument/2006/relationships/image" Target="file:///C:\Users\bapti\OneDrive\Bureau\Game\ExcelMon\Image\Pokedex\Droite\641.png" TargetMode="External"/><Relationship Id="rId664" Type="http://schemas.openxmlformats.org/officeDocument/2006/relationships/image" Target="file:///C:\Users\bapti\OneDrive\Bureau\Game\ExcelMon\Image\Pokedex\Droite\11.png" TargetMode="External"/><Relationship Id="rId871" Type="http://schemas.openxmlformats.org/officeDocument/2006/relationships/image" Target="file:///C:\Users\bapti\OneDrive\Bureau\Game\ExcelMon\Image\Pokedex\Droite\218.png" TargetMode="External"/><Relationship Id="rId969" Type="http://schemas.openxmlformats.org/officeDocument/2006/relationships/image" Target="file:///C:\Users\bapti\OneDrive\Bureau\Game\ExcelMon\Image\Pokedex\Droite\316.png" TargetMode="External"/><Relationship Id="rId317" Type="http://schemas.openxmlformats.org/officeDocument/2006/relationships/image" Target="file:///C:\Users\bapti\OneDrive\Bureau\Game\ExcelMon\Image\Pokedex\Gauche\314.png" TargetMode="External"/><Relationship Id="rId524" Type="http://schemas.openxmlformats.org/officeDocument/2006/relationships/image" Target="file:///C:\Users\bapti\OneDrive\Bureau\Game\ExcelMon\Image\Pokedex\Gauche\521.png" TargetMode="External"/><Relationship Id="rId731" Type="http://schemas.openxmlformats.org/officeDocument/2006/relationships/image" Target="file:///C:\Users\bapti\OneDrive\Bureau\Game\ExcelMon\Image\Pokedex\Droite\78.png" TargetMode="External"/><Relationship Id="rId1154" Type="http://schemas.openxmlformats.org/officeDocument/2006/relationships/image" Target="file:///C:\Users\bapti\OneDrive\Bureau\Game\ExcelMon\Image\Pokedex\Droite\501.png" TargetMode="External"/><Relationship Id="rId98" Type="http://schemas.openxmlformats.org/officeDocument/2006/relationships/image" Target="file:///C:\Users\bapti\OneDrive\Bureau\Game\ExcelMon\Image\Pokedex\Gauche\95.png" TargetMode="External"/><Relationship Id="rId829" Type="http://schemas.openxmlformats.org/officeDocument/2006/relationships/image" Target="file:///C:\Users\bapti\OneDrive\Bureau\Game\ExcelMon\Image\Pokedex\Droite\176.png" TargetMode="External"/><Relationship Id="rId1014" Type="http://schemas.openxmlformats.org/officeDocument/2006/relationships/image" Target="file:///C:\Users\bapti\OneDrive\Bureau\Game\ExcelMon\Image\Pokedex\Droite\361.png" TargetMode="External"/><Relationship Id="rId1221" Type="http://schemas.openxmlformats.org/officeDocument/2006/relationships/image" Target="file:///C:\Users\bapti\OneDrive\Bureau\Game\ExcelMon\Image\Pokedex\Droite\568.png" TargetMode="External"/><Relationship Id="rId25" Type="http://schemas.openxmlformats.org/officeDocument/2006/relationships/image" Target="file:///C:\Users\bapti\OneDrive\Bureau\Game\ExcelMon\Image\Pokedex\Gauche\22.png" TargetMode="External"/><Relationship Id="rId174" Type="http://schemas.openxmlformats.org/officeDocument/2006/relationships/image" Target="file:///C:\Users\bapti\OneDrive\Bureau\Game\ExcelMon\Image\Pokedex\Gauche\171.png" TargetMode="External"/><Relationship Id="rId381" Type="http://schemas.openxmlformats.org/officeDocument/2006/relationships/image" Target="file:///C:\Users\bapti\OneDrive\Bureau\Game\ExcelMon\Image\Pokedex\Gauche\378.png" TargetMode="External"/><Relationship Id="rId241" Type="http://schemas.openxmlformats.org/officeDocument/2006/relationships/image" Target="file:///C:\Users\bapti\OneDrive\Bureau\Game\ExcelMon\Image\Pokedex\Gauche\238.png" TargetMode="External"/><Relationship Id="rId479" Type="http://schemas.openxmlformats.org/officeDocument/2006/relationships/image" Target="file:///C:\Users\bapti\OneDrive\Bureau\Game\ExcelMon\Image\Pokedex\Gauche\476.png" TargetMode="External"/><Relationship Id="rId686" Type="http://schemas.openxmlformats.org/officeDocument/2006/relationships/image" Target="file:///C:\Users\bapti\OneDrive\Bureau\Game\ExcelMon\Image\Pokedex\Droite\33.png" TargetMode="External"/><Relationship Id="rId893" Type="http://schemas.openxmlformats.org/officeDocument/2006/relationships/image" Target="file:///C:\Users\bapti\OneDrive\Bureau\Game\ExcelMon\Image\Pokedex\Droite\240.png" TargetMode="External"/><Relationship Id="rId339" Type="http://schemas.openxmlformats.org/officeDocument/2006/relationships/image" Target="file:///C:\Users\bapti\OneDrive\Bureau\Game\ExcelMon\Image\Pokedex\Gauche\336.png" TargetMode="External"/><Relationship Id="rId546" Type="http://schemas.openxmlformats.org/officeDocument/2006/relationships/image" Target="file:///C:\Users\bapti\OneDrive\Bureau\Game\ExcelMon\Image\Pokedex\Gauche\543.png" TargetMode="External"/><Relationship Id="rId753" Type="http://schemas.openxmlformats.org/officeDocument/2006/relationships/image" Target="file:///C:\Users\bapti\OneDrive\Bureau\Game\ExcelMon\Image\Pokedex\Droite\100.png" TargetMode="External"/><Relationship Id="rId1176" Type="http://schemas.openxmlformats.org/officeDocument/2006/relationships/image" Target="file:///C:\Users\bapti\OneDrive\Bureau\Game\ExcelMon\Image\Pokedex\Droite\523.png" TargetMode="External"/><Relationship Id="rId101" Type="http://schemas.openxmlformats.org/officeDocument/2006/relationships/image" Target="file:///C:\Users\bapti\OneDrive\Bureau\Game\ExcelMon\Image\Pokedex\Gauche\98.png" TargetMode="External"/><Relationship Id="rId406" Type="http://schemas.openxmlformats.org/officeDocument/2006/relationships/image" Target="file:///C:\Users\bapti\OneDrive\Bureau\Game\ExcelMon\Image\Pokedex\Gauche\403.png" TargetMode="External"/><Relationship Id="rId960" Type="http://schemas.openxmlformats.org/officeDocument/2006/relationships/image" Target="file:///C:\Users\bapti\OneDrive\Bureau\Game\ExcelMon\Image\Pokedex\Droite\307.png" TargetMode="External"/><Relationship Id="rId1036" Type="http://schemas.openxmlformats.org/officeDocument/2006/relationships/image" Target="file:///C:\Users\bapti\OneDrive\Bureau\Game\ExcelMon\Image\Pokedex\Droite\383.png" TargetMode="External"/><Relationship Id="rId1243" Type="http://schemas.openxmlformats.org/officeDocument/2006/relationships/image" Target="file:///C:\Users\bapti\OneDrive\Bureau\Game\ExcelMon\Image\Pokedex\Droite\590.png" TargetMode="External"/><Relationship Id="rId613" Type="http://schemas.openxmlformats.org/officeDocument/2006/relationships/image" Target="file:///C:\Users\bapti\OneDrive\Bureau\Game\ExcelMon\Image\Pokedex\Gauche\610.png" TargetMode="External"/><Relationship Id="rId820" Type="http://schemas.openxmlformats.org/officeDocument/2006/relationships/image" Target="file:///C:\Users\bapti\OneDrive\Bureau\Game\ExcelMon\Image\Pokedex\Droite\167.png" TargetMode="External"/><Relationship Id="rId918" Type="http://schemas.openxmlformats.org/officeDocument/2006/relationships/image" Target="file:///C:\Users\bapti\OneDrive\Bureau\Game\ExcelMon\Image\Pokedex\Droite\265.png" TargetMode="External"/><Relationship Id="rId1103" Type="http://schemas.openxmlformats.org/officeDocument/2006/relationships/image" Target="file:///C:\Users\bapti\OneDrive\Bureau\Game\ExcelMon\Image\Pokedex\Droite\450.png" TargetMode="External"/><Relationship Id="rId47" Type="http://schemas.openxmlformats.org/officeDocument/2006/relationships/image" Target="file:///C:\Users\bapti\OneDrive\Bureau\Game\ExcelMon\Image\Pokedex\Gauche\44.png" TargetMode="External"/><Relationship Id="rId196" Type="http://schemas.openxmlformats.org/officeDocument/2006/relationships/image" Target="file:///C:\Users\bapti\OneDrive\Bureau\Game\ExcelMon\Image\Pokedex\Gauche\193.png" TargetMode="External"/><Relationship Id="rId263" Type="http://schemas.openxmlformats.org/officeDocument/2006/relationships/image" Target="file:///C:\Users\bapti\OneDrive\Bureau\Game\ExcelMon\Image\Pokedex\Gauche\260.png" TargetMode="External"/><Relationship Id="rId470" Type="http://schemas.openxmlformats.org/officeDocument/2006/relationships/image" Target="file:///C:\Users\bapti\OneDrive\Bureau\Game\ExcelMon\Image\Pokedex\Gauche\467.png" TargetMode="External"/><Relationship Id="rId123" Type="http://schemas.openxmlformats.org/officeDocument/2006/relationships/image" Target="file:///C:\Users\bapti\OneDrive\Bureau\Game\ExcelMon\Image\Pokedex\Gauche\120.png" TargetMode="External"/><Relationship Id="rId330" Type="http://schemas.openxmlformats.org/officeDocument/2006/relationships/image" Target="file:///C:\Users\bapti\OneDrive\Bureau\Game\ExcelMon\Image\Pokedex\Gauche\327.png" TargetMode="External"/><Relationship Id="rId568" Type="http://schemas.openxmlformats.org/officeDocument/2006/relationships/image" Target="file:///C:\Users\bapti\OneDrive\Bureau\Game\ExcelMon\Image\Pokedex\Gauche\565.png" TargetMode="External"/><Relationship Id="rId775" Type="http://schemas.openxmlformats.org/officeDocument/2006/relationships/image" Target="file:///C:\Users\bapti\OneDrive\Bureau\Game\ExcelMon\Image\Pokedex\Droite\122.png" TargetMode="External"/><Relationship Id="rId982" Type="http://schemas.openxmlformats.org/officeDocument/2006/relationships/image" Target="file:///C:\Users\bapti\OneDrive\Bureau\Game\ExcelMon\Image\Pokedex\Droite\329.png" TargetMode="External"/><Relationship Id="rId1198" Type="http://schemas.openxmlformats.org/officeDocument/2006/relationships/image" Target="file:///C:\Users\bapti\OneDrive\Bureau\Game\ExcelMon\Image\Pokedex\Droite\545.png" TargetMode="External"/><Relationship Id="rId428" Type="http://schemas.openxmlformats.org/officeDocument/2006/relationships/image" Target="file:///C:\Users\bapti\OneDrive\Bureau\Game\ExcelMon\Image\Pokedex\Gauche\425.png" TargetMode="External"/><Relationship Id="rId635" Type="http://schemas.openxmlformats.org/officeDocument/2006/relationships/image" Target="file:///C:\Users\bapti\OneDrive\Bureau\Game\ExcelMon\Image\Pokedex\Gauche\632.png" TargetMode="External"/><Relationship Id="rId842" Type="http://schemas.openxmlformats.org/officeDocument/2006/relationships/image" Target="file:///C:\Users\bapti\OneDrive\Bureau\Game\ExcelMon\Image\Pokedex\Droite\189.png" TargetMode="External"/><Relationship Id="rId1058" Type="http://schemas.openxmlformats.org/officeDocument/2006/relationships/image" Target="file:///C:\Users\bapti\OneDrive\Bureau\Game\ExcelMon\Image\Pokedex\Droite\405.png" TargetMode="External"/><Relationship Id="rId1265" Type="http://schemas.openxmlformats.org/officeDocument/2006/relationships/image" Target="file:///C:\Users\bapti\OneDrive\Bureau\Game\ExcelMon\Image\Pokedex\Droite\612.png" TargetMode="External"/><Relationship Id="rId702" Type="http://schemas.openxmlformats.org/officeDocument/2006/relationships/image" Target="file:///C:\Users\bapti\OneDrive\Bureau\Game\ExcelMon\Image\Pokedex\Droite\49.png" TargetMode="External"/><Relationship Id="rId1125" Type="http://schemas.openxmlformats.org/officeDocument/2006/relationships/image" Target="file:///C:\Users\bapti\OneDrive\Bureau\Game\ExcelMon\Image\Pokedex\Droite\472.png" TargetMode="External"/><Relationship Id="rId69" Type="http://schemas.openxmlformats.org/officeDocument/2006/relationships/image" Target="file:///C:\Users\bapti\OneDrive\Bureau\Game\ExcelMon\Image\Pokedex\Gauche\66.png" TargetMode="External"/><Relationship Id="rId285" Type="http://schemas.openxmlformats.org/officeDocument/2006/relationships/image" Target="file:///C:\Users\bapti\OneDrive\Bureau\Game\ExcelMon\Image\Pokedex\Gauche\282.png" TargetMode="External"/><Relationship Id="rId492" Type="http://schemas.openxmlformats.org/officeDocument/2006/relationships/image" Target="file:///C:\Users\bapti\OneDrive\Bureau\Game\ExcelMon\Image\Pokedex\Gauche\489.png" TargetMode="External"/><Relationship Id="rId797" Type="http://schemas.openxmlformats.org/officeDocument/2006/relationships/image" Target="file:///C:\Users\bapti\OneDrive\Bureau\Game\ExcelMon\Image\Pokedex\Droite\144.png" TargetMode="External"/><Relationship Id="rId145" Type="http://schemas.openxmlformats.org/officeDocument/2006/relationships/image" Target="file:///C:\Users\bapti\OneDrive\Bureau\Game\ExcelMon\Image\Pokedex\Gauche\142.png" TargetMode="External"/><Relationship Id="rId352" Type="http://schemas.openxmlformats.org/officeDocument/2006/relationships/image" Target="file:///C:\Users\bapti\OneDrive\Bureau\Game\ExcelMon\Image\Pokedex\Gauche\349.png" TargetMode="External"/><Relationship Id="rId1287" Type="http://schemas.openxmlformats.org/officeDocument/2006/relationships/image" Target="file:///C:\Users\bapti\OneDrive\Bureau\Game\ExcelMon\Image\Pokedex\Droite\634.png" TargetMode="External"/><Relationship Id="rId212" Type="http://schemas.openxmlformats.org/officeDocument/2006/relationships/image" Target="file:///C:\Users\bapti\OneDrive\Bureau\Game\ExcelMon\Image\Pokedex\Gauche\209.png" TargetMode="External"/><Relationship Id="rId657" Type="http://schemas.openxmlformats.org/officeDocument/2006/relationships/image" Target="file:///C:\Users\bapti\OneDrive\Bureau\Game\ExcelMon\Image\Pokedex\Droite\4.png" TargetMode="External"/><Relationship Id="rId864" Type="http://schemas.openxmlformats.org/officeDocument/2006/relationships/image" Target="file:///C:\Users\bapti\OneDrive\Bureau\Game\ExcelMon\Image\Pokedex\Droite\211.png" TargetMode="External"/><Relationship Id="rId517" Type="http://schemas.openxmlformats.org/officeDocument/2006/relationships/image" Target="file:///C:\Users\bapti\OneDrive\Bureau\Game\ExcelMon\Image\Pokedex\Gauche\514.png" TargetMode="External"/><Relationship Id="rId724" Type="http://schemas.openxmlformats.org/officeDocument/2006/relationships/image" Target="file:///C:\Users\bapti\OneDrive\Bureau\Game\ExcelMon\Image\Pokedex\Droite\71.png" TargetMode="External"/><Relationship Id="rId931" Type="http://schemas.openxmlformats.org/officeDocument/2006/relationships/image" Target="file:///C:\Users\bapti\OneDrive\Bureau\Game\ExcelMon\Image\Pokedex\Droite\278.png" TargetMode="External"/><Relationship Id="rId1147" Type="http://schemas.openxmlformats.org/officeDocument/2006/relationships/image" Target="file:///C:\Users\bapti\OneDrive\Bureau\Game\ExcelMon\Image\Pokedex\Droite\494.png" TargetMode="External"/><Relationship Id="rId60" Type="http://schemas.openxmlformats.org/officeDocument/2006/relationships/image" Target="file:///C:\Users\bapti\OneDrive\Bureau\Game\ExcelMon\Image\Pokedex\Gauche\57.png" TargetMode="External"/><Relationship Id="rId1007" Type="http://schemas.openxmlformats.org/officeDocument/2006/relationships/image" Target="file:///C:\Users\bapti\OneDrive\Bureau\Game\ExcelMon\Image\Pokedex\Droite\354.png" TargetMode="External"/><Relationship Id="rId1214" Type="http://schemas.openxmlformats.org/officeDocument/2006/relationships/image" Target="file:///C:\Users\bapti\OneDrive\Bureau\Game\ExcelMon\Image\Pokedex\Droite\561.png" TargetMode="External"/><Relationship Id="rId18" Type="http://schemas.openxmlformats.org/officeDocument/2006/relationships/image" Target="file:///C:\Users\bapti\OneDrive\Bureau\Game\ExcelMon\Image\Pokedex\Gauche\15.png" TargetMode="External"/><Relationship Id="rId167" Type="http://schemas.openxmlformats.org/officeDocument/2006/relationships/image" Target="file:///C:\Users\bapti\OneDrive\Bureau\Game\ExcelMon\Image\Pokedex\Gauche\164.png" TargetMode="External"/><Relationship Id="rId374" Type="http://schemas.openxmlformats.org/officeDocument/2006/relationships/image" Target="file:///C:\Users\bapti\OneDrive\Bureau\Game\ExcelMon\Image\Pokedex\Gauche\371.png" TargetMode="External"/><Relationship Id="rId581" Type="http://schemas.openxmlformats.org/officeDocument/2006/relationships/image" Target="file:///C:\Users\bapti\OneDrive\Bureau\Game\ExcelMon\Image\Pokedex\Gauche\578.png" TargetMode="External"/><Relationship Id="rId234" Type="http://schemas.openxmlformats.org/officeDocument/2006/relationships/image" Target="file:///C:\Users\bapti\OneDrive\Bureau\Game\ExcelMon\Image\Pokedex\Gauche\231.png" TargetMode="External"/><Relationship Id="rId679" Type="http://schemas.openxmlformats.org/officeDocument/2006/relationships/image" Target="file:///C:\Users\bapti\OneDrive\Bureau\Game\ExcelMon\Image\Pokedex\Droite\26.png" TargetMode="External"/><Relationship Id="rId886" Type="http://schemas.openxmlformats.org/officeDocument/2006/relationships/image" Target="file:///C:\Users\bapti\OneDrive\Bureau\Game\ExcelMon\Image\Pokedex\Droite\233.png" TargetMode="External"/><Relationship Id="rId2" Type="http://schemas.openxmlformats.org/officeDocument/2006/relationships/image" Target="../media/image13.png"/><Relationship Id="rId441" Type="http://schemas.openxmlformats.org/officeDocument/2006/relationships/image" Target="file:///C:\Users\bapti\OneDrive\Bureau\Game\ExcelMon\Image\Pokedex\Gauche\438.png" TargetMode="External"/><Relationship Id="rId539" Type="http://schemas.openxmlformats.org/officeDocument/2006/relationships/image" Target="file:///C:\Users\bapti\OneDrive\Bureau\Game\ExcelMon\Image\Pokedex\Gauche\536.png" TargetMode="External"/><Relationship Id="rId746" Type="http://schemas.openxmlformats.org/officeDocument/2006/relationships/image" Target="file:///C:\Users\bapti\OneDrive\Bureau\Game\ExcelMon\Image\Pokedex\Droite\93.png" TargetMode="External"/><Relationship Id="rId1071" Type="http://schemas.openxmlformats.org/officeDocument/2006/relationships/image" Target="file:///C:\Users\bapti\OneDrive\Bureau\Game\ExcelMon\Image\Pokedex\Droite\418.png" TargetMode="External"/><Relationship Id="rId1169" Type="http://schemas.openxmlformats.org/officeDocument/2006/relationships/image" Target="file:///C:\Users\bapti\OneDrive\Bureau\Game\ExcelMon\Image\Pokedex\Droite\516.png" TargetMode="External"/><Relationship Id="rId301" Type="http://schemas.openxmlformats.org/officeDocument/2006/relationships/image" Target="file:///C:\Users\bapti\OneDrive\Bureau\Game\ExcelMon\Image\Pokedex\Gauche\298.png" TargetMode="External"/><Relationship Id="rId953" Type="http://schemas.openxmlformats.org/officeDocument/2006/relationships/image" Target="file:///C:\Users\bapti\OneDrive\Bureau\Game\ExcelMon\Image\Pokedex\Droite\300.png" TargetMode="External"/><Relationship Id="rId1029" Type="http://schemas.openxmlformats.org/officeDocument/2006/relationships/image" Target="file:///C:\Users\bapti\OneDrive\Bureau\Game\ExcelMon\Image\Pokedex\Droite\376.png" TargetMode="External"/><Relationship Id="rId1236" Type="http://schemas.openxmlformats.org/officeDocument/2006/relationships/image" Target="file:///C:\Users\bapti\OneDrive\Bureau\Game\ExcelMon\Image\Pokedex\Droite\583.png" TargetMode="External"/><Relationship Id="rId82" Type="http://schemas.openxmlformats.org/officeDocument/2006/relationships/image" Target="file:///C:\Users\bapti\OneDrive\Bureau\Game\ExcelMon\Image\Pokedex\Gauche\79.png" TargetMode="External"/><Relationship Id="rId606" Type="http://schemas.openxmlformats.org/officeDocument/2006/relationships/image" Target="file:///C:\Users\bapti\OneDrive\Bureau\Game\ExcelMon\Image\Pokedex\Gauche\603.png" TargetMode="External"/><Relationship Id="rId813" Type="http://schemas.openxmlformats.org/officeDocument/2006/relationships/image" Target="file:///C:\Users\bapti\OneDrive\Bureau\Game\ExcelMon\Image\Pokedex\Droite\160.png" TargetMode="External"/><Relationship Id="rId189" Type="http://schemas.openxmlformats.org/officeDocument/2006/relationships/image" Target="file:///C:\Users\bapti\OneDrive\Bureau\Game\ExcelMon\Image\Pokedex\Gauche\186.png" TargetMode="External"/><Relationship Id="rId396" Type="http://schemas.openxmlformats.org/officeDocument/2006/relationships/image" Target="file:///C:\Users\bapti\OneDrive\Bureau\Game\ExcelMon\Image\Pokedex\Gauche\393.png" TargetMode="External"/><Relationship Id="rId256" Type="http://schemas.openxmlformats.org/officeDocument/2006/relationships/image" Target="file:///C:\Users\bapti\OneDrive\Bureau\Game\ExcelMon\Image\Pokedex\Gauche\253.png" TargetMode="External"/><Relationship Id="rId463" Type="http://schemas.openxmlformats.org/officeDocument/2006/relationships/image" Target="file:///C:\Users\bapti\OneDrive\Bureau\Game\ExcelMon\Image\Pokedex\Gauche\460.png" TargetMode="External"/><Relationship Id="rId670" Type="http://schemas.openxmlformats.org/officeDocument/2006/relationships/image" Target="file:///C:\Users\bapti\OneDrive\Bureau\Game\ExcelMon\Image\Pokedex\Droite\17.png" TargetMode="External"/><Relationship Id="rId1093" Type="http://schemas.openxmlformats.org/officeDocument/2006/relationships/image" Target="file:///C:\Users\bapti\OneDrive\Bureau\Game\ExcelMon\Image\Pokedex\Droite\440.png" TargetMode="External"/><Relationship Id="rId116" Type="http://schemas.openxmlformats.org/officeDocument/2006/relationships/image" Target="file:///C:\Users\bapti\OneDrive\Bureau\Game\ExcelMon\Image\Pokedex\Gauche\113.png" TargetMode="External"/><Relationship Id="rId323" Type="http://schemas.openxmlformats.org/officeDocument/2006/relationships/image" Target="file:///C:\Users\bapti\OneDrive\Bureau\Game\ExcelMon\Image\Pokedex\Gauche\320.png" TargetMode="External"/><Relationship Id="rId530" Type="http://schemas.openxmlformats.org/officeDocument/2006/relationships/image" Target="file:///C:\Users\bapti\OneDrive\Bureau\Game\ExcelMon\Image\Pokedex\Gauche\527.png" TargetMode="External"/><Relationship Id="rId768" Type="http://schemas.openxmlformats.org/officeDocument/2006/relationships/image" Target="file:///C:\Users\bapti\OneDrive\Bureau\Game\ExcelMon\Image\Pokedex\Droite\115.png" TargetMode="External"/><Relationship Id="rId975" Type="http://schemas.openxmlformats.org/officeDocument/2006/relationships/image" Target="file:///C:\Users\bapti\OneDrive\Bureau\Game\ExcelMon\Image\Pokedex\Droite\322.png" TargetMode="External"/><Relationship Id="rId1160" Type="http://schemas.openxmlformats.org/officeDocument/2006/relationships/image" Target="file:///C:\Users\bapti\OneDrive\Bureau\Game\ExcelMon\Image\Pokedex\Droite\507.png" TargetMode="External"/><Relationship Id="rId628" Type="http://schemas.openxmlformats.org/officeDocument/2006/relationships/image" Target="file:///C:\Users\bapti\OneDrive\Bureau\Game\ExcelMon\Image\Pokedex\Gauche\625.png" TargetMode="External"/><Relationship Id="rId835" Type="http://schemas.openxmlformats.org/officeDocument/2006/relationships/image" Target="file:///C:\Users\bapti\OneDrive\Bureau\Game\ExcelMon\Image\Pokedex\Droite\182.png" TargetMode="External"/><Relationship Id="rId1258" Type="http://schemas.openxmlformats.org/officeDocument/2006/relationships/image" Target="file:///C:\Users\bapti\OneDrive\Bureau\Game\ExcelMon\Image\Pokedex\Droite\605.png" TargetMode="External"/><Relationship Id="rId1020" Type="http://schemas.openxmlformats.org/officeDocument/2006/relationships/image" Target="file:///C:\Users\bapti\OneDrive\Bureau\Game\ExcelMon\Image\Pokedex\Droite\367.png" TargetMode="External"/><Relationship Id="rId1118" Type="http://schemas.openxmlformats.org/officeDocument/2006/relationships/image" Target="file:///C:\Users\bapti\OneDrive\Bureau\Game\ExcelMon\Image\Pokedex\Droite\465.png" TargetMode="External"/><Relationship Id="rId902" Type="http://schemas.openxmlformats.org/officeDocument/2006/relationships/image" Target="file:///C:\Users\bapti\OneDrive\Bureau\Game\ExcelMon\Image\Pokedex\Droite\249.png" TargetMode="External"/><Relationship Id="rId31" Type="http://schemas.openxmlformats.org/officeDocument/2006/relationships/image" Target="file:///C:\Users\bapti\OneDrive\Bureau\Game\ExcelMon\Image\Pokedex\Gauche\28.png" TargetMode="External"/><Relationship Id="rId180" Type="http://schemas.openxmlformats.org/officeDocument/2006/relationships/image" Target="file:///C:\Users\bapti\OneDrive\Bureau\Game\ExcelMon\Image\Pokedex\Gauche\177.png" TargetMode="External"/><Relationship Id="rId278" Type="http://schemas.openxmlformats.org/officeDocument/2006/relationships/image" Target="file:///C:\Users\bapti\OneDrive\Bureau\Game\ExcelMon\Image\Pokedex\Gauche\275.png" TargetMode="External"/><Relationship Id="rId485" Type="http://schemas.openxmlformats.org/officeDocument/2006/relationships/image" Target="file:///C:\Users\bapti\OneDrive\Bureau\Game\ExcelMon\Image\Pokedex\Gauche\482.png" TargetMode="External"/><Relationship Id="rId692" Type="http://schemas.openxmlformats.org/officeDocument/2006/relationships/image" Target="file:///C:\Users\bapti\OneDrive\Bureau\Game\ExcelMon\Image\Pokedex\Droite\39.png" TargetMode="External"/><Relationship Id="rId138" Type="http://schemas.openxmlformats.org/officeDocument/2006/relationships/image" Target="file:///C:\Users\bapti\OneDrive\Bureau\Game\ExcelMon\Image\Pokedex\Gauche\135.png" TargetMode="External"/><Relationship Id="rId345" Type="http://schemas.openxmlformats.org/officeDocument/2006/relationships/image" Target="file:///C:\Users\bapti\OneDrive\Bureau\Game\ExcelMon\Image\Pokedex\Gauche\342.png" TargetMode="External"/><Relationship Id="rId552" Type="http://schemas.openxmlformats.org/officeDocument/2006/relationships/image" Target="file:///C:\Users\bapti\OneDrive\Bureau\Game\ExcelMon\Image\Pokedex\Gauche\549.png" TargetMode="External"/><Relationship Id="rId997" Type="http://schemas.openxmlformats.org/officeDocument/2006/relationships/image" Target="file:///C:\Users\bapti\OneDrive\Bureau\Game\ExcelMon\Image\Pokedex\Droite\344.png" TargetMode="External"/><Relationship Id="rId1182" Type="http://schemas.openxmlformats.org/officeDocument/2006/relationships/image" Target="file:///C:\Users\bapti\OneDrive\Bureau\Game\ExcelMon\Image\Pokedex\Droite\529.png" TargetMode="External"/><Relationship Id="rId205" Type="http://schemas.openxmlformats.org/officeDocument/2006/relationships/image" Target="file:///C:\Users\bapti\OneDrive\Bureau\Game\ExcelMon\Image\Pokedex\Gauche\202.png" TargetMode="External"/><Relationship Id="rId412" Type="http://schemas.openxmlformats.org/officeDocument/2006/relationships/image" Target="file:///C:\Users\bapti\OneDrive\Bureau\Game\ExcelMon\Image\Pokedex\Gauche\409.png" TargetMode="External"/><Relationship Id="rId857" Type="http://schemas.openxmlformats.org/officeDocument/2006/relationships/image" Target="file:///C:\Users\bapti\OneDrive\Bureau\Game\ExcelMon\Image\Pokedex\Droite\204.png" TargetMode="External"/><Relationship Id="rId1042" Type="http://schemas.openxmlformats.org/officeDocument/2006/relationships/image" Target="file:///C:\Users\bapti\OneDrive\Bureau\Game\ExcelMon\Image\Pokedex\Droite\389.png" TargetMode="External"/><Relationship Id="rId717" Type="http://schemas.openxmlformats.org/officeDocument/2006/relationships/image" Target="file:///C:\Users\bapti\OneDrive\Bureau\Game\ExcelMon\Image\Pokedex\Droite\64.png" TargetMode="External"/><Relationship Id="rId924" Type="http://schemas.openxmlformats.org/officeDocument/2006/relationships/image" Target="file:///C:\Users\bapti\OneDrive\Bureau\Game\ExcelMon\Image\Pokedex\Droite\271.png" TargetMode="External"/><Relationship Id="rId53" Type="http://schemas.openxmlformats.org/officeDocument/2006/relationships/image" Target="file:///C:\Users\bapti\OneDrive\Bureau\Game\ExcelMon\Image\Pokedex\Gauche\50.png" TargetMode="External"/><Relationship Id="rId1207" Type="http://schemas.openxmlformats.org/officeDocument/2006/relationships/image" Target="file:///C:\Users\bapti\OneDrive\Bureau\Game\ExcelMon\Image\Pokedex\Droite\554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bapti\OneDrive\Bureau\Game\ExcelMon\Image\Map\Asset\Batiments\laboratoire_chen.png" TargetMode="External"/><Relationship Id="rId3" Type="http://schemas.openxmlformats.org/officeDocument/2006/relationships/image" Target="file:///C:\Users\bapti\OneDrive\Bureau\Game\ExcelMon\Image\Map\Asset\Routes\route02.png" TargetMode="External"/><Relationship Id="rId7" Type="http://schemas.openxmlformats.org/officeDocument/2006/relationships/image" Target="file:///C:\Users\bapti\OneDrive\Bureau\Game\ExcelMon\Image\Map\Asset\Routes\route01.png" TargetMode="External"/><Relationship Id="rId12" Type="http://schemas.openxmlformats.org/officeDocument/2006/relationships/image" Target="../media/image13.png"/><Relationship Id="rId2" Type="http://schemas.openxmlformats.org/officeDocument/2006/relationships/image" Target="file:///C:\Users\bapti\OneDrive\Bureau\Game\ExcelMon\Image\Map\Asset\Villes\argenta.png" TargetMode="External"/><Relationship Id="rId1" Type="http://schemas.openxmlformats.org/officeDocument/2006/relationships/image" Target="file:///C:\Users\bapti\OneDrive\Bureau\Game\ExcelMon\Image\Map\Asset\Villes\bourg-palette.png" TargetMode="External"/><Relationship Id="rId6" Type="http://schemas.openxmlformats.org/officeDocument/2006/relationships/image" Target="file:///C:\Users\bapti\OneDrive\Bureau\Game\ExcelMon\Image\Map\Asset\Villes\jadielle.png" TargetMode="External"/><Relationship Id="rId11" Type="http://schemas.openxmlformats.org/officeDocument/2006/relationships/image" Target="file:///C:\Users\bapti\OneDrive\Bureau\Game\ExcelMon\Image\Pokedex\Gauche\7.png" TargetMode="External"/><Relationship Id="rId5" Type="http://schemas.openxmlformats.org/officeDocument/2006/relationships/image" Target="file:///C:\Users\bapti\OneDrive\Bureau\Game\ExcelMon\Image\Map\Asset\Routes\route03.png" TargetMode="External"/><Relationship Id="rId10" Type="http://schemas.openxmlformats.org/officeDocument/2006/relationships/image" Target="file:///C:\Users\bapti\OneDrive\Bureau\Game\ExcelMon\Image\Pokedex\Gauche\4.png" TargetMode="External"/><Relationship Id="rId4" Type="http://schemas.openxmlformats.org/officeDocument/2006/relationships/image" Target="file:///C:\Users\bapti\OneDrive\Bureau\Game\ExcelMon\Image\Map\Asset\Foret\foret_de_jade.png" TargetMode="External"/><Relationship Id="rId9" Type="http://schemas.openxmlformats.org/officeDocument/2006/relationships/image" Target="file:///C:\Users\bapti\OneDrive\Bureau\Game\ExcelMon\Image\Pokedex\Gauche\1.png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202912</xdr:colOff>
      <xdr:row>3</xdr:row>
      <xdr:rowOff>0</xdr:rowOff>
    </xdr:from>
    <xdr:to>
      <xdr:col>2</xdr:col>
      <xdr:colOff>622036</xdr:colOff>
      <xdr:row>11</xdr:row>
      <xdr:rowOff>138453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392" y="55626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632460</xdr:colOff>
      <xdr:row>2</xdr:row>
      <xdr:rowOff>175260</xdr:rowOff>
    </xdr:from>
    <xdr:to>
      <xdr:col>4</xdr:col>
      <xdr:colOff>155983</xdr:colOff>
      <xdr:row>5</xdr:row>
      <xdr:rowOff>8692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802380" y="731520"/>
          <a:ext cx="316003" cy="38207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750</xdr:col>
      <xdr:colOff>426201</xdr:colOff>
      <xdr:row>21</xdr:row>
      <xdr:rowOff>0</xdr:rowOff>
    </xdr:to>
    <xdr:grpSp>
      <xdr:nvGrpSpPr>
        <xdr:cNvPr id="1306" name="Pokemon_Groupe_Gauche">
          <a:extLst>
            <a:ext uri="{FF2B5EF4-FFF2-40B4-BE49-F238E27FC236}">
              <a16:creationId xmlns:a16="http://schemas.microsoft.com/office/drawing/2014/main" id="{00000000-0008-0000-0300-00001A050000}"/>
            </a:ext>
          </a:extLst>
        </xdr:cNvPr>
        <xdr:cNvGrpSpPr/>
      </xdr:nvGrpSpPr>
      <xdr:grpSpPr>
        <a:xfrm>
          <a:off x="788894" y="2922494"/>
          <a:ext cx="591307895" cy="896471"/>
          <a:chOff x="10302240" y="2926080"/>
          <a:chExt cx="596690305" cy="932330"/>
        </a:xfrm>
      </xdr:grpSpPr>
      <xdr:pic>
        <xdr:nvPicPr>
          <xdr:cNvPr id="1307" name="Pokemon_0_Gauche">
            <a:extLst>
              <a:ext uri="{FF2B5EF4-FFF2-40B4-BE49-F238E27FC236}">
                <a16:creationId xmlns:a16="http://schemas.microsoft.com/office/drawing/2014/main" id="{00000000-0008-0000-0300-00001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10302240" y="2926080"/>
            <a:ext cx="917986" cy="932330"/>
          </a:xfrm>
          <a:prstGeom prst="rect">
            <a:avLst/>
          </a:prstGeom>
        </xdr:spPr>
      </xdr:pic>
      <xdr:pic>
        <xdr:nvPicPr>
          <xdr:cNvPr id="1308" name="Pokemon_1_Gauche">
            <a:extLst>
              <a:ext uri="{FF2B5EF4-FFF2-40B4-BE49-F238E27FC236}">
                <a16:creationId xmlns:a16="http://schemas.microsoft.com/office/drawing/2014/main" id="{00000000-0008-0000-0300-00001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11220226" y="2926080"/>
            <a:ext cx="917986" cy="932330"/>
          </a:xfrm>
          <a:prstGeom prst="rect">
            <a:avLst/>
          </a:prstGeom>
        </xdr:spPr>
      </xdr:pic>
      <xdr:pic>
        <xdr:nvPicPr>
          <xdr:cNvPr id="1309" name="Pokemon_2_Gauche">
            <a:extLst>
              <a:ext uri="{FF2B5EF4-FFF2-40B4-BE49-F238E27FC236}">
                <a16:creationId xmlns:a16="http://schemas.microsoft.com/office/drawing/2014/main" id="{00000000-0008-0000-0300-00001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12138212" y="2926080"/>
            <a:ext cx="917986" cy="932330"/>
          </a:xfrm>
          <a:prstGeom prst="rect">
            <a:avLst/>
          </a:prstGeom>
        </xdr:spPr>
      </xdr:pic>
      <xdr:pic>
        <xdr:nvPicPr>
          <xdr:cNvPr id="1310" name="Pokemon_3_Gauche">
            <a:extLst>
              <a:ext uri="{FF2B5EF4-FFF2-40B4-BE49-F238E27FC236}">
                <a16:creationId xmlns:a16="http://schemas.microsoft.com/office/drawing/2014/main" id="{00000000-0008-0000-0300-00001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"/>
          <a:stretch>
            <a:fillRect/>
          </a:stretch>
        </xdr:blipFill>
        <xdr:spPr>
          <a:xfrm>
            <a:off x="13056198" y="2926080"/>
            <a:ext cx="917986" cy="932330"/>
          </a:xfrm>
          <a:prstGeom prst="rect">
            <a:avLst/>
          </a:prstGeom>
        </xdr:spPr>
      </xdr:pic>
      <xdr:pic>
        <xdr:nvPicPr>
          <xdr:cNvPr id="1311" name="Pokemon_4_Gauche">
            <a:extLst>
              <a:ext uri="{FF2B5EF4-FFF2-40B4-BE49-F238E27FC236}">
                <a16:creationId xmlns:a16="http://schemas.microsoft.com/office/drawing/2014/main" id="{00000000-0008-0000-0300-00001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"/>
          <a:stretch>
            <a:fillRect/>
          </a:stretch>
        </xdr:blipFill>
        <xdr:spPr>
          <a:xfrm>
            <a:off x="13974184" y="2926080"/>
            <a:ext cx="917986" cy="932330"/>
          </a:xfrm>
          <a:prstGeom prst="rect">
            <a:avLst/>
          </a:prstGeom>
        </xdr:spPr>
      </xdr:pic>
      <xdr:pic>
        <xdr:nvPicPr>
          <xdr:cNvPr id="1312" name="Pokemon_5_Gauche">
            <a:extLst>
              <a:ext uri="{FF2B5EF4-FFF2-40B4-BE49-F238E27FC236}">
                <a16:creationId xmlns:a16="http://schemas.microsoft.com/office/drawing/2014/main" id="{00000000-0008-0000-0300-00002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"/>
          <a:stretch>
            <a:fillRect/>
          </a:stretch>
        </xdr:blipFill>
        <xdr:spPr>
          <a:xfrm>
            <a:off x="14892170" y="2926080"/>
            <a:ext cx="917986" cy="932330"/>
          </a:xfrm>
          <a:prstGeom prst="rect">
            <a:avLst/>
          </a:prstGeom>
        </xdr:spPr>
      </xdr:pic>
      <xdr:pic>
        <xdr:nvPicPr>
          <xdr:cNvPr id="1313" name="Pokemon_6_Gauche">
            <a:extLst>
              <a:ext uri="{FF2B5EF4-FFF2-40B4-BE49-F238E27FC236}">
                <a16:creationId xmlns:a16="http://schemas.microsoft.com/office/drawing/2014/main" id="{00000000-0008-0000-0300-00002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>
            <a:alphaModFix/>
          </a:blip>
          <a:stretch>
            <a:fillRect/>
          </a:stretch>
        </xdr:blipFill>
        <xdr:spPr>
          <a:xfrm>
            <a:off x="15810156" y="2926080"/>
            <a:ext cx="917986" cy="932330"/>
          </a:xfrm>
          <a:prstGeom prst="rect">
            <a:avLst/>
          </a:prstGeom>
        </xdr:spPr>
      </xdr:pic>
      <xdr:pic>
        <xdr:nvPicPr>
          <xdr:cNvPr id="1314" name="Pokemon_7_Gauche">
            <a:extLst>
              <a:ext uri="{FF2B5EF4-FFF2-40B4-BE49-F238E27FC236}">
                <a16:creationId xmlns:a16="http://schemas.microsoft.com/office/drawing/2014/main" id="{00000000-0008-0000-0300-00002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16728142" y="2926080"/>
            <a:ext cx="917986" cy="932330"/>
          </a:xfrm>
          <a:prstGeom prst="rect">
            <a:avLst/>
          </a:prstGeom>
        </xdr:spPr>
      </xdr:pic>
      <xdr:pic>
        <xdr:nvPicPr>
          <xdr:cNvPr id="1315" name="Pokemon_8_Gauche">
            <a:extLst>
              <a:ext uri="{FF2B5EF4-FFF2-40B4-BE49-F238E27FC236}">
                <a16:creationId xmlns:a16="http://schemas.microsoft.com/office/drawing/2014/main" id="{00000000-0008-0000-0300-00002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17646128" y="2926080"/>
            <a:ext cx="917986" cy="932330"/>
          </a:xfrm>
          <a:prstGeom prst="rect">
            <a:avLst/>
          </a:prstGeom>
        </xdr:spPr>
      </xdr:pic>
      <xdr:pic>
        <xdr:nvPicPr>
          <xdr:cNvPr id="1316" name="Pokemon_9_Gauche">
            <a:extLst>
              <a:ext uri="{FF2B5EF4-FFF2-40B4-BE49-F238E27FC236}">
                <a16:creationId xmlns:a16="http://schemas.microsoft.com/office/drawing/2014/main" id="{00000000-0008-0000-0300-00002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8564113" y="2926080"/>
            <a:ext cx="917986" cy="932330"/>
          </a:xfrm>
          <a:prstGeom prst="rect">
            <a:avLst/>
          </a:prstGeom>
        </xdr:spPr>
      </xdr:pic>
      <xdr:pic>
        <xdr:nvPicPr>
          <xdr:cNvPr id="1317" name="Pokemon_10_Gauche">
            <a:extLst>
              <a:ext uri="{FF2B5EF4-FFF2-40B4-BE49-F238E27FC236}">
                <a16:creationId xmlns:a16="http://schemas.microsoft.com/office/drawing/2014/main" id="{00000000-0008-0000-0300-00002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9482098" y="2926080"/>
            <a:ext cx="917986" cy="932330"/>
          </a:xfrm>
          <a:prstGeom prst="rect">
            <a:avLst/>
          </a:prstGeom>
        </xdr:spPr>
      </xdr:pic>
      <xdr:pic>
        <xdr:nvPicPr>
          <xdr:cNvPr id="1318" name="Pokemon_11_Gauche">
            <a:extLst>
              <a:ext uri="{FF2B5EF4-FFF2-40B4-BE49-F238E27FC236}">
                <a16:creationId xmlns:a16="http://schemas.microsoft.com/office/drawing/2014/main" id="{00000000-0008-0000-0300-00002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"/>
          <a:stretch>
            <a:fillRect/>
          </a:stretch>
        </xdr:blipFill>
        <xdr:spPr>
          <a:xfrm>
            <a:off x="20400083" y="2926080"/>
            <a:ext cx="917986" cy="932330"/>
          </a:xfrm>
          <a:prstGeom prst="rect">
            <a:avLst/>
          </a:prstGeom>
        </xdr:spPr>
      </xdr:pic>
      <xdr:pic>
        <xdr:nvPicPr>
          <xdr:cNvPr id="1319" name="Pokemon_12_Gauche">
            <a:extLst>
              <a:ext uri="{FF2B5EF4-FFF2-40B4-BE49-F238E27FC236}">
                <a16:creationId xmlns:a16="http://schemas.microsoft.com/office/drawing/2014/main" id="{00000000-0008-0000-0300-00002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21318069" y="2926080"/>
            <a:ext cx="917986" cy="932330"/>
          </a:xfrm>
          <a:prstGeom prst="rect">
            <a:avLst/>
          </a:prstGeom>
        </xdr:spPr>
      </xdr:pic>
      <xdr:pic>
        <xdr:nvPicPr>
          <xdr:cNvPr id="1320" name="Pokemon_13_Gauche">
            <a:extLst>
              <a:ext uri="{FF2B5EF4-FFF2-40B4-BE49-F238E27FC236}">
                <a16:creationId xmlns:a16="http://schemas.microsoft.com/office/drawing/2014/main" id="{00000000-0008-0000-0300-00002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22236054" y="2926080"/>
            <a:ext cx="917986" cy="932330"/>
          </a:xfrm>
          <a:prstGeom prst="rect">
            <a:avLst/>
          </a:prstGeom>
        </xdr:spPr>
      </xdr:pic>
      <xdr:pic>
        <xdr:nvPicPr>
          <xdr:cNvPr id="1321" name="Pokemon_14_Gauche">
            <a:extLst>
              <a:ext uri="{FF2B5EF4-FFF2-40B4-BE49-F238E27FC236}">
                <a16:creationId xmlns:a16="http://schemas.microsoft.com/office/drawing/2014/main" id="{00000000-0008-0000-0300-00002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"/>
          <a:stretch>
            <a:fillRect/>
          </a:stretch>
        </xdr:blipFill>
        <xdr:spPr>
          <a:xfrm>
            <a:off x="23154039" y="2926080"/>
            <a:ext cx="917986" cy="932330"/>
          </a:xfrm>
          <a:prstGeom prst="rect">
            <a:avLst/>
          </a:prstGeom>
        </xdr:spPr>
      </xdr:pic>
      <xdr:pic>
        <xdr:nvPicPr>
          <xdr:cNvPr id="1322" name="Pokemon_15_Gauche">
            <a:extLst>
              <a:ext uri="{FF2B5EF4-FFF2-40B4-BE49-F238E27FC236}">
                <a16:creationId xmlns:a16="http://schemas.microsoft.com/office/drawing/2014/main" id="{00000000-0008-0000-0300-00002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"/>
          <a:stretch>
            <a:fillRect/>
          </a:stretch>
        </xdr:blipFill>
        <xdr:spPr>
          <a:xfrm>
            <a:off x="24072025" y="2926080"/>
            <a:ext cx="917986" cy="932330"/>
          </a:xfrm>
          <a:prstGeom prst="rect">
            <a:avLst/>
          </a:prstGeom>
        </xdr:spPr>
      </xdr:pic>
      <xdr:pic>
        <xdr:nvPicPr>
          <xdr:cNvPr id="1323" name="Pokemon_16_Gauche">
            <a:extLst>
              <a:ext uri="{FF2B5EF4-FFF2-40B4-BE49-F238E27FC236}">
                <a16:creationId xmlns:a16="http://schemas.microsoft.com/office/drawing/2014/main" id="{00000000-0008-0000-0300-00002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"/>
          <a:stretch>
            <a:fillRect/>
          </a:stretch>
        </xdr:blipFill>
        <xdr:spPr>
          <a:xfrm>
            <a:off x="24990010" y="2926080"/>
            <a:ext cx="917986" cy="932330"/>
          </a:xfrm>
          <a:prstGeom prst="rect">
            <a:avLst/>
          </a:prstGeom>
        </xdr:spPr>
      </xdr:pic>
      <xdr:pic>
        <xdr:nvPicPr>
          <xdr:cNvPr id="1324" name="Pokemon_17_Gauche">
            <a:extLst>
              <a:ext uri="{FF2B5EF4-FFF2-40B4-BE49-F238E27FC236}">
                <a16:creationId xmlns:a16="http://schemas.microsoft.com/office/drawing/2014/main" id="{00000000-0008-0000-0300-00002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"/>
          <a:stretch>
            <a:fillRect/>
          </a:stretch>
        </xdr:blipFill>
        <xdr:spPr>
          <a:xfrm>
            <a:off x="25907995" y="2926080"/>
            <a:ext cx="917986" cy="932330"/>
          </a:xfrm>
          <a:prstGeom prst="rect">
            <a:avLst/>
          </a:prstGeom>
        </xdr:spPr>
      </xdr:pic>
      <xdr:pic>
        <xdr:nvPicPr>
          <xdr:cNvPr id="1325" name="Pokemon_18_Gauche">
            <a:extLst>
              <a:ext uri="{FF2B5EF4-FFF2-40B4-BE49-F238E27FC236}">
                <a16:creationId xmlns:a16="http://schemas.microsoft.com/office/drawing/2014/main" id="{00000000-0008-0000-0300-00002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"/>
          <a:stretch>
            <a:fillRect/>
          </a:stretch>
        </xdr:blipFill>
        <xdr:spPr>
          <a:xfrm>
            <a:off x="26825981" y="2926080"/>
            <a:ext cx="917986" cy="932330"/>
          </a:xfrm>
          <a:prstGeom prst="rect">
            <a:avLst/>
          </a:prstGeom>
        </xdr:spPr>
      </xdr:pic>
      <xdr:pic>
        <xdr:nvPicPr>
          <xdr:cNvPr id="1326" name="Pokemon_19_Gauche">
            <a:extLst>
              <a:ext uri="{FF2B5EF4-FFF2-40B4-BE49-F238E27FC236}">
                <a16:creationId xmlns:a16="http://schemas.microsoft.com/office/drawing/2014/main" id="{00000000-0008-0000-0300-00002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"/>
          <a:stretch>
            <a:fillRect/>
          </a:stretch>
        </xdr:blipFill>
        <xdr:spPr>
          <a:xfrm>
            <a:off x="27743969" y="2926080"/>
            <a:ext cx="917986" cy="932330"/>
          </a:xfrm>
          <a:prstGeom prst="rect">
            <a:avLst/>
          </a:prstGeom>
        </xdr:spPr>
      </xdr:pic>
      <xdr:pic>
        <xdr:nvPicPr>
          <xdr:cNvPr id="1327" name="Pokemon_20_Gauche">
            <a:extLst>
              <a:ext uri="{FF2B5EF4-FFF2-40B4-BE49-F238E27FC236}">
                <a16:creationId xmlns:a16="http://schemas.microsoft.com/office/drawing/2014/main" id="{00000000-0008-0000-0300-00002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"/>
          <a:stretch>
            <a:fillRect/>
          </a:stretch>
        </xdr:blipFill>
        <xdr:spPr>
          <a:xfrm>
            <a:off x="28661956" y="2926080"/>
            <a:ext cx="917986" cy="932330"/>
          </a:xfrm>
          <a:prstGeom prst="rect">
            <a:avLst/>
          </a:prstGeom>
        </xdr:spPr>
      </xdr:pic>
      <xdr:pic>
        <xdr:nvPicPr>
          <xdr:cNvPr id="1328" name="Pokemon_21_Gauche">
            <a:extLst>
              <a:ext uri="{FF2B5EF4-FFF2-40B4-BE49-F238E27FC236}">
                <a16:creationId xmlns:a16="http://schemas.microsoft.com/office/drawing/2014/main" id="{00000000-0008-0000-0300-00003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"/>
          <a:stretch>
            <a:fillRect/>
          </a:stretch>
        </xdr:blipFill>
        <xdr:spPr>
          <a:xfrm>
            <a:off x="29579943" y="2926080"/>
            <a:ext cx="917986" cy="932330"/>
          </a:xfrm>
          <a:prstGeom prst="rect">
            <a:avLst/>
          </a:prstGeom>
        </xdr:spPr>
      </xdr:pic>
      <xdr:pic>
        <xdr:nvPicPr>
          <xdr:cNvPr id="1329" name="Pokemon_22_Gauche">
            <a:extLst>
              <a:ext uri="{FF2B5EF4-FFF2-40B4-BE49-F238E27FC236}">
                <a16:creationId xmlns:a16="http://schemas.microsoft.com/office/drawing/2014/main" id="{00000000-0008-0000-0300-00003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"/>
          <a:stretch>
            <a:fillRect/>
          </a:stretch>
        </xdr:blipFill>
        <xdr:spPr>
          <a:xfrm>
            <a:off x="30497931" y="2926080"/>
            <a:ext cx="917986" cy="932330"/>
          </a:xfrm>
          <a:prstGeom prst="rect">
            <a:avLst/>
          </a:prstGeom>
        </xdr:spPr>
      </xdr:pic>
      <xdr:pic>
        <xdr:nvPicPr>
          <xdr:cNvPr id="1330" name="Pokemon_23_Gauche">
            <a:extLst>
              <a:ext uri="{FF2B5EF4-FFF2-40B4-BE49-F238E27FC236}">
                <a16:creationId xmlns:a16="http://schemas.microsoft.com/office/drawing/2014/main" id="{00000000-0008-0000-0300-00003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"/>
          <a:stretch>
            <a:fillRect/>
          </a:stretch>
        </xdr:blipFill>
        <xdr:spPr>
          <a:xfrm>
            <a:off x="31415918" y="2926080"/>
            <a:ext cx="917986" cy="932330"/>
          </a:xfrm>
          <a:prstGeom prst="rect">
            <a:avLst/>
          </a:prstGeom>
        </xdr:spPr>
      </xdr:pic>
      <xdr:pic>
        <xdr:nvPicPr>
          <xdr:cNvPr id="1331" name="Pokemon_24_Gauche">
            <a:extLst>
              <a:ext uri="{FF2B5EF4-FFF2-40B4-BE49-F238E27FC236}">
                <a16:creationId xmlns:a16="http://schemas.microsoft.com/office/drawing/2014/main" id="{00000000-0008-0000-0300-00003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"/>
          <a:stretch>
            <a:fillRect/>
          </a:stretch>
        </xdr:blipFill>
        <xdr:spPr>
          <a:xfrm>
            <a:off x="32333905" y="2926080"/>
            <a:ext cx="917986" cy="932330"/>
          </a:xfrm>
          <a:prstGeom prst="rect">
            <a:avLst/>
          </a:prstGeom>
        </xdr:spPr>
      </xdr:pic>
      <xdr:pic>
        <xdr:nvPicPr>
          <xdr:cNvPr id="1332" name="Pokemon_25_Gauche">
            <a:extLst>
              <a:ext uri="{FF2B5EF4-FFF2-40B4-BE49-F238E27FC236}">
                <a16:creationId xmlns:a16="http://schemas.microsoft.com/office/drawing/2014/main" id="{00000000-0008-0000-0300-00003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"/>
          <a:stretch>
            <a:fillRect/>
          </a:stretch>
        </xdr:blipFill>
        <xdr:spPr>
          <a:xfrm>
            <a:off x="33251893" y="2926080"/>
            <a:ext cx="917986" cy="932330"/>
          </a:xfrm>
          <a:prstGeom prst="rect">
            <a:avLst/>
          </a:prstGeom>
        </xdr:spPr>
      </xdr:pic>
      <xdr:pic>
        <xdr:nvPicPr>
          <xdr:cNvPr id="1333" name="Pokemon_26_Gauche">
            <a:extLst>
              <a:ext uri="{FF2B5EF4-FFF2-40B4-BE49-F238E27FC236}">
                <a16:creationId xmlns:a16="http://schemas.microsoft.com/office/drawing/2014/main" id="{00000000-0008-0000-0300-00003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"/>
          <a:stretch>
            <a:fillRect/>
          </a:stretch>
        </xdr:blipFill>
        <xdr:spPr>
          <a:xfrm>
            <a:off x="34169880" y="2926080"/>
            <a:ext cx="917986" cy="932330"/>
          </a:xfrm>
          <a:prstGeom prst="rect">
            <a:avLst/>
          </a:prstGeom>
        </xdr:spPr>
      </xdr:pic>
      <xdr:pic>
        <xdr:nvPicPr>
          <xdr:cNvPr id="1334" name="Pokemon_27_Gauche">
            <a:extLst>
              <a:ext uri="{FF2B5EF4-FFF2-40B4-BE49-F238E27FC236}">
                <a16:creationId xmlns:a16="http://schemas.microsoft.com/office/drawing/2014/main" id="{00000000-0008-0000-0300-00003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"/>
          <a:stretch>
            <a:fillRect/>
          </a:stretch>
        </xdr:blipFill>
        <xdr:spPr>
          <a:xfrm>
            <a:off x="35087868" y="2926080"/>
            <a:ext cx="917986" cy="932330"/>
          </a:xfrm>
          <a:prstGeom prst="rect">
            <a:avLst/>
          </a:prstGeom>
        </xdr:spPr>
      </xdr:pic>
      <xdr:pic>
        <xdr:nvPicPr>
          <xdr:cNvPr id="1335" name="Pokemon_28_Gauche">
            <a:extLst>
              <a:ext uri="{FF2B5EF4-FFF2-40B4-BE49-F238E27FC236}">
                <a16:creationId xmlns:a16="http://schemas.microsoft.com/office/drawing/2014/main" id="{00000000-0008-0000-0300-00003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"/>
          <a:stretch>
            <a:fillRect/>
          </a:stretch>
        </xdr:blipFill>
        <xdr:spPr>
          <a:xfrm>
            <a:off x="36005855" y="2926080"/>
            <a:ext cx="917986" cy="932330"/>
          </a:xfrm>
          <a:prstGeom prst="rect">
            <a:avLst/>
          </a:prstGeom>
        </xdr:spPr>
      </xdr:pic>
      <xdr:pic>
        <xdr:nvPicPr>
          <xdr:cNvPr id="1336" name="Pokemon_29_Gauche">
            <a:extLst>
              <a:ext uri="{FF2B5EF4-FFF2-40B4-BE49-F238E27FC236}">
                <a16:creationId xmlns:a16="http://schemas.microsoft.com/office/drawing/2014/main" id="{00000000-0008-0000-0300-00003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"/>
          <a:stretch>
            <a:fillRect/>
          </a:stretch>
        </xdr:blipFill>
        <xdr:spPr>
          <a:xfrm>
            <a:off x="36923842" y="2926080"/>
            <a:ext cx="917986" cy="932330"/>
          </a:xfrm>
          <a:prstGeom prst="rect">
            <a:avLst/>
          </a:prstGeom>
        </xdr:spPr>
      </xdr:pic>
      <xdr:pic>
        <xdr:nvPicPr>
          <xdr:cNvPr id="1337" name="Pokemon_30_Gauche">
            <a:extLst>
              <a:ext uri="{FF2B5EF4-FFF2-40B4-BE49-F238E27FC236}">
                <a16:creationId xmlns:a16="http://schemas.microsoft.com/office/drawing/2014/main" id="{00000000-0008-0000-0300-00003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"/>
          <a:stretch>
            <a:fillRect/>
          </a:stretch>
        </xdr:blipFill>
        <xdr:spPr>
          <a:xfrm>
            <a:off x="37841827" y="2926080"/>
            <a:ext cx="917986" cy="932330"/>
          </a:xfrm>
          <a:prstGeom prst="rect">
            <a:avLst/>
          </a:prstGeom>
        </xdr:spPr>
      </xdr:pic>
      <xdr:pic>
        <xdr:nvPicPr>
          <xdr:cNvPr id="1338" name="Pokemon_31_Gauche">
            <a:extLst>
              <a:ext uri="{FF2B5EF4-FFF2-40B4-BE49-F238E27FC236}">
                <a16:creationId xmlns:a16="http://schemas.microsoft.com/office/drawing/2014/main" id="{00000000-0008-0000-0300-00003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"/>
          <a:stretch>
            <a:fillRect/>
          </a:stretch>
        </xdr:blipFill>
        <xdr:spPr>
          <a:xfrm>
            <a:off x="38759814" y="2926080"/>
            <a:ext cx="917986" cy="932330"/>
          </a:xfrm>
          <a:prstGeom prst="rect">
            <a:avLst/>
          </a:prstGeom>
        </xdr:spPr>
      </xdr:pic>
      <xdr:pic>
        <xdr:nvPicPr>
          <xdr:cNvPr id="1339" name="Pokemon_32_Gauche">
            <a:extLst>
              <a:ext uri="{FF2B5EF4-FFF2-40B4-BE49-F238E27FC236}">
                <a16:creationId xmlns:a16="http://schemas.microsoft.com/office/drawing/2014/main" id="{00000000-0008-0000-0300-00003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"/>
          <a:stretch>
            <a:fillRect/>
          </a:stretch>
        </xdr:blipFill>
        <xdr:spPr>
          <a:xfrm>
            <a:off x="39677804" y="2926080"/>
            <a:ext cx="917986" cy="932330"/>
          </a:xfrm>
          <a:prstGeom prst="rect">
            <a:avLst/>
          </a:prstGeom>
        </xdr:spPr>
      </xdr:pic>
      <xdr:pic>
        <xdr:nvPicPr>
          <xdr:cNvPr id="1340" name="Pokemon_33_Gauche">
            <a:extLst>
              <a:ext uri="{FF2B5EF4-FFF2-40B4-BE49-F238E27FC236}">
                <a16:creationId xmlns:a16="http://schemas.microsoft.com/office/drawing/2014/main" id="{00000000-0008-0000-0300-00003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"/>
          <a:stretch>
            <a:fillRect/>
          </a:stretch>
        </xdr:blipFill>
        <xdr:spPr>
          <a:xfrm>
            <a:off x="40595792" y="2926080"/>
            <a:ext cx="917986" cy="932330"/>
          </a:xfrm>
          <a:prstGeom prst="rect">
            <a:avLst/>
          </a:prstGeom>
        </xdr:spPr>
      </xdr:pic>
      <xdr:pic>
        <xdr:nvPicPr>
          <xdr:cNvPr id="1341" name="Pokemon_34_Gauche">
            <a:extLst>
              <a:ext uri="{FF2B5EF4-FFF2-40B4-BE49-F238E27FC236}">
                <a16:creationId xmlns:a16="http://schemas.microsoft.com/office/drawing/2014/main" id="{00000000-0008-0000-0300-00003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"/>
          <a:stretch>
            <a:fillRect/>
          </a:stretch>
        </xdr:blipFill>
        <xdr:spPr>
          <a:xfrm>
            <a:off x="41513779" y="2926080"/>
            <a:ext cx="917986" cy="932330"/>
          </a:xfrm>
          <a:prstGeom prst="rect">
            <a:avLst/>
          </a:prstGeom>
        </xdr:spPr>
      </xdr:pic>
      <xdr:pic>
        <xdr:nvPicPr>
          <xdr:cNvPr id="1342" name="Pokemon_35_Gauche">
            <a:extLst>
              <a:ext uri="{FF2B5EF4-FFF2-40B4-BE49-F238E27FC236}">
                <a16:creationId xmlns:a16="http://schemas.microsoft.com/office/drawing/2014/main" id="{00000000-0008-0000-0300-00003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"/>
          <a:stretch>
            <a:fillRect/>
          </a:stretch>
        </xdr:blipFill>
        <xdr:spPr>
          <a:xfrm>
            <a:off x="42431767" y="2926080"/>
            <a:ext cx="917986" cy="932330"/>
          </a:xfrm>
          <a:prstGeom prst="rect">
            <a:avLst/>
          </a:prstGeom>
        </xdr:spPr>
      </xdr:pic>
      <xdr:pic>
        <xdr:nvPicPr>
          <xdr:cNvPr id="1343" name="Pokemon_36_Gauche">
            <a:extLst>
              <a:ext uri="{FF2B5EF4-FFF2-40B4-BE49-F238E27FC236}">
                <a16:creationId xmlns:a16="http://schemas.microsoft.com/office/drawing/2014/main" id="{00000000-0008-0000-0300-00003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"/>
          <a:stretch>
            <a:fillRect/>
          </a:stretch>
        </xdr:blipFill>
        <xdr:spPr>
          <a:xfrm>
            <a:off x="43349754" y="2926080"/>
            <a:ext cx="917986" cy="932330"/>
          </a:xfrm>
          <a:prstGeom prst="rect">
            <a:avLst/>
          </a:prstGeom>
        </xdr:spPr>
      </xdr:pic>
      <xdr:pic>
        <xdr:nvPicPr>
          <xdr:cNvPr id="1344" name="Pokemon_37_Gauche">
            <a:extLst>
              <a:ext uri="{FF2B5EF4-FFF2-40B4-BE49-F238E27FC236}">
                <a16:creationId xmlns:a16="http://schemas.microsoft.com/office/drawing/2014/main" id="{00000000-0008-0000-0300-00004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"/>
          <a:stretch>
            <a:fillRect/>
          </a:stretch>
        </xdr:blipFill>
        <xdr:spPr>
          <a:xfrm>
            <a:off x="44267738" y="2926080"/>
            <a:ext cx="917986" cy="932330"/>
          </a:xfrm>
          <a:prstGeom prst="rect">
            <a:avLst/>
          </a:prstGeom>
        </xdr:spPr>
      </xdr:pic>
      <xdr:pic>
        <xdr:nvPicPr>
          <xdr:cNvPr id="1345" name="Pokemon_38_Gauche">
            <a:extLst>
              <a:ext uri="{FF2B5EF4-FFF2-40B4-BE49-F238E27FC236}">
                <a16:creationId xmlns:a16="http://schemas.microsoft.com/office/drawing/2014/main" id="{00000000-0008-0000-0300-00004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"/>
          <a:stretch>
            <a:fillRect/>
          </a:stretch>
        </xdr:blipFill>
        <xdr:spPr>
          <a:xfrm>
            <a:off x="45185723" y="2926080"/>
            <a:ext cx="917986" cy="932330"/>
          </a:xfrm>
          <a:prstGeom prst="rect">
            <a:avLst/>
          </a:prstGeom>
        </xdr:spPr>
      </xdr:pic>
      <xdr:pic>
        <xdr:nvPicPr>
          <xdr:cNvPr id="1346" name="Pokemon_39_Gauche">
            <a:extLst>
              <a:ext uri="{FF2B5EF4-FFF2-40B4-BE49-F238E27FC236}">
                <a16:creationId xmlns:a16="http://schemas.microsoft.com/office/drawing/2014/main" id="{00000000-0008-0000-0300-00004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"/>
          <a:stretch>
            <a:fillRect/>
          </a:stretch>
        </xdr:blipFill>
        <xdr:spPr>
          <a:xfrm>
            <a:off x="46103710" y="2926080"/>
            <a:ext cx="917986" cy="932330"/>
          </a:xfrm>
          <a:prstGeom prst="rect">
            <a:avLst/>
          </a:prstGeom>
        </xdr:spPr>
      </xdr:pic>
      <xdr:pic>
        <xdr:nvPicPr>
          <xdr:cNvPr id="1347" name="Pokemon_40_Gauche">
            <a:extLst>
              <a:ext uri="{FF2B5EF4-FFF2-40B4-BE49-F238E27FC236}">
                <a16:creationId xmlns:a16="http://schemas.microsoft.com/office/drawing/2014/main" id="{00000000-0008-0000-0300-00004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"/>
          <a:stretch>
            <a:fillRect/>
          </a:stretch>
        </xdr:blipFill>
        <xdr:spPr>
          <a:xfrm>
            <a:off x="47021700" y="2926080"/>
            <a:ext cx="917986" cy="932330"/>
          </a:xfrm>
          <a:prstGeom prst="rect">
            <a:avLst/>
          </a:prstGeom>
        </xdr:spPr>
      </xdr:pic>
      <xdr:pic>
        <xdr:nvPicPr>
          <xdr:cNvPr id="1348" name="Pokemon_41_Gauche">
            <a:extLst>
              <a:ext uri="{FF2B5EF4-FFF2-40B4-BE49-F238E27FC236}">
                <a16:creationId xmlns:a16="http://schemas.microsoft.com/office/drawing/2014/main" id="{00000000-0008-0000-0300-00004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"/>
          <a:stretch>
            <a:fillRect/>
          </a:stretch>
        </xdr:blipFill>
        <xdr:spPr>
          <a:xfrm>
            <a:off x="47939688" y="2926080"/>
            <a:ext cx="917986" cy="932330"/>
          </a:xfrm>
          <a:prstGeom prst="rect">
            <a:avLst/>
          </a:prstGeom>
        </xdr:spPr>
      </xdr:pic>
      <xdr:pic>
        <xdr:nvPicPr>
          <xdr:cNvPr id="1349" name="Pokemon_42_Gauche">
            <a:extLst>
              <a:ext uri="{FF2B5EF4-FFF2-40B4-BE49-F238E27FC236}">
                <a16:creationId xmlns:a16="http://schemas.microsoft.com/office/drawing/2014/main" id="{00000000-0008-0000-0300-00004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"/>
          <a:stretch>
            <a:fillRect/>
          </a:stretch>
        </xdr:blipFill>
        <xdr:spPr>
          <a:xfrm>
            <a:off x="48857675" y="2926080"/>
            <a:ext cx="917986" cy="932330"/>
          </a:xfrm>
          <a:prstGeom prst="rect">
            <a:avLst/>
          </a:prstGeom>
        </xdr:spPr>
      </xdr:pic>
      <xdr:pic>
        <xdr:nvPicPr>
          <xdr:cNvPr id="1350" name="Pokemon_43_Gauche">
            <a:extLst>
              <a:ext uri="{FF2B5EF4-FFF2-40B4-BE49-F238E27FC236}">
                <a16:creationId xmlns:a16="http://schemas.microsoft.com/office/drawing/2014/main" id="{00000000-0008-0000-03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"/>
          <a:stretch>
            <a:fillRect/>
          </a:stretch>
        </xdr:blipFill>
        <xdr:spPr>
          <a:xfrm>
            <a:off x="49775663" y="2926080"/>
            <a:ext cx="917986" cy="932330"/>
          </a:xfrm>
          <a:prstGeom prst="rect">
            <a:avLst/>
          </a:prstGeom>
        </xdr:spPr>
      </xdr:pic>
      <xdr:pic>
        <xdr:nvPicPr>
          <xdr:cNvPr id="1351" name="Pokemon_44_Gauche">
            <a:extLst>
              <a:ext uri="{FF2B5EF4-FFF2-40B4-BE49-F238E27FC236}">
                <a16:creationId xmlns:a16="http://schemas.microsoft.com/office/drawing/2014/main" id="{00000000-0008-0000-0300-00004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"/>
          <a:stretch>
            <a:fillRect/>
          </a:stretch>
        </xdr:blipFill>
        <xdr:spPr>
          <a:xfrm>
            <a:off x="50693650" y="2926080"/>
            <a:ext cx="917986" cy="932330"/>
          </a:xfrm>
          <a:prstGeom prst="rect">
            <a:avLst/>
          </a:prstGeom>
        </xdr:spPr>
      </xdr:pic>
      <xdr:pic>
        <xdr:nvPicPr>
          <xdr:cNvPr id="1352" name="Pokemon_45_Gauche">
            <a:extLst>
              <a:ext uri="{FF2B5EF4-FFF2-40B4-BE49-F238E27FC236}">
                <a16:creationId xmlns:a16="http://schemas.microsoft.com/office/drawing/2014/main" id="{00000000-0008-0000-0300-00004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"/>
          <a:stretch>
            <a:fillRect/>
          </a:stretch>
        </xdr:blipFill>
        <xdr:spPr>
          <a:xfrm>
            <a:off x="51611634" y="2926080"/>
            <a:ext cx="917986" cy="932330"/>
          </a:xfrm>
          <a:prstGeom prst="rect">
            <a:avLst/>
          </a:prstGeom>
        </xdr:spPr>
      </xdr:pic>
      <xdr:pic>
        <xdr:nvPicPr>
          <xdr:cNvPr id="1353" name="Pokemon_46_Gauche">
            <a:extLst>
              <a:ext uri="{FF2B5EF4-FFF2-40B4-BE49-F238E27FC236}">
                <a16:creationId xmlns:a16="http://schemas.microsoft.com/office/drawing/2014/main" id="{00000000-0008-0000-0300-00004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"/>
          <a:stretch>
            <a:fillRect/>
          </a:stretch>
        </xdr:blipFill>
        <xdr:spPr>
          <a:xfrm>
            <a:off x="52529618" y="2926080"/>
            <a:ext cx="917986" cy="932330"/>
          </a:xfrm>
          <a:prstGeom prst="rect">
            <a:avLst/>
          </a:prstGeom>
        </xdr:spPr>
      </xdr:pic>
      <xdr:pic>
        <xdr:nvPicPr>
          <xdr:cNvPr id="1354" name="Pokemon_47_Gauche">
            <a:extLst>
              <a:ext uri="{FF2B5EF4-FFF2-40B4-BE49-F238E27FC236}">
                <a16:creationId xmlns:a16="http://schemas.microsoft.com/office/drawing/2014/main" id="{00000000-0008-0000-0300-00004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"/>
          <a:stretch>
            <a:fillRect/>
          </a:stretch>
        </xdr:blipFill>
        <xdr:spPr>
          <a:xfrm>
            <a:off x="53447603" y="2926080"/>
            <a:ext cx="917986" cy="932330"/>
          </a:xfrm>
          <a:prstGeom prst="rect">
            <a:avLst/>
          </a:prstGeom>
        </xdr:spPr>
      </xdr:pic>
      <xdr:pic>
        <xdr:nvPicPr>
          <xdr:cNvPr id="1355" name="Pokemon_48_Gauche">
            <a:extLst>
              <a:ext uri="{FF2B5EF4-FFF2-40B4-BE49-F238E27FC236}">
                <a16:creationId xmlns:a16="http://schemas.microsoft.com/office/drawing/2014/main" id="{00000000-0008-0000-0300-00004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"/>
          <a:stretch>
            <a:fillRect/>
          </a:stretch>
        </xdr:blipFill>
        <xdr:spPr>
          <a:xfrm>
            <a:off x="54365587" y="2926080"/>
            <a:ext cx="917986" cy="932330"/>
          </a:xfrm>
          <a:prstGeom prst="rect">
            <a:avLst/>
          </a:prstGeom>
        </xdr:spPr>
      </xdr:pic>
      <xdr:pic>
        <xdr:nvPicPr>
          <xdr:cNvPr id="1356" name="Pokemon_49_Gauche">
            <a:extLst>
              <a:ext uri="{FF2B5EF4-FFF2-40B4-BE49-F238E27FC236}">
                <a16:creationId xmlns:a16="http://schemas.microsoft.com/office/drawing/2014/main" id="{00000000-0008-0000-0300-00004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"/>
          <a:stretch>
            <a:fillRect/>
          </a:stretch>
        </xdr:blipFill>
        <xdr:spPr>
          <a:xfrm>
            <a:off x="55283571" y="2926080"/>
            <a:ext cx="917986" cy="932330"/>
          </a:xfrm>
          <a:prstGeom prst="rect">
            <a:avLst/>
          </a:prstGeom>
        </xdr:spPr>
      </xdr:pic>
      <xdr:pic>
        <xdr:nvPicPr>
          <xdr:cNvPr id="1357" name="Pokemon_50_Gauche">
            <a:extLst>
              <a:ext uri="{FF2B5EF4-FFF2-40B4-BE49-F238E27FC236}">
                <a16:creationId xmlns:a16="http://schemas.microsoft.com/office/drawing/2014/main" id="{00000000-0008-0000-0300-00004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"/>
          <a:stretch>
            <a:fillRect/>
          </a:stretch>
        </xdr:blipFill>
        <xdr:spPr>
          <a:xfrm>
            <a:off x="56201556" y="2926080"/>
            <a:ext cx="917986" cy="932330"/>
          </a:xfrm>
          <a:prstGeom prst="rect">
            <a:avLst/>
          </a:prstGeom>
        </xdr:spPr>
      </xdr:pic>
      <xdr:pic>
        <xdr:nvPicPr>
          <xdr:cNvPr id="1358" name="Pokemon_51_Gauche">
            <a:extLst>
              <a:ext uri="{FF2B5EF4-FFF2-40B4-BE49-F238E27FC236}">
                <a16:creationId xmlns:a16="http://schemas.microsoft.com/office/drawing/2014/main" id="{00000000-0008-0000-0300-00004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"/>
          <a:stretch>
            <a:fillRect/>
          </a:stretch>
        </xdr:blipFill>
        <xdr:spPr>
          <a:xfrm>
            <a:off x="57119540" y="2926080"/>
            <a:ext cx="917986" cy="932330"/>
          </a:xfrm>
          <a:prstGeom prst="rect">
            <a:avLst/>
          </a:prstGeom>
        </xdr:spPr>
      </xdr:pic>
      <xdr:pic>
        <xdr:nvPicPr>
          <xdr:cNvPr id="1359" name="Pokemon_52_Gauche">
            <a:extLst>
              <a:ext uri="{FF2B5EF4-FFF2-40B4-BE49-F238E27FC236}">
                <a16:creationId xmlns:a16="http://schemas.microsoft.com/office/drawing/2014/main" id="{00000000-0008-0000-0300-00004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"/>
          <a:stretch>
            <a:fillRect/>
          </a:stretch>
        </xdr:blipFill>
        <xdr:spPr>
          <a:xfrm>
            <a:off x="58037524" y="2926080"/>
            <a:ext cx="917986" cy="932330"/>
          </a:xfrm>
          <a:prstGeom prst="rect">
            <a:avLst/>
          </a:prstGeom>
        </xdr:spPr>
      </xdr:pic>
      <xdr:pic>
        <xdr:nvPicPr>
          <xdr:cNvPr id="1360" name="Pokemon_53_Gauche">
            <a:extLst>
              <a:ext uri="{FF2B5EF4-FFF2-40B4-BE49-F238E27FC236}">
                <a16:creationId xmlns:a16="http://schemas.microsoft.com/office/drawing/2014/main" id="{00000000-0008-0000-0300-00005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"/>
          <a:stretch>
            <a:fillRect/>
          </a:stretch>
        </xdr:blipFill>
        <xdr:spPr>
          <a:xfrm>
            <a:off x="58955508" y="2926080"/>
            <a:ext cx="917986" cy="932330"/>
          </a:xfrm>
          <a:prstGeom prst="rect">
            <a:avLst/>
          </a:prstGeom>
        </xdr:spPr>
      </xdr:pic>
      <xdr:pic>
        <xdr:nvPicPr>
          <xdr:cNvPr id="1361" name="Pokemon_54_Gauche">
            <a:extLst>
              <a:ext uri="{FF2B5EF4-FFF2-40B4-BE49-F238E27FC236}">
                <a16:creationId xmlns:a16="http://schemas.microsoft.com/office/drawing/2014/main" id="{00000000-0008-0000-0300-00005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"/>
          <a:stretch>
            <a:fillRect/>
          </a:stretch>
        </xdr:blipFill>
        <xdr:spPr>
          <a:xfrm>
            <a:off x="59873493" y="2926080"/>
            <a:ext cx="917986" cy="932330"/>
          </a:xfrm>
          <a:prstGeom prst="rect">
            <a:avLst/>
          </a:prstGeom>
        </xdr:spPr>
      </xdr:pic>
      <xdr:pic>
        <xdr:nvPicPr>
          <xdr:cNvPr id="1362" name="Pokemon_55_Gauche">
            <a:extLst>
              <a:ext uri="{FF2B5EF4-FFF2-40B4-BE49-F238E27FC236}">
                <a16:creationId xmlns:a16="http://schemas.microsoft.com/office/drawing/2014/main" id="{00000000-0008-0000-0300-00005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"/>
          <a:stretch>
            <a:fillRect/>
          </a:stretch>
        </xdr:blipFill>
        <xdr:spPr>
          <a:xfrm>
            <a:off x="60791477" y="2926080"/>
            <a:ext cx="917986" cy="932330"/>
          </a:xfrm>
          <a:prstGeom prst="rect">
            <a:avLst/>
          </a:prstGeom>
        </xdr:spPr>
      </xdr:pic>
      <xdr:pic>
        <xdr:nvPicPr>
          <xdr:cNvPr id="1363" name="Pokemon_56_Gauche">
            <a:extLst>
              <a:ext uri="{FF2B5EF4-FFF2-40B4-BE49-F238E27FC236}">
                <a16:creationId xmlns:a16="http://schemas.microsoft.com/office/drawing/2014/main" id="{00000000-0008-0000-0300-00005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"/>
          <a:stretch>
            <a:fillRect/>
          </a:stretch>
        </xdr:blipFill>
        <xdr:spPr>
          <a:xfrm>
            <a:off x="61709461" y="2926080"/>
            <a:ext cx="917986" cy="932330"/>
          </a:xfrm>
          <a:prstGeom prst="rect">
            <a:avLst/>
          </a:prstGeom>
        </xdr:spPr>
      </xdr:pic>
      <xdr:pic>
        <xdr:nvPicPr>
          <xdr:cNvPr id="1364" name="Pokemon_57_Gauche">
            <a:extLst>
              <a:ext uri="{FF2B5EF4-FFF2-40B4-BE49-F238E27FC236}">
                <a16:creationId xmlns:a16="http://schemas.microsoft.com/office/drawing/2014/main" id="{00000000-0008-0000-0300-00005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"/>
          <a:stretch>
            <a:fillRect/>
          </a:stretch>
        </xdr:blipFill>
        <xdr:spPr>
          <a:xfrm>
            <a:off x="62627446" y="2926080"/>
            <a:ext cx="917986" cy="932330"/>
          </a:xfrm>
          <a:prstGeom prst="rect">
            <a:avLst/>
          </a:prstGeom>
        </xdr:spPr>
      </xdr:pic>
      <xdr:pic>
        <xdr:nvPicPr>
          <xdr:cNvPr id="1365" name="Pokemon_58_Gauche">
            <a:extLst>
              <a:ext uri="{FF2B5EF4-FFF2-40B4-BE49-F238E27FC236}">
                <a16:creationId xmlns:a16="http://schemas.microsoft.com/office/drawing/2014/main" id="{00000000-0008-0000-0300-00005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"/>
          <a:stretch>
            <a:fillRect/>
          </a:stretch>
        </xdr:blipFill>
        <xdr:spPr>
          <a:xfrm>
            <a:off x="63545430" y="2926080"/>
            <a:ext cx="917986" cy="932330"/>
          </a:xfrm>
          <a:prstGeom prst="rect">
            <a:avLst/>
          </a:prstGeom>
        </xdr:spPr>
      </xdr:pic>
      <xdr:pic>
        <xdr:nvPicPr>
          <xdr:cNvPr id="1366" name="Pokemon_59_Gauche">
            <a:extLst>
              <a:ext uri="{FF2B5EF4-FFF2-40B4-BE49-F238E27FC236}">
                <a16:creationId xmlns:a16="http://schemas.microsoft.com/office/drawing/2014/main" id="{00000000-0008-0000-0300-00005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"/>
          <a:stretch>
            <a:fillRect/>
          </a:stretch>
        </xdr:blipFill>
        <xdr:spPr>
          <a:xfrm>
            <a:off x="64463414" y="2926080"/>
            <a:ext cx="917986" cy="932330"/>
          </a:xfrm>
          <a:prstGeom prst="rect">
            <a:avLst/>
          </a:prstGeom>
        </xdr:spPr>
      </xdr:pic>
      <xdr:pic>
        <xdr:nvPicPr>
          <xdr:cNvPr id="1367" name="Pokemon_60_Gauche">
            <a:extLst>
              <a:ext uri="{FF2B5EF4-FFF2-40B4-BE49-F238E27FC236}">
                <a16:creationId xmlns:a16="http://schemas.microsoft.com/office/drawing/2014/main" id="{00000000-0008-0000-0300-00005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"/>
          <a:stretch>
            <a:fillRect/>
          </a:stretch>
        </xdr:blipFill>
        <xdr:spPr>
          <a:xfrm>
            <a:off x="65381398" y="2926080"/>
            <a:ext cx="917986" cy="932330"/>
          </a:xfrm>
          <a:prstGeom prst="rect">
            <a:avLst/>
          </a:prstGeom>
        </xdr:spPr>
      </xdr:pic>
      <xdr:pic>
        <xdr:nvPicPr>
          <xdr:cNvPr id="1368" name="Pokemon_61_Gauche">
            <a:extLst>
              <a:ext uri="{FF2B5EF4-FFF2-40B4-BE49-F238E27FC236}">
                <a16:creationId xmlns:a16="http://schemas.microsoft.com/office/drawing/2014/main" id="{00000000-0008-0000-0300-00005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"/>
          <a:stretch>
            <a:fillRect/>
          </a:stretch>
        </xdr:blipFill>
        <xdr:spPr>
          <a:xfrm>
            <a:off x="66299383" y="2926080"/>
            <a:ext cx="917986" cy="932330"/>
          </a:xfrm>
          <a:prstGeom prst="rect">
            <a:avLst/>
          </a:prstGeom>
        </xdr:spPr>
      </xdr:pic>
      <xdr:pic>
        <xdr:nvPicPr>
          <xdr:cNvPr id="1369" name="Pokemon_62_Gauche">
            <a:extLst>
              <a:ext uri="{FF2B5EF4-FFF2-40B4-BE49-F238E27FC236}">
                <a16:creationId xmlns:a16="http://schemas.microsoft.com/office/drawing/2014/main" id="{00000000-0008-0000-0300-00005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"/>
          <a:stretch>
            <a:fillRect/>
          </a:stretch>
        </xdr:blipFill>
        <xdr:spPr>
          <a:xfrm>
            <a:off x="67217367" y="2926080"/>
            <a:ext cx="917986" cy="932330"/>
          </a:xfrm>
          <a:prstGeom prst="rect">
            <a:avLst/>
          </a:prstGeom>
        </xdr:spPr>
      </xdr:pic>
      <xdr:pic>
        <xdr:nvPicPr>
          <xdr:cNvPr id="1370" name="Pokemon_63_Gauche">
            <a:extLst>
              <a:ext uri="{FF2B5EF4-FFF2-40B4-BE49-F238E27FC236}">
                <a16:creationId xmlns:a16="http://schemas.microsoft.com/office/drawing/2014/main" id="{00000000-0008-0000-0300-00005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"/>
          <a:stretch>
            <a:fillRect/>
          </a:stretch>
        </xdr:blipFill>
        <xdr:spPr>
          <a:xfrm>
            <a:off x="68135351" y="2926080"/>
            <a:ext cx="917986" cy="932330"/>
          </a:xfrm>
          <a:prstGeom prst="rect">
            <a:avLst/>
          </a:prstGeom>
        </xdr:spPr>
      </xdr:pic>
      <xdr:pic>
        <xdr:nvPicPr>
          <xdr:cNvPr id="1371" name="Pokemon_64_Gauche">
            <a:extLst>
              <a:ext uri="{FF2B5EF4-FFF2-40B4-BE49-F238E27FC236}">
                <a16:creationId xmlns:a16="http://schemas.microsoft.com/office/drawing/2014/main" id="{00000000-0008-0000-0300-00005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"/>
          <a:stretch>
            <a:fillRect/>
          </a:stretch>
        </xdr:blipFill>
        <xdr:spPr>
          <a:xfrm>
            <a:off x="69053335" y="2926080"/>
            <a:ext cx="917986" cy="932330"/>
          </a:xfrm>
          <a:prstGeom prst="rect">
            <a:avLst/>
          </a:prstGeom>
        </xdr:spPr>
      </xdr:pic>
      <xdr:pic>
        <xdr:nvPicPr>
          <xdr:cNvPr id="1372" name="Pokemon_65_Gauche">
            <a:extLst>
              <a:ext uri="{FF2B5EF4-FFF2-40B4-BE49-F238E27FC236}">
                <a16:creationId xmlns:a16="http://schemas.microsoft.com/office/drawing/2014/main" id="{00000000-0008-0000-0300-00005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"/>
          <a:stretch>
            <a:fillRect/>
          </a:stretch>
        </xdr:blipFill>
        <xdr:spPr>
          <a:xfrm>
            <a:off x="69971320" y="2926080"/>
            <a:ext cx="917986" cy="932330"/>
          </a:xfrm>
          <a:prstGeom prst="rect">
            <a:avLst/>
          </a:prstGeom>
        </xdr:spPr>
      </xdr:pic>
      <xdr:pic>
        <xdr:nvPicPr>
          <xdr:cNvPr id="1373" name="Pokemon_66_Gauche">
            <a:extLst>
              <a:ext uri="{FF2B5EF4-FFF2-40B4-BE49-F238E27FC236}">
                <a16:creationId xmlns:a16="http://schemas.microsoft.com/office/drawing/2014/main" id="{00000000-0008-0000-0300-00005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"/>
          <a:stretch>
            <a:fillRect/>
          </a:stretch>
        </xdr:blipFill>
        <xdr:spPr>
          <a:xfrm>
            <a:off x="70889304" y="2926080"/>
            <a:ext cx="917986" cy="932330"/>
          </a:xfrm>
          <a:prstGeom prst="rect">
            <a:avLst/>
          </a:prstGeom>
        </xdr:spPr>
      </xdr:pic>
      <xdr:pic>
        <xdr:nvPicPr>
          <xdr:cNvPr id="1374" name="Pokemon_67_Gauche">
            <a:extLst>
              <a:ext uri="{FF2B5EF4-FFF2-40B4-BE49-F238E27FC236}">
                <a16:creationId xmlns:a16="http://schemas.microsoft.com/office/drawing/2014/main" id="{00000000-0008-0000-0300-00005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"/>
          <a:stretch>
            <a:fillRect/>
          </a:stretch>
        </xdr:blipFill>
        <xdr:spPr>
          <a:xfrm>
            <a:off x="71807288" y="2926080"/>
            <a:ext cx="917986" cy="932330"/>
          </a:xfrm>
          <a:prstGeom prst="rect">
            <a:avLst/>
          </a:prstGeom>
        </xdr:spPr>
      </xdr:pic>
      <xdr:pic>
        <xdr:nvPicPr>
          <xdr:cNvPr id="1375" name="Pokemon_68_Gauche">
            <a:extLst>
              <a:ext uri="{FF2B5EF4-FFF2-40B4-BE49-F238E27FC236}">
                <a16:creationId xmlns:a16="http://schemas.microsoft.com/office/drawing/2014/main" id="{00000000-0008-0000-0300-00005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"/>
          <a:stretch>
            <a:fillRect/>
          </a:stretch>
        </xdr:blipFill>
        <xdr:spPr>
          <a:xfrm>
            <a:off x="72725273" y="2926080"/>
            <a:ext cx="917986" cy="932330"/>
          </a:xfrm>
          <a:prstGeom prst="rect">
            <a:avLst/>
          </a:prstGeom>
        </xdr:spPr>
      </xdr:pic>
      <xdr:pic>
        <xdr:nvPicPr>
          <xdr:cNvPr id="1376" name="Pokemon_69_Gauche">
            <a:extLst>
              <a:ext uri="{FF2B5EF4-FFF2-40B4-BE49-F238E27FC236}">
                <a16:creationId xmlns:a16="http://schemas.microsoft.com/office/drawing/2014/main" id="{00000000-0008-0000-0300-00006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"/>
          <a:stretch>
            <a:fillRect/>
          </a:stretch>
        </xdr:blipFill>
        <xdr:spPr>
          <a:xfrm>
            <a:off x="73643257" y="2926080"/>
            <a:ext cx="917986" cy="932330"/>
          </a:xfrm>
          <a:prstGeom prst="rect">
            <a:avLst/>
          </a:prstGeom>
        </xdr:spPr>
      </xdr:pic>
      <xdr:pic>
        <xdr:nvPicPr>
          <xdr:cNvPr id="1377" name="Pokemon_70_Gauche">
            <a:extLst>
              <a:ext uri="{FF2B5EF4-FFF2-40B4-BE49-F238E27FC236}">
                <a16:creationId xmlns:a16="http://schemas.microsoft.com/office/drawing/2014/main" id="{00000000-0008-0000-0300-00006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"/>
          <a:stretch>
            <a:fillRect/>
          </a:stretch>
        </xdr:blipFill>
        <xdr:spPr>
          <a:xfrm>
            <a:off x="74561241" y="2926080"/>
            <a:ext cx="917986" cy="932330"/>
          </a:xfrm>
          <a:prstGeom prst="rect">
            <a:avLst/>
          </a:prstGeom>
        </xdr:spPr>
      </xdr:pic>
      <xdr:pic>
        <xdr:nvPicPr>
          <xdr:cNvPr id="1378" name="Pokemon_71_Gauche">
            <a:extLst>
              <a:ext uri="{FF2B5EF4-FFF2-40B4-BE49-F238E27FC236}">
                <a16:creationId xmlns:a16="http://schemas.microsoft.com/office/drawing/2014/main" id="{00000000-0008-0000-0300-00006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"/>
          <a:stretch>
            <a:fillRect/>
          </a:stretch>
        </xdr:blipFill>
        <xdr:spPr>
          <a:xfrm>
            <a:off x="75479225" y="2926080"/>
            <a:ext cx="917986" cy="932330"/>
          </a:xfrm>
          <a:prstGeom prst="rect">
            <a:avLst/>
          </a:prstGeom>
        </xdr:spPr>
      </xdr:pic>
      <xdr:pic>
        <xdr:nvPicPr>
          <xdr:cNvPr id="1379" name="Pokemon_72_Gauche">
            <a:extLst>
              <a:ext uri="{FF2B5EF4-FFF2-40B4-BE49-F238E27FC236}">
                <a16:creationId xmlns:a16="http://schemas.microsoft.com/office/drawing/2014/main" id="{00000000-0008-0000-0300-00006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"/>
          <a:stretch>
            <a:fillRect/>
          </a:stretch>
        </xdr:blipFill>
        <xdr:spPr>
          <a:xfrm>
            <a:off x="76397210" y="2926080"/>
            <a:ext cx="917986" cy="932330"/>
          </a:xfrm>
          <a:prstGeom prst="rect">
            <a:avLst/>
          </a:prstGeom>
        </xdr:spPr>
      </xdr:pic>
      <xdr:pic>
        <xdr:nvPicPr>
          <xdr:cNvPr id="1380" name="Pokemon_73_Gauche">
            <a:extLst>
              <a:ext uri="{FF2B5EF4-FFF2-40B4-BE49-F238E27FC236}">
                <a16:creationId xmlns:a16="http://schemas.microsoft.com/office/drawing/2014/main" id="{00000000-0008-0000-0300-00006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"/>
          <a:stretch>
            <a:fillRect/>
          </a:stretch>
        </xdr:blipFill>
        <xdr:spPr>
          <a:xfrm>
            <a:off x="77315194" y="2926080"/>
            <a:ext cx="917986" cy="932330"/>
          </a:xfrm>
          <a:prstGeom prst="rect">
            <a:avLst/>
          </a:prstGeom>
        </xdr:spPr>
      </xdr:pic>
      <xdr:pic>
        <xdr:nvPicPr>
          <xdr:cNvPr id="1381" name="Pokemon_74_Gauche">
            <a:extLst>
              <a:ext uri="{FF2B5EF4-FFF2-40B4-BE49-F238E27FC236}">
                <a16:creationId xmlns:a16="http://schemas.microsoft.com/office/drawing/2014/main" id="{00000000-0008-0000-0300-00006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"/>
          <a:stretch>
            <a:fillRect/>
          </a:stretch>
        </xdr:blipFill>
        <xdr:spPr>
          <a:xfrm>
            <a:off x="78233178" y="2926080"/>
            <a:ext cx="917986" cy="932330"/>
          </a:xfrm>
          <a:prstGeom prst="rect">
            <a:avLst/>
          </a:prstGeom>
        </xdr:spPr>
      </xdr:pic>
      <xdr:pic>
        <xdr:nvPicPr>
          <xdr:cNvPr id="1382" name="Pokemon_75_Gauche">
            <a:extLst>
              <a:ext uri="{FF2B5EF4-FFF2-40B4-BE49-F238E27FC236}">
                <a16:creationId xmlns:a16="http://schemas.microsoft.com/office/drawing/2014/main" id="{00000000-0008-0000-0300-00006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"/>
          <a:stretch>
            <a:fillRect/>
          </a:stretch>
        </xdr:blipFill>
        <xdr:spPr>
          <a:xfrm>
            <a:off x="79151163" y="2926080"/>
            <a:ext cx="917986" cy="932330"/>
          </a:xfrm>
          <a:prstGeom prst="rect">
            <a:avLst/>
          </a:prstGeom>
        </xdr:spPr>
      </xdr:pic>
      <xdr:pic>
        <xdr:nvPicPr>
          <xdr:cNvPr id="1383" name="Pokemon_76_Gauche">
            <a:extLst>
              <a:ext uri="{FF2B5EF4-FFF2-40B4-BE49-F238E27FC236}">
                <a16:creationId xmlns:a16="http://schemas.microsoft.com/office/drawing/2014/main" id="{00000000-0008-0000-0300-00006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"/>
          <a:stretch>
            <a:fillRect/>
          </a:stretch>
        </xdr:blipFill>
        <xdr:spPr>
          <a:xfrm>
            <a:off x="80069147" y="2926080"/>
            <a:ext cx="917986" cy="932330"/>
          </a:xfrm>
          <a:prstGeom prst="rect">
            <a:avLst/>
          </a:prstGeom>
        </xdr:spPr>
      </xdr:pic>
      <xdr:pic>
        <xdr:nvPicPr>
          <xdr:cNvPr id="1384" name="Pokemon_77_Gauche">
            <a:extLst>
              <a:ext uri="{FF2B5EF4-FFF2-40B4-BE49-F238E27FC236}">
                <a16:creationId xmlns:a16="http://schemas.microsoft.com/office/drawing/2014/main" id="{00000000-0008-0000-0300-00006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"/>
          <a:stretch>
            <a:fillRect/>
          </a:stretch>
        </xdr:blipFill>
        <xdr:spPr>
          <a:xfrm>
            <a:off x="80987131" y="2926080"/>
            <a:ext cx="917986" cy="932330"/>
          </a:xfrm>
          <a:prstGeom prst="rect">
            <a:avLst/>
          </a:prstGeom>
        </xdr:spPr>
      </xdr:pic>
      <xdr:pic>
        <xdr:nvPicPr>
          <xdr:cNvPr id="1385" name="Pokemon_78_Gauche">
            <a:extLst>
              <a:ext uri="{FF2B5EF4-FFF2-40B4-BE49-F238E27FC236}">
                <a16:creationId xmlns:a16="http://schemas.microsoft.com/office/drawing/2014/main" id="{00000000-0008-0000-0300-00006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"/>
          <a:stretch>
            <a:fillRect/>
          </a:stretch>
        </xdr:blipFill>
        <xdr:spPr>
          <a:xfrm>
            <a:off x="81905115" y="2926080"/>
            <a:ext cx="917986" cy="932330"/>
          </a:xfrm>
          <a:prstGeom prst="rect">
            <a:avLst/>
          </a:prstGeom>
        </xdr:spPr>
      </xdr:pic>
      <xdr:pic>
        <xdr:nvPicPr>
          <xdr:cNvPr id="1386" name="Pokemon_79_Gauche">
            <a:extLst>
              <a:ext uri="{FF2B5EF4-FFF2-40B4-BE49-F238E27FC236}">
                <a16:creationId xmlns:a16="http://schemas.microsoft.com/office/drawing/2014/main" id="{00000000-0008-0000-03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"/>
          <a:stretch>
            <a:fillRect/>
          </a:stretch>
        </xdr:blipFill>
        <xdr:spPr>
          <a:xfrm>
            <a:off x="82823093" y="2926080"/>
            <a:ext cx="917986" cy="932330"/>
          </a:xfrm>
          <a:prstGeom prst="rect">
            <a:avLst/>
          </a:prstGeom>
        </xdr:spPr>
      </xdr:pic>
      <xdr:pic>
        <xdr:nvPicPr>
          <xdr:cNvPr id="1387" name="Pokemon_80_Gauche">
            <a:extLst>
              <a:ext uri="{FF2B5EF4-FFF2-40B4-BE49-F238E27FC236}">
                <a16:creationId xmlns:a16="http://schemas.microsoft.com/office/drawing/2014/main" id="{00000000-0008-0000-0300-00006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"/>
          <a:stretch>
            <a:fillRect/>
          </a:stretch>
        </xdr:blipFill>
        <xdr:spPr>
          <a:xfrm>
            <a:off x="83741078" y="2926080"/>
            <a:ext cx="917986" cy="932330"/>
          </a:xfrm>
          <a:prstGeom prst="rect">
            <a:avLst/>
          </a:prstGeom>
        </xdr:spPr>
      </xdr:pic>
      <xdr:pic>
        <xdr:nvPicPr>
          <xdr:cNvPr id="1388" name="Pokemon_81_Gauche">
            <a:extLst>
              <a:ext uri="{FF2B5EF4-FFF2-40B4-BE49-F238E27FC236}">
                <a16:creationId xmlns:a16="http://schemas.microsoft.com/office/drawing/2014/main" id="{00000000-0008-0000-0300-00006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"/>
          <a:stretch>
            <a:fillRect/>
          </a:stretch>
        </xdr:blipFill>
        <xdr:spPr>
          <a:xfrm>
            <a:off x="84659062" y="2926080"/>
            <a:ext cx="917986" cy="932330"/>
          </a:xfrm>
          <a:prstGeom prst="rect">
            <a:avLst/>
          </a:prstGeom>
        </xdr:spPr>
      </xdr:pic>
      <xdr:pic>
        <xdr:nvPicPr>
          <xdr:cNvPr id="1389" name="Pokemon_82_Gauche">
            <a:extLst>
              <a:ext uri="{FF2B5EF4-FFF2-40B4-BE49-F238E27FC236}">
                <a16:creationId xmlns:a16="http://schemas.microsoft.com/office/drawing/2014/main" id="{00000000-0008-0000-0300-00006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"/>
          <a:stretch>
            <a:fillRect/>
          </a:stretch>
        </xdr:blipFill>
        <xdr:spPr>
          <a:xfrm>
            <a:off x="85577046" y="2926080"/>
            <a:ext cx="917986" cy="932330"/>
          </a:xfrm>
          <a:prstGeom prst="rect">
            <a:avLst/>
          </a:prstGeom>
        </xdr:spPr>
      </xdr:pic>
      <xdr:pic>
        <xdr:nvPicPr>
          <xdr:cNvPr id="1390" name="Pokemon_83_Gauche">
            <a:extLst>
              <a:ext uri="{FF2B5EF4-FFF2-40B4-BE49-F238E27FC236}">
                <a16:creationId xmlns:a16="http://schemas.microsoft.com/office/drawing/2014/main" id="{00000000-0008-0000-03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"/>
          <a:stretch>
            <a:fillRect/>
          </a:stretch>
        </xdr:blipFill>
        <xdr:spPr>
          <a:xfrm>
            <a:off x="86495031" y="2926080"/>
            <a:ext cx="917986" cy="932330"/>
          </a:xfrm>
          <a:prstGeom prst="rect">
            <a:avLst/>
          </a:prstGeom>
        </xdr:spPr>
      </xdr:pic>
      <xdr:pic>
        <xdr:nvPicPr>
          <xdr:cNvPr id="1391" name="Pokemon_84_Gauche">
            <a:extLst>
              <a:ext uri="{FF2B5EF4-FFF2-40B4-BE49-F238E27FC236}">
                <a16:creationId xmlns:a16="http://schemas.microsoft.com/office/drawing/2014/main" id="{00000000-0008-0000-0300-00006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"/>
          <a:stretch>
            <a:fillRect/>
          </a:stretch>
        </xdr:blipFill>
        <xdr:spPr>
          <a:xfrm>
            <a:off x="87413015" y="2926080"/>
            <a:ext cx="917986" cy="932330"/>
          </a:xfrm>
          <a:prstGeom prst="rect">
            <a:avLst/>
          </a:prstGeom>
        </xdr:spPr>
      </xdr:pic>
      <xdr:pic>
        <xdr:nvPicPr>
          <xdr:cNvPr id="1392" name="Pokemon_85_Gauche">
            <a:extLst>
              <a:ext uri="{FF2B5EF4-FFF2-40B4-BE49-F238E27FC236}">
                <a16:creationId xmlns:a16="http://schemas.microsoft.com/office/drawing/2014/main" id="{00000000-0008-0000-0300-00007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"/>
          <a:stretch>
            <a:fillRect/>
          </a:stretch>
        </xdr:blipFill>
        <xdr:spPr>
          <a:xfrm>
            <a:off x="88330999" y="2926080"/>
            <a:ext cx="917986" cy="932330"/>
          </a:xfrm>
          <a:prstGeom prst="rect">
            <a:avLst/>
          </a:prstGeom>
        </xdr:spPr>
      </xdr:pic>
      <xdr:pic>
        <xdr:nvPicPr>
          <xdr:cNvPr id="1393" name="Pokemon_86_Gauche">
            <a:extLst>
              <a:ext uri="{FF2B5EF4-FFF2-40B4-BE49-F238E27FC236}">
                <a16:creationId xmlns:a16="http://schemas.microsoft.com/office/drawing/2014/main" id="{00000000-0008-0000-0300-00007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"/>
          <a:stretch>
            <a:fillRect/>
          </a:stretch>
        </xdr:blipFill>
        <xdr:spPr>
          <a:xfrm>
            <a:off x="89248983" y="2926080"/>
            <a:ext cx="917986" cy="932330"/>
          </a:xfrm>
          <a:prstGeom prst="rect">
            <a:avLst/>
          </a:prstGeom>
        </xdr:spPr>
      </xdr:pic>
      <xdr:pic>
        <xdr:nvPicPr>
          <xdr:cNvPr id="1394" name="Pokemon_87_Gauche">
            <a:extLst>
              <a:ext uri="{FF2B5EF4-FFF2-40B4-BE49-F238E27FC236}">
                <a16:creationId xmlns:a16="http://schemas.microsoft.com/office/drawing/2014/main" id="{00000000-0008-0000-03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"/>
          <a:stretch>
            <a:fillRect/>
          </a:stretch>
        </xdr:blipFill>
        <xdr:spPr>
          <a:xfrm>
            <a:off x="90166968" y="2926080"/>
            <a:ext cx="917986" cy="932330"/>
          </a:xfrm>
          <a:prstGeom prst="rect">
            <a:avLst/>
          </a:prstGeom>
        </xdr:spPr>
      </xdr:pic>
      <xdr:pic>
        <xdr:nvPicPr>
          <xdr:cNvPr id="1395" name="Pokemon_88_Gauche">
            <a:extLst>
              <a:ext uri="{FF2B5EF4-FFF2-40B4-BE49-F238E27FC236}">
                <a16:creationId xmlns:a16="http://schemas.microsoft.com/office/drawing/2014/main" id="{00000000-0008-0000-0300-00007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"/>
          <a:stretch>
            <a:fillRect/>
          </a:stretch>
        </xdr:blipFill>
        <xdr:spPr>
          <a:xfrm>
            <a:off x="91084952" y="2926080"/>
            <a:ext cx="917986" cy="932330"/>
          </a:xfrm>
          <a:prstGeom prst="rect">
            <a:avLst/>
          </a:prstGeom>
        </xdr:spPr>
      </xdr:pic>
      <xdr:pic>
        <xdr:nvPicPr>
          <xdr:cNvPr id="1396" name="Pokemon_89_Gauche">
            <a:extLst>
              <a:ext uri="{FF2B5EF4-FFF2-40B4-BE49-F238E27FC236}">
                <a16:creationId xmlns:a16="http://schemas.microsoft.com/office/drawing/2014/main" id="{00000000-0008-0000-0300-00007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"/>
          <a:stretch>
            <a:fillRect/>
          </a:stretch>
        </xdr:blipFill>
        <xdr:spPr>
          <a:xfrm>
            <a:off x="92002936" y="2926080"/>
            <a:ext cx="917986" cy="932330"/>
          </a:xfrm>
          <a:prstGeom prst="rect">
            <a:avLst/>
          </a:prstGeom>
        </xdr:spPr>
      </xdr:pic>
      <xdr:pic>
        <xdr:nvPicPr>
          <xdr:cNvPr id="1397" name="Pokemon_90_Gauche">
            <a:extLst>
              <a:ext uri="{FF2B5EF4-FFF2-40B4-BE49-F238E27FC236}">
                <a16:creationId xmlns:a16="http://schemas.microsoft.com/office/drawing/2014/main" id="{00000000-0008-0000-0300-00007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"/>
          <a:stretch>
            <a:fillRect/>
          </a:stretch>
        </xdr:blipFill>
        <xdr:spPr>
          <a:xfrm>
            <a:off x="92920920" y="2926080"/>
            <a:ext cx="917986" cy="932330"/>
          </a:xfrm>
          <a:prstGeom prst="rect">
            <a:avLst/>
          </a:prstGeom>
        </xdr:spPr>
      </xdr:pic>
      <xdr:pic>
        <xdr:nvPicPr>
          <xdr:cNvPr id="1398" name="Pokemon_91_Gauche">
            <a:extLst>
              <a:ext uri="{FF2B5EF4-FFF2-40B4-BE49-F238E27FC236}">
                <a16:creationId xmlns:a16="http://schemas.microsoft.com/office/drawing/2014/main" id="{00000000-0008-0000-03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"/>
          <a:stretch>
            <a:fillRect/>
          </a:stretch>
        </xdr:blipFill>
        <xdr:spPr>
          <a:xfrm>
            <a:off x="93838905" y="2926080"/>
            <a:ext cx="917986" cy="932330"/>
          </a:xfrm>
          <a:prstGeom prst="rect">
            <a:avLst/>
          </a:prstGeom>
        </xdr:spPr>
      </xdr:pic>
      <xdr:pic>
        <xdr:nvPicPr>
          <xdr:cNvPr id="1399" name="Pokemon_92_Gauche">
            <a:extLst>
              <a:ext uri="{FF2B5EF4-FFF2-40B4-BE49-F238E27FC236}">
                <a16:creationId xmlns:a16="http://schemas.microsoft.com/office/drawing/2014/main" id="{00000000-0008-0000-0300-00007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"/>
          <a:stretch>
            <a:fillRect/>
          </a:stretch>
        </xdr:blipFill>
        <xdr:spPr>
          <a:xfrm>
            <a:off x="94756889" y="2926080"/>
            <a:ext cx="917986" cy="932330"/>
          </a:xfrm>
          <a:prstGeom prst="rect">
            <a:avLst/>
          </a:prstGeom>
        </xdr:spPr>
      </xdr:pic>
      <xdr:pic>
        <xdr:nvPicPr>
          <xdr:cNvPr id="1400" name="Pokemon_93_Gauche">
            <a:extLst>
              <a:ext uri="{FF2B5EF4-FFF2-40B4-BE49-F238E27FC236}">
                <a16:creationId xmlns:a16="http://schemas.microsoft.com/office/drawing/2014/main" id="{00000000-0008-0000-0300-00007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"/>
          <a:stretch>
            <a:fillRect/>
          </a:stretch>
        </xdr:blipFill>
        <xdr:spPr>
          <a:xfrm>
            <a:off x="95674873" y="2926080"/>
            <a:ext cx="917986" cy="932330"/>
          </a:xfrm>
          <a:prstGeom prst="rect">
            <a:avLst/>
          </a:prstGeom>
        </xdr:spPr>
      </xdr:pic>
      <xdr:pic>
        <xdr:nvPicPr>
          <xdr:cNvPr id="1401" name="Pokemon_94_Gauche">
            <a:extLst>
              <a:ext uri="{FF2B5EF4-FFF2-40B4-BE49-F238E27FC236}">
                <a16:creationId xmlns:a16="http://schemas.microsoft.com/office/drawing/2014/main" id="{00000000-0008-0000-0300-00007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"/>
          <a:stretch>
            <a:fillRect/>
          </a:stretch>
        </xdr:blipFill>
        <xdr:spPr>
          <a:xfrm>
            <a:off x="96592858" y="2926080"/>
            <a:ext cx="917986" cy="932330"/>
          </a:xfrm>
          <a:prstGeom prst="rect">
            <a:avLst/>
          </a:prstGeom>
        </xdr:spPr>
      </xdr:pic>
      <xdr:pic>
        <xdr:nvPicPr>
          <xdr:cNvPr id="1402" name="Pokemon_95_Gauche">
            <a:extLst>
              <a:ext uri="{FF2B5EF4-FFF2-40B4-BE49-F238E27FC236}">
                <a16:creationId xmlns:a16="http://schemas.microsoft.com/office/drawing/2014/main" id="{00000000-0008-0000-03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"/>
          <a:stretch>
            <a:fillRect/>
          </a:stretch>
        </xdr:blipFill>
        <xdr:spPr>
          <a:xfrm>
            <a:off x="97510842" y="2926080"/>
            <a:ext cx="917986" cy="932330"/>
          </a:xfrm>
          <a:prstGeom prst="rect">
            <a:avLst/>
          </a:prstGeom>
        </xdr:spPr>
      </xdr:pic>
      <xdr:pic>
        <xdr:nvPicPr>
          <xdr:cNvPr id="1403" name="Pokemon_96_Gauche">
            <a:extLst>
              <a:ext uri="{FF2B5EF4-FFF2-40B4-BE49-F238E27FC236}">
                <a16:creationId xmlns:a16="http://schemas.microsoft.com/office/drawing/2014/main" id="{00000000-0008-0000-0300-00007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"/>
          <a:stretch>
            <a:fillRect/>
          </a:stretch>
        </xdr:blipFill>
        <xdr:spPr>
          <a:xfrm>
            <a:off x="98428826" y="2926080"/>
            <a:ext cx="917986" cy="932330"/>
          </a:xfrm>
          <a:prstGeom prst="rect">
            <a:avLst/>
          </a:prstGeom>
        </xdr:spPr>
      </xdr:pic>
      <xdr:pic>
        <xdr:nvPicPr>
          <xdr:cNvPr id="1404" name="Pokemon_97_Gauche">
            <a:extLst>
              <a:ext uri="{FF2B5EF4-FFF2-40B4-BE49-F238E27FC236}">
                <a16:creationId xmlns:a16="http://schemas.microsoft.com/office/drawing/2014/main" id="{00000000-0008-0000-0300-00007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"/>
          <a:stretch>
            <a:fillRect/>
          </a:stretch>
        </xdr:blipFill>
        <xdr:spPr>
          <a:xfrm>
            <a:off x="99346810" y="2926080"/>
            <a:ext cx="917986" cy="932330"/>
          </a:xfrm>
          <a:prstGeom prst="rect">
            <a:avLst/>
          </a:prstGeom>
        </xdr:spPr>
      </xdr:pic>
      <xdr:pic>
        <xdr:nvPicPr>
          <xdr:cNvPr id="1405" name="Pokemon_98_Gauche">
            <a:extLst>
              <a:ext uri="{FF2B5EF4-FFF2-40B4-BE49-F238E27FC236}">
                <a16:creationId xmlns:a16="http://schemas.microsoft.com/office/drawing/2014/main" id="{00000000-0008-0000-0300-00007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"/>
          <a:stretch>
            <a:fillRect/>
          </a:stretch>
        </xdr:blipFill>
        <xdr:spPr>
          <a:xfrm>
            <a:off x="100264795" y="2926080"/>
            <a:ext cx="917986" cy="932330"/>
          </a:xfrm>
          <a:prstGeom prst="rect">
            <a:avLst/>
          </a:prstGeom>
        </xdr:spPr>
      </xdr:pic>
      <xdr:pic>
        <xdr:nvPicPr>
          <xdr:cNvPr id="1406" name="Pokemon_99_Gauche">
            <a:extLst>
              <a:ext uri="{FF2B5EF4-FFF2-40B4-BE49-F238E27FC236}">
                <a16:creationId xmlns:a16="http://schemas.microsoft.com/office/drawing/2014/main" id="{00000000-0008-0000-03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"/>
          <a:stretch>
            <a:fillRect/>
          </a:stretch>
        </xdr:blipFill>
        <xdr:spPr>
          <a:xfrm>
            <a:off x="101182779" y="2926080"/>
            <a:ext cx="917986" cy="932330"/>
          </a:xfrm>
          <a:prstGeom prst="rect">
            <a:avLst/>
          </a:prstGeom>
        </xdr:spPr>
      </xdr:pic>
      <xdr:pic>
        <xdr:nvPicPr>
          <xdr:cNvPr id="1407" name="Pokemon_100_Gauche">
            <a:extLst>
              <a:ext uri="{FF2B5EF4-FFF2-40B4-BE49-F238E27FC236}">
                <a16:creationId xmlns:a16="http://schemas.microsoft.com/office/drawing/2014/main" id="{00000000-0008-0000-0300-00007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"/>
          <a:stretch>
            <a:fillRect/>
          </a:stretch>
        </xdr:blipFill>
        <xdr:spPr>
          <a:xfrm>
            <a:off x="102100763" y="2926080"/>
            <a:ext cx="917986" cy="932330"/>
          </a:xfrm>
          <a:prstGeom prst="rect">
            <a:avLst/>
          </a:prstGeom>
        </xdr:spPr>
      </xdr:pic>
      <xdr:pic>
        <xdr:nvPicPr>
          <xdr:cNvPr id="1408" name="Pokemon_101_Gauche">
            <a:extLst>
              <a:ext uri="{FF2B5EF4-FFF2-40B4-BE49-F238E27FC236}">
                <a16:creationId xmlns:a16="http://schemas.microsoft.com/office/drawing/2014/main" id="{00000000-0008-0000-0300-00008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"/>
          <a:stretch>
            <a:fillRect/>
          </a:stretch>
        </xdr:blipFill>
        <xdr:spPr>
          <a:xfrm>
            <a:off x="103018741" y="2926080"/>
            <a:ext cx="917986" cy="932330"/>
          </a:xfrm>
          <a:prstGeom prst="rect">
            <a:avLst/>
          </a:prstGeom>
        </xdr:spPr>
      </xdr:pic>
      <xdr:pic>
        <xdr:nvPicPr>
          <xdr:cNvPr id="1409" name="Pokemon_102_Gauche">
            <a:extLst>
              <a:ext uri="{FF2B5EF4-FFF2-40B4-BE49-F238E27FC236}">
                <a16:creationId xmlns:a16="http://schemas.microsoft.com/office/drawing/2014/main" id="{00000000-0008-0000-0300-00008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"/>
          <a:stretch>
            <a:fillRect/>
          </a:stretch>
        </xdr:blipFill>
        <xdr:spPr>
          <a:xfrm>
            <a:off x="103936726" y="2926080"/>
            <a:ext cx="917986" cy="932330"/>
          </a:xfrm>
          <a:prstGeom prst="rect">
            <a:avLst/>
          </a:prstGeom>
        </xdr:spPr>
      </xdr:pic>
      <xdr:pic>
        <xdr:nvPicPr>
          <xdr:cNvPr id="1410" name="Pokemon_103_Gauche">
            <a:extLst>
              <a:ext uri="{FF2B5EF4-FFF2-40B4-BE49-F238E27FC236}">
                <a16:creationId xmlns:a16="http://schemas.microsoft.com/office/drawing/2014/main" id="{00000000-0008-0000-03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"/>
          <a:stretch>
            <a:fillRect/>
          </a:stretch>
        </xdr:blipFill>
        <xdr:spPr>
          <a:xfrm>
            <a:off x="104854710" y="2926080"/>
            <a:ext cx="917986" cy="932330"/>
          </a:xfrm>
          <a:prstGeom prst="rect">
            <a:avLst/>
          </a:prstGeom>
        </xdr:spPr>
      </xdr:pic>
      <xdr:pic>
        <xdr:nvPicPr>
          <xdr:cNvPr id="1411" name="Pokemon_104_Gauche">
            <a:extLst>
              <a:ext uri="{FF2B5EF4-FFF2-40B4-BE49-F238E27FC236}">
                <a16:creationId xmlns:a16="http://schemas.microsoft.com/office/drawing/2014/main" id="{00000000-0008-0000-0300-00008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"/>
          <a:stretch>
            <a:fillRect/>
          </a:stretch>
        </xdr:blipFill>
        <xdr:spPr>
          <a:xfrm>
            <a:off x="105772694" y="2926080"/>
            <a:ext cx="917986" cy="932330"/>
          </a:xfrm>
          <a:prstGeom prst="rect">
            <a:avLst/>
          </a:prstGeom>
        </xdr:spPr>
      </xdr:pic>
      <xdr:pic>
        <xdr:nvPicPr>
          <xdr:cNvPr id="1412" name="Pokemon_105_Gauche">
            <a:extLst>
              <a:ext uri="{FF2B5EF4-FFF2-40B4-BE49-F238E27FC236}">
                <a16:creationId xmlns:a16="http://schemas.microsoft.com/office/drawing/2014/main" id="{00000000-0008-0000-0300-00008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"/>
          <a:stretch>
            <a:fillRect/>
          </a:stretch>
        </xdr:blipFill>
        <xdr:spPr>
          <a:xfrm>
            <a:off x="106690678" y="2926080"/>
            <a:ext cx="917986" cy="932330"/>
          </a:xfrm>
          <a:prstGeom prst="rect">
            <a:avLst/>
          </a:prstGeom>
        </xdr:spPr>
      </xdr:pic>
      <xdr:pic>
        <xdr:nvPicPr>
          <xdr:cNvPr id="1413" name="Pokemon_106_Gauche">
            <a:extLst>
              <a:ext uri="{FF2B5EF4-FFF2-40B4-BE49-F238E27FC236}">
                <a16:creationId xmlns:a16="http://schemas.microsoft.com/office/drawing/2014/main" id="{00000000-0008-0000-0300-00008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"/>
          <a:stretch>
            <a:fillRect/>
          </a:stretch>
        </xdr:blipFill>
        <xdr:spPr>
          <a:xfrm>
            <a:off x="107608663" y="2926080"/>
            <a:ext cx="917986" cy="932330"/>
          </a:xfrm>
          <a:prstGeom prst="rect">
            <a:avLst/>
          </a:prstGeom>
        </xdr:spPr>
      </xdr:pic>
      <xdr:pic>
        <xdr:nvPicPr>
          <xdr:cNvPr id="1414" name="Pokemon_107_Gauche">
            <a:extLst>
              <a:ext uri="{FF2B5EF4-FFF2-40B4-BE49-F238E27FC236}">
                <a16:creationId xmlns:a16="http://schemas.microsoft.com/office/drawing/2014/main" id="{00000000-0008-0000-03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"/>
          <a:stretch>
            <a:fillRect/>
          </a:stretch>
        </xdr:blipFill>
        <xdr:spPr>
          <a:xfrm>
            <a:off x="108526647" y="2926080"/>
            <a:ext cx="917986" cy="932330"/>
          </a:xfrm>
          <a:prstGeom prst="rect">
            <a:avLst/>
          </a:prstGeom>
        </xdr:spPr>
      </xdr:pic>
      <xdr:pic>
        <xdr:nvPicPr>
          <xdr:cNvPr id="1415" name="Pokemon_108_Gauche">
            <a:extLst>
              <a:ext uri="{FF2B5EF4-FFF2-40B4-BE49-F238E27FC236}">
                <a16:creationId xmlns:a16="http://schemas.microsoft.com/office/drawing/2014/main" id="{00000000-0008-0000-0300-00008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"/>
          <a:stretch>
            <a:fillRect/>
          </a:stretch>
        </xdr:blipFill>
        <xdr:spPr>
          <a:xfrm>
            <a:off x="109444631" y="2926080"/>
            <a:ext cx="917986" cy="932330"/>
          </a:xfrm>
          <a:prstGeom prst="rect">
            <a:avLst/>
          </a:prstGeom>
        </xdr:spPr>
      </xdr:pic>
      <xdr:pic>
        <xdr:nvPicPr>
          <xdr:cNvPr id="1416" name="Pokemon_109_Gauche">
            <a:extLst>
              <a:ext uri="{FF2B5EF4-FFF2-40B4-BE49-F238E27FC236}">
                <a16:creationId xmlns:a16="http://schemas.microsoft.com/office/drawing/2014/main" id="{00000000-0008-0000-0300-00008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"/>
          <a:stretch>
            <a:fillRect/>
          </a:stretch>
        </xdr:blipFill>
        <xdr:spPr>
          <a:xfrm>
            <a:off x="110362616" y="2926080"/>
            <a:ext cx="917986" cy="932330"/>
          </a:xfrm>
          <a:prstGeom prst="rect">
            <a:avLst/>
          </a:prstGeom>
        </xdr:spPr>
      </xdr:pic>
      <xdr:pic>
        <xdr:nvPicPr>
          <xdr:cNvPr id="1417" name="Pokemon_110_Gauche">
            <a:extLst>
              <a:ext uri="{FF2B5EF4-FFF2-40B4-BE49-F238E27FC236}">
                <a16:creationId xmlns:a16="http://schemas.microsoft.com/office/drawing/2014/main" id="{00000000-0008-0000-0300-00008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"/>
          <a:stretch>
            <a:fillRect/>
          </a:stretch>
        </xdr:blipFill>
        <xdr:spPr>
          <a:xfrm>
            <a:off x="111280600" y="2926080"/>
            <a:ext cx="917986" cy="932330"/>
          </a:xfrm>
          <a:prstGeom prst="rect">
            <a:avLst/>
          </a:prstGeom>
        </xdr:spPr>
      </xdr:pic>
      <xdr:pic>
        <xdr:nvPicPr>
          <xdr:cNvPr id="1418" name="Pokemon_111_Gauche">
            <a:extLst>
              <a:ext uri="{FF2B5EF4-FFF2-40B4-BE49-F238E27FC236}">
                <a16:creationId xmlns:a16="http://schemas.microsoft.com/office/drawing/2014/main" id="{00000000-0008-0000-03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"/>
          <a:stretch>
            <a:fillRect/>
          </a:stretch>
        </xdr:blipFill>
        <xdr:spPr>
          <a:xfrm>
            <a:off x="112198584" y="2926080"/>
            <a:ext cx="917986" cy="932330"/>
          </a:xfrm>
          <a:prstGeom prst="rect">
            <a:avLst/>
          </a:prstGeom>
        </xdr:spPr>
      </xdr:pic>
      <xdr:pic>
        <xdr:nvPicPr>
          <xdr:cNvPr id="1419" name="Pokemon_112_Gauche">
            <a:extLst>
              <a:ext uri="{FF2B5EF4-FFF2-40B4-BE49-F238E27FC236}">
                <a16:creationId xmlns:a16="http://schemas.microsoft.com/office/drawing/2014/main" id="{00000000-0008-0000-0300-00008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"/>
          <a:stretch>
            <a:fillRect/>
          </a:stretch>
        </xdr:blipFill>
        <xdr:spPr>
          <a:xfrm>
            <a:off x="113116568" y="2926080"/>
            <a:ext cx="917986" cy="932330"/>
          </a:xfrm>
          <a:prstGeom prst="rect">
            <a:avLst/>
          </a:prstGeom>
        </xdr:spPr>
      </xdr:pic>
      <xdr:pic>
        <xdr:nvPicPr>
          <xdr:cNvPr id="1420" name="Pokemon_113_Gauche">
            <a:extLst>
              <a:ext uri="{FF2B5EF4-FFF2-40B4-BE49-F238E27FC236}">
                <a16:creationId xmlns:a16="http://schemas.microsoft.com/office/drawing/2014/main" id="{00000000-0008-0000-0300-00008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"/>
          <a:stretch>
            <a:fillRect/>
          </a:stretch>
        </xdr:blipFill>
        <xdr:spPr>
          <a:xfrm>
            <a:off x="114034553" y="2926080"/>
            <a:ext cx="917986" cy="932330"/>
          </a:xfrm>
          <a:prstGeom prst="rect">
            <a:avLst/>
          </a:prstGeom>
        </xdr:spPr>
      </xdr:pic>
      <xdr:pic>
        <xdr:nvPicPr>
          <xdr:cNvPr id="1421" name="Pokemon_114_Gauche">
            <a:extLst>
              <a:ext uri="{FF2B5EF4-FFF2-40B4-BE49-F238E27FC236}">
                <a16:creationId xmlns:a16="http://schemas.microsoft.com/office/drawing/2014/main" id="{00000000-0008-0000-0300-00008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"/>
          <a:stretch>
            <a:fillRect/>
          </a:stretch>
        </xdr:blipFill>
        <xdr:spPr>
          <a:xfrm>
            <a:off x="114952537" y="2926080"/>
            <a:ext cx="917986" cy="932330"/>
          </a:xfrm>
          <a:prstGeom prst="rect">
            <a:avLst/>
          </a:prstGeom>
        </xdr:spPr>
      </xdr:pic>
      <xdr:pic>
        <xdr:nvPicPr>
          <xdr:cNvPr id="1422" name="Pokemon_115_Gauche">
            <a:extLst>
              <a:ext uri="{FF2B5EF4-FFF2-40B4-BE49-F238E27FC236}">
                <a16:creationId xmlns:a16="http://schemas.microsoft.com/office/drawing/2014/main" id="{00000000-0008-0000-03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"/>
          <a:stretch>
            <a:fillRect/>
          </a:stretch>
        </xdr:blipFill>
        <xdr:spPr>
          <a:xfrm>
            <a:off x="115870521" y="2926080"/>
            <a:ext cx="917986" cy="932330"/>
          </a:xfrm>
          <a:prstGeom prst="rect">
            <a:avLst/>
          </a:prstGeom>
        </xdr:spPr>
      </xdr:pic>
      <xdr:pic>
        <xdr:nvPicPr>
          <xdr:cNvPr id="1423" name="Pokemon_116_Gauche">
            <a:extLst>
              <a:ext uri="{FF2B5EF4-FFF2-40B4-BE49-F238E27FC236}">
                <a16:creationId xmlns:a16="http://schemas.microsoft.com/office/drawing/2014/main" id="{00000000-0008-0000-0300-00008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"/>
          <a:stretch>
            <a:fillRect/>
          </a:stretch>
        </xdr:blipFill>
        <xdr:spPr>
          <a:xfrm>
            <a:off x="116788505" y="2926080"/>
            <a:ext cx="917986" cy="932330"/>
          </a:xfrm>
          <a:prstGeom prst="rect">
            <a:avLst/>
          </a:prstGeom>
        </xdr:spPr>
      </xdr:pic>
      <xdr:pic>
        <xdr:nvPicPr>
          <xdr:cNvPr id="1424" name="Pokemon_117_Gauche">
            <a:extLst>
              <a:ext uri="{FF2B5EF4-FFF2-40B4-BE49-F238E27FC236}">
                <a16:creationId xmlns:a16="http://schemas.microsoft.com/office/drawing/2014/main" id="{00000000-0008-0000-0300-00009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"/>
          <a:stretch>
            <a:fillRect/>
          </a:stretch>
        </xdr:blipFill>
        <xdr:spPr>
          <a:xfrm>
            <a:off x="117706490" y="2926080"/>
            <a:ext cx="917986" cy="932330"/>
          </a:xfrm>
          <a:prstGeom prst="rect">
            <a:avLst/>
          </a:prstGeom>
        </xdr:spPr>
      </xdr:pic>
      <xdr:pic>
        <xdr:nvPicPr>
          <xdr:cNvPr id="1425" name="Pokemon_118_Gauche">
            <a:extLst>
              <a:ext uri="{FF2B5EF4-FFF2-40B4-BE49-F238E27FC236}">
                <a16:creationId xmlns:a16="http://schemas.microsoft.com/office/drawing/2014/main" id="{00000000-0008-0000-0300-00009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"/>
          <a:stretch>
            <a:fillRect/>
          </a:stretch>
        </xdr:blipFill>
        <xdr:spPr>
          <a:xfrm>
            <a:off x="118624474" y="2926080"/>
            <a:ext cx="917986" cy="932330"/>
          </a:xfrm>
          <a:prstGeom prst="rect">
            <a:avLst/>
          </a:prstGeom>
        </xdr:spPr>
      </xdr:pic>
      <xdr:pic>
        <xdr:nvPicPr>
          <xdr:cNvPr id="1426" name="Pokemon_119_Gauche">
            <a:extLst>
              <a:ext uri="{FF2B5EF4-FFF2-40B4-BE49-F238E27FC236}">
                <a16:creationId xmlns:a16="http://schemas.microsoft.com/office/drawing/2014/main" id="{00000000-0008-0000-03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"/>
          <a:stretch>
            <a:fillRect/>
          </a:stretch>
        </xdr:blipFill>
        <xdr:spPr>
          <a:xfrm>
            <a:off x="119542458" y="2926080"/>
            <a:ext cx="917986" cy="932330"/>
          </a:xfrm>
          <a:prstGeom prst="rect">
            <a:avLst/>
          </a:prstGeom>
        </xdr:spPr>
      </xdr:pic>
      <xdr:pic>
        <xdr:nvPicPr>
          <xdr:cNvPr id="1427" name="Pokemon_120_Gauche">
            <a:extLst>
              <a:ext uri="{FF2B5EF4-FFF2-40B4-BE49-F238E27FC236}">
                <a16:creationId xmlns:a16="http://schemas.microsoft.com/office/drawing/2014/main" id="{00000000-0008-0000-0300-00009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"/>
          <a:stretch>
            <a:fillRect/>
          </a:stretch>
        </xdr:blipFill>
        <xdr:spPr>
          <a:xfrm>
            <a:off x="120460443" y="2926080"/>
            <a:ext cx="917986" cy="932330"/>
          </a:xfrm>
          <a:prstGeom prst="rect">
            <a:avLst/>
          </a:prstGeom>
        </xdr:spPr>
      </xdr:pic>
      <xdr:pic>
        <xdr:nvPicPr>
          <xdr:cNvPr id="1428" name="Pokemon_121_Gauche">
            <a:extLst>
              <a:ext uri="{FF2B5EF4-FFF2-40B4-BE49-F238E27FC236}">
                <a16:creationId xmlns:a16="http://schemas.microsoft.com/office/drawing/2014/main" id="{00000000-0008-0000-0300-00009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"/>
          <a:stretch>
            <a:fillRect/>
          </a:stretch>
        </xdr:blipFill>
        <xdr:spPr>
          <a:xfrm>
            <a:off x="121378427" y="2926080"/>
            <a:ext cx="917986" cy="932330"/>
          </a:xfrm>
          <a:prstGeom prst="rect">
            <a:avLst/>
          </a:prstGeom>
        </xdr:spPr>
      </xdr:pic>
      <xdr:pic>
        <xdr:nvPicPr>
          <xdr:cNvPr id="1429" name="Pokemon_122_Gauche">
            <a:extLst>
              <a:ext uri="{FF2B5EF4-FFF2-40B4-BE49-F238E27FC236}">
                <a16:creationId xmlns:a16="http://schemas.microsoft.com/office/drawing/2014/main" id="{00000000-0008-0000-0300-00009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"/>
          <a:stretch>
            <a:fillRect/>
          </a:stretch>
        </xdr:blipFill>
        <xdr:spPr>
          <a:xfrm>
            <a:off x="122296411" y="2926080"/>
            <a:ext cx="917986" cy="932330"/>
          </a:xfrm>
          <a:prstGeom prst="rect">
            <a:avLst/>
          </a:prstGeom>
        </xdr:spPr>
      </xdr:pic>
      <xdr:pic>
        <xdr:nvPicPr>
          <xdr:cNvPr id="1430" name="Pokemon_123_Gauche">
            <a:extLst>
              <a:ext uri="{FF2B5EF4-FFF2-40B4-BE49-F238E27FC236}">
                <a16:creationId xmlns:a16="http://schemas.microsoft.com/office/drawing/2014/main" id="{00000000-0008-0000-0300-00009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"/>
          <a:stretch>
            <a:fillRect/>
          </a:stretch>
        </xdr:blipFill>
        <xdr:spPr>
          <a:xfrm>
            <a:off x="123214395" y="2926080"/>
            <a:ext cx="917986" cy="932330"/>
          </a:xfrm>
          <a:prstGeom prst="rect">
            <a:avLst/>
          </a:prstGeom>
        </xdr:spPr>
      </xdr:pic>
      <xdr:pic>
        <xdr:nvPicPr>
          <xdr:cNvPr id="1431" name="Pokemon_124_Gauche">
            <a:extLst>
              <a:ext uri="{FF2B5EF4-FFF2-40B4-BE49-F238E27FC236}">
                <a16:creationId xmlns:a16="http://schemas.microsoft.com/office/drawing/2014/main" id="{00000000-0008-0000-03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"/>
          <a:stretch>
            <a:fillRect/>
          </a:stretch>
        </xdr:blipFill>
        <xdr:spPr>
          <a:xfrm>
            <a:off x="124132380" y="2926080"/>
            <a:ext cx="917986" cy="932330"/>
          </a:xfrm>
          <a:prstGeom prst="rect">
            <a:avLst/>
          </a:prstGeom>
        </xdr:spPr>
      </xdr:pic>
      <xdr:pic>
        <xdr:nvPicPr>
          <xdr:cNvPr id="1432" name="Pokemon_125_Gauche">
            <a:extLst>
              <a:ext uri="{FF2B5EF4-FFF2-40B4-BE49-F238E27FC236}">
                <a16:creationId xmlns:a16="http://schemas.microsoft.com/office/drawing/2014/main" id="{00000000-0008-0000-0300-00009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"/>
          <a:stretch>
            <a:fillRect/>
          </a:stretch>
        </xdr:blipFill>
        <xdr:spPr>
          <a:xfrm>
            <a:off x="125050364" y="2926080"/>
            <a:ext cx="917986" cy="932330"/>
          </a:xfrm>
          <a:prstGeom prst="rect">
            <a:avLst/>
          </a:prstGeom>
        </xdr:spPr>
      </xdr:pic>
      <xdr:pic>
        <xdr:nvPicPr>
          <xdr:cNvPr id="1433" name="Pokemon_126_Gauche">
            <a:extLst>
              <a:ext uri="{FF2B5EF4-FFF2-40B4-BE49-F238E27FC236}">
                <a16:creationId xmlns:a16="http://schemas.microsoft.com/office/drawing/2014/main" id="{00000000-0008-0000-0300-00009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"/>
          <a:stretch>
            <a:fillRect/>
          </a:stretch>
        </xdr:blipFill>
        <xdr:spPr>
          <a:xfrm>
            <a:off x="125968348" y="2926080"/>
            <a:ext cx="917986" cy="932330"/>
          </a:xfrm>
          <a:prstGeom prst="rect">
            <a:avLst/>
          </a:prstGeom>
        </xdr:spPr>
      </xdr:pic>
      <xdr:pic>
        <xdr:nvPicPr>
          <xdr:cNvPr id="1434" name="Pokemon_127_Gauche">
            <a:extLst>
              <a:ext uri="{FF2B5EF4-FFF2-40B4-BE49-F238E27FC236}">
                <a16:creationId xmlns:a16="http://schemas.microsoft.com/office/drawing/2014/main" id="{00000000-0008-0000-03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"/>
          <a:stretch>
            <a:fillRect/>
          </a:stretch>
        </xdr:blipFill>
        <xdr:spPr>
          <a:xfrm>
            <a:off x="126886333" y="2926080"/>
            <a:ext cx="917986" cy="932330"/>
          </a:xfrm>
          <a:prstGeom prst="rect">
            <a:avLst/>
          </a:prstGeom>
        </xdr:spPr>
      </xdr:pic>
      <xdr:pic>
        <xdr:nvPicPr>
          <xdr:cNvPr id="1435" name="Pokemon_128_Gauche">
            <a:extLst>
              <a:ext uri="{FF2B5EF4-FFF2-40B4-BE49-F238E27FC236}">
                <a16:creationId xmlns:a16="http://schemas.microsoft.com/office/drawing/2014/main" id="{00000000-0008-0000-0300-00009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1"/>
          <a:stretch>
            <a:fillRect/>
          </a:stretch>
        </xdr:blipFill>
        <xdr:spPr>
          <a:xfrm>
            <a:off x="127804317" y="2926080"/>
            <a:ext cx="917986" cy="932330"/>
          </a:xfrm>
          <a:prstGeom prst="rect">
            <a:avLst/>
          </a:prstGeom>
        </xdr:spPr>
      </xdr:pic>
      <xdr:pic>
        <xdr:nvPicPr>
          <xdr:cNvPr id="1436" name="Pokemon_129_Gauche">
            <a:extLst>
              <a:ext uri="{FF2B5EF4-FFF2-40B4-BE49-F238E27FC236}">
                <a16:creationId xmlns:a16="http://schemas.microsoft.com/office/drawing/2014/main" id="{00000000-0008-0000-03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2"/>
          <a:stretch>
            <a:fillRect/>
          </a:stretch>
        </xdr:blipFill>
        <xdr:spPr>
          <a:xfrm>
            <a:off x="128722301" y="2926080"/>
            <a:ext cx="917986" cy="932330"/>
          </a:xfrm>
          <a:prstGeom prst="rect">
            <a:avLst/>
          </a:prstGeom>
        </xdr:spPr>
      </xdr:pic>
      <xdr:pic>
        <xdr:nvPicPr>
          <xdr:cNvPr id="1437" name="Pokemon_130_Gauche">
            <a:extLst>
              <a:ext uri="{FF2B5EF4-FFF2-40B4-BE49-F238E27FC236}">
                <a16:creationId xmlns:a16="http://schemas.microsoft.com/office/drawing/2014/main" id="{00000000-0008-0000-0300-00009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3"/>
          <a:stretch>
            <a:fillRect/>
          </a:stretch>
        </xdr:blipFill>
        <xdr:spPr>
          <a:xfrm>
            <a:off x="129640285" y="2926080"/>
            <a:ext cx="917986" cy="932330"/>
          </a:xfrm>
          <a:prstGeom prst="rect">
            <a:avLst/>
          </a:prstGeom>
        </xdr:spPr>
      </xdr:pic>
      <xdr:pic>
        <xdr:nvPicPr>
          <xdr:cNvPr id="1438" name="Pokemon_131_Gauche">
            <a:extLst>
              <a:ext uri="{FF2B5EF4-FFF2-40B4-BE49-F238E27FC236}">
                <a16:creationId xmlns:a16="http://schemas.microsoft.com/office/drawing/2014/main" id="{00000000-0008-0000-03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4"/>
          <a:stretch>
            <a:fillRect/>
          </a:stretch>
        </xdr:blipFill>
        <xdr:spPr>
          <a:xfrm>
            <a:off x="130558270" y="2926080"/>
            <a:ext cx="917986" cy="932330"/>
          </a:xfrm>
          <a:prstGeom prst="rect">
            <a:avLst/>
          </a:prstGeom>
        </xdr:spPr>
      </xdr:pic>
      <xdr:pic>
        <xdr:nvPicPr>
          <xdr:cNvPr id="1439" name="Pokemon_132_Gauche">
            <a:extLst>
              <a:ext uri="{FF2B5EF4-FFF2-40B4-BE49-F238E27FC236}">
                <a16:creationId xmlns:a16="http://schemas.microsoft.com/office/drawing/2014/main" id="{00000000-0008-0000-0300-00009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5"/>
          <a:stretch>
            <a:fillRect/>
          </a:stretch>
        </xdr:blipFill>
        <xdr:spPr>
          <a:xfrm>
            <a:off x="131476254" y="2926080"/>
            <a:ext cx="917986" cy="932330"/>
          </a:xfrm>
          <a:prstGeom prst="rect">
            <a:avLst/>
          </a:prstGeom>
        </xdr:spPr>
      </xdr:pic>
      <xdr:pic>
        <xdr:nvPicPr>
          <xdr:cNvPr id="1440" name="Pokemon_133_Gauche">
            <a:extLst>
              <a:ext uri="{FF2B5EF4-FFF2-40B4-BE49-F238E27FC236}">
                <a16:creationId xmlns:a16="http://schemas.microsoft.com/office/drawing/2014/main" id="{00000000-0008-0000-03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6"/>
          <a:stretch>
            <a:fillRect/>
          </a:stretch>
        </xdr:blipFill>
        <xdr:spPr>
          <a:xfrm>
            <a:off x="132394238" y="2926080"/>
            <a:ext cx="917986" cy="932330"/>
          </a:xfrm>
          <a:prstGeom prst="rect">
            <a:avLst/>
          </a:prstGeom>
        </xdr:spPr>
      </xdr:pic>
      <xdr:pic>
        <xdr:nvPicPr>
          <xdr:cNvPr id="1441" name="Pokemon_134_Gauche">
            <a:extLst>
              <a:ext uri="{FF2B5EF4-FFF2-40B4-BE49-F238E27FC236}">
                <a16:creationId xmlns:a16="http://schemas.microsoft.com/office/drawing/2014/main" id="{00000000-0008-0000-0300-0000A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7"/>
          <a:stretch>
            <a:fillRect/>
          </a:stretch>
        </xdr:blipFill>
        <xdr:spPr>
          <a:xfrm>
            <a:off x="133312222" y="2926080"/>
            <a:ext cx="917986" cy="932330"/>
          </a:xfrm>
          <a:prstGeom prst="rect">
            <a:avLst/>
          </a:prstGeom>
        </xdr:spPr>
      </xdr:pic>
      <xdr:pic>
        <xdr:nvPicPr>
          <xdr:cNvPr id="1442" name="Pokemon_135_Gauche">
            <a:extLst>
              <a:ext uri="{FF2B5EF4-FFF2-40B4-BE49-F238E27FC236}">
                <a16:creationId xmlns:a16="http://schemas.microsoft.com/office/drawing/2014/main" id="{00000000-0008-0000-03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8"/>
          <a:stretch>
            <a:fillRect/>
          </a:stretch>
        </xdr:blipFill>
        <xdr:spPr>
          <a:xfrm>
            <a:off x="134230207" y="2926080"/>
            <a:ext cx="917986" cy="932330"/>
          </a:xfrm>
          <a:prstGeom prst="rect">
            <a:avLst/>
          </a:prstGeom>
        </xdr:spPr>
      </xdr:pic>
      <xdr:pic>
        <xdr:nvPicPr>
          <xdr:cNvPr id="1443" name="Pokemon_136_Gauche">
            <a:extLst>
              <a:ext uri="{FF2B5EF4-FFF2-40B4-BE49-F238E27FC236}">
                <a16:creationId xmlns:a16="http://schemas.microsoft.com/office/drawing/2014/main" id="{00000000-0008-0000-0300-0000A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9"/>
          <a:stretch>
            <a:fillRect/>
          </a:stretch>
        </xdr:blipFill>
        <xdr:spPr>
          <a:xfrm>
            <a:off x="135148191" y="2926080"/>
            <a:ext cx="917986" cy="932330"/>
          </a:xfrm>
          <a:prstGeom prst="rect">
            <a:avLst/>
          </a:prstGeom>
        </xdr:spPr>
      </xdr:pic>
      <xdr:pic>
        <xdr:nvPicPr>
          <xdr:cNvPr id="1444" name="Pokemon_137_Gauche">
            <a:extLst>
              <a:ext uri="{FF2B5EF4-FFF2-40B4-BE49-F238E27FC236}">
                <a16:creationId xmlns:a16="http://schemas.microsoft.com/office/drawing/2014/main" id="{00000000-0008-0000-03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0"/>
          <a:stretch>
            <a:fillRect/>
          </a:stretch>
        </xdr:blipFill>
        <xdr:spPr>
          <a:xfrm>
            <a:off x="136066175" y="2926080"/>
            <a:ext cx="917986" cy="932330"/>
          </a:xfrm>
          <a:prstGeom prst="rect">
            <a:avLst/>
          </a:prstGeom>
        </xdr:spPr>
      </xdr:pic>
      <xdr:pic>
        <xdr:nvPicPr>
          <xdr:cNvPr id="1445" name="Pokemon_138_Gauche">
            <a:extLst>
              <a:ext uri="{FF2B5EF4-FFF2-40B4-BE49-F238E27FC236}">
                <a16:creationId xmlns:a16="http://schemas.microsoft.com/office/drawing/2014/main" id="{00000000-0008-0000-0300-0000A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1"/>
          <a:stretch>
            <a:fillRect/>
          </a:stretch>
        </xdr:blipFill>
        <xdr:spPr>
          <a:xfrm>
            <a:off x="136984160" y="2926080"/>
            <a:ext cx="917986" cy="932330"/>
          </a:xfrm>
          <a:prstGeom prst="rect">
            <a:avLst/>
          </a:prstGeom>
        </xdr:spPr>
      </xdr:pic>
      <xdr:pic>
        <xdr:nvPicPr>
          <xdr:cNvPr id="1446" name="Pokemon_139_Gauche">
            <a:extLst>
              <a:ext uri="{FF2B5EF4-FFF2-40B4-BE49-F238E27FC236}">
                <a16:creationId xmlns:a16="http://schemas.microsoft.com/office/drawing/2014/main" id="{00000000-0008-0000-0300-0000A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2"/>
          <a:stretch>
            <a:fillRect/>
          </a:stretch>
        </xdr:blipFill>
        <xdr:spPr>
          <a:xfrm>
            <a:off x="137902144" y="2926080"/>
            <a:ext cx="917986" cy="932330"/>
          </a:xfrm>
          <a:prstGeom prst="rect">
            <a:avLst/>
          </a:prstGeom>
        </xdr:spPr>
      </xdr:pic>
      <xdr:pic>
        <xdr:nvPicPr>
          <xdr:cNvPr id="1447" name="Pokemon_140_Gauche">
            <a:extLst>
              <a:ext uri="{FF2B5EF4-FFF2-40B4-BE49-F238E27FC236}">
                <a16:creationId xmlns:a16="http://schemas.microsoft.com/office/drawing/2014/main" id="{00000000-0008-0000-0300-0000A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3"/>
          <a:stretch>
            <a:fillRect/>
          </a:stretch>
        </xdr:blipFill>
        <xdr:spPr>
          <a:xfrm>
            <a:off x="138820128" y="2926080"/>
            <a:ext cx="917986" cy="932330"/>
          </a:xfrm>
          <a:prstGeom prst="rect">
            <a:avLst/>
          </a:prstGeom>
        </xdr:spPr>
      </xdr:pic>
      <xdr:pic>
        <xdr:nvPicPr>
          <xdr:cNvPr id="1448" name="Pokemon_141_Gauche">
            <a:extLst>
              <a:ext uri="{FF2B5EF4-FFF2-40B4-BE49-F238E27FC236}">
                <a16:creationId xmlns:a16="http://schemas.microsoft.com/office/drawing/2014/main" id="{00000000-0008-0000-0300-0000A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4"/>
          <a:stretch>
            <a:fillRect/>
          </a:stretch>
        </xdr:blipFill>
        <xdr:spPr>
          <a:xfrm>
            <a:off x="139738112" y="2926080"/>
            <a:ext cx="917986" cy="932330"/>
          </a:xfrm>
          <a:prstGeom prst="rect">
            <a:avLst/>
          </a:prstGeom>
        </xdr:spPr>
      </xdr:pic>
      <xdr:pic>
        <xdr:nvPicPr>
          <xdr:cNvPr id="1449" name="Pokemon_142_Gauche">
            <a:extLst>
              <a:ext uri="{FF2B5EF4-FFF2-40B4-BE49-F238E27FC236}">
                <a16:creationId xmlns:a16="http://schemas.microsoft.com/office/drawing/2014/main" id="{00000000-0008-0000-0300-0000A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5"/>
          <a:stretch>
            <a:fillRect/>
          </a:stretch>
        </xdr:blipFill>
        <xdr:spPr>
          <a:xfrm>
            <a:off x="140656097" y="2926080"/>
            <a:ext cx="917986" cy="932330"/>
          </a:xfrm>
          <a:prstGeom prst="rect">
            <a:avLst/>
          </a:prstGeom>
        </xdr:spPr>
      </xdr:pic>
      <xdr:pic>
        <xdr:nvPicPr>
          <xdr:cNvPr id="1450" name="Pokemon_143_Gauche">
            <a:extLst>
              <a:ext uri="{FF2B5EF4-FFF2-40B4-BE49-F238E27FC236}">
                <a16:creationId xmlns:a16="http://schemas.microsoft.com/office/drawing/2014/main" id="{00000000-0008-0000-0300-0000A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6"/>
          <a:stretch>
            <a:fillRect/>
          </a:stretch>
        </xdr:blipFill>
        <xdr:spPr>
          <a:xfrm>
            <a:off x="141574081" y="2926080"/>
            <a:ext cx="917986" cy="932330"/>
          </a:xfrm>
          <a:prstGeom prst="rect">
            <a:avLst/>
          </a:prstGeom>
        </xdr:spPr>
      </xdr:pic>
      <xdr:pic>
        <xdr:nvPicPr>
          <xdr:cNvPr id="1451" name="Pokemon_144_Gauche">
            <a:extLst>
              <a:ext uri="{FF2B5EF4-FFF2-40B4-BE49-F238E27FC236}">
                <a16:creationId xmlns:a16="http://schemas.microsoft.com/office/drawing/2014/main" id="{00000000-0008-0000-0300-0000A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7"/>
          <a:stretch>
            <a:fillRect/>
          </a:stretch>
        </xdr:blipFill>
        <xdr:spPr>
          <a:xfrm>
            <a:off x="142492065" y="2926080"/>
            <a:ext cx="917986" cy="932330"/>
          </a:xfrm>
          <a:prstGeom prst="rect">
            <a:avLst/>
          </a:prstGeom>
        </xdr:spPr>
      </xdr:pic>
      <xdr:pic>
        <xdr:nvPicPr>
          <xdr:cNvPr id="1452" name="Pokemon_145_Gauche">
            <a:extLst>
              <a:ext uri="{FF2B5EF4-FFF2-40B4-BE49-F238E27FC236}">
                <a16:creationId xmlns:a16="http://schemas.microsoft.com/office/drawing/2014/main" id="{00000000-0008-0000-0300-0000A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8"/>
          <a:stretch>
            <a:fillRect/>
          </a:stretch>
        </xdr:blipFill>
        <xdr:spPr>
          <a:xfrm>
            <a:off x="143410050" y="2926080"/>
            <a:ext cx="917986" cy="932330"/>
          </a:xfrm>
          <a:prstGeom prst="rect">
            <a:avLst/>
          </a:prstGeom>
        </xdr:spPr>
      </xdr:pic>
      <xdr:pic>
        <xdr:nvPicPr>
          <xdr:cNvPr id="1453" name="Pokemon_146_Gauche">
            <a:extLst>
              <a:ext uri="{FF2B5EF4-FFF2-40B4-BE49-F238E27FC236}">
                <a16:creationId xmlns:a16="http://schemas.microsoft.com/office/drawing/2014/main" id="{00000000-0008-0000-0300-0000A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9"/>
          <a:stretch>
            <a:fillRect/>
          </a:stretch>
        </xdr:blipFill>
        <xdr:spPr>
          <a:xfrm>
            <a:off x="144328034" y="2926080"/>
            <a:ext cx="917986" cy="932330"/>
          </a:xfrm>
          <a:prstGeom prst="rect">
            <a:avLst/>
          </a:prstGeom>
        </xdr:spPr>
      </xdr:pic>
      <xdr:pic>
        <xdr:nvPicPr>
          <xdr:cNvPr id="1454" name="Pokemon_147_Gauche">
            <a:extLst>
              <a:ext uri="{FF2B5EF4-FFF2-40B4-BE49-F238E27FC236}">
                <a16:creationId xmlns:a16="http://schemas.microsoft.com/office/drawing/2014/main" id="{00000000-0008-0000-0300-0000A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0"/>
          <a:stretch>
            <a:fillRect/>
          </a:stretch>
        </xdr:blipFill>
        <xdr:spPr>
          <a:xfrm>
            <a:off x="145246018" y="2926080"/>
            <a:ext cx="917986" cy="932330"/>
          </a:xfrm>
          <a:prstGeom prst="rect">
            <a:avLst/>
          </a:prstGeom>
        </xdr:spPr>
      </xdr:pic>
      <xdr:pic>
        <xdr:nvPicPr>
          <xdr:cNvPr id="1455" name="Pokemon_148_Gauche">
            <a:extLst>
              <a:ext uri="{FF2B5EF4-FFF2-40B4-BE49-F238E27FC236}">
                <a16:creationId xmlns:a16="http://schemas.microsoft.com/office/drawing/2014/main" id="{00000000-0008-0000-0300-0000A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1"/>
          <a:stretch>
            <a:fillRect/>
          </a:stretch>
        </xdr:blipFill>
        <xdr:spPr>
          <a:xfrm>
            <a:off x="146164002" y="2926080"/>
            <a:ext cx="917986" cy="932330"/>
          </a:xfrm>
          <a:prstGeom prst="rect">
            <a:avLst/>
          </a:prstGeom>
        </xdr:spPr>
      </xdr:pic>
      <xdr:pic>
        <xdr:nvPicPr>
          <xdr:cNvPr id="1456" name="Pokemon_149_Gauche">
            <a:extLst>
              <a:ext uri="{FF2B5EF4-FFF2-40B4-BE49-F238E27FC236}">
                <a16:creationId xmlns:a16="http://schemas.microsoft.com/office/drawing/2014/main" id="{00000000-0008-0000-0300-0000B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2"/>
          <a:stretch>
            <a:fillRect/>
          </a:stretch>
        </xdr:blipFill>
        <xdr:spPr>
          <a:xfrm>
            <a:off x="147081987" y="2926080"/>
            <a:ext cx="917986" cy="932330"/>
          </a:xfrm>
          <a:prstGeom prst="rect">
            <a:avLst/>
          </a:prstGeom>
        </xdr:spPr>
      </xdr:pic>
      <xdr:pic>
        <xdr:nvPicPr>
          <xdr:cNvPr id="1457" name="Pokemon_150_Gauche">
            <a:extLst>
              <a:ext uri="{FF2B5EF4-FFF2-40B4-BE49-F238E27FC236}">
                <a16:creationId xmlns:a16="http://schemas.microsoft.com/office/drawing/2014/main" id="{00000000-0008-0000-0300-0000B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3"/>
          <a:stretch>
            <a:fillRect/>
          </a:stretch>
        </xdr:blipFill>
        <xdr:spPr>
          <a:xfrm>
            <a:off x="147999971" y="2926080"/>
            <a:ext cx="917986" cy="932330"/>
          </a:xfrm>
          <a:prstGeom prst="rect">
            <a:avLst/>
          </a:prstGeom>
        </xdr:spPr>
      </xdr:pic>
      <xdr:pic>
        <xdr:nvPicPr>
          <xdr:cNvPr id="1458" name="Pokemon_151_Gauche">
            <a:extLst>
              <a:ext uri="{FF2B5EF4-FFF2-40B4-BE49-F238E27FC236}">
                <a16:creationId xmlns:a16="http://schemas.microsoft.com/office/drawing/2014/main" id="{00000000-0008-0000-0300-0000B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4"/>
          <a:stretch>
            <a:fillRect/>
          </a:stretch>
        </xdr:blipFill>
        <xdr:spPr>
          <a:xfrm>
            <a:off x="148917955" y="2926080"/>
            <a:ext cx="917986" cy="932330"/>
          </a:xfrm>
          <a:prstGeom prst="rect">
            <a:avLst/>
          </a:prstGeom>
        </xdr:spPr>
      </xdr:pic>
      <xdr:pic>
        <xdr:nvPicPr>
          <xdr:cNvPr id="1459" name="Pokemon_152_Gauche">
            <a:extLst>
              <a:ext uri="{FF2B5EF4-FFF2-40B4-BE49-F238E27FC236}">
                <a16:creationId xmlns:a16="http://schemas.microsoft.com/office/drawing/2014/main" id="{00000000-0008-0000-0300-0000B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5"/>
          <a:stretch>
            <a:fillRect/>
          </a:stretch>
        </xdr:blipFill>
        <xdr:spPr>
          <a:xfrm>
            <a:off x="149835939" y="2926080"/>
            <a:ext cx="917986" cy="932330"/>
          </a:xfrm>
          <a:prstGeom prst="rect">
            <a:avLst/>
          </a:prstGeom>
        </xdr:spPr>
      </xdr:pic>
      <xdr:pic>
        <xdr:nvPicPr>
          <xdr:cNvPr id="1460" name="Pokemon_153_Gauche">
            <a:extLst>
              <a:ext uri="{FF2B5EF4-FFF2-40B4-BE49-F238E27FC236}">
                <a16:creationId xmlns:a16="http://schemas.microsoft.com/office/drawing/2014/main" id="{00000000-0008-0000-0300-0000B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6"/>
          <a:stretch>
            <a:fillRect/>
          </a:stretch>
        </xdr:blipFill>
        <xdr:spPr>
          <a:xfrm>
            <a:off x="150753924" y="2926080"/>
            <a:ext cx="917986" cy="932330"/>
          </a:xfrm>
          <a:prstGeom prst="rect">
            <a:avLst/>
          </a:prstGeom>
        </xdr:spPr>
      </xdr:pic>
      <xdr:pic>
        <xdr:nvPicPr>
          <xdr:cNvPr id="1461" name="Pokemon_154_Gauche">
            <a:extLst>
              <a:ext uri="{FF2B5EF4-FFF2-40B4-BE49-F238E27FC236}">
                <a16:creationId xmlns:a16="http://schemas.microsoft.com/office/drawing/2014/main" id="{00000000-0008-0000-0300-0000B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7"/>
          <a:stretch>
            <a:fillRect/>
          </a:stretch>
        </xdr:blipFill>
        <xdr:spPr>
          <a:xfrm>
            <a:off x="151671908" y="2926080"/>
            <a:ext cx="917986" cy="932330"/>
          </a:xfrm>
          <a:prstGeom prst="rect">
            <a:avLst/>
          </a:prstGeom>
        </xdr:spPr>
      </xdr:pic>
      <xdr:pic>
        <xdr:nvPicPr>
          <xdr:cNvPr id="1462" name="Pokemon_155_Gauche">
            <a:extLst>
              <a:ext uri="{FF2B5EF4-FFF2-40B4-BE49-F238E27FC236}">
                <a16:creationId xmlns:a16="http://schemas.microsoft.com/office/drawing/2014/main" id="{00000000-0008-0000-0300-0000B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8"/>
          <a:stretch>
            <a:fillRect/>
          </a:stretch>
        </xdr:blipFill>
        <xdr:spPr>
          <a:xfrm>
            <a:off x="152589892" y="2926080"/>
            <a:ext cx="917986" cy="932330"/>
          </a:xfrm>
          <a:prstGeom prst="rect">
            <a:avLst/>
          </a:prstGeom>
        </xdr:spPr>
      </xdr:pic>
      <xdr:pic>
        <xdr:nvPicPr>
          <xdr:cNvPr id="1463" name="Pokemon_156_Gauche">
            <a:extLst>
              <a:ext uri="{FF2B5EF4-FFF2-40B4-BE49-F238E27FC236}">
                <a16:creationId xmlns:a16="http://schemas.microsoft.com/office/drawing/2014/main" id="{00000000-0008-0000-0300-0000B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9"/>
          <a:stretch>
            <a:fillRect/>
          </a:stretch>
        </xdr:blipFill>
        <xdr:spPr>
          <a:xfrm>
            <a:off x="153507877" y="2926080"/>
            <a:ext cx="917986" cy="932330"/>
          </a:xfrm>
          <a:prstGeom prst="rect">
            <a:avLst/>
          </a:prstGeom>
        </xdr:spPr>
      </xdr:pic>
      <xdr:pic>
        <xdr:nvPicPr>
          <xdr:cNvPr id="1464" name="Pokemon_157_Gauche">
            <a:extLst>
              <a:ext uri="{FF2B5EF4-FFF2-40B4-BE49-F238E27FC236}">
                <a16:creationId xmlns:a16="http://schemas.microsoft.com/office/drawing/2014/main" id="{00000000-0008-0000-0300-0000B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0"/>
          <a:stretch>
            <a:fillRect/>
          </a:stretch>
        </xdr:blipFill>
        <xdr:spPr>
          <a:xfrm>
            <a:off x="154425861" y="2926080"/>
            <a:ext cx="917986" cy="932330"/>
          </a:xfrm>
          <a:prstGeom prst="rect">
            <a:avLst/>
          </a:prstGeom>
        </xdr:spPr>
      </xdr:pic>
      <xdr:pic>
        <xdr:nvPicPr>
          <xdr:cNvPr id="1465" name="Pokemon_158_Gauche">
            <a:extLst>
              <a:ext uri="{FF2B5EF4-FFF2-40B4-BE49-F238E27FC236}">
                <a16:creationId xmlns:a16="http://schemas.microsoft.com/office/drawing/2014/main" id="{00000000-0008-0000-0300-0000B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1"/>
          <a:stretch>
            <a:fillRect/>
          </a:stretch>
        </xdr:blipFill>
        <xdr:spPr>
          <a:xfrm>
            <a:off x="155343845" y="2926080"/>
            <a:ext cx="917986" cy="932330"/>
          </a:xfrm>
          <a:prstGeom prst="rect">
            <a:avLst/>
          </a:prstGeom>
        </xdr:spPr>
      </xdr:pic>
      <xdr:pic>
        <xdr:nvPicPr>
          <xdr:cNvPr id="1466" name="Pokemon_159_Gauche">
            <a:extLst>
              <a:ext uri="{FF2B5EF4-FFF2-40B4-BE49-F238E27FC236}">
                <a16:creationId xmlns:a16="http://schemas.microsoft.com/office/drawing/2014/main" id="{00000000-0008-0000-0300-0000B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2"/>
          <a:stretch>
            <a:fillRect/>
          </a:stretch>
        </xdr:blipFill>
        <xdr:spPr>
          <a:xfrm>
            <a:off x="156261829" y="2926080"/>
            <a:ext cx="917986" cy="932330"/>
          </a:xfrm>
          <a:prstGeom prst="rect">
            <a:avLst/>
          </a:prstGeom>
        </xdr:spPr>
      </xdr:pic>
      <xdr:pic>
        <xdr:nvPicPr>
          <xdr:cNvPr id="1467" name="Pokemon_160_Gauche">
            <a:extLst>
              <a:ext uri="{FF2B5EF4-FFF2-40B4-BE49-F238E27FC236}">
                <a16:creationId xmlns:a16="http://schemas.microsoft.com/office/drawing/2014/main" id="{00000000-0008-0000-0300-0000B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3"/>
          <a:stretch>
            <a:fillRect/>
          </a:stretch>
        </xdr:blipFill>
        <xdr:spPr>
          <a:xfrm>
            <a:off x="157179814" y="2926080"/>
            <a:ext cx="917986" cy="932330"/>
          </a:xfrm>
          <a:prstGeom prst="rect">
            <a:avLst/>
          </a:prstGeom>
        </xdr:spPr>
      </xdr:pic>
      <xdr:pic>
        <xdr:nvPicPr>
          <xdr:cNvPr id="1468" name="Pokemon_161_Gauche">
            <a:extLst>
              <a:ext uri="{FF2B5EF4-FFF2-40B4-BE49-F238E27FC236}">
                <a16:creationId xmlns:a16="http://schemas.microsoft.com/office/drawing/2014/main" id="{00000000-0008-0000-0300-0000B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4"/>
          <a:stretch>
            <a:fillRect/>
          </a:stretch>
        </xdr:blipFill>
        <xdr:spPr>
          <a:xfrm>
            <a:off x="158097798" y="2926080"/>
            <a:ext cx="917986" cy="932330"/>
          </a:xfrm>
          <a:prstGeom prst="rect">
            <a:avLst/>
          </a:prstGeom>
        </xdr:spPr>
      </xdr:pic>
      <xdr:pic>
        <xdr:nvPicPr>
          <xdr:cNvPr id="1469" name="Pokemon_162_Gauche">
            <a:extLst>
              <a:ext uri="{FF2B5EF4-FFF2-40B4-BE49-F238E27FC236}">
                <a16:creationId xmlns:a16="http://schemas.microsoft.com/office/drawing/2014/main" id="{00000000-0008-0000-0300-0000B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5"/>
          <a:stretch>
            <a:fillRect/>
          </a:stretch>
        </xdr:blipFill>
        <xdr:spPr>
          <a:xfrm>
            <a:off x="159015782" y="2926080"/>
            <a:ext cx="917986" cy="932330"/>
          </a:xfrm>
          <a:prstGeom prst="rect">
            <a:avLst/>
          </a:prstGeom>
        </xdr:spPr>
      </xdr:pic>
      <xdr:pic>
        <xdr:nvPicPr>
          <xdr:cNvPr id="1470" name="Pokemon_163_Gauche">
            <a:extLst>
              <a:ext uri="{FF2B5EF4-FFF2-40B4-BE49-F238E27FC236}">
                <a16:creationId xmlns:a16="http://schemas.microsoft.com/office/drawing/2014/main" id="{00000000-0008-0000-0300-0000B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6"/>
          <a:stretch>
            <a:fillRect/>
          </a:stretch>
        </xdr:blipFill>
        <xdr:spPr>
          <a:xfrm>
            <a:off x="159933754" y="2926080"/>
            <a:ext cx="917986" cy="932330"/>
          </a:xfrm>
          <a:prstGeom prst="rect">
            <a:avLst/>
          </a:prstGeom>
        </xdr:spPr>
      </xdr:pic>
      <xdr:pic>
        <xdr:nvPicPr>
          <xdr:cNvPr id="1471" name="Pokemon_164_Gauche">
            <a:extLst>
              <a:ext uri="{FF2B5EF4-FFF2-40B4-BE49-F238E27FC236}">
                <a16:creationId xmlns:a16="http://schemas.microsoft.com/office/drawing/2014/main" id="{00000000-0008-0000-0300-0000B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7"/>
          <a:stretch>
            <a:fillRect/>
          </a:stretch>
        </xdr:blipFill>
        <xdr:spPr>
          <a:xfrm>
            <a:off x="160851738" y="2926080"/>
            <a:ext cx="917986" cy="932330"/>
          </a:xfrm>
          <a:prstGeom prst="rect">
            <a:avLst/>
          </a:prstGeom>
        </xdr:spPr>
      </xdr:pic>
      <xdr:pic>
        <xdr:nvPicPr>
          <xdr:cNvPr id="1472" name="Pokemon_165_Gauche">
            <a:extLst>
              <a:ext uri="{FF2B5EF4-FFF2-40B4-BE49-F238E27FC236}">
                <a16:creationId xmlns:a16="http://schemas.microsoft.com/office/drawing/2014/main" id="{00000000-0008-0000-0300-0000C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8"/>
          <a:stretch>
            <a:fillRect/>
          </a:stretch>
        </xdr:blipFill>
        <xdr:spPr>
          <a:xfrm>
            <a:off x="161769723" y="2926080"/>
            <a:ext cx="917986" cy="932330"/>
          </a:xfrm>
          <a:prstGeom prst="rect">
            <a:avLst/>
          </a:prstGeom>
        </xdr:spPr>
      </xdr:pic>
      <xdr:pic>
        <xdr:nvPicPr>
          <xdr:cNvPr id="1473" name="Pokemon_166_Gauche">
            <a:extLst>
              <a:ext uri="{FF2B5EF4-FFF2-40B4-BE49-F238E27FC236}">
                <a16:creationId xmlns:a16="http://schemas.microsoft.com/office/drawing/2014/main" id="{00000000-0008-0000-0300-0000C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9"/>
          <a:stretch>
            <a:fillRect/>
          </a:stretch>
        </xdr:blipFill>
        <xdr:spPr>
          <a:xfrm>
            <a:off x="162687707" y="2926080"/>
            <a:ext cx="917986" cy="932330"/>
          </a:xfrm>
          <a:prstGeom prst="rect">
            <a:avLst/>
          </a:prstGeom>
        </xdr:spPr>
      </xdr:pic>
      <xdr:pic>
        <xdr:nvPicPr>
          <xdr:cNvPr id="1474" name="Pokemon_167_Gauche">
            <a:extLst>
              <a:ext uri="{FF2B5EF4-FFF2-40B4-BE49-F238E27FC236}">
                <a16:creationId xmlns:a16="http://schemas.microsoft.com/office/drawing/2014/main" id="{00000000-0008-0000-0300-0000C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0"/>
          <a:stretch>
            <a:fillRect/>
          </a:stretch>
        </xdr:blipFill>
        <xdr:spPr>
          <a:xfrm>
            <a:off x="163605691" y="2926080"/>
            <a:ext cx="917986" cy="932330"/>
          </a:xfrm>
          <a:prstGeom prst="rect">
            <a:avLst/>
          </a:prstGeom>
        </xdr:spPr>
      </xdr:pic>
      <xdr:pic>
        <xdr:nvPicPr>
          <xdr:cNvPr id="1475" name="Pokemon_168_Gauche">
            <a:extLst>
              <a:ext uri="{FF2B5EF4-FFF2-40B4-BE49-F238E27FC236}">
                <a16:creationId xmlns:a16="http://schemas.microsoft.com/office/drawing/2014/main" id="{00000000-0008-0000-0300-0000C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1"/>
          <a:stretch>
            <a:fillRect/>
          </a:stretch>
        </xdr:blipFill>
        <xdr:spPr>
          <a:xfrm>
            <a:off x="164523675" y="2926080"/>
            <a:ext cx="917986" cy="932330"/>
          </a:xfrm>
          <a:prstGeom prst="rect">
            <a:avLst/>
          </a:prstGeom>
        </xdr:spPr>
      </xdr:pic>
      <xdr:pic>
        <xdr:nvPicPr>
          <xdr:cNvPr id="1476" name="Pokemon_169_Gauche">
            <a:extLst>
              <a:ext uri="{FF2B5EF4-FFF2-40B4-BE49-F238E27FC236}">
                <a16:creationId xmlns:a16="http://schemas.microsoft.com/office/drawing/2014/main" id="{00000000-0008-0000-0300-0000C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2"/>
          <a:stretch>
            <a:fillRect/>
          </a:stretch>
        </xdr:blipFill>
        <xdr:spPr>
          <a:xfrm>
            <a:off x="165441660" y="2926080"/>
            <a:ext cx="917986" cy="932330"/>
          </a:xfrm>
          <a:prstGeom prst="rect">
            <a:avLst/>
          </a:prstGeom>
        </xdr:spPr>
      </xdr:pic>
      <xdr:pic>
        <xdr:nvPicPr>
          <xdr:cNvPr id="1477" name="Pokemon_170_Gauche">
            <a:extLst>
              <a:ext uri="{FF2B5EF4-FFF2-40B4-BE49-F238E27FC236}">
                <a16:creationId xmlns:a16="http://schemas.microsoft.com/office/drawing/2014/main" id="{00000000-0008-0000-0300-0000C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3"/>
          <a:stretch>
            <a:fillRect/>
          </a:stretch>
        </xdr:blipFill>
        <xdr:spPr>
          <a:xfrm>
            <a:off x="166359644" y="2926080"/>
            <a:ext cx="917986" cy="932330"/>
          </a:xfrm>
          <a:prstGeom prst="rect">
            <a:avLst/>
          </a:prstGeom>
        </xdr:spPr>
      </xdr:pic>
      <xdr:pic>
        <xdr:nvPicPr>
          <xdr:cNvPr id="1478" name="Pokemon_171_Gauche">
            <a:extLst>
              <a:ext uri="{FF2B5EF4-FFF2-40B4-BE49-F238E27FC236}">
                <a16:creationId xmlns:a16="http://schemas.microsoft.com/office/drawing/2014/main" id="{00000000-0008-0000-0300-0000C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4"/>
          <a:stretch>
            <a:fillRect/>
          </a:stretch>
        </xdr:blipFill>
        <xdr:spPr>
          <a:xfrm>
            <a:off x="167277628" y="2926080"/>
            <a:ext cx="917986" cy="932330"/>
          </a:xfrm>
          <a:prstGeom prst="rect">
            <a:avLst/>
          </a:prstGeom>
        </xdr:spPr>
      </xdr:pic>
      <xdr:pic>
        <xdr:nvPicPr>
          <xdr:cNvPr id="1479" name="Pokemon_172_Gauche">
            <a:extLst>
              <a:ext uri="{FF2B5EF4-FFF2-40B4-BE49-F238E27FC236}">
                <a16:creationId xmlns:a16="http://schemas.microsoft.com/office/drawing/2014/main" id="{00000000-0008-0000-0300-0000C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5"/>
          <a:stretch>
            <a:fillRect/>
          </a:stretch>
        </xdr:blipFill>
        <xdr:spPr>
          <a:xfrm>
            <a:off x="168195613" y="2926080"/>
            <a:ext cx="917986" cy="932330"/>
          </a:xfrm>
          <a:prstGeom prst="rect">
            <a:avLst/>
          </a:prstGeom>
        </xdr:spPr>
      </xdr:pic>
      <xdr:pic>
        <xdr:nvPicPr>
          <xdr:cNvPr id="1480" name="Pokemon_173_Gauche">
            <a:extLst>
              <a:ext uri="{FF2B5EF4-FFF2-40B4-BE49-F238E27FC236}">
                <a16:creationId xmlns:a16="http://schemas.microsoft.com/office/drawing/2014/main" id="{00000000-0008-0000-0300-0000C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6"/>
          <a:stretch>
            <a:fillRect/>
          </a:stretch>
        </xdr:blipFill>
        <xdr:spPr>
          <a:xfrm>
            <a:off x="169113597" y="2926080"/>
            <a:ext cx="917986" cy="932330"/>
          </a:xfrm>
          <a:prstGeom prst="rect">
            <a:avLst/>
          </a:prstGeom>
        </xdr:spPr>
      </xdr:pic>
      <xdr:pic>
        <xdr:nvPicPr>
          <xdr:cNvPr id="1481" name="Pokemon_174_Gauche">
            <a:extLst>
              <a:ext uri="{FF2B5EF4-FFF2-40B4-BE49-F238E27FC236}">
                <a16:creationId xmlns:a16="http://schemas.microsoft.com/office/drawing/2014/main" id="{00000000-0008-0000-0300-0000C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7"/>
          <a:stretch>
            <a:fillRect/>
          </a:stretch>
        </xdr:blipFill>
        <xdr:spPr>
          <a:xfrm>
            <a:off x="170031581" y="2926080"/>
            <a:ext cx="917986" cy="932330"/>
          </a:xfrm>
          <a:prstGeom prst="rect">
            <a:avLst/>
          </a:prstGeom>
        </xdr:spPr>
      </xdr:pic>
      <xdr:pic>
        <xdr:nvPicPr>
          <xdr:cNvPr id="1482" name="Pokemon_175_Gauche">
            <a:extLst>
              <a:ext uri="{FF2B5EF4-FFF2-40B4-BE49-F238E27FC236}">
                <a16:creationId xmlns:a16="http://schemas.microsoft.com/office/drawing/2014/main" id="{00000000-0008-0000-0300-0000C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8"/>
          <a:stretch>
            <a:fillRect/>
          </a:stretch>
        </xdr:blipFill>
        <xdr:spPr>
          <a:xfrm>
            <a:off x="170949565" y="2926080"/>
            <a:ext cx="917986" cy="932330"/>
          </a:xfrm>
          <a:prstGeom prst="rect">
            <a:avLst/>
          </a:prstGeom>
        </xdr:spPr>
      </xdr:pic>
      <xdr:pic>
        <xdr:nvPicPr>
          <xdr:cNvPr id="1483" name="Pokemon_176_Gauche">
            <a:extLst>
              <a:ext uri="{FF2B5EF4-FFF2-40B4-BE49-F238E27FC236}">
                <a16:creationId xmlns:a16="http://schemas.microsoft.com/office/drawing/2014/main" id="{00000000-0008-0000-0300-0000C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9"/>
          <a:stretch>
            <a:fillRect/>
          </a:stretch>
        </xdr:blipFill>
        <xdr:spPr>
          <a:xfrm>
            <a:off x="171867550" y="2926080"/>
            <a:ext cx="917986" cy="932330"/>
          </a:xfrm>
          <a:prstGeom prst="rect">
            <a:avLst/>
          </a:prstGeom>
        </xdr:spPr>
      </xdr:pic>
      <xdr:pic>
        <xdr:nvPicPr>
          <xdr:cNvPr id="1484" name="Pokemon_177_Gauche">
            <a:extLst>
              <a:ext uri="{FF2B5EF4-FFF2-40B4-BE49-F238E27FC236}">
                <a16:creationId xmlns:a16="http://schemas.microsoft.com/office/drawing/2014/main" id="{00000000-0008-0000-0300-0000C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0"/>
          <a:stretch>
            <a:fillRect/>
          </a:stretch>
        </xdr:blipFill>
        <xdr:spPr>
          <a:xfrm>
            <a:off x="172785534" y="2926080"/>
            <a:ext cx="917986" cy="932330"/>
          </a:xfrm>
          <a:prstGeom prst="rect">
            <a:avLst/>
          </a:prstGeom>
        </xdr:spPr>
      </xdr:pic>
      <xdr:pic>
        <xdr:nvPicPr>
          <xdr:cNvPr id="1485" name="Pokemon_178_Gauche">
            <a:extLst>
              <a:ext uri="{FF2B5EF4-FFF2-40B4-BE49-F238E27FC236}">
                <a16:creationId xmlns:a16="http://schemas.microsoft.com/office/drawing/2014/main" id="{00000000-0008-0000-0300-0000C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1"/>
          <a:stretch>
            <a:fillRect/>
          </a:stretch>
        </xdr:blipFill>
        <xdr:spPr>
          <a:xfrm>
            <a:off x="173703518" y="2926080"/>
            <a:ext cx="917986" cy="932330"/>
          </a:xfrm>
          <a:prstGeom prst="rect">
            <a:avLst/>
          </a:prstGeom>
        </xdr:spPr>
      </xdr:pic>
      <xdr:pic>
        <xdr:nvPicPr>
          <xdr:cNvPr id="1486" name="Pokemon_179_Gauche">
            <a:extLst>
              <a:ext uri="{FF2B5EF4-FFF2-40B4-BE49-F238E27FC236}">
                <a16:creationId xmlns:a16="http://schemas.microsoft.com/office/drawing/2014/main" id="{00000000-0008-0000-0300-0000C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2"/>
          <a:stretch>
            <a:fillRect/>
          </a:stretch>
        </xdr:blipFill>
        <xdr:spPr>
          <a:xfrm>
            <a:off x="174621503" y="2926080"/>
            <a:ext cx="917986" cy="932330"/>
          </a:xfrm>
          <a:prstGeom prst="rect">
            <a:avLst/>
          </a:prstGeom>
        </xdr:spPr>
      </xdr:pic>
      <xdr:pic>
        <xdr:nvPicPr>
          <xdr:cNvPr id="1487" name="Pokemon_180_Gauche">
            <a:extLst>
              <a:ext uri="{FF2B5EF4-FFF2-40B4-BE49-F238E27FC236}">
                <a16:creationId xmlns:a16="http://schemas.microsoft.com/office/drawing/2014/main" id="{00000000-0008-0000-0300-0000C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3"/>
          <a:stretch>
            <a:fillRect/>
          </a:stretch>
        </xdr:blipFill>
        <xdr:spPr>
          <a:xfrm>
            <a:off x="175539487" y="2926080"/>
            <a:ext cx="917986" cy="932330"/>
          </a:xfrm>
          <a:prstGeom prst="rect">
            <a:avLst/>
          </a:prstGeom>
        </xdr:spPr>
      </xdr:pic>
      <xdr:pic>
        <xdr:nvPicPr>
          <xdr:cNvPr id="1488" name="Pokemon_181_Gauche">
            <a:extLst>
              <a:ext uri="{FF2B5EF4-FFF2-40B4-BE49-F238E27FC236}">
                <a16:creationId xmlns:a16="http://schemas.microsoft.com/office/drawing/2014/main" id="{00000000-0008-0000-0300-0000D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4"/>
          <a:stretch>
            <a:fillRect/>
          </a:stretch>
        </xdr:blipFill>
        <xdr:spPr>
          <a:xfrm>
            <a:off x="176457471" y="2926080"/>
            <a:ext cx="917986" cy="932330"/>
          </a:xfrm>
          <a:prstGeom prst="rect">
            <a:avLst/>
          </a:prstGeom>
        </xdr:spPr>
      </xdr:pic>
      <xdr:pic>
        <xdr:nvPicPr>
          <xdr:cNvPr id="1489" name="Pokemon_182_Gauche">
            <a:extLst>
              <a:ext uri="{FF2B5EF4-FFF2-40B4-BE49-F238E27FC236}">
                <a16:creationId xmlns:a16="http://schemas.microsoft.com/office/drawing/2014/main" id="{00000000-0008-0000-0300-0000D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5"/>
          <a:stretch>
            <a:fillRect/>
          </a:stretch>
        </xdr:blipFill>
        <xdr:spPr>
          <a:xfrm>
            <a:off x="177375455" y="2926080"/>
            <a:ext cx="917986" cy="932330"/>
          </a:xfrm>
          <a:prstGeom prst="rect">
            <a:avLst/>
          </a:prstGeom>
        </xdr:spPr>
      </xdr:pic>
      <xdr:pic>
        <xdr:nvPicPr>
          <xdr:cNvPr id="1490" name="Pokemon_183_Gauche">
            <a:extLst>
              <a:ext uri="{FF2B5EF4-FFF2-40B4-BE49-F238E27FC236}">
                <a16:creationId xmlns:a16="http://schemas.microsoft.com/office/drawing/2014/main" id="{00000000-0008-0000-0300-0000D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6"/>
          <a:stretch>
            <a:fillRect/>
          </a:stretch>
        </xdr:blipFill>
        <xdr:spPr>
          <a:xfrm>
            <a:off x="178293440" y="2926080"/>
            <a:ext cx="917986" cy="932330"/>
          </a:xfrm>
          <a:prstGeom prst="rect">
            <a:avLst/>
          </a:prstGeom>
        </xdr:spPr>
      </xdr:pic>
      <xdr:pic>
        <xdr:nvPicPr>
          <xdr:cNvPr id="1491" name="Pokemon_184_Gauche">
            <a:extLst>
              <a:ext uri="{FF2B5EF4-FFF2-40B4-BE49-F238E27FC236}">
                <a16:creationId xmlns:a16="http://schemas.microsoft.com/office/drawing/2014/main" id="{00000000-0008-0000-0300-0000D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7"/>
          <a:stretch>
            <a:fillRect/>
          </a:stretch>
        </xdr:blipFill>
        <xdr:spPr>
          <a:xfrm>
            <a:off x="179211424" y="2926080"/>
            <a:ext cx="917986" cy="932330"/>
          </a:xfrm>
          <a:prstGeom prst="rect">
            <a:avLst/>
          </a:prstGeom>
        </xdr:spPr>
      </xdr:pic>
      <xdr:pic>
        <xdr:nvPicPr>
          <xdr:cNvPr id="1492" name="Pokemon_185_Gauche">
            <a:extLst>
              <a:ext uri="{FF2B5EF4-FFF2-40B4-BE49-F238E27FC236}">
                <a16:creationId xmlns:a16="http://schemas.microsoft.com/office/drawing/2014/main" id="{00000000-0008-0000-0300-0000D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8"/>
          <a:stretch>
            <a:fillRect/>
          </a:stretch>
        </xdr:blipFill>
        <xdr:spPr>
          <a:xfrm>
            <a:off x="180129408" y="2926080"/>
            <a:ext cx="917986" cy="932330"/>
          </a:xfrm>
          <a:prstGeom prst="rect">
            <a:avLst/>
          </a:prstGeom>
        </xdr:spPr>
      </xdr:pic>
      <xdr:pic>
        <xdr:nvPicPr>
          <xdr:cNvPr id="1493" name="Pokemon_186_Gauche">
            <a:extLst>
              <a:ext uri="{FF2B5EF4-FFF2-40B4-BE49-F238E27FC236}">
                <a16:creationId xmlns:a16="http://schemas.microsoft.com/office/drawing/2014/main" id="{00000000-0008-0000-0300-0000D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9"/>
          <a:stretch>
            <a:fillRect/>
          </a:stretch>
        </xdr:blipFill>
        <xdr:spPr>
          <a:xfrm>
            <a:off x="181047392" y="2926080"/>
            <a:ext cx="917986" cy="932330"/>
          </a:xfrm>
          <a:prstGeom prst="rect">
            <a:avLst/>
          </a:prstGeom>
        </xdr:spPr>
      </xdr:pic>
      <xdr:pic>
        <xdr:nvPicPr>
          <xdr:cNvPr id="1494" name="Pokemon_187_Gauche">
            <a:extLst>
              <a:ext uri="{FF2B5EF4-FFF2-40B4-BE49-F238E27FC236}">
                <a16:creationId xmlns:a16="http://schemas.microsoft.com/office/drawing/2014/main" id="{00000000-0008-0000-0300-0000D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0"/>
          <a:stretch>
            <a:fillRect/>
          </a:stretch>
        </xdr:blipFill>
        <xdr:spPr>
          <a:xfrm>
            <a:off x="181965377" y="2926080"/>
            <a:ext cx="917986" cy="932330"/>
          </a:xfrm>
          <a:prstGeom prst="rect">
            <a:avLst/>
          </a:prstGeom>
        </xdr:spPr>
      </xdr:pic>
      <xdr:pic>
        <xdr:nvPicPr>
          <xdr:cNvPr id="1495" name="Pokemon_188_Gauche">
            <a:extLst>
              <a:ext uri="{FF2B5EF4-FFF2-40B4-BE49-F238E27FC236}">
                <a16:creationId xmlns:a16="http://schemas.microsoft.com/office/drawing/2014/main" id="{00000000-0008-0000-0300-0000D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1"/>
          <a:stretch>
            <a:fillRect/>
          </a:stretch>
        </xdr:blipFill>
        <xdr:spPr>
          <a:xfrm>
            <a:off x="182883361" y="2926080"/>
            <a:ext cx="917986" cy="932330"/>
          </a:xfrm>
          <a:prstGeom prst="rect">
            <a:avLst/>
          </a:prstGeom>
        </xdr:spPr>
      </xdr:pic>
      <xdr:pic>
        <xdr:nvPicPr>
          <xdr:cNvPr id="1496" name="Pokemon_189_Gauche">
            <a:extLst>
              <a:ext uri="{FF2B5EF4-FFF2-40B4-BE49-F238E27FC236}">
                <a16:creationId xmlns:a16="http://schemas.microsoft.com/office/drawing/2014/main" id="{00000000-0008-0000-0300-0000D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2"/>
          <a:stretch>
            <a:fillRect/>
          </a:stretch>
        </xdr:blipFill>
        <xdr:spPr>
          <a:xfrm>
            <a:off x="183801345" y="2926080"/>
            <a:ext cx="917986" cy="932330"/>
          </a:xfrm>
          <a:prstGeom prst="rect">
            <a:avLst/>
          </a:prstGeom>
        </xdr:spPr>
      </xdr:pic>
      <xdr:pic>
        <xdr:nvPicPr>
          <xdr:cNvPr id="1497" name="Pokemon_190_Gauche">
            <a:extLst>
              <a:ext uri="{FF2B5EF4-FFF2-40B4-BE49-F238E27FC236}">
                <a16:creationId xmlns:a16="http://schemas.microsoft.com/office/drawing/2014/main" id="{00000000-0008-0000-0300-0000D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3"/>
          <a:stretch>
            <a:fillRect/>
          </a:stretch>
        </xdr:blipFill>
        <xdr:spPr>
          <a:xfrm>
            <a:off x="184719330" y="2926080"/>
            <a:ext cx="917986" cy="932330"/>
          </a:xfrm>
          <a:prstGeom prst="rect">
            <a:avLst/>
          </a:prstGeom>
        </xdr:spPr>
      </xdr:pic>
      <xdr:pic>
        <xdr:nvPicPr>
          <xdr:cNvPr id="1498" name="Pokemon_191_Gauche">
            <a:extLst>
              <a:ext uri="{FF2B5EF4-FFF2-40B4-BE49-F238E27FC236}">
                <a16:creationId xmlns:a16="http://schemas.microsoft.com/office/drawing/2014/main" id="{00000000-0008-0000-0300-0000D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4"/>
          <a:stretch>
            <a:fillRect/>
          </a:stretch>
        </xdr:blipFill>
        <xdr:spPr>
          <a:xfrm>
            <a:off x="185637314" y="2926080"/>
            <a:ext cx="917986" cy="932330"/>
          </a:xfrm>
          <a:prstGeom prst="rect">
            <a:avLst/>
          </a:prstGeom>
        </xdr:spPr>
      </xdr:pic>
      <xdr:pic>
        <xdr:nvPicPr>
          <xdr:cNvPr id="1499" name="Pokemon_192_Gauche">
            <a:extLst>
              <a:ext uri="{FF2B5EF4-FFF2-40B4-BE49-F238E27FC236}">
                <a16:creationId xmlns:a16="http://schemas.microsoft.com/office/drawing/2014/main" id="{00000000-0008-0000-0300-0000D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5"/>
          <a:stretch>
            <a:fillRect/>
          </a:stretch>
        </xdr:blipFill>
        <xdr:spPr>
          <a:xfrm>
            <a:off x="186555298" y="2926080"/>
            <a:ext cx="917986" cy="932330"/>
          </a:xfrm>
          <a:prstGeom prst="rect">
            <a:avLst/>
          </a:prstGeom>
        </xdr:spPr>
      </xdr:pic>
      <xdr:pic>
        <xdr:nvPicPr>
          <xdr:cNvPr id="1500" name="Pokemon_193_Gauche">
            <a:extLst>
              <a:ext uri="{FF2B5EF4-FFF2-40B4-BE49-F238E27FC236}">
                <a16:creationId xmlns:a16="http://schemas.microsoft.com/office/drawing/2014/main" id="{00000000-0008-0000-0300-0000D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6"/>
          <a:stretch>
            <a:fillRect/>
          </a:stretch>
        </xdr:blipFill>
        <xdr:spPr>
          <a:xfrm>
            <a:off x="187473282" y="2926080"/>
            <a:ext cx="917986" cy="932330"/>
          </a:xfrm>
          <a:prstGeom prst="rect">
            <a:avLst/>
          </a:prstGeom>
        </xdr:spPr>
      </xdr:pic>
      <xdr:pic>
        <xdr:nvPicPr>
          <xdr:cNvPr id="1501" name="Pokemon_194_Gauche">
            <a:extLst>
              <a:ext uri="{FF2B5EF4-FFF2-40B4-BE49-F238E27FC236}">
                <a16:creationId xmlns:a16="http://schemas.microsoft.com/office/drawing/2014/main" id="{00000000-0008-0000-0300-0000D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7"/>
          <a:stretch>
            <a:fillRect/>
          </a:stretch>
        </xdr:blipFill>
        <xdr:spPr>
          <a:xfrm>
            <a:off x="188391267" y="2926080"/>
            <a:ext cx="917986" cy="932330"/>
          </a:xfrm>
          <a:prstGeom prst="rect">
            <a:avLst/>
          </a:prstGeom>
        </xdr:spPr>
      </xdr:pic>
      <xdr:pic>
        <xdr:nvPicPr>
          <xdr:cNvPr id="1502" name="Pokemon_195_Gauche">
            <a:extLst>
              <a:ext uri="{FF2B5EF4-FFF2-40B4-BE49-F238E27FC236}">
                <a16:creationId xmlns:a16="http://schemas.microsoft.com/office/drawing/2014/main" id="{00000000-0008-0000-0300-0000D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8"/>
          <a:stretch>
            <a:fillRect/>
          </a:stretch>
        </xdr:blipFill>
        <xdr:spPr>
          <a:xfrm>
            <a:off x="189309251" y="2926080"/>
            <a:ext cx="917986" cy="932330"/>
          </a:xfrm>
          <a:prstGeom prst="rect">
            <a:avLst/>
          </a:prstGeom>
        </xdr:spPr>
      </xdr:pic>
      <xdr:pic>
        <xdr:nvPicPr>
          <xdr:cNvPr id="1503" name="Pokemon_196_Gauche">
            <a:extLst>
              <a:ext uri="{FF2B5EF4-FFF2-40B4-BE49-F238E27FC236}">
                <a16:creationId xmlns:a16="http://schemas.microsoft.com/office/drawing/2014/main" id="{00000000-0008-0000-0300-0000D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9"/>
          <a:stretch>
            <a:fillRect/>
          </a:stretch>
        </xdr:blipFill>
        <xdr:spPr>
          <a:xfrm>
            <a:off x="190227235" y="2926080"/>
            <a:ext cx="917986" cy="932330"/>
          </a:xfrm>
          <a:prstGeom prst="rect">
            <a:avLst/>
          </a:prstGeom>
        </xdr:spPr>
      </xdr:pic>
      <xdr:pic>
        <xdr:nvPicPr>
          <xdr:cNvPr id="1504" name="Pokemon_197_Gauche">
            <a:extLst>
              <a:ext uri="{FF2B5EF4-FFF2-40B4-BE49-F238E27FC236}">
                <a16:creationId xmlns:a16="http://schemas.microsoft.com/office/drawing/2014/main" id="{00000000-0008-0000-0300-0000E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0"/>
          <a:stretch>
            <a:fillRect/>
          </a:stretch>
        </xdr:blipFill>
        <xdr:spPr>
          <a:xfrm>
            <a:off x="191145220" y="2926080"/>
            <a:ext cx="917986" cy="932330"/>
          </a:xfrm>
          <a:prstGeom prst="rect">
            <a:avLst/>
          </a:prstGeom>
        </xdr:spPr>
      </xdr:pic>
      <xdr:pic>
        <xdr:nvPicPr>
          <xdr:cNvPr id="1505" name="Pokemon_198_Gauche">
            <a:extLst>
              <a:ext uri="{FF2B5EF4-FFF2-40B4-BE49-F238E27FC236}">
                <a16:creationId xmlns:a16="http://schemas.microsoft.com/office/drawing/2014/main" id="{00000000-0008-0000-0300-0000E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1"/>
          <a:stretch>
            <a:fillRect/>
          </a:stretch>
        </xdr:blipFill>
        <xdr:spPr>
          <a:xfrm>
            <a:off x="192063204" y="2926080"/>
            <a:ext cx="917986" cy="932330"/>
          </a:xfrm>
          <a:prstGeom prst="rect">
            <a:avLst/>
          </a:prstGeom>
        </xdr:spPr>
      </xdr:pic>
      <xdr:pic>
        <xdr:nvPicPr>
          <xdr:cNvPr id="1506" name="Pokemon_199_Gauche">
            <a:extLst>
              <a:ext uri="{FF2B5EF4-FFF2-40B4-BE49-F238E27FC236}">
                <a16:creationId xmlns:a16="http://schemas.microsoft.com/office/drawing/2014/main" id="{00000000-0008-0000-0300-0000E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2"/>
          <a:stretch>
            <a:fillRect/>
          </a:stretch>
        </xdr:blipFill>
        <xdr:spPr>
          <a:xfrm>
            <a:off x="192981188" y="2926080"/>
            <a:ext cx="917986" cy="932330"/>
          </a:xfrm>
          <a:prstGeom prst="rect">
            <a:avLst/>
          </a:prstGeom>
        </xdr:spPr>
      </xdr:pic>
      <xdr:pic>
        <xdr:nvPicPr>
          <xdr:cNvPr id="1507" name="Pokemon_200_Gauche">
            <a:extLst>
              <a:ext uri="{FF2B5EF4-FFF2-40B4-BE49-F238E27FC236}">
                <a16:creationId xmlns:a16="http://schemas.microsoft.com/office/drawing/2014/main" id="{00000000-0008-0000-0300-0000E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3"/>
          <a:stretch>
            <a:fillRect/>
          </a:stretch>
        </xdr:blipFill>
        <xdr:spPr>
          <a:xfrm>
            <a:off x="193899172" y="2926080"/>
            <a:ext cx="917986" cy="932330"/>
          </a:xfrm>
          <a:prstGeom prst="rect">
            <a:avLst/>
          </a:prstGeom>
        </xdr:spPr>
      </xdr:pic>
      <xdr:pic>
        <xdr:nvPicPr>
          <xdr:cNvPr id="1508" name="Pokemon_201_Gauche">
            <a:extLst>
              <a:ext uri="{FF2B5EF4-FFF2-40B4-BE49-F238E27FC236}">
                <a16:creationId xmlns:a16="http://schemas.microsoft.com/office/drawing/2014/main" id="{00000000-0008-0000-0300-0000E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4"/>
          <a:stretch>
            <a:fillRect/>
          </a:stretch>
        </xdr:blipFill>
        <xdr:spPr>
          <a:xfrm>
            <a:off x="194817157" y="2926080"/>
            <a:ext cx="917986" cy="932330"/>
          </a:xfrm>
          <a:prstGeom prst="rect">
            <a:avLst/>
          </a:prstGeom>
        </xdr:spPr>
      </xdr:pic>
      <xdr:pic>
        <xdr:nvPicPr>
          <xdr:cNvPr id="1509" name="Pokemon_202_Gauche">
            <a:extLst>
              <a:ext uri="{FF2B5EF4-FFF2-40B4-BE49-F238E27FC236}">
                <a16:creationId xmlns:a16="http://schemas.microsoft.com/office/drawing/2014/main" id="{00000000-0008-0000-0300-0000E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5"/>
          <a:stretch>
            <a:fillRect/>
          </a:stretch>
        </xdr:blipFill>
        <xdr:spPr>
          <a:xfrm>
            <a:off x="195735141" y="2926080"/>
            <a:ext cx="917986" cy="932330"/>
          </a:xfrm>
          <a:prstGeom prst="rect">
            <a:avLst/>
          </a:prstGeom>
        </xdr:spPr>
      </xdr:pic>
      <xdr:pic>
        <xdr:nvPicPr>
          <xdr:cNvPr id="1510" name="Pokemon_203_Gauche">
            <a:extLst>
              <a:ext uri="{FF2B5EF4-FFF2-40B4-BE49-F238E27FC236}">
                <a16:creationId xmlns:a16="http://schemas.microsoft.com/office/drawing/2014/main" id="{00000000-0008-0000-0300-0000E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6"/>
          <a:stretch>
            <a:fillRect/>
          </a:stretch>
        </xdr:blipFill>
        <xdr:spPr>
          <a:xfrm>
            <a:off x="196653125" y="2926080"/>
            <a:ext cx="917986" cy="932330"/>
          </a:xfrm>
          <a:prstGeom prst="rect">
            <a:avLst/>
          </a:prstGeom>
        </xdr:spPr>
      </xdr:pic>
      <xdr:pic>
        <xdr:nvPicPr>
          <xdr:cNvPr id="1511" name="Pokemon_204_Gauche">
            <a:extLst>
              <a:ext uri="{FF2B5EF4-FFF2-40B4-BE49-F238E27FC236}">
                <a16:creationId xmlns:a16="http://schemas.microsoft.com/office/drawing/2014/main" id="{00000000-0008-0000-0300-0000E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7"/>
          <a:stretch>
            <a:fillRect/>
          </a:stretch>
        </xdr:blipFill>
        <xdr:spPr>
          <a:xfrm>
            <a:off x="197571109" y="2926080"/>
            <a:ext cx="917986" cy="932330"/>
          </a:xfrm>
          <a:prstGeom prst="rect">
            <a:avLst/>
          </a:prstGeom>
        </xdr:spPr>
      </xdr:pic>
      <xdr:pic>
        <xdr:nvPicPr>
          <xdr:cNvPr id="1512" name="Pokemon_205_Gauche">
            <a:extLst>
              <a:ext uri="{FF2B5EF4-FFF2-40B4-BE49-F238E27FC236}">
                <a16:creationId xmlns:a16="http://schemas.microsoft.com/office/drawing/2014/main" id="{00000000-0008-0000-0300-0000E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8"/>
          <a:stretch>
            <a:fillRect/>
          </a:stretch>
        </xdr:blipFill>
        <xdr:spPr>
          <a:xfrm>
            <a:off x="198489094" y="2926080"/>
            <a:ext cx="917986" cy="932330"/>
          </a:xfrm>
          <a:prstGeom prst="rect">
            <a:avLst/>
          </a:prstGeom>
        </xdr:spPr>
      </xdr:pic>
      <xdr:pic>
        <xdr:nvPicPr>
          <xdr:cNvPr id="1513" name="Pokemon_206_Gauche">
            <a:extLst>
              <a:ext uri="{FF2B5EF4-FFF2-40B4-BE49-F238E27FC236}">
                <a16:creationId xmlns:a16="http://schemas.microsoft.com/office/drawing/2014/main" id="{00000000-0008-0000-0300-0000E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9"/>
          <a:stretch>
            <a:fillRect/>
          </a:stretch>
        </xdr:blipFill>
        <xdr:spPr>
          <a:xfrm>
            <a:off x="199407078" y="2926080"/>
            <a:ext cx="917986" cy="932330"/>
          </a:xfrm>
          <a:prstGeom prst="rect">
            <a:avLst/>
          </a:prstGeom>
        </xdr:spPr>
      </xdr:pic>
      <xdr:pic>
        <xdr:nvPicPr>
          <xdr:cNvPr id="1514" name="Pokemon_207_Gauche">
            <a:extLst>
              <a:ext uri="{FF2B5EF4-FFF2-40B4-BE49-F238E27FC236}">
                <a16:creationId xmlns:a16="http://schemas.microsoft.com/office/drawing/2014/main" id="{00000000-0008-0000-0300-0000E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0"/>
          <a:stretch>
            <a:fillRect/>
          </a:stretch>
        </xdr:blipFill>
        <xdr:spPr>
          <a:xfrm>
            <a:off x="200325062" y="2926080"/>
            <a:ext cx="917986" cy="932330"/>
          </a:xfrm>
          <a:prstGeom prst="rect">
            <a:avLst/>
          </a:prstGeom>
        </xdr:spPr>
      </xdr:pic>
      <xdr:pic>
        <xdr:nvPicPr>
          <xdr:cNvPr id="1515" name="Pokemon_208_Gauche">
            <a:extLst>
              <a:ext uri="{FF2B5EF4-FFF2-40B4-BE49-F238E27FC236}">
                <a16:creationId xmlns:a16="http://schemas.microsoft.com/office/drawing/2014/main" id="{00000000-0008-0000-0300-0000E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1"/>
          <a:stretch>
            <a:fillRect/>
          </a:stretch>
        </xdr:blipFill>
        <xdr:spPr>
          <a:xfrm>
            <a:off x="201243034" y="2926080"/>
            <a:ext cx="917986" cy="932330"/>
          </a:xfrm>
          <a:prstGeom prst="rect">
            <a:avLst/>
          </a:prstGeom>
        </xdr:spPr>
      </xdr:pic>
      <xdr:pic>
        <xdr:nvPicPr>
          <xdr:cNvPr id="1516" name="Pokemon_209_Gauche">
            <a:extLst>
              <a:ext uri="{FF2B5EF4-FFF2-40B4-BE49-F238E27FC236}">
                <a16:creationId xmlns:a16="http://schemas.microsoft.com/office/drawing/2014/main" id="{00000000-0008-0000-0300-0000E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2"/>
          <a:stretch>
            <a:fillRect/>
          </a:stretch>
        </xdr:blipFill>
        <xdr:spPr>
          <a:xfrm>
            <a:off x="202161018" y="2926080"/>
            <a:ext cx="917986" cy="932330"/>
          </a:xfrm>
          <a:prstGeom prst="rect">
            <a:avLst/>
          </a:prstGeom>
        </xdr:spPr>
      </xdr:pic>
      <xdr:pic>
        <xdr:nvPicPr>
          <xdr:cNvPr id="1517" name="Pokemon_210_Gauche">
            <a:extLst>
              <a:ext uri="{FF2B5EF4-FFF2-40B4-BE49-F238E27FC236}">
                <a16:creationId xmlns:a16="http://schemas.microsoft.com/office/drawing/2014/main" id="{00000000-0008-0000-0300-0000E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3"/>
          <a:stretch>
            <a:fillRect/>
          </a:stretch>
        </xdr:blipFill>
        <xdr:spPr>
          <a:xfrm>
            <a:off x="203079003" y="2926080"/>
            <a:ext cx="917986" cy="932330"/>
          </a:xfrm>
          <a:prstGeom prst="rect">
            <a:avLst/>
          </a:prstGeom>
        </xdr:spPr>
      </xdr:pic>
      <xdr:pic>
        <xdr:nvPicPr>
          <xdr:cNvPr id="1518" name="Pokemon_211_Gauche">
            <a:extLst>
              <a:ext uri="{FF2B5EF4-FFF2-40B4-BE49-F238E27FC236}">
                <a16:creationId xmlns:a16="http://schemas.microsoft.com/office/drawing/2014/main" id="{00000000-0008-0000-0300-0000E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4"/>
          <a:stretch>
            <a:fillRect/>
          </a:stretch>
        </xdr:blipFill>
        <xdr:spPr>
          <a:xfrm>
            <a:off x="203996987" y="2926080"/>
            <a:ext cx="917986" cy="932330"/>
          </a:xfrm>
          <a:prstGeom prst="rect">
            <a:avLst/>
          </a:prstGeom>
        </xdr:spPr>
      </xdr:pic>
      <xdr:pic>
        <xdr:nvPicPr>
          <xdr:cNvPr id="1519" name="Pokemon_212_Gauche">
            <a:extLst>
              <a:ext uri="{FF2B5EF4-FFF2-40B4-BE49-F238E27FC236}">
                <a16:creationId xmlns:a16="http://schemas.microsoft.com/office/drawing/2014/main" id="{00000000-0008-0000-0300-0000E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5"/>
          <a:stretch>
            <a:fillRect/>
          </a:stretch>
        </xdr:blipFill>
        <xdr:spPr>
          <a:xfrm>
            <a:off x="204914971" y="2926080"/>
            <a:ext cx="917986" cy="932330"/>
          </a:xfrm>
          <a:prstGeom prst="rect">
            <a:avLst/>
          </a:prstGeom>
        </xdr:spPr>
      </xdr:pic>
      <xdr:pic>
        <xdr:nvPicPr>
          <xdr:cNvPr id="1520" name="Pokemon_213_Gauche">
            <a:extLst>
              <a:ext uri="{FF2B5EF4-FFF2-40B4-BE49-F238E27FC236}">
                <a16:creationId xmlns:a16="http://schemas.microsoft.com/office/drawing/2014/main" id="{00000000-0008-0000-0300-0000F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6"/>
          <a:stretch>
            <a:fillRect/>
          </a:stretch>
        </xdr:blipFill>
        <xdr:spPr>
          <a:xfrm>
            <a:off x="205832956" y="2926080"/>
            <a:ext cx="917986" cy="932330"/>
          </a:xfrm>
          <a:prstGeom prst="rect">
            <a:avLst/>
          </a:prstGeom>
        </xdr:spPr>
      </xdr:pic>
      <xdr:pic>
        <xdr:nvPicPr>
          <xdr:cNvPr id="1521" name="Pokemon_214_Gauche">
            <a:extLst>
              <a:ext uri="{FF2B5EF4-FFF2-40B4-BE49-F238E27FC236}">
                <a16:creationId xmlns:a16="http://schemas.microsoft.com/office/drawing/2014/main" id="{00000000-0008-0000-0300-0000F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7"/>
          <a:stretch>
            <a:fillRect/>
          </a:stretch>
        </xdr:blipFill>
        <xdr:spPr>
          <a:xfrm>
            <a:off x="206750940" y="2926080"/>
            <a:ext cx="917986" cy="932330"/>
          </a:xfrm>
          <a:prstGeom prst="rect">
            <a:avLst/>
          </a:prstGeom>
        </xdr:spPr>
      </xdr:pic>
      <xdr:pic>
        <xdr:nvPicPr>
          <xdr:cNvPr id="1522" name="Pokemon_215_Gauche">
            <a:extLst>
              <a:ext uri="{FF2B5EF4-FFF2-40B4-BE49-F238E27FC236}">
                <a16:creationId xmlns:a16="http://schemas.microsoft.com/office/drawing/2014/main" id="{00000000-0008-0000-0300-0000F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8"/>
          <a:stretch>
            <a:fillRect/>
          </a:stretch>
        </xdr:blipFill>
        <xdr:spPr>
          <a:xfrm>
            <a:off x="207668924" y="2926080"/>
            <a:ext cx="917986" cy="932330"/>
          </a:xfrm>
          <a:prstGeom prst="rect">
            <a:avLst/>
          </a:prstGeom>
        </xdr:spPr>
      </xdr:pic>
      <xdr:pic>
        <xdr:nvPicPr>
          <xdr:cNvPr id="1523" name="Pokemon_216_Gauche">
            <a:extLst>
              <a:ext uri="{FF2B5EF4-FFF2-40B4-BE49-F238E27FC236}">
                <a16:creationId xmlns:a16="http://schemas.microsoft.com/office/drawing/2014/main" id="{00000000-0008-0000-0300-0000F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9"/>
          <a:stretch>
            <a:fillRect/>
          </a:stretch>
        </xdr:blipFill>
        <xdr:spPr>
          <a:xfrm>
            <a:off x="208586908" y="2926080"/>
            <a:ext cx="917986" cy="932330"/>
          </a:xfrm>
          <a:prstGeom prst="rect">
            <a:avLst/>
          </a:prstGeom>
        </xdr:spPr>
      </xdr:pic>
      <xdr:pic>
        <xdr:nvPicPr>
          <xdr:cNvPr id="1524" name="Pokemon_217_Gauche">
            <a:extLst>
              <a:ext uri="{FF2B5EF4-FFF2-40B4-BE49-F238E27FC236}">
                <a16:creationId xmlns:a16="http://schemas.microsoft.com/office/drawing/2014/main" id="{00000000-0008-0000-0300-0000F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0"/>
          <a:stretch>
            <a:fillRect/>
          </a:stretch>
        </xdr:blipFill>
        <xdr:spPr>
          <a:xfrm>
            <a:off x="209504905" y="2926080"/>
            <a:ext cx="917986" cy="932330"/>
          </a:xfrm>
          <a:prstGeom prst="rect">
            <a:avLst/>
          </a:prstGeom>
        </xdr:spPr>
      </xdr:pic>
      <xdr:pic>
        <xdr:nvPicPr>
          <xdr:cNvPr id="1525" name="Pokemon_218_Gauche">
            <a:extLst>
              <a:ext uri="{FF2B5EF4-FFF2-40B4-BE49-F238E27FC236}">
                <a16:creationId xmlns:a16="http://schemas.microsoft.com/office/drawing/2014/main" id="{00000000-0008-0000-0300-0000F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1"/>
          <a:stretch>
            <a:fillRect/>
          </a:stretch>
        </xdr:blipFill>
        <xdr:spPr>
          <a:xfrm>
            <a:off x="210422902" y="2926080"/>
            <a:ext cx="917986" cy="932330"/>
          </a:xfrm>
          <a:prstGeom prst="rect">
            <a:avLst/>
          </a:prstGeom>
        </xdr:spPr>
      </xdr:pic>
      <xdr:pic>
        <xdr:nvPicPr>
          <xdr:cNvPr id="1526" name="Pokemon_219_Gauche">
            <a:extLst>
              <a:ext uri="{FF2B5EF4-FFF2-40B4-BE49-F238E27FC236}">
                <a16:creationId xmlns:a16="http://schemas.microsoft.com/office/drawing/2014/main" id="{00000000-0008-0000-0300-0000F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2"/>
          <a:stretch>
            <a:fillRect/>
          </a:stretch>
        </xdr:blipFill>
        <xdr:spPr>
          <a:xfrm>
            <a:off x="211340898" y="2926080"/>
            <a:ext cx="917986" cy="932330"/>
          </a:xfrm>
          <a:prstGeom prst="rect">
            <a:avLst/>
          </a:prstGeom>
        </xdr:spPr>
      </xdr:pic>
      <xdr:pic>
        <xdr:nvPicPr>
          <xdr:cNvPr id="1527" name="Pokemon_220_Gauche">
            <a:extLst>
              <a:ext uri="{FF2B5EF4-FFF2-40B4-BE49-F238E27FC236}">
                <a16:creationId xmlns:a16="http://schemas.microsoft.com/office/drawing/2014/main" id="{00000000-0008-0000-0300-0000F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3"/>
          <a:stretch>
            <a:fillRect/>
          </a:stretch>
        </xdr:blipFill>
        <xdr:spPr>
          <a:xfrm>
            <a:off x="212258895" y="2926080"/>
            <a:ext cx="917986" cy="932330"/>
          </a:xfrm>
          <a:prstGeom prst="rect">
            <a:avLst/>
          </a:prstGeom>
        </xdr:spPr>
      </xdr:pic>
      <xdr:pic>
        <xdr:nvPicPr>
          <xdr:cNvPr id="1528" name="Pokemon_221_Gauche">
            <a:extLst>
              <a:ext uri="{FF2B5EF4-FFF2-40B4-BE49-F238E27FC236}">
                <a16:creationId xmlns:a16="http://schemas.microsoft.com/office/drawing/2014/main" id="{00000000-0008-0000-0300-0000F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4"/>
          <a:stretch>
            <a:fillRect/>
          </a:stretch>
        </xdr:blipFill>
        <xdr:spPr>
          <a:xfrm>
            <a:off x="213176892" y="2926080"/>
            <a:ext cx="917986" cy="932330"/>
          </a:xfrm>
          <a:prstGeom prst="rect">
            <a:avLst/>
          </a:prstGeom>
        </xdr:spPr>
      </xdr:pic>
      <xdr:pic>
        <xdr:nvPicPr>
          <xdr:cNvPr id="1529" name="Pokemon_222_Gauche">
            <a:extLst>
              <a:ext uri="{FF2B5EF4-FFF2-40B4-BE49-F238E27FC236}">
                <a16:creationId xmlns:a16="http://schemas.microsoft.com/office/drawing/2014/main" id="{00000000-0008-0000-0300-0000F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5"/>
          <a:stretch>
            <a:fillRect/>
          </a:stretch>
        </xdr:blipFill>
        <xdr:spPr>
          <a:xfrm>
            <a:off x="214094888" y="2926080"/>
            <a:ext cx="917986" cy="932330"/>
          </a:xfrm>
          <a:prstGeom prst="rect">
            <a:avLst/>
          </a:prstGeom>
        </xdr:spPr>
      </xdr:pic>
      <xdr:pic>
        <xdr:nvPicPr>
          <xdr:cNvPr id="1530" name="Pokemon_223_Gauche">
            <a:extLst>
              <a:ext uri="{FF2B5EF4-FFF2-40B4-BE49-F238E27FC236}">
                <a16:creationId xmlns:a16="http://schemas.microsoft.com/office/drawing/2014/main" id="{00000000-0008-0000-0300-0000F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6"/>
          <a:stretch>
            <a:fillRect/>
          </a:stretch>
        </xdr:blipFill>
        <xdr:spPr>
          <a:xfrm>
            <a:off x="215012885" y="2926080"/>
            <a:ext cx="917986" cy="932330"/>
          </a:xfrm>
          <a:prstGeom prst="rect">
            <a:avLst/>
          </a:prstGeom>
        </xdr:spPr>
      </xdr:pic>
      <xdr:pic>
        <xdr:nvPicPr>
          <xdr:cNvPr id="1531" name="Pokemon_224_Gauche">
            <a:extLst>
              <a:ext uri="{FF2B5EF4-FFF2-40B4-BE49-F238E27FC236}">
                <a16:creationId xmlns:a16="http://schemas.microsoft.com/office/drawing/2014/main" id="{00000000-0008-0000-0300-0000F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7"/>
          <a:stretch>
            <a:fillRect/>
          </a:stretch>
        </xdr:blipFill>
        <xdr:spPr>
          <a:xfrm>
            <a:off x="215930882" y="2926080"/>
            <a:ext cx="917986" cy="932330"/>
          </a:xfrm>
          <a:prstGeom prst="rect">
            <a:avLst/>
          </a:prstGeom>
        </xdr:spPr>
      </xdr:pic>
      <xdr:pic>
        <xdr:nvPicPr>
          <xdr:cNvPr id="1532" name="Pokemon_225_Gauche">
            <a:extLst>
              <a:ext uri="{FF2B5EF4-FFF2-40B4-BE49-F238E27FC236}">
                <a16:creationId xmlns:a16="http://schemas.microsoft.com/office/drawing/2014/main" id="{00000000-0008-0000-0300-0000F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8"/>
          <a:stretch>
            <a:fillRect/>
          </a:stretch>
        </xdr:blipFill>
        <xdr:spPr>
          <a:xfrm>
            <a:off x="216848879" y="2926080"/>
            <a:ext cx="917986" cy="932330"/>
          </a:xfrm>
          <a:prstGeom prst="rect">
            <a:avLst/>
          </a:prstGeom>
        </xdr:spPr>
      </xdr:pic>
      <xdr:pic>
        <xdr:nvPicPr>
          <xdr:cNvPr id="1533" name="Pokemon_226_Gauche">
            <a:extLst>
              <a:ext uri="{FF2B5EF4-FFF2-40B4-BE49-F238E27FC236}">
                <a16:creationId xmlns:a16="http://schemas.microsoft.com/office/drawing/2014/main" id="{00000000-0008-0000-0300-0000F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9"/>
          <a:stretch>
            <a:fillRect/>
          </a:stretch>
        </xdr:blipFill>
        <xdr:spPr>
          <a:xfrm>
            <a:off x="217766875" y="2926080"/>
            <a:ext cx="917986" cy="932330"/>
          </a:xfrm>
          <a:prstGeom prst="rect">
            <a:avLst/>
          </a:prstGeom>
        </xdr:spPr>
      </xdr:pic>
      <xdr:pic>
        <xdr:nvPicPr>
          <xdr:cNvPr id="1534" name="Pokemon_227_Gauche">
            <a:extLst>
              <a:ext uri="{FF2B5EF4-FFF2-40B4-BE49-F238E27FC236}">
                <a16:creationId xmlns:a16="http://schemas.microsoft.com/office/drawing/2014/main" id="{00000000-0008-0000-0300-0000F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0"/>
          <a:stretch>
            <a:fillRect/>
          </a:stretch>
        </xdr:blipFill>
        <xdr:spPr>
          <a:xfrm>
            <a:off x="218684872" y="2926080"/>
            <a:ext cx="917986" cy="932330"/>
          </a:xfrm>
          <a:prstGeom prst="rect">
            <a:avLst/>
          </a:prstGeom>
        </xdr:spPr>
      </xdr:pic>
      <xdr:pic>
        <xdr:nvPicPr>
          <xdr:cNvPr id="1535" name="Pokemon_228_Gauche">
            <a:extLst>
              <a:ext uri="{FF2B5EF4-FFF2-40B4-BE49-F238E27FC236}">
                <a16:creationId xmlns:a16="http://schemas.microsoft.com/office/drawing/2014/main" id="{00000000-0008-0000-0300-0000F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1"/>
          <a:stretch>
            <a:fillRect/>
          </a:stretch>
        </xdr:blipFill>
        <xdr:spPr>
          <a:xfrm>
            <a:off x="219602869" y="2926080"/>
            <a:ext cx="917986" cy="932330"/>
          </a:xfrm>
          <a:prstGeom prst="rect">
            <a:avLst/>
          </a:prstGeom>
        </xdr:spPr>
      </xdr:pic>
      <xdr:pic>
        <xdr:nvPicPr>
          <xdr:cNvPr id="1536" name="Pokemon_229_Gauche">
            <a:extLst>
              <a:ext uri="{FF2B5EF4-FFF2-40B4-BE49-F238E27FC236}">
                <a16:creationId xmlns:a16="http://schemas.microsoft.com/office/drawing/2014/main" id="{00000000-0008-0000-0300-00000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2"/>
          <a:stretch>
            <a:fillRect/>
          </a:stretch>
        </xdr:blipFill>
        <xdr:spPr>
          <a:xfrm>
            <a:off x="220520865" y="2926080"/>
            <a:ext cx="917986" cy="932330"/>
          </a:xfrm>
          <a:prstGeom prst="rect">
            <a:avLst/>
          </a:prstGeom>
        </xdr:spPr>
      </xdr:pic>
      <xdr:pic>
        <xdr:nvPicPr>
          <xdr:cNvPr id="1537" name="Pokemon_230_Gauche">
            <a:extLst>
              <a:ext uri="{FF2B5EF4-FFF2-40B4-BE49-F238E27FC236}">
                <a16:creationId xmlns:a16="http://schemas.microsoft.com/office/drawing/2014/main" id="{00000000-0008-0000-0300-00000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3"/>
          <a:stretch>
            <a:fillRect/>
          </a:stretch>
        </xdr:blipFill>
        <xdr:spPr>
          <a:xfrm>
            <a:off x="221438862" y="2926080"/>
            <a:ext cx="917986" cy="932330"/>
          </a:xfrm>
          <a:prstGeom prst="rect">
            <a:avLst/>
          </a:prstGeom>
        </xdr:spPr>
      </xdr:pic>
      <xdr:pic>
        <xdr:nvPicPr>
          <xdr:cNvPr id="1538" name="Pokemon_231_Gauche">
            <a:extLst>
              <a:ext uri="{FF2B5EF4-FFF2-40B4-BE49-F238E27FC236}">
                <a16:creationId xmlns:a16="http://schemas.microsoft.com/office/drawing/2014/main" id="{00000000-0008-0000-0300-00000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4"/>
          <a:stretch>
            <a:fillRect/>
          </a:stretch>
        </xdr:blipFill>
        <xdr:spPr>
          <a:xfrm>
            <a:off x="222356859" y="2926080"/>
            <a:ext cx="917986" cy="932330"/>
          </a:xfrm>
          <a:prstGeom prst="rect">
            <a:avLst/>
          </a:prstGeom>
        </xdr:spPr>
      </xdr:pic>
      <xdr:pic>
        <xdr:nvPicPr>
          <xdr:cNvPr id="1539" name="Pokemon_232_Gauche">
            <a:extLst>
              <a:ext uri="{FF2B5EF4-FFF2-40B4-BE49-F238E27FC236}">
                <a16:creationId xmlns:a16="http://schemas.microsoft.com/office/drawing/2014/main" id="{00000000-0008-0000-0300-00000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5"/>
          <a:stretch>
            <a:fillRect/>
          </a:stretch>
        </xdr:blipFill>
        <xdr:spPr>
          <a:xfrm>
            <a:off x="223274855" y="2926080"/>
            <a:ext cx="917986" cy="932330"/>
          </a:xfrm>
          <a:prstGeom prst="rect">
            <a:avLst/>
          </a:prstGeom>
        </xdr:spPr>
      </xdr:pic>
      <xdr:pic>
        <xdr:nvPicPr>
          <xdr:cNvPr id="1540" name="Pokemon_233_Gauche">
            <a:extLst>
              <a:ext uri="{FF2B5EF4-FFF2-40B4-BE49-F238E27FC236}">
                <a16:creationId xmlns:a16="http://schemas.microsoft.com/office/drawing/2014/main" id="{00000000-0008-0000-0300-00000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6"/>
          <a:stretch>
            <a:fillRect/>
          </a:stretch>
        </xdr:blipFill>
        <xdr:spPr>
          <a:xfrm>
            <a:off x="224192852" y="2926080"/>
            <a:ext cx="917986" cy="932330"/>
          </a:xfrm>
          <a:prstGeom prst="rect">
            <a:avLst/>
          </a:prstGeom>
        </xdr:spPr>
      </xdr:pic>
      <xdr:pic>
        <xdr:nvPicPr>
          <xdr:cNvPr id="1541" name="Pokemon_234_Gauche">
            <a:extLst>
              <a:ext uri="{FF2B5EF4-FFF2-40B4-BE49-F238E27FC236}">
                <a16:creationId xmlns:a16="http://schemas.microsoft.com/office/drawing/2014/main" id="{00000000-0008-0000-0300-00000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7"/>
          <a:stretch>
            <a:fillRect/>
          </a:stretch>
        </xdr:blipFill>
        <xdr:spPr>
          <a:xfrm>
            <a:off x="225110849" y="2926080"/>
            <a:ext cx="917986" cy="932330"/>
          </a:xfrm>
          <a:prstGeom prst="rect">
            <a:avLst/>
          </a:prstGeom>
        </xdr:spPr>
      </xdr:pic>
      <xdr:pic>
        <xdr:nvPicPr>
          <xdr:cNvPr id="1542" name="Pokemon_235_Gauche">
            <a:extLst>
              <a:ext uri="{FF2B5EF4-FFF2-40B4-BE49-F238E27FC236}">
                <a16:creationId xmlns:a16="http://schemas.microsoft.com/office/drawing/2014/main" id="{00000000-0008-0000-0300-00000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8"/>
          <a:stretch>
            <a:fillRect/>
          </a:stretch>
        </xdr:blipFill>
        <xdr:spPr>
          <a:xfrm>
            <a:off x="226028845" y="2926080"/>
            <a:ext cx="917986" cy="932330"/>
          </a:xfrm>
          <a:prstGeom prst="rect">
            <a:avLst/>
          </a:prstGeom>
        </xdr:spPr>
      </xdr:pic>
      <xdr:pic>
        <xdr:nvPicPr>
          <xdr:cNvPr id="1543" name="Pokemon_236_Gauche">
            <a:extLst>
              <a:ext uri="{FF2B5EF4-FFF2-40B4-BE49-F238E27FC236}">
                <a16:creationId xmlns:a16="http://schemas.microsoft.com/office/drawing/2014/main" id="{00000000-0008-0000-0300-00000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9"/>
          <a:stretch>
            <a:fillRect/>
          </a:stretch>
        </xdr:blipFill>
        <xdr:spPr>
          <a:xfrm>
            <a:off x="226946842" y="2926080"/>
            <a:ext cx="917986" cy="932330"/>
          </a:xfrm>
          <a:prstGeom prst="rect">
            <a:avLst/>
          </a:prstGeom>
        </xdr:spPr>
      </xdr:pic>
      <xdr:pic>
        <xdr:nvPicPr>
          <xdr:cNvPr id="1544" name="Pokemon_237_Gauche">
            <a:extLst>
              <a:ext uri="{FF2B5EF4-FFF2-40B4-BE49-F238E27FC236}">
                <a16:creationId xmlns:a16="http://schemas.microsoft.com/office/drawing/2014/main" id="{00000000-0008-0000-0300-00000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0"/>
          <a:stretch>
            <a:fillRect/>
          </a:stretch>
        </xdr:blipFill>
        <xdr:spPr>
          <a:xfrm>
            <a:off x="227864839" y="2926080"/>
            <a:ext cx="917986" cy="932330"/>
          </a:xfrm>
          <a:prstGeom prst="rect">
            <a:avLst/>
          </a:prstGeom>
        </xdr:spPr>
      </xdr:pic>
      <xdr:pic>
        <xdr:nvPicPr>
          <xdr:cNvPr id="1545" name="Pokemon_238_Gauche">
            <a:extLst>
              <a:ext uri="{FF2B5EF4-FFF2-40B4-BE49-F238E27FC236}">
                <a16:creationId xmlns:a16="http://schemas.microsoft.com/office/drawing/2014/main" id="{00000000-0008-0000-0300-00000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1"/>
          <a:stretch>
            <a:fillRect/>
          </a:stretch>
        </xdr:blipFill>
        <xdr:spPr>
          <a:xfrm>
            <a:off x="228782835" y="2926080"/>
            <a:ext cx="917986" cy="932330"/>
          </a:xfrm>
          <a:prstGeom prst="rect">
            <a:avLst/>
          </a:prstGeom>
        </xdr:spPr>
      </xdr:pic>
      <xdr:pic>
        <xdr:nvPicPr>
          <xdr:cNvPr id="1546" name="Pokemon_239_Gauche">
            <a:extLst>
              <a:ext uri="{FF2B5EF4-FFF2-40B4-BE49-F238E27FC236}">
                <a16:creationId xmlns:a16="http://schemas.microsoft.com/office/drawing/2014/main" id="{00000000-0008-0000-0300-00000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2"/>
          <a:stretch>
            <a:fillRect/>
          </a:stretch>
        </xdr:blipFill>
        <xdr:spPr>
          <a:xfrm>
            <a:off x="229700832" y="2926080"/>
            <a:ext cx="917986" cy="932330"/>
          </a:xfrm>
          <a:prstGeom prst="rect">
            <a:avLst/>
          </a:prstGeom>
        </xdr:spPr>
      </xdr:pic>
      <xdr:pic>
        <xdr:nvPicPr>
          <xdr:cNvPr id="1547" name="Pokemon_240_Gauche">
            <a:extLst>
              <a:ext uri="{FF2B5EF4-FFF2-40B4-BE49-F238E27FC236}">
                <a16:creationId xmlns:a16="http://schemas.microsoft.com/office/drawing/2014/main" id="{00000000-0008-0000-0300-00000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3"/>
          <a:stretch>
            <a:fillRect/>
          </a:stretch>
        </xdr:blipFill>
        <xdr:spPr>
          <a:xfrm>
            <a:off x="230618829" y="2926080"/>
            <a:ext cx="917986" cy="932330"/>
          </a:xfrm>
          <a:prstGeom prst="rect">
            <a:avLst/>
          </a:prstGeom>
        </xdr:spPr>
      </xdr:pic>
      <xdr:pic>
        <xdr:nvPicPr>
          <xdr:cNvPr id="1548" name="Pokemon_241_Gauche">
            <a:extLst>
              <a:ext uri="{FF2B5EF4-FFF2-40B4-BE49-F238E27FC236}">
                <a16:creationId xmlns:a16="http://schemas.microsoft.com/office/drawing/2014/main" id="{00000000-0008-0000-0300-00000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4"/>
          <a:stretch>
            <a:fillRect/>
          </a:stretch>
        </xdr:blipFill>
        <xdr:spPr>
          <a:xfrm>
            <a:off x="231536825" y="2926080"/>
            <a:ext cx="917986" cy="932330"/>
          </a:xfrm>
          <a:prstGeom prst="rect">
            <a:avLst/>
          </a:prstGeom>
        </xdr:spPr>
      </xdr:pic>
      <xdr:pic>
        <xdr:nvPicPr>
          <xdr:cNvPr id="1549" name="Pokemon_242_Gauche">
            <a:extLst>
              <a:ext uri="{FF2B5EF4-FFF2-40B4-BE49-F238E27FC236}">
                <a16:creationId xmlns:a16="http://schemas.microsoft.com/office/drawing/2014/main" id="{00000000-0008-0000-0300-00000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5"/>
          <a:stretch>
            <a:fillRect/>
          </a:stretch>
        </xdr:blipFill>
        <xdr:spPr>
          <a:xfrm>
            <a:off x="232454822" y="2926080"/>
            <a:ext cx="917986" cy="932330"/>
          </a:xfrm>
          <a:prstGeom prst="rect">
            <a:avLst/>
          </a:prstGeom>
        </xdr:spPr>
      </xdr:pic>
      <xdr:pic>
        <xdr:nvPicPr>
          <xdr:cNvPr id="1550" name="Pokemon_243_Gauche">
            <a:extLst>
              <a:ext uri="{FF2B5EF4-FFF2-40B4-BE49-F238E27FC236}">
                <a16:creationId xmlns:a16="http://schemas.microsoft.com/office/drawing/2014/main" id="{00000000-0008-0000-0300-00000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6"/>
          <a:stretch>
            <a:fillRect/>
          </a:stretch>
        </xdr:blipFill>
        <xdr:spPr>
          <a:xfrm>
            <a:off x="233372819" y="2926080"/>
            <a:ext cx="917986" cy="932330"/>
          </a:xfrm>
          <a:prstGeom prst="rect">
            <a:avLst/>
          </a:prstGeom>
        </xdr:spPr>
      </xdr:pic>
      <xdr:pic>
        <xdr:nvPicPr>
          <xdr:cNvPr id="1551" name="Pokemon_244_Gauche">
            <a:extLst>
              <a:ext uri="{FF2B5EF4-FFF2-40B4-BE49-F238E27FC236}">
                <a16:creationId xmlns:a16="http://schemas.microsoft.com/office/drawing/2014/main" id="{00000000-0008-0000-0300-00000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7"/>
          <a:stretch>
            <a:fillRect/>
          </a:stretch>
        </xdr:blipFill>
        <xdr:spPr>
          <a:xfrm>
            <a:off x="234290815" y="2926080"/>
            <a:ext cx="917986" cy="932330"/>
          </a:xfrm>
          <a:prstGeom prst="rect">
            <a:avLst/>
          </a:prstGeom>
        </xdr:spPr>
      </xdr:pic>
      <xdr:pic>
        <xdr:nvPicPr>
          <xdr:cNvPr id="1552" name="Pokemon_245_Gauche">
            <a:extLst>
              <a:ext uri="{FF2B5EF4-FFF2-40B4-BE49-F238E27FC236}">
                <a16:creationId xmlns:a16="http://schemas.microsoft.com/office/drawing/2014/main" id="{00000000-0008-0000-0300-00001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8"/>
          <a:stretch>
            <a:fillRect/>
          </a:stretch>
        </xdr:blipFill>
        <xdr:spPr>
          <a:xfrm>
            <a:off x="235208812" y="2926080"/>
            <a:ext cx="917986" cy="932330"/>
          </a:xfrm>
          <a:prstGeom prst="rect">
            <a:avLst/>
          </a:prstGeom>
        </xdr:spPr>
      </xdr:pic>
      <xdr:pic>
        <xdr:nvPicPr>
          <xdr:cNvPr id="1553" name="Pokemon_246_Gauche">
            <a:extLst>
              <a:ext uri="{FF2B5EF4-FFF2-40B4-BE49-F238E27FC236}">
                <a16:creationId xmlns:a16="http://schemas.microsoft.com/office/drawing/2014/main" id="{00000000-0008-0000-0300-00001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9"/>
          <a:stretch>
            <a:fillRect/>
          </a:stretch>
        </xdr:blipFill>
        <xdr:spPr>
          <a:xfrm>
            <a:off x="236126809" y="2926080"/>
            <a:ext cx="917986" cy="932330"/>
          </a:xfrm>
          <a:prstGeom prst="rect">
            <a:avLst/>
          </a:prstGeom>
        </xdr:spPr>
      </xdr:pic>
      <xdr:pic>
        <xdr:nvPicPr>
          <xdr:cNvPr id="1554" name="Pokemon_247_Gauche">
            <a:extLst>
              <a:ext uri="{FF2B5EF4-FFF2-40B4-BE49-F238E27FC236}">
                <a16:creationId xmlns:a16="http://schemas.microsoft.com/office/drawing/2014/main" id="{00000000-0008-0000-0300-00001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0"/>
          <a:stretch>
            <a:fillRect/>
          </a:stretch>
        </xdr:blipFill>
        <xdr:spPr>
          <a:xfrm>
            <a:off x="237044805" y="2926080"/>
            <a:ext cx="917986" cy="932330"/>
          </a:xfrm>
          <a:prstGeom prst="rect">
            <a:avLst/>
          </a:prstGeom>
        </xdr:spPr>
      </xdr:pic>
      <xdr:pic>
        <xdr:nvPicPr>
          <xdr:cNvPr id="1555" name="Pokemon_248_Gauche">
            <a:extLst>
              <a:ext uri="{FF2B5EF4-FFF2-40B4-BE49-F238E27FC236}">
                <a16:creationId xmlns:a16="http://schemas.microsoft.com/office/drawing/2014/main" id="{00000000-0008-0000-0300-00001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1"/>
          <a:stretch>
            <a:fillRect/>
          </a:stretch>
        </xdr:blipFill>
        <xdr:spPr>
          <a:xfrm>
            <a:off x="237962802" y="2926080"/>
            <a:ext cx="917986" cy="932330"/>
          </a:xfrm>
          <a:prstGeom prst="rect">
            <a:avLst/>
          </a:prstGeom>
        </xdr:spPr>
      </xdr:pic>
      <xdr:pic>
        <xdr:nvPicPr>
          <xdr:cNvPr id="1556" name="Pokemon_249_Gauche">
            <a:extLst>
              <a:ext uri="{FF2B5EF4-FFF2-40B4-BE49-F238E27FC236}">
                <a16:creationId xmlns:a16="http://schemas.microsoft.com/office/drawing/2014/main" id="{00000000-0008-0000-0300-00001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2"/>
          <a:stretch>
            <a:fillRect/>
          </a:stretch>
        </xdr:blipFill>
        <xdr:spPr>
          <a:xfrm>
            <a:off x="238880799" y="2926080"/>
            <a:ext cx="917986" cy="932330"/>
          </a:xfrm>
          <a:prstGeom prst="rect">
            <a:avLst/>
          </a:prstGeom>
        </xdr:spPr>
      </xdr:pic>
      <xdr:pic>
        <xdr:nvPicPr>
          <xdr:cNvPr id="1557" name="Pokemon_250_Gauche">
            <a:extLst>
              <a:ext uri="{FF2B5EF4-FFF2-40B4-BE49-F238E27FC236}">
                <a16:creationId xmlns:a16="http://schemas.microsoft.com/office/drawing/2014/main" id="{00000000-0008-0000-0300-00001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3"/>
          <a:stretch>
            <a:fillRect/>
          </a:stretch>
        </xdr:blipFill>
        <xdr:spPr>
          <a:xfrm>
            <a:off x="239798796" y="2926080"/>
            <a:ext cx="917986" cy="932330"/>
          </a:xfrm>
          <a:prstGeom prst="rect">
            <a:avLst/>
          </a:prstGeom>
        </xdr:spPr>
      </xdr:pic>
      <xdr:pic>
        <xdr:nvPicPr>
          <xdr:cNvPr id="1558" name="Pokemon_251_Gauche">
            <a:extLst>
              <a:ext uri="{FF2B5EF4-FFF2-40B4-BE49-F238E27FC236}">
                <a16:creationId xmlns:a16="http://schemas.microsoft.com/office/drawing/2014/main" id="{00000000-0008-0000-0300-00001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4"/>
          <a:stretch>
            <a:fillRect/>
          </a:stretch>
        </xdr:blipFill>
        <xdr:spPr>
          <a:xfrm>
            <a:off x="240716792" y="2926080"/>
            <a:ext cx="917986" cy="932330"/>
          </a:xfrm>
          <a:prstGeom prst="rect">
            <a:avLst/>
          </a:prstGeom>
        </xdr:spPr>
      </xdr:pic>
      <xdr:pic>
        <xdr:nvPicPr>
          <xdr:cNvPr id="1559" name="Pokemon_252_Gauche">
            <a:extLst>
              <a:ext uri="{FF2B5EF4-FFF2-40B4-BE49-F238E27FC236}">
                <a16:creationId xmlns:a16="http://schemas.microsoft.com/office/drawing/2014/main" id="{00000000-0008-0000-0300-00001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5"/>
          <a:stretch>
            <a:fillRect/>
          </a:stretch>
        </xdr:blipFill>
        <xdr:spPr>
          <a:xfrm>
            <a:off x="241634789" y="2926080"/>
            <a:ext cx="917986" cy="932330"/>
          </a:xfrm>
          <a:prstGeom prst="rect">
            <a:avLst/>
          </a:prstGeom>
        </xdr:spPr>
      </xdr:pic>
      <xdr:pic>
        <xdr:nvPicPr>
          <xdr:cNvPr id="1560" name="Pokemon_253_Gauche">
            <a:extLst>
              <a:ext uri="{FF2B5EF4-FFF2-40B4-BE49-F238E27FC236}">
                <a16:creationId xmlns:a16="http://schemas.microsoft.com/office/drawing/2014/main" id="{00000000-0008-0000-0300-00001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6"/>
          <a:stretch>
            <a:fillRect/>
          </a:stretch>
        </xdr:blipFill>
        <xdr:spPr>
          <a:xfrm>
            <a:off x="242552786" y="2926080"/>
            <a:ext cx="917986" cy="932330"/>
          </a:xfrm>
          <a:prstGeom prst="rect">
            <a:avLst/>
          </a:prstGeom>
        </xdr:spPr>
      </xdr:pic>
      <xdr:pic>
        <xdr:nvPicPr>
          <xdr:cNvPr id="1561" name="Pokemon_254_Gauche">
            <a:extLst>
              <a:ext uri="{FF2B5EF4-FFF2-40B4-BE49-F238E27FC236}">
                <a16:creationId xmlns:a16="http://schemas.microsoft.com/office/drawing/2014/main" id="{00000000-0008-0000-0300-00001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7"/>
          <a:stretch>
            <a:fillRect/>
          </a:stretch>
        </xdr:blipFill>
        <xdr:spPr>
          <a:xfrm>
            <a:off x="243470782" y="2926080"/>
            <a:ext cx="917986" cy="932330"/>
          </a:xfrm>
          <a:prstGeom prst="rect">
            <a:avLst/>
          </a:prstGeom>
        </xdr:spPr>
      </xdr:pic>
      <xdr:pic>
        <xdr:nvPicPr>
          <xdr:cNvPr id="1562" name="Pokemon_255_Gauche">
            <a:extLst>
              <a:ext uri="{FF2B5EF4-FFF2-40B4-BE49-F238E27FC236}">
                <a16:creationId xmlns:a16="http://schemas.microsoft.com/office/drawing/2014/main" id="{00000000-0008-0000-0300-00001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8"/>
          <a:stretch>
            <a:fillRect/>
          </a:stretch>
        </xdr:blipFill>
        <xdr:spPr>
          <a:xfrm>
            <a:off x="244388779" y="2926080"/>
            <a:ext cx="917986" cy="932330"/>
          </a:xfrm>
          <a:prstGeom prst="rect">
            <a:avLst/>
          </a:prstGeom>
        </xdr:spPr>
      </xdr:pic>
      <xdr:pic>
        <xdr:nvPicPr>
          <xdr:cNvPr id="1563" name="Pokemon_256_Gauche">
            <a:extLst>
              <a:ext uri="{FF2B5EF4-FFF2-40B4-BE49-F238E27FC236}">
                <a16:creationId xmlns:a16="http://schemas.microsoft.com/office/drawing/2014/main" id="{00000000-0008-0000-0300-00001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9"/>
          <a:stretch>
            <a:fillRect/>
          </a:stretch>
        </xdr:blipFill>
        <xdr:spPr>
          <a:xfrm>
            <a:off x="245306776" y="2926080"/>
            <a:ext cx="917986" cy="932330"/>
          </a:xfrm>
          <a:prstGeom prst="rect">
            <a:avLst/>
          </a:prstGeom>
        </xdr:spPr>
      </xdr:pic>
      <xdr:pic>
        <xdr:nvPicPr>
          <xdr:cNvPr id="1564" name="Pokemon_257_Gauche">
            <a:extLst>
              <a:ext uri="{FF2B5EF4-FFF2-40B4-BE49-F238E27FC236}">
                <a16:creationId xmlns:a16="http://schemas.microsoft.com/office/drawing/2014/main" id="{00000000-0008-0000-0300-00001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0"/>
          <a:stretch>
            <a:fillRect/>
          </a:stretch>
        </xdr:blipFill>
        <xdr:spPr>
          <a:xfrm>
            <a:off x="246224772" y="2926080"/>
            <a:ext cx="917986" cy="932330"/>
          </a:xfrm>
          <a:prstGeom prst="rect">
            <a:avLst/>
          </a:prstGeom>
        </xdr:spPr>
      </xdr:pic>
      <xdr:pic>
        <xdr:nvPicPr>
          <xdr:cNvPr id="1565" name="Pokemon_258_Gauche">
            <a:extLst>
              <a:ext uri="{FF2B5EF4-FFF2-40B4-BE49-F238E27FC236}">
                <a16:creationId xmlns:a16="http://schemas.microsoft.com/office/drawing/2014/main" id="{00000000-0008-0000-0300-00001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1"/>
          <a:stretch>
            <a:fillRect/>
          </a:stretch>
        </xdr:blipFill>
        <xdr:spPr>
          <a:xfrm>
            <a:off x="247142769" y="2926080"/>
            <a:ext cx="917986" cy="932330"/>
          </a:xfrm>
          <a:prstGeom prst="rect">
            <a:avLst/>
          </a:prstGeom>
        </xdr:spPr>
      </xdr:pic>
      <xdr:pic>
        <xdr:nvPicPr>
          <xdr:cNvPr id="1566" name="Pokemon_259_Gauche">
            <a:extLst>
              <a:ext uri="{FF2B5EF4-FFF2-40B4-BE49-F238E27FC236}">
                <a16:creationId xmlns:a16="http://schemas.microsoft.com/office/drawing/2014/main" id="{00000000-0008-0000-0300-00001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2"/>
          <a:stretch>
            <a:fillRect/>
          </a:stretch>
        </xdr:blipFill>
        <xdr:spPr>
          <a:xfrm>
            <a:off x="248060766" y="2926080"/>
            <a:ext cx="917986" cy="932330"/>
          </a:xfrm>
          <a:prstGeom prst="rect">
            <a:avLst/>
          </a:prstGeom>
        </xdr:spPr>
      </xdr:pic>
      <xdr:pic>
        <xdr:nvPicPr>
          <xdr:cNvPr id="1567" name="Pokemon_260_Gauche">
            <a:extLst>
              <a:ext uri="{FF2B5EF4-FFF2-40B4-BE49-F238E27FC236}">
                <a16:creationId xmlns:a16="http://schemas.microsoft.com/office/drawing/2014/main" id="{00000000-0008-0000-0300-00001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3"/>
          <a:stretch>
            <a:fillRect/>
          </a:stretch>
        </xdr:blipFill>
        <xdr:spPr>
          <a:xfrm>
            <a:off x="248978762" y="2926080"/>
            <a:ext cx="917986" cy="932330"/>
          </a:xfrm>
          <a:prstGeom prst="rect">
            <a:avLst/>
          </a:prstGeom>
        </xdr:spPr>
      </xdr:pic>
      <xdr:pic>
        <xdr:nvPicPr>
          <xdr:cNvPr id="1568" name="Pokemon_261_Gauche">
            <a:extLst>
              <a:ext uri="{FF2B5EF4-FFF2-40B4-BE49-F238E27FC236}">
                <a16:creationId xmlns:a16="http://schemas.microsoft.com/office/drawing/2014/main" id="{00000000-0008-0000-0300-00002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4"/>
          <a:stretch>
            <a:fillRect/>
          </a:stretch>
        </xdr:blipFill>
        <xdr:spPr>
          <a:xfrm>
            <a:off x="249896759" y="2926080"/>
            <a:ext cx="917986" cy="932330"/>
          </a:xfrm>
          <a:prstGeom prst="rect">
            <a:avLst/>
          </a:prstGeom>
        </xdr:spPr>
      </xdr:pic>
      <xdr:pic>
        <xdr:nvPicPr>
          <xdr:cNvPr id="1569" name="Pokemon_262_Gauche">
            <a:extLst>
              <a:ext uri="{FF2B5EF4-FFF2-40B4-BE49-F238E27FC236}">
                <a16:creationId xmlns:a16="http://schemas.microsoft.com/office/drawing/2014/main" id="{00000000-0008-0000-0300-00002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5"/>
          <a:stretch>
            <a:fillRect/>
          </a:stretch>
        </xdr:blipFill>
        <xdr:spPr>
          <a:xfrm>
            <a:off x="250814756" y="2926080"/>
            <a:ext cx="917986" cy="932330"/>
          </a:xfrm>
          <a:prstGeom prst="rect">
            <a:avLst/>
          </a:prstGeom>
        </xdr:spPr>
      </xdr:pic>
      <xdr:pic>
        <xdr:nvPicPr>
          <xdr:cNvPr id="1570" name="Pokemon_263_Gauche">
            <a:extLst>
              <a:ext uri="{FF2B5EF4-FFF2-40B4-BE49-F238E27FC236}">
                <a16:creationId xmlns:a16="http://schemas.microsoft.com/office/drawing/2014/main" id="{00000000-0008-0000-0300-00002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6"/>
          <a:stretch>
            <a:fillRect/>
          </a:stretch>
        </xdr:blipFill>
        <xdr:spPr>
          <a:xfrm>
            <a:off x="251732752" y="2926080"/>
            <a:ext cx="917986" cy="932330"/>
          </a:xfrm>
          <a:prstGeom prst="rect">
            <a:avLst/>
          </a:prstGeom>
        </xdr:spPr>
      </xdr:pic>
      <xdr:pic>
        <xdr:nvPicPr>
          <xdr:cNvPr id="1571" name="Pokemon_264_Gauche">
            <a:extLst>
              <a:ext uri="{FF2B5EF4-FFF2-40B4-BE49-F238E27FC236}">
                <a16:creationId xmlns:a16="http://schemas.microsoft.com/office/drawing/2014/main" id="{00000000-0008-0000-0300-00002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7"/>
          <a:stretch>
            <a:fillRect/>
          </a:stretch>
        </xdr:blipFill>
        <xdr:spPr>
          <a:xfrm>
            <a:off x="252650749" y="2926080"/>
            <a:ext cx="917986" cy="932330"/>
          </a:xfrm>
          <a:prstGeom prst="rect">
            <a:avLst/>
          </a:prstGeom>
        </xdr:spPr>
      </xdr:pic>
      <xdr:pic>
        <xdr:nvPicPr>
          <xdr:cNvPr id="1572" name="Pokemon_265_Gauche">
            <a:extLst>
              <a:ext uri="{FF2B5EF4-FFF2-40B4-BE49-F238E27FC236}">
                <a16:creationId xmlns:a16="http://schemas.microsoft.com/office/drawing/2014/main" id="{00000000-0008-0000-0300-00002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8"/>
          <a:stretch>
            <a:fillRect/>
          </a:stretch>
        </xdr:blipFill>
        <xdr:spPr>
          <a:xfrm>
            <a:off x="253568746" y="2926080"/>
            <a:ext cx="917986" cy="932330"/>
          </a:xfrm>
          <a:prstGeom prst="rect">
            <a:avLst/>
          </a:prstGeom>
        </xdr:spPr>
      </xdr:pic>
      <xdr:pic>
        <xdr:nvPicPr>
          <xdr:cNvPr id="1573" name="Pokemon_266_Gauche">
            <a:extLst>
              <a:ext uri="{FF2B5EF4-FFF2-40B4-BE49-F238E27FC236}">
                <a16:creationId xmlns:a16="http://schemas.microsoft.com/office/drawing/2014/main" id="{00000000-0008-0000-0300-00002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9"/>
          <a:stretch>
            <a:fillRect/>
          </a:stretch>
        </xdr:blipFill>
        <xdr:spPr>
          <a:xfrm>
            <a:off x="254486742" y="2926080"/>
            <a:ext cx="917986" cy="932330"/>
          </a:xfrm>
          <a:prstGeom prst="rect">
            <a:avLst/>
          </a:prstGeom>
        </xdr:spPr>
      </xdr:pic>
      <xdr:pic>
        <xdr:nvPicPr>
          <xdr:cNvPr id="1574" name="Pokemon_267_Gauche">
            <a:extLst>
              <a:ext uri="{FF2B5EF4-FFF2-40B4-BE49-F238E27FC236}">
                <a16:creationId xmlns:a16="http://schemas.microsoft.com/office/drawing/2014/main" id="{00000000-0008-0000-0300-00002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0"/>
          <a:stretch>
            <a:fillRect/>
          </a:stretch>
        </xdr:blipFill>
        <xdr:spPr>
          <a:xfrm>
            <a:off x="255404739" y="2926080"/>
            <a:ext cx="917986" cy="932330"/>
          </a:xfrm>
          <a:prstGeom prst="rect">
            <a:avLst/>
          </a:prstGeom>
        </xdr:spPr>
      </xdr:pic>
      <xdr:pic>
        <xdr:nvPicPr>
          <xdr:cNvPr id="1575" name="Pokemon_268_Gauche">
            <a:extLst>
              <a:ext uri="{FF2B5EF4-FFF2-40B4-BE49-F238E27FC236}">
                <a16:creationId xmlns:a16="http://schemas.microsoft.com/office/drawing/2014/main" id="{00000000-0008-0000-0300-00002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1"/>
          <a:stretch>
            <a:fillRect/>
          </a:stretch>
        </xdr:blipFill>
        <xdr:spPr>
          <a:xfrm>
            <a:off x="256322736" y="2926080"/>
            <a:ext cx="917986" cy="932330"/>
          </a:xfrm>
          <a:prstGeom prst="rect">
            <a:avLst/>
          </a:prstGeom>
        </xdr:spPr>
      </xdr:pic>
      <xdr:pic>
        <xdr:nvPicPr>
          <xdr:cNvPr id="1576" name="Pokemon_269_Gauche">
            <a:extLst>
              <a:ext uri="{FF2B5EF4-FFF2-40B4-BE49-F238E27FC236}">
                <a16:creationId xmlns:a16="http://schemas.microsoft.com/office/drawing/2014/main" id="{00000000-0008-0000-0300-00002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2"/>
          <a:stretch>
            <a:fillRect/>
          </a:stretch>
        </xdr:blipFill>
        <xdr:spPr>
          <a:xfrm>
            <a:off x="257240732" y="2926080"/>
            <a:ext cx="917986" cy="932330"/>
          </a:xfrm>
          <a:prstGeom prst="rect">
            <a:avLst/>
          </a:prstGeom>
        </xdr:spPr>
      </xdr:pic>
      <xdr:pic>
        <xdr:nvPicPr>
          <xdr:cNvPr id="1577" name="Pokemon_270_Gauche">
            <a:extLst>
              <a:ext uri="{FF2B5EF4-FFF2-40B4-BE49-F238E27FC236}">
                <a16:creationId xmlns:a16="http://schemas.microsoft.com/office/drawing/2014/main" id="{00000000-0008-0000-0300-00002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3"/>
          <a:stretch>
            <a:fillRect/>
          </a:stretch>
        </xdr:blipFill>
        <xdr:spPr>
          <a:xfrm>
            <a:off x="258158729" y="2926080"/>
            <a:ext cx="917986" cy="932330"/>
          </a:xfrm>
          <a:prstGeom prst="rect">
            <a:avLst/>
          </a:prstGeom>
        </xdr:spPr>
      </xdr:pic>
      <xdr:pic>
        <xdr:nvPicPr>
          <xdr:cNvPr id="1578" name="Pokemon_271_Gauche">
            <a:extLst>
              <a:ext uri="{FF2B5EF4-FFF2-40B4-BE49-F238E27FC236}">
                <a16:creationId xmlns:a16="http://schemas.microsoft.com/office/drawing/2014/main" id="{00000000-0008-0000-0300-00002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4"/>
          <a:stretch>
            <a:fillRect/>
          </a:stretch>
        </xdr:blipFill>
        <xdr:spPr>
          <a:xfrm>
            <a:off x="259076726" y="2926080"/>
            <a:ext cx="917986" cy="932330"/>
          </a:xfrm>
          <a:prstGeom prst="rect">
            <a:avLst/>
          </a:prstGeom>
        </xdr:spPr>
      </xdr:pic>
      <xdr:pic>
        <xdr:nvPicPr>
          <xdr:cNvPr id="1579" name="Pokemon_272_Gauche">
            <a:extLst>
              <a:ext uri="{FF2B5EF4-FFF2-40B4-BE49-F238E27FC236}">
                <a16:creationId xmlns:a16="http://schemas.microsoft.com/office/drawing/2014/main" id="{00000000-0008-0000-0300-00002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5"/>
          <a:stretch>
            <a:fillRect/>
          </a:stretch>
        </xdr:blipFill>
        <xdr:spPr>
          <a:xfrm>
            <a:off x="259994722" y="2926080"/>
            <a:ext cx="917986" cy="932330"/>
          </a:xfrm>
          <a:prstGeom prst="rect">
            <a:avLst/>
          </a:prstGeom>
        </xdr:spPr>
      </xdr:pic>
      <xdr:pic>
        <xdr:nvPicPr>
          <xdr:cNvPr id="1580" name="Pokemon_273_Gauche">
            <a:extLst>
              <a:ext uri="{FF2B5EF4-FFF2-40B4-BE49-F238E27FC236}">
                <a16:creationId xmlns:a16="http://schemas.microsoft.com/office/drawing/2014/main" id="{00000000-0008-0000-0300-00002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6"/>
          <a:stretch>
            <a:fillRect/>
          </a:stretch>
        </xdr:blipFill>
        <xdr:spPr>
          <a:xfrm>
            <a:off x="260912719" y="2926080"/>
            <a:ext cx="917986" cy="932330"/>
          </a:xfrm>
          <a:prstGeom prst="rect">
            <a:avLst/>
          </a:prstGeom>
        </xdr:spPr>
      </xdr:pic>
      <xdr:pic>
        <xdr:nvPicPr>
          <xdr:cNvPr id="1581" name="Pokemon_274_Gauche">
            <a:extLst>
              <a:ext uri="{FF2B5EF4-FFF2-40B4-BE49-F238E27FC236}">
                <a16:creationId xmlns:a16="http://schemas.microsoft.com/office/drawing/2014/main" id="{00000000-0008-0000-0300-00002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7"/>
          <a:stretch>
            <a:fillRect/>
          </a:stretch>
        </xdr:blipFill>
        <xdr:spPr>
          <a:xfrm>
            <a:off x="261830716" y="2926080"/>
            <a:ext cx="917986" cy="932330"/>
          </a:xfrm>
          <a:prstGeom prst="rect">
            <a:avLst/>
          </a:prstGeom>
        </xdr:spPr>
      </xdr:pic>
      <xdr:pic>
        <xdr:nvPicPr>
          <xdr:cNvPr id="1582" name="Pokemon_275_Gauche">
            <a:extLst>
              <a:ext uri="{FF2B5EF4-FFF2-40B4-BE49-F238E27FC236}">
                <a16:creationId xmlns:a16="http://schemas.microsoft.com/office/drawing/2014/main" id="{00000000-0008-0000-0300-00002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8"/>
          <a:stretch>
            <a:fillRect/>
          </a:stretch>
        </xdr:blipFill>
        <xdr:spPr>
          <a:xfrm>
            <a:off x="262748713" y="2926080"/>
            <a:ext cx="917986" cy="932330"/>
          </a:xfrm>
          <a:prstGeom prst="rect">
            <a:avLst/>
          </a:prstGeom>
        </xdr:spPr>
      </xdr:pic>
      <xdr:pic>
        <xdr:nvPicPr>
          <xdr:cNvPr id="1583" name="Pokemon_276_Gauche">
            <a:extLst>
              <a:ext uri="{FF2B5EF4-FFF2-40B4-BE49-F238E27FC236}">
                <a16:creationId xmlns:a16="http://schemas.microsoft.com/office/drawing/2014/main" id="{00000000-0008-0000-0300-00002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9"/>
          <a:stretch>
            <a:fillRect/>
          </a:stretch>
        </xdr:blipFill>
        <xdr:spPr>
          <a:xfrm>
            <a:off x="263666709" y="2926080"/>
            <a:ext cx="917986" cy="932330"/>
          </a:xfrm>
          <a:prstGeom prst="rect">
            <a:avLst/>
          </a:prstGeom>
        </xdr:spPr>
      </xdr:pic>
      <xdr:pic>
        <xdr:nvPicPr>
          <xdr:cNvPr id="1584" name="Pokemon_277_Gauche">
            <a:extLst>
              <a:ext uri="{FF2B5EF4-FFF2-40B4-BE49-F238E27FC236}">
                <a16:creationId xmlns:a16="http://schemas.microsoft.com/office/drawing/2014/main" id="{00000000-0008-0000-0300-00003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0"/>
          <a:stretch>
            <a:fillRect/>
          </a:stretch>
        </xdr:blipFill>
        <xdr:spPr>
          <a:xfrm>
            <a:off x="264584706" y="2926080"/>
            <a:ext cx="917986" cy="932330"/>
          </a:xfrm>
          <a:prstGeom prst="rect">
            <a:avLst/>
          </a:prstGeom>
        </xdr:spPr>
      </xdr:pic>
      <xdr:pic>
        <xdr:nvPicPr>
          <xdr:cNvPr id="1585" name="Pokemon_278_Gauche">
            <a:extLst>
              <a:ext uri="{FF2B5EF4-FFF2-40B4-BE49-F238E27FC236}">
                <a16:creationId xmlns:a16="http://schemas.microsoft.com/office/drawing/2014/main" id="{00000000-0008-0000-0300-00003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1"/>
          <a:stretch>
            <a:fillRect/>
          </a:stretch>
        </xdr:blipFill>
        <xdr:spPr>
          <a:xfrm>
            <a:off x="265502703" y="2926080"/>
            <a:ext cx="917986" cy="932330"/>
          </a:xfrm>
          <a:prstGeom prst="rect">
            <a:avLst/>
          </a:prstGeom>
        </xdr:spPr>
      </xdr:pic>
      <xdr:pic>
        <xdr:nvPicPr>
          <xdr:cNvPr id="1586" name="Pokemon_279_Gauche">
            <a:extLst>
              <a:ext uri="{FF2B5EF4-FFF2-40B4-BE49-F238E27FC236}">
                <a16:creationId xmlns:a16="http://schemas.microsoft.com/office/drawing/2014/main" id="{00000000-0008-0000-0300-00003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2"/>
          <a:stretch>
            <a:fillRect/>
          </a:stretch>
        </xdr:blipFill>
        <xdr:spPr>
          <a:xfrm>
            <a:off x="266420699" y="2926080"/>
            <a:ext cx="917986" cy="932330"/>
          </a:xfrm>
          <a:prstGeom prst="rect">
            <a:avLst/>
          </a:prstGeom>
        </xdr:spPr>
      </xdr:pic>
      <xdr:pic>
        <xdr:nvPicPr>
          <xdr:cNvPr id="1587" name="Pokemon_280_Gauche">
            <a:extLst>
              <a:ext uri="{FF2B5EF4-FFF2-40B4-BE49-F238E27FC236}">
                <a16:creationId xmlns:a16="http://schemas.microsoft.com/office/drawing/2014/main" id="{00000000-0008-0000-0300-00003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3"/>
          <a:stretch>
            <a:fillRect/>
          </a:stretch>
        </xdr:blipFill>
        <xdr:spPr>
          <a:xfrm>
            <a:off x="267338696" y="2926080"/>
            <a:ext cx="917986" cy="932330"/>
          </a:xfrm>
          <a:prstGeom prst="rect">
            <a:avLst/>
          </a:prstGeom>
        </xdr:spPr>
      </xdr:pic>
      <xdr:pic>
        <xdr:nvPicPr>
          <xdr:cNvPr id="1588" name="Pokemon_281_Gauche">
            <a:extLst>
              <a:ext uri="{FF2B5EF4-FFF2-40B4-BE49-F238E27FC236}">
                <a16:creationId xmlns:a16="http://schemas.microsoft.com/office/drawing/2014/main" id="{00000000-0008-0000-0300-00003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4"/>
          <a:stretch>
            <a:fillRect/>
          </a:stretch>
        </xdr:blipFill>
        <xdr:spPr>
          <a:xfrm>
            <a:off x="268256693" y="2926080"/>
            <a:ext cx="917986" cy="932330"/>
          </a:xfrm>
          <a:prstGeom prst="rect">
            <a:avLst/>
          </a:prstGeom>
        </xdr:spPr>
      </xdr:pic>
      <xdr:pic>
        <xdr:nvPicPr>
          <xdr:cNvPr id="1589" name="Pokemon_282_Gauche">
            <a:extLst>
              <a:ext uri="{FF2B5EF4-FFF2-40B4-BE49-F238E27FC236}">
                <a16:creationId xmlns:a16="http://schemas.microsoft.com/office/drawing/2014/main" id="{00000000-0008-0000-0300-00003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5"/>
          <a:stretch>
            <a:fillRect/>
          </a:stretch>
        </xdr:blipFill>
        <xdr:spPr>
          <a:xfrm>
            <a:off x="269174689" y="2926080"/>
            <a:ext cx="917986" cy="932330"/>
          </a:xfrm>
          <a:prstGeom prst="rect">
            <a:avLst/>
          </a:prstGeom>
        </xdr:spPr>
      </xdr:pic>
      <xdr:pic>
        <xdr:nvPicPr>
          <xdr:cNvPr id="1590" name="Pokemon_283_Gauche">
            <a:extLst>
              <a:ext uri="{FF2B5EF4-FFF2-40B4-BE49-F238E27FC236}">
                <a16:creationId xmlns:a16="http://schemas.microsoft.com/office/drawing/2014/main" id="{00000000-0008-0000-0300-00003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6"/>
          <a:stretch>
            <a:fillRect/>
          </a:stretch>
        </xdr:blipFill>
        <xdr:spPr>
          <a:xfrm>
            <a:off x="270092686" y="2926080"/>
            <a:ext cx="917986" cy="932330"/>
          </a:xfrm>
          <a:prstGeom prst="rect">
            <a:avLst/>
          </a:prstGeom>
        </xdr:spPr>
      </xdr:pic>
      <xdr:pic>
        <xdr:nvPicPr>
          <xdr:cNvPr id="1591" name="Pokemon_284_Gauche">
            <a:extLst>
              <a:ext uri="{FF2B5EF4-FFF2-40B4-BE49-F238E27FC236}">
                <a16:creationId xmlns:a16="http://schemas.microsoft.com/office/drawing/2014/main" id="{00000000-0008-0000-0300-00003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7"/>
          <a:stretch>
            <a:fillRect/>
          </a:stretch>
        </xdr:blipFill>
        <xdr:spPr>
          <a:xfrm>
            <a:off x="271010658" y="2926080"/>
            <a:ext cx="917986" cy="932330"/>
          </a:xfrm>
          <a:prstGeom prst="rect">
            <a:avLst/>
          </a:prstGeom>
        </xdr:spPr>
      </xdr:pic>
      <xdr:pic>
        <xdr:nvPicPr>
          <xdr:cNvPr id="1592" name="Pokemon_285_Gauche">
            <a:extLst>
              <a:ext uri="{FF2B5EF4-FFF2-40B4-BE49-F238E27FC236}">
                <a16:creationId xmlns:a16="http://schemas.microsoft.com/office/drawing/2014/main" id="{00000000-0008-0000-0300-00003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8"/>
          <a:stretch>
            <a:fillRect/>
          </a:stretch>
        </xdr:blipFill>
        <xdr:spPr>
          <a:xfrm>
            <a:off x="271928654" y="2926080"/>
            <a:ext cx="917986" cy="932330"/>
          </a:xfrm>
          <a:prstGeom prst="rect">
            <a:avLst/>
          </a:prstGeom>
        </xdr:spPr>
      </xdr:pic>
      <xdr:pic>
        <xdr:nvPicPr>
          <xdr:cNvPr id="1593" name="Pokemon_286_Gauche">
            <a:extLst>
              <a:ext uri="{FF2B5EF4-FFF2-40B4-BE49-F238E27FC236}">
                <a16:creationId xmlns:a16="http://schemas.microsoft.com/office/drawing/2014/main" id="{00000000-0008-0000-0300-00003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9"/>
          <a:stretch>
            <a:fillRect/>
          </a:stretch>
        </xdr:blipFill>
        <xdr:spPr>
          <a:xfrm>
            <a:off x="272846626" y="2926080"/>
            <a:ext cx="917986" cy="932330"/>
          </a:xfrm>
          <a:prstGeom prst="rect">
            <a:avLst/>
          </a:prstGeom>
        </xdr:spPr>
      </xdr:pic>
      <xdr:pic>
        <xdr:nvPicPr>
          <xdr:cNvPr id="1594" name="Pokemon_287_Gauche">
            <a:extLst>
              <a:ext uri="{FF2B5EF4-FFF2-40B4-BE49-F238E27FC236}">
                <a16:creationId xmlns:a16="http://schemas.microsoft.com/office/drawing/2014/main" id="{00000000-0008-0000-0300-00003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0"/>
          <a:stretch>
            <a:fillRect/>
          </a:stretch>
        </xdr:blipFill>
        <xdr:spPr>
          <a:xfrm>
            <a:off x="273764623" y="2926080"/>
            <a:ext cx="917986" cy="932330"/>
          </a:xfrm>
          <a:prstGeom prst="rect">
            <a:avLst/>
          </a:prstGeom>
        </xdr:spPr>
      </xdr:pic>
      <xdr:pic>
        <xdr:nvPicPr>
          <xdr:cNvPr id="1595" name="Pokemon_288_Gauche">
            <a:extLst>
              <a:ext uri="{FF2B5EF4-FFF2-40B4-BE49-F238E27FC236}">
                <a16:creationId xmlns:a16="http://schemas.microsoft.com/office/drawing/2014/main" id="{00000000-0008-0000-0300-00003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1"/>
          <a:stretch>
            <a:fillRect/>
          </a:stretch>
        </xdr:blipFill>
        <xdr:spPr>
          <a:xfrm>
            <a:off x="274682595" y="2926080"/>
            <a:ext cx="917986" cy="932330"/>
          </a:xfrm>
          <a:prstGeom prst="rect">
            <a:avLst/>
          </a:prstGeom>
        </xdr:spPr>
      </xdr:pic>
      <xdr:pic>
        <xdr:nvPicPr>
          <xdr:cNvPr id="1596" name="Pokemon_289_Gauche">
            <a:extLst>
              <a:ext uri="{FF2B5EF4-FFF2-40B4-BE49-F238E27FC236}">
                <a16:creationId xmlns:a16="http://schemas.microsoft.com/office/drawing/2014/main" id="{00000000-0008-0000-0300-00003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2"/>
          <a:stretch>
            <a:fillRect/>
          </a:stretch>
        </xdr:blipFill>
        <xdr:spPr>
          <a:xfrm>
            <a:off x="275600592" y="2926080"/>
            <a:ext cx="917986" cy="932330"/>
          </a:xfrm>
          <a:prstGeom prst="rect">
            <a:avLst/>
          </a:prstGeom>
        </xdr:spPr>
      </xdr:pic>
      <xdr:pic>
        <xdr:nvPicPr>
          <xdr:cNvPr id="1597" name="Pokemon_290_Gauche">
            <a:extLst>
              <a:ext uri="{FF2B5EF4-FFF2-40B4-BE49-F238E27FC236}">
                <a16:creationId xmlns:a16="http://schemas.microsoft.com/office/drawing/2014/main" id="{00000000-0008-0000-0300-00003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3"/>
          <a:stretch>
            <a:fillRect/>
          </a:stretch>
        </xdr:blipFill>
        <xdr:spPr>
          <a:xfrm>
            <a:off x="276518563" y="2926080"/>
            <a:ext cx="917986" cy="932330"/>
          </a:xfrm>
          <a:prstGeom prst="rect">
            <a:avLst/>
          </a:prstGeom>
        </xdr:spPr>
      </xdr:pic>
      <xdr:pic>
        <xdr:nvPicPr>
          <xdr:cNvPr id="1598" name="Pokemon_291_Gauche">
            <a:extLst>
              <a:ext uri="{FF2B5EF4-FFF2-40B4-BE49-F238E27FC236}">
                <a16:creationId xmlns:a16="http://schemas.microsoft.com/office/drawing/2014/main" id="{00000000-0008-0000-0300-00003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4"/>
          <a:stretch>
            <a:fillRect/>
          </a:stretch>
        </xdr:blipFill>
        <xdr:spPr>
          <a:xfrm>
            <a:off x="277436560" y="2926080"/>
            <a:ext cx="917986" cy="932330"/>
          </a:xfrm>
          <a:prstGeom prst="rect">
            <a:avLst/>
          </a:prstGeom>
        </xdr:spPr>
      </xdr:pic>
      <xdr:pic>
        <xdr:nvPicPr>
          <xdr:cNvPr id="1599" name="Pokemon_292_Gauche">
            <a:extLst>
              <a:ext uri="{FF2B5EF4-FFF2-40B4-BE49-F238E27FC236}">
                <a16:creationId xmlns:a16="http://schemas.microsoft.com/office/drawing/2014/main" id="{00000000-0008-0000-0300-00003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5"/>
          <a:stretch>
            <a:fillRect/>
          </a:stretch>
        </xdr:blipFill>
        <xdr:spPr>
          <a:xfrm>
            <a:off x="278354532" y="2926080"/>
            <a:ext cx="917986" cy="932330"/>
          </a:xfrm>
          <a:prstGeom prst="rect">
            <a:avLst/>
          </a:prstGeom>
        </xdr:spPr>
      </xdr:pic>
      <xdr:pic>
        <xdr:nvPicPr>
          <xdr:cNvPr id="1600" name="Pokemon_293_Gauche">
            <a:extLst>
              <a:ext uri="{FF2B5EF4-FFF2-40B4-BE49-F238E27FC236}">
                <a16:creationId xmlns:a16="http://schemas.microsoft.com/office/drawing/2014/main" id="{00000000-0008-0000-0300-00004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6"/>
          <a:stretch>
            <a:fillRect/>
          </a:stretch>
        </xdr:blipFill>
        <xdr:spPr>
          <a:xfrm>
            <a:off x="279272529" y="2926080"/>
            <a:ext cx="917986" cy="932330"/>
          </a:xfrm>
          <a:prstGeom prst="rect">
            <a:avLst/>
          </a:prstGeom>
        </xdr:spPr>
      </xdr:pic>
      <xdr:pic>
        <xdr:nvPicPr>
          <xdr:cNvPr id="1601" name="Pokemon_294_Gauche">
            <a:extLst>
              <a:ext uri="{FF2B5EF4-FFF2-40B4-BE49-F238E27FC236}">
                <a16:creationId xmlns:a16="http://schemas.microsoft.com/office/drawing/2014/main" id="{00000000-0008-0000-0300-00004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7"/>
          <a:stretch>
            <a:fillRect/>
          </a:stretch>
        </xdr:blipFill>
        <xdr:spPr>
          <a:xfrm>
            <a:off x="280190550" y="2926080"/>
            <a:ext cx="917986" cy="932330"/>
          </a:xfrm>
          <a:prstGeom prst="rect">
            <a:avLst/>
          </a:prstGeom>
        </xdr:spPr>
      </xdr:pic>
      <xdr:pic>
        <xdr:nvPicPr>
          <xdr:cNvPr id="1602" name="Pokemon_295_Gauche">
            <a:extLst>
              <a:ext uri="{FF2B5EF4-FFF2-40B4-BE49-F238E27FC236}">
                <a16:creationId xmlns:a16="http://schemas.microsoft.com/office/drawing/2014/main" id="{00000000-0008-0000-0300-00004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8"/>
          <a:stretch>
            <a:fillRect/>
          </a:stretch>
        </xdr:blipFill>
        <xdr:spPr>
          <a:xfrm>
            <a:off x="281108547" y="2926080"/>
            <a:ext cx="917986" cy="932330"/>
          </a:xfrm>
          <a:prstGeom prst="rect">
            <a:avLst/>
          </a:prstGeom>
        </xdr:spPr>
      </xdr:pic>
      <xdr:pic>
        <xdr:nvPicPr>
          <xdr:cNvPr id="1603" name="Pokemon_296_Gauche">
            <a:extLst>
              <a:ext uri="{FF2B5EF4-FFF2-40B4-BE49-F238E27FC236}">
                <a16:creationId xmlns:a16="http://schemas.microsoft.com/office/drawing/2014/main" id="{00000000-0008-0000-0300-00004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9"/>
          <a:stretch>
            <a:fillRect/>
          </a:stretch>
        </xdr:blipFill>
        <xdr:spPr>
          <a:xfrm>
            <a:off x="282026544" y="2926080"/>
            <a:ext cx="917986" cy="932330"/>
          </a:xfrm>
          <a:prstGeom prst="rect">
            <a:avLst/>
          </a:prstGeom>
        </xdr:spPr>
      </xdr:pic>
      <xdr:pic>
        <xdr:nvPicPr>
          <xdr:cNvPr id="1604" name="Pokemon_297_Gauche">
            <a:extLst>
              <a:ext uri="{FF2B5EF4-FFF2-40B4-BE49-F238E27FC236}">
                <a16:creationId xmlns:a16="http://schemas.microsoft.com/office/drawing/2014/main" id="{00000000-0008-0000-0300-00004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0"/>
          <a:stretch>
            <a:fillRect/>
          </a:stretch>
        </xdr:blipFill>
        <xdr:spPr>
          <a:xfrm>
            <a:off x="282944565" y="2926080"/>
            <a:ext cx="917986" cy="932330"/>
          </a:xfrm>
          <a:prstGeom prst="rect">
            <a:avLst/>
          </a:prstGeom>
        </xdr:spPr>
      </xdr:pic>
      <xdr:pic>
        <xdr:nvPicPr>
          <xdr:cNvPr id="1605" name="Pokemon_298_Gauche">
            <a:extLst>
              <a:ext uri="{FF2B5EF4-FFF2-40B4-BE49-F238E27FC236}">
                <a16:creationId xmlns:a16="http://schemas.microsoft.com/office/drawing/2014/main" id="{00000000-0008-0000-0300-00004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1"/>
          <a:stretch>
            <a:fillRect/>
          </a:stretch>
        </xdr:blipFill>
        <xdr:spPr>
          <a:xfrm>
            <a:off x="283862562" y="2926080"/>
            <a:ext cx="917986" cy="932330"/>
          </a:xfrm>
          <a:prstGeom prst="rect">
            <a:avLst/>
          </a:prstGeom>
        </xdr:spPr>
      </xdr:pic>
      <xdr:pic>
        <xdr:nvPicPr>
          <xdr:cNvPr id="1606" name="Pokemon_299_Gauche">
            <a:extLst>
              <a:ext uri="{FF2B5EF4-FFF2-40B4-BE49-F238E27FC236}">
                <a16:creationId xmlns:a16="http://schemas.microsoft.com/office/drawing/2014/main" id="{00000000-0008-0000-0300-00004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2"/>
          <a:stretch>
            <a:fillRect/>
          </a:stretch>
        </xdr:blipFill>
        <xdr:spPr>
          <a:xfrm>
            <a:off x="284780558" y="2926080"/>
            <a:ext cx="917986" cy="932330"/>
          </a:xfrm>
          <a:prstGeom prst="rect">
            <a:avLst/>
          </a:prstGeom>
        </xdr:spPr>
      </xdr:pic>
      <xdr:pic>
        <xdr:nvPicPr>
          <xdr:cNvPr id="1607" name="Pokemon_300_Gauche">
            <a:extLst>
              <a:ext uri="{FF2B5EF4-FFF2-40B4-BE49-F238E27FC236}">
                <a16:creationId xmlns:a16="http://schemas.microsoft.com/office/drawing/2014/main" id="{00000000-0008-0000-0300-00004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3"/>
          <a:stretch>
            <a:fillRect/>
          </a:stretch>
        </xdr:blipFill>
        <xdr:spPr>
          <a:xfrm>
            <a:off x="285698530" y="2926080"/>
            <a:ext cx="917986" cy="932330"/>
          </a:xfrm>
          <a:prstGeom prst="rect">
            <a:avLst/>
          </a:prstGeom>
        </xdr:spPr>
      </xdr:pic>
      <xdr:pic>
        <xdr:nvPicPr>
          <xdr:cNvPr id="1608" name="Pokemon_301_Gauche">
            <a:extLst>
              <a:ext uri="{FF2B5EF4-FFF2-40B4-BE49-F238E27FC236}">
                <a16:creationId xmlns:a16="http://schemas.microsoft.com/office/drawing/2014/main" id="{00000000-0008-0000-0300-00004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4"/>
          <a:stretch>
            <a:fillRect/>
          </a:stretch>
        </xdr:blipFill>
        <xdr:spPr>
          <a:xfrm>
            <a:off x="286616527" y="2926080"/>
            <a:ext cx="917986" cy="932330"/>
          </a:xfrm>
          <a:prstGeom prst="rect">
            <a:avLst/>
          </a:prstGeom>
        </xdr:spPr>
      </xdr:pic>
      <xdr:pic>
        <xdr:nvPicPr>
          <xdr:cNvPr id="1609" name="Pokemon_302_Gauche">
            <a:extLst>
              <a:ext uri="{FF2B5EF4-FFF2-40B4-BE49-F238E27FC236}">
                <a16:creationId xmlns:a16="http://schemas.microsoft.com/office/drawing/2014/main" id="{00000000-0008-0000-0300-00004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5"/>
          <a:stretch>
            <a:fillRect/>
          </a:stretch>
        </xdr:blipFill>
        <xdr:spPr>
          <a:xfrm>
            <a:off x="287534499" y="2926080"/>
            <a:ext cx="917986" cy="932330"/>
          </a:xfrm>
          <a:prstGeom prst="rect">
            <a:avLst/>
          </a:prstGeom>
        </xdr:spPr>
      </xdr:pic>
      <xdr:pic>
        <xdr:nvPicPr>
          <xdr:cNvPr id="1610" name="Pokemon_303_Gauche">
            <a:extLst>
              <a:ext uri="{FF2B5EF4-FFF2-40B4-BE49-F238E27FC236}">
                <a16:creationId xmlns:a16="http://schemas.microsoft.com/office/drawing/2014/main" id="{00000000-0008-0000-0300-00004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6"/>
          <a:stretch>
            <a:fillRect/>
          </a:stretch>
        </xdr:blipFill>
        <xdr:spPr>
          <a:xfrm>
            <a:off x="288452496" y="2926080"/>
            <a:ext cx="917986" cy="932330"/>
          </a:xfrm>
          <a:prstGeom prst="rect">
            <a:avLst/>
          </a:prstGeom>
        </xdr:spPr>
      </xdr:pic>
      <xdr:pic>
        <xdr:nvPicPr>
          <xdr:cNvPr id="1611" name="Pokemon_304_Gauche">
            <a:extLst>
              <a:ext uri="{FF2B5EF4-FFF2-40B4-BE49-F238E27FC236}">
                <a16:creationId xmlns:a16="http://schemas.microsoft.com/office/drawing/2014/main" id="{00000000-0008-0000-0300-00004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7"/>
          <a:stretch>
            <a:fillRect/>
          </a:stretch>
        </xdr:blipFill>
        <xdr:spPr>
          <a:xfrm>
            <a:off x="289370467" y="2926080"/>
            <a:ext cx="917986" cy="932330"/>
          </a:xfrm>
          <a:prstGeom prst="rect">
            <a:avLst/>
          </a:prstGeom>
        </xdr:spPr>
      </xdr:pic>
      <xdr:pic>
        <xdr:nvPicPr>
          <xdr:cNvPr id="1612" name="Pokemon_305_Gauche">
            <a:extLst>
              <a:ext uri="{FF2B5EF4-FFF2-40B4-BE49-F238E27FC236}">
                <a16:creationId xmlns:a16="http://schemas.microsoft.com/office/drawing/2014/main" id="{00000000-0008-0000-0300-00004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8"/>
          <a:stretch>
            <a:fillRect/>
          </a:stretch>
        </xdr:blipFill>
        <xdr:spPr>
          <a:xfrm>
            <a:off x="290288464" y="2926080"/>
            <a:ext cx="917986" cy="932330"/>
          </a:xfrm>
          <a:prstGeom prst="rect">
            <a:avLst/>
          </a:prstGeom>
        </xdr:spPr>
      </xdr:pic>
      <xdr:pic>
        <xdr:nvPicPr>
          <xdr:cNvPr id="1613" name="Pokemon_306_Gauche">
            <a:extLst>
              <a:ext uri="{FF2B5EF4-FFF2-40B4-BE49-F238E27FC236}">
                <a16:creationId xmlns:a16="http://schemas.microsoft.com/office/drawing/2014/main" id="{00000000-0008-0000-0300-00004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9"/>
          <a:stretch>
            <a:fillRect/>
          </a:stretch>
        </xdr:blipFill>
        <xdr:spPr>
          <a:xfrm>
            <a:off x="291206436" y="2926080"/>
            <a:ext cx="917986" cy="932330"/>
          </a:xfrm>
          <a:prstGeom prst="rect">
            <a:avLst/>
          </a:prstGeom>
        </xdr:spPr>
      </xdr:pic>
      <xdr:pic>
        <xdr:nvPicPr>
          <xdr:cNvPr id="1614" name="Pokemon_307_Gauche">
            <a:extLst>
              <a:ext uri="{FF2B5EF4-FFF2-40B4-BE49-F238E27FC236}">
                <a16:creationId xmlns:a16="http://schemas.microsoft.com/office/drawing/2014/main" id="{00000000-0008-0000-0300-00004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0"/>
          <a:stretch>
            <a:fillRect/>
          </a:stretch>
        </xdr:blipFill>
        <xdr:spPr>
          <a:xfrm>
            <a:off x="292124433" y="2926080"/>
            <a:ext cx="917986" cy="932330"/>
          </a:xfrm>
          <a:prstGeom prst="rect">
            <a:avLst/>
          </a:prstGeom>
        </xdr:spPr>
      </xdr:pic>
      <xdr:pic>
        <xdr:nvPicPr>
          <xdr:cNvPr id="1615" name="Pokemon_308_Gauche">
            <a:extLst>
              <a:ext uri="{FF2B5EF4-FFF2-40B4-BE49-F238E27FC236}">
                <a16:creationId xmlns:a16="http://schemas.microsoft.com/office/drawing/2014/main" id="{00000000-0008-0000-0300-00004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1"/>
          <a:stretch>
            <a:fillRect/>
          </a:stretch>
        </xdr:blipFill>
        <xdr:spPr>
          <a:xfrm>
            <a:off x="293042454" y="2926080"/>
            <a:ext cx="917986" cy="932330"/>
          </a:xfrm>
          <a:prstGeom prst="rect">
            <a:avLst/>
          </a:prstGeom>
        </xdr:spPr>
      </xdr:pic>
      <xdr:pic>
        <xdr:nvPicPr>
          <xdr:cNvPr id="1616" name="Pokemon_309_Gauche">
            <a:extLst>
              <a:ext uri="{FF2B5EF4-FFF2-40B4-BE49-F238E27FC236}">
                <a16:creationId xmlns:a16="http://schemas.microsoft.com/office/drawing/2014/main" id="{00000000-0008-0000-0300-00005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2"/>
          <a:stretch>
            <a:fillRect/>
          </a:stretch>
        </xdr:blipFill>
        <xdr:spPr>
          <a:xfrm>
            <a:off x="293960451" y="2926080"/>
            <a:ext cx="917986" cy="932330"/>
          </a:xfrm>
          <a:prstGeom prst="rect">
            <a:avLst/>
          </a:prstGeom>
        </xdr:spPr>
      </xdr:pic>
      <xdr:pic>
        <xdr:nvPicPr>
          <xdr:cNvPr id="1617" name="Pokemon_310_Gauche">
            <a:extLst>
              <a:ext uri="{FF2B5EF4-FFF2-40B4-BE49-F238E27FC236}">
                <a16:creationId xmlns:a16="http://schemas.microsoft.com/office/drawing/2014/main" id="{00000000-0008-0000-0300-00005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3"/>
          <a:stretch>
            <a:fillRect/>
          </a:stretch>
        </xdr:blipFill>
        <xdr:spPr>
          <a:xfrm>
            <a:off x="294878447" y="2926080"/>
            <a:ext cx="917986" cy="932330"/>
          </a:xfrm>
          <a:prstGeom prst="rect">
            <a:avLst/>
          </a:prstGeom>
        </xdr:spPr>
      </xdr:pic>
      <xdr:pic>
        <xdr:nvPicPr>
          <xdr:cNvPr id="1618" name="Pokemon_311_Gauche">
            <a:extLst>
              <a:ext uri="{FF2B5EF4-FFF2-40B4-BE49-F238E27FC236}">
                <a16:creationId xmlns:a16="http://schemas.microsoft.com/office/drawing/2014/main" id="{00000000-0008-0000-0300-00005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4"/>
          <a:stretch>
            <a:fillRect/>
          </a:stretch>
        </xdr:blipFill>
        <xdr:spPr>
          <a:xfrm>
            <a:off x="295796419" y="2926080"/>
            <a:ext cx="917986" cy="932330"/>
          </a:xfrm>
          <a:prstGeom prst="rect">
            <a:avLst/>
          </a:prstGeom>
        </xdr:spPr>
      </xdr:pic>
      <xdr:pic>
        <xdr:nvPicPr>
          <xdr:cNvPr id="1619" name="Pokemon_312_Gauche">
            <a:extLst>
              <a:ext uri="{FF2B5EF4-FFF2-40B4-BE49-F238E27FC236}">
                <a16:creationId xmlns:a16="http://schemas.microsoft.com/office/drawing/2014/main" id="{00000000-0008-0000-0300-00005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5"/>
          <a:stretch>
            <a:fillRect/>
          </a:stretch>
        </xdr:blipFill>
        <xdr:spPr>
          <a:xfrm>
            <a:off x="296714416" y="2926080"/>
            <a:ext cx="917986" cy="932330"/>
          </a:xfrm>
          <a:prstGeom prst="rect">
            <a:avLst/>
          </a:prstGeom>
        </xdr:spPr>
      </xdr:pic>
      <xdr:pic>
        <xdr:nvPicPr>
          <xdr:cNvPr id="1620" name="Pokemon_313_Gauche">
            <a:extLst>
              <a:ext uri="{FF2B5EF4-FFF2-40B4-BE49-F238E27FC236}">
                <a16:creationId xmlns:a16="http://schemas.microsoft.com/office/drawing/2014/main" id="{00000000-0008-0000-0300-00005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6"/>
          <a:stretch>
            <a:fillRect/>
          </a:stretch>
        </xdr:blipFill>
        <xdr:spPr>
          <a:xfrm>
            <a:off x="297632438" y="2926080"/>
            <a:ext cx="917986" cy="932330"/>
          </a:xfrm>
          <a:prstGeom prst="rect">
            <a:avLst/>
          </a:prstGeom>
        </xdr:spPr>
      </xdr:pic>
      <xdr:pic>
        <xdr:nvPicPr>
          <xdr:cNvPr id="1621" name="Pokemon_314_Gauche">
            <a:extLst>
              <a:ext uri="{FF2B5EF4-FFF2-40B4-BE49-F238E27FC236}">
                <a16:creationId xmlns:a16="http://schemas.microsoft.com/office/drawing/2014/main" id="{00000000-0008-0000-0300-00005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7"/>
          <a:stretch>
            <a:fillRect/>
          </a:stretch>
        </xdr:blipFill>
        <xdr:spPr>
          <a:xfrm>
            <a:off x="298550434" y="2926080"/>
            <a:ext cx="917986" cy="932330"/>
          </a:xfrm>
          <a:prstGeom prst="rect">
            <a:avLst/>
          </a:prstGeom>
        </xdr:spPr>
      </xdr:pic>
      <xdr:pic>
        <xdr:nvPicPr>
          <xdr:cNvPr id="1622" name="Pokemon_315_Gauche">
            <a:extLst>
              <a:ext uri="{FF2B5EF4-FFF2-40B4-BE49-F238E27FC236}">
                <a16:creationId xmlns:a16="http://schemas.microsoft.com/office/drawing/2014/main" id="{00000000-0008-0000-0300-00005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8"/>
          <a:stretch>
            <a:fillRect/>
          </a:stretch>
        </xdr:blipFill>
        <xdr:spPr>
          <a:xfrm>
            <a:off x="299468431" y="2926080"/>
            <a:ext cx="917986" cy="932330"/>
          </a:xfrm>
          <a:prstGeom prst="rect">
            <a:avLst/>
          </a:prstGeom>
        </xdr:spPr>
      </xdr:pic>
      <xdr:pic>
        <xdr:nvPicPr>
          <xdr:cNvPr id="1623" name="Pokemon_316_Gauche">
            <a:extLst>
              <a:ext uri="{FF2B5EF4-FFF2-40B4-BE49-F238E27FC236}">
                <a16:creationId xmlns:a16="http://schemas.microsoft.com/office/drawing/2014/main" id="{00000000-0008-0000-0300-00005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9"/>
          <a:stretch>
            <a:fillRect/>
          </a:stretch>
        </xdr:blipFill>
        <xdr:spPr>
          <a:xfrm>
            <a:off x="300386403" y="2926080"/>
            <a:ext cx="917986" cy="932330"/>
          </a:xfrm>
          <a:prstGeom prst="rect">
            <a:avLst/>
          </a:prstGeom>
        </xdr:spPr>
      </xdr:pic>
      <xdr:pic>
        <xdr:nvPicPr>
          <xdr:cNvPr id="1624" name="Pokemon_317_Gauche">
            <a:extLst>
              <a:ext uri="{FF2B5EF4-FFF2-40B4-BE49-F238E27FC236}">
                <a16:creationId xmlns:a16="http://schemas.microsoft.com/office/drawing/2014/main" id="{00000000-0008-0000-0300-00005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0"/>
          <a:stretch>
            <a:fillRect/>
          </a:stretch>
        </xdr:blipFill>
        <xdr:spPr>
          <a:xfrm>
            <a:off x="301304399" y="2926080"/>
            <a:ext cx="917986" cy="932330"/>
          </a:xfrm>
          <a:prstGeom prst="rect">
            <a:avLst/>
          </a:prstGeom>
        </xdr:spPr>
      </xdr:pic>
      <xdr:pic>
        <xdr:nvPicPr>
          <xdr:cNvPr id="1625" name="Pokemon_318_Gauche">
            <a:extLst>
              <a:ext uri="{FF2B5EF4-FFF2-40B4-BE49-F238E27FC236}">
                <a16:creationId xmlns:a16="http://schemas.microsoft.com/office/drawing/2014/main" id="{00000000-0008-0000-0300-00005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1"/>
          <a:stretch>
            <a:fillRect/>
          </a:stretch>
        </xdr:blipFill>
        <xdr:spPr>
          <a:xfrm>
            <a:off x="302222371" y="2926080"/>
            <a:ext cx="917986" cy="932330"/>
          </a:xfrm>
          <a:prstGeom prst="rect">
            <a:avLst/>
          </a:prstGeom>
        </xdr:spPr>
      </xdr:pic>
      <xdr:pic>
        <xdr:nvPicPr>
          <xdr:cNvPr id="1626" name="Pokemon_319_Gauche">
            <a:extLst>
              <a:ext uri="{FF2B5EF4-FFF2-40B4-BE49-F238E27FC236}">
                <a16:creationId xmlns:a16="http://schemas.microsoft.com/office/drawing/2014/main" id="{00000000-0008-0000-0300-00005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2"/>
          <a:stretch>
            <a:fillRect/>
          </a:stretch>
        </xdr:blipFill>
        <xdr:spPr>
          <a:xfrm>
            <a:off x="303140368" y="2926080"/>
            <a:ext cx="917986" cy="932330"/>
          </a:xfrm>
          <a:prstGeom prst="rect">
            <a:avLst/>
          </a:prstGeom>
        </xdr:spPr>
      </xdr:pic>
      <xdr:pic>
        <xdr:nvPicPr>
          <xdr:cNvPr id="1627" name="Pokemon_320_Gauche">
            <a:extLst>
              <a:ext uri="{FF2B5EF4-FFF2-40B4-BE49-F238E27FC236}">
                <a16:creationId xmlns:a16="http://schemas.microsoft.com/office/drawing/2014/main" id="{00000000-0008-0000-0300-00005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3"/>
          <a:stretch>
            <a:fillRect/>
          </a:stretch>
        </xdr:blipFill>
        <xdr:spPr>
          <a:xfrm>
            <a:off x="304058340" y="2926080"/>
            <a:ext cx="917986" cy="932330"/>
          </a:xfrm>
          <a:prstGeom prst="rect">
            <a:avLst/>
          </a:prstGeom>
        </xdr:spPr>
      </xdr:pic>
      <xdr:pic>
        <xdr:nvPicPr>
          <xdr:cNvPr id="1628" name="Pokemon_321_Gauche">
            <a:extLst>
              <a:ext uri="{FF2B5EF4-FFF2-40B4-BE49-F238E27FC236}">
                <a16:creationId xmlns:a16="http://schemas.microsoft.com/office/drawing/2014/main" id="{00000000-0008-0000-0300-00005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4"/>
          <a:stretch>
            <a:fillRect/>
          </a:stretch>
        </xdr:blipFill>
        <xdr:spPr>
          <a:xfrm>
            <a:off x="304976337" y="2926080"/>
            <a:ext cx="917986" cy="932330"/>
          </a:xfrm>
          <a:prstGeom prst="rect">
            <a:avLst/>
          </a:prstGeom>
        </xdr:spPr>
      </xdr:pic>
      <xdr:pic>
        <xdr:nvPicPr>
          <xdr:cNvPr id="1629" name="Pokemon_322_Gauche">
            <a:extLst>
              <a:ext uri="{FF2B5EF4-FFF2-40B4-BE49-F238E27FC236}">
                <a16:creationId xmlns:a16="http://schemas.microsoft.com/office/drawing/2014/main" id="{00000000-0008-0000-0300-00005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5"/>
          <a:stretch>
            <a:fillRect/>
          </a:stretch>
        </xdr:blipFill>
        <xdr:spPr>
          <a:xfrm>
            <a:off x="305894358" y="2926080"/>
            <a:ext cx="917986" cy="932330"/>
          </a:xfrm>
          <a:prstGeom prst="rect">
            <a:avLst/>
          </a:prstGeom>
        </xdr:spPr>
      </xdr:pic>
      <xdr:pic>
        <xdr:nvPicPr>
          <xdr:cNvPr id="1630" name="Pokemon_323_Gauche">
            <a:extLst>
              <a:ext uri="{FF2B5EF4-FFF2-40B4-BE49-F238E27FC236}">
                <a16:creationId xmlns:a16="http://schemas.microsoft.com/office/drawing/2014/main" id="{00000000-0008-0000-0300-00005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6"/>
          <a:stretch>
            <a:fillRect/>
          </a:stretch>
        </xdr:blipFill>
        <xdr:spPr>
          <a:xfrm>
            <a:off x="306812355" y="2926080"/>
            <a:ext cx="917986" cy="932330"/>
          </a:xfrm>
          <a:prstGeom prst="rect">
            <a:avLst/>
          </a:prstGeom>
        </xdr:spPr>
      </xdr:pic>
      <xdr:pic>
        <xdr:nvPicPr>
          <xdr:cNvPr id="1631" name="Pokemon_324_Gauche">
            <a:extLst>
              <a:ext uri="{FF2B5EF4-FFF2-40B4-BE49-F238E27FC236}">
                <a16:creationId xmlns:a16="http://schemas.microsoft.com/office/drawing/2014/main" id="{00000000-0008-0000-0300-00005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7"/>
          <a:stretch>
            <a:fillRect/>
          </a:stretch>
        </xdr:blipFill>
        <xdr:spPr>
          <a:xfrm>
            <a:off x="307730351" y="2926080"/>
            <a:ext cx="917986" cy="932330"/>
          </a:xfrm>
          <a:prstGeom prst="rect">
            <a:avLst/>
          </a:prstGeom>
        </xdr:spPr>
      </xdr:pic>
      <xdr:pic>
        <xdr:nvPicPr>
          <xdr:cNvPr id="1632" name="Pokemon_325_Gauche">
            <a:extLst>
              <a:ext uri="{FF2B5EF4-FFF2-40B4-BE49-F238E27FC236}">
                <a16:creationId xmlns:a16="http://schemas.microsoft.com/office/drawing/2014/main" id="{00000000-0008-0000-0300-00006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8"/>
          <a:stretch>
            <a:fillRect/>
          </a:stretch>
        </xdr:blipFill>
        <xdr:spPr>
          <a:xfrm>
            <a:off x="308648323" y="2926080"/>
            <a:ext cx="917986" cy="932330"/>
          </a:xfrm>
          <a:prstGeom prst="rect">
            <a:avLst/>
          </a:prstGeom>
        </xdr:spPr>
      </xdr:pic>
      <xdr:pic>
        <xdr:nvPicPr>
          <xdr:cNvPr id="1633" name="Pokemon_326_Gauche">
            <a:extLst>
              <a:ext uri="{FF2B5EF4-FFF2-40B4-BE49-F238E27FC236}">
                <a16:creationId xmlns:a16="http://schemas.microsoft.com/office/drawing/2014/main" id="{00000000-0008-0000-0300-00006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9"/>
          <a:stretch>
            <a:fillRect/>
          </a:stretch>
        </xdr:blipFill>
        <xdr:spPr>
          <a:xfrm>
            <a:off x="309566320" y="2926080"/>
            <a:ext cx="917986" cy="932330"/>
          </a:xfrm>
          <a:prstGeom prst="rect">
            <a:avLst/>
          </a:prstGeom>
        </xdr:spPr>
      </xdr:pic>
      <xdr:pic>
        <xdr:nvPicPr>
          <xdr:cNvPr id="1634" name="Pokemon_327_Gauche">
            <a:extLst>
              <a:ext uri="{FF2B5EF4-FFF2-40B4-BE49-F238E27FC236}">
                <a16:creationId xmlns:a16="http://schemas.microsoft.com/office/drawing/2014/main" id="{00000000-0008-0000-0300-00006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0"/>
          <a:stretch>
            <a:fillRect/>
          </a:stretch>
        </xdr:blipFill>
        <xdr:spPr>
          <a:xfrm>
            <a:off x="310484341" y="2926080"/>
            <a:ext cx="917986" cy="932330"/>
          </a:xfrm>
          <a:prstGeom prst="rect">
            <a:avLst/>
          </a:prstGeom>
        </xdr:spPr>
      </xdr:pic>
      <xdr:pic>
        <xdr:nvPicPr>
          <xdr:cNvPr id="1635" name="Pokemon_328_Gauche">
            <a:extLst>
              <a:ext uri="{FF2B5EF4-FFF2-40B4-BE49-F238E27FC236}">
                <a16:creationId xmlns:a16="http://schemas.microsoft.com/office/drawing/2014/main" id="{00000000-0008-0000-0300-00006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1"/>
          <a:stretch>
            <a:fillRect/>
          </a:stretch>
        </xdr:blipFill>
        <xdr:spPr>
          <a:xfrm>
            <a:off x="311402338" y="2926080"/>
            <a:ext cx="917986" cy="932330"/>
          </a:xfrm>
          <a:prstGeom prst="rect">
            <a:avLst/>
          </a:prstGeom>
        </xdr:spPr>
      </xdr:pic>
      <xdr:pic>
        <xdr:nvPicPr>
          <xdr:cNvPr id="1636" name="Pokemon_329_Gauche">
            <a:extLst>
              <a:ext uri="{FF2B5EF4-FFF2-40B4-BE49-F238E27FC236}">
                <a16:creationId xmlns:a16="http://schemas.microsoft.com/office/drawing/2014/main" id="{00000000-0008-0000-0300-00006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2"/>
          <a:stretch>
            <a:fillRect/>
          </a:stretch>
        </xdr:blipFill>
        <xdr:spPr>
          <a:xfrm>
            <a:off x="312320335" y="2926080"/>
            <a:ext cx="917986" cy="932330"/>
          </a:xfrm>
          <a:prstGeom prst="rect">
            <a:avLst/>
          </a:prstGeom>
        </xdr:spPr>
      </xdr:pic>
      <xdr:pic>
        <xdr:nvPicPr>
          <xdr:cNvPr id="1637" name="Pokemon_330_Gauche">
            <a:extLst>
              <a:ext uri="{FF2B5EF4-FFF2-40B4-BE49-F238E27FC236}">
                <a16:creationId xmlns:a16="http://schemas.microsoft.com/office/drawing/2014/main" id="{00000000-0008-0000-0300-00006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3"/>
          <a:stretch>
            <a:fillRect/>
          </a:stretch>
        </xdr:blipFill>
        <xdr:spPr>
          <a:xfrm>
            <a:off x="313238307" y="2926080"/>
            <a:ext cx="917986" cy="932330"/>
          </a:xfrm>
          <a:prstGeom prst="rect">
            <a:avLst/>
          </a:prstGeom>
        </xdr:spPr>
      </xdr:pic>
      <xdr:pic>
        <xdr:nvPicPr>
          <xdr:cNvPr id="1638" name="Pokemon_331_Gauche">
            <a:extLst>
              <a:ext uri="{FF2B5EF4-FFF2-40B4-BE49-F238E27FC236}">
                <a16:creationId xmlns:a16="http://schemas.microsoft.com/office/drawing/2014/main" id="{00000000-0008-0000-03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4"/>
          <a:stretch>
            <a:fillRect/>
          </a:stretch>
        </xdr:blipFill>
        <xdr:spPr>
          <a:xfrm>
            <a:off x="314156303" y="2926080"/>
            <a:ext cx="917986" cy="932330"/>
          </a:xfrm>
          <a:prstGeom prst="rect">
            <a:avLst/>
          </a:prstGeom>
        </xdr:spPr>
      </xdr:pic>
      <xdr:pic>
        <xdr:nvPicPr>
          <xdr:cNvPr id="1639" name="Pokemon_332_Gauche">
            <a:extLst>
              <a:ext uri="{FF2B5EF4-FFF2-40B4-BE49-F238E27FC236}">
                <a16:creationId xmlns:a16="http://schemas.microsoft.com/office/drawing/2014/main" id="{00000000-0008-0000-0300-00006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5"/>
          <a:stretch>
            <a:fillRect/>
          </a:stretch>
        </xdr:blipFill>
        <xdr:spPr>
          <a:xfrm>
            <a:off x="315074275" y="2926080"/>
            <a:ext cx="917986" cy="932330"/>
          </a:xfrm>
          <a:prstGeom prst="rect">
            <a:avLst/>
          </a:prstGeom>
        </xdr:spPr>
      </xdr:pic>
      <xdr:pic>
        <xdr:nvPicPr>
          <xdr:cNvPr id="1640" name="Pokemon_333_Gauche">
            <a:extLst>
              <a:ext uri="{FF2B5EF4-FFF2-40B4-BE49-F238E27FC236}">
                <a16:creationId xmlns:a16="http://schemas.microsoft.com/office/drawing/2014/main" id="{00000000-0008-0000-0300-00006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6"/>
          <a:stretch>
            <a:fillRect/>
          </a:stretch>
        </xdr:blipFill>
        <xdr:spPr>
          <a:xfrm>
            <a:off x="315992272" y="2926080"/>
            <a:ext cx="917986" cy="932330"/>
          </a:xfrm>
          <a:prstGeom prst="rect">
            <a:avLst/>
          </a:prstGeom>
        </xdr:spPr>
      </xdr:pic>
      <xdr:pic>
        <xdr:nvPicPr>
          <xdr:cNvPr id="1641" name="Pokemon_334_Gauche">
            <a:extLst>
              <a:ext uri="{FF2B5EF4-FFF2-40B4-BE49-F238E27FC236}">
                <a16:creationId xmlns:a16="http://schemas.microsoft.com/office/drawing/2014/main" id="{00000000-0008-0000-0300-00006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7"/>
          <a:stretch>
            <a:fillRect/>
          </a:stretch>
        </xdr:blipFill>
        <xdr:spPr>
          <a:xfrm>
            <a:off x="316910244" y="2926080"/>
            <a:ext cx="917986" cy="932330"/>
          </a:xfrm>
          <a:prstGeom prst="rect">
            <a:avLst/>
          </a:prstGeom>
        </xdr:spPr>
      </xdr:pic>
      <xdr:pic>
        <xdr:nvPicPr>
          <xdr:cNvPr id="1642" name="Pokemon_335_Gauche">
            <a:extLst>
              <a:ext uri="{FF2B5EF4-FFF2-40B4-BE49-F238E27FC236}">
                <a16:creationId xmlns:a16="http://schemas.microsoft.com/office/drawing/2014/main" id="{00000000-0008-0000-0300-00006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8"/>
          <a:stretch>
            <a:fillRect/>
          </a:stretch>
        </xdr:blipFill>
        <xdr:spPr>
          <a:xfrm>
            <a:off x="317828240" y="2926080"/>
            <a:ext cx="917986" cy="932330"/>
          </a:xfrm>
          <a:prstGeom prst="rect">
            <a:avLst/>
          </a:prstGeom>
        </xdr:spPr>
      </xdr:pic>
      <xdr:pic>
        <xdr:nvPicPr>
          <xdr:cNvPr id="1643" name="Pokemon_336_Gauche">
            <a:extLst>
              <a:ext uri="{FF2B5EF4-FFF2-40B4-BE49-F238E27FC236}">
                <a16:creationId xmlns:a16="http://schemas.microsoft.com/office/drawing/2014/main" id="{00000000-0008-0000-0300-00006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9"/>
          <a:stretch>
            <a:fillRect/>
          </a:stretch>
        </xdr:blipFill>
        <xdr:spPr>
          <a:xfrm>
            <a:off x="318746212" y="2926080"/>
            <a:ext cx="917986" cy="932330"/>
          </a:xfrm>
          <a:prstGeom prst="rect">
            <a:avLst/>
          </a:prstGeom>
        </xdr:spPr>
      </xdr:pic>
      <xdr:pic>
        <xdr:nvPicPr>
          <xdr:cNvPr id="1644" name="Pokemon_337_Gauche">
            <a:extLst>
              <a:ext uri="{FF2B5EF4-FFF2-40B4-BE49-F238E27FC236}">
                <a16:creationId xmlns:a16="http://schemas.microsoft.com/office/drawing/2014/main" id="{00000000-0008-0000-0300-00006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0"/>
          <a:stretch>
            <a:fillRect/>
          </a:stretch>
        </xdr:blipFill>
        <xdr:spPr>
          <a:xfrm>
            <a:off x="319664209" y="2926080"/>
            <a:ext cx="917986" cy="932330"/>
          </a:xfrm>
          <a:prstGeom prst="rect">
            <a:avLst/>
          </a:prstGeom>
        </xdr:spPr>
      </xdr:pic>
      <xdr:pic>
        <xdr:nvPicPr>
          <xdr:cNvPr id="1645" name="Pokemon_338_Gauche">
            <a:extLst>
              <a:ext uri="{FF2B5EF4-FFF2-40B4-BE49-F238E27FC236}">
                <a16:creationId xmlns:a16="http://schemas.microsoft.com/office/drawing/2014/main" id="{00000000-0008-0000-0300-00006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1"/>
          <a:stretch>
            <a:fillRect/>
          </a:stretch>
        </xdr:blipFill>
        <xdr:spPr>
          <a:xfrm>
            <a:off x="320582230" y="2926080"/>
            <a:ext cx="917986" cy="932330"/>
          </a:xfrm>
          <a:prstGeom prst="rect">
            <a:avLst/>
          </a:prstGeom>
        </xdr:spPr>
      </xdr:pic>
      <xdr:pic>
        <xdr:nvPicPr>
          <xdr:cNvPr id="1646" name="Pokemon_339_Gauche">
            <a:extLst>
              <a:ext uri="{FF2B5EF4-FFF2-40B4-BE49-F238E27FC236}">
                <a16:creationId xmlns:a16="http://schemas.microsoft.com/office/drawing/2014/main" id="{00000000-0008-0000-0300-00006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2"/>
          <a:stretch>
            <a:fillRect/>
          </a:stretch>
        </xdr:blipFill>
        <xdr:spPr>
          <a:xfrm>
            <a:off x="321500227" y="2926080"/>
            <a:ext cx="917986" cy="932330"/>
          </a:xfrm>
          <a:prstGeom prst="rect">
            <a:avLst/>
          </a:prstGeom>
        </xdr:spPr>
      </xdr:pic>
      <xdr:pic>
        <xdr:nvPicPr>
          <xdr:cNvPr id="1647" name="Pokemon_340_Gauche">
            <a:extLst>
              <a:ext uri="{FF2B5EF4-FFF2-40B4-BE49-F238E27FC236}">
                <a16:creationId xmlns:a16="http://schemas.microsoft.com/office/drawing/2014/main" id="{00000000-0008-0000-0300-00006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3"/>
          <a:stretch>
            <a:fillRect/>
          </a:stretch>
        </xdr:blipFill>
        <xdr:spPr>
          <a:xfrm>
            <a:off x="322418224" y="2926080"/>
            <a:ext cx="917986" cy="932330"/>
          </a:xfrm>
          <a:prstGeom prst="rect">
            <a:avLst/>
          </a:prstGeom>
        </xdr:spPr>
      </xdr:pic>
      <xdr:pic>
        <xdr:nvPicPr>
          <xdr:cNvPr id="1648" name="Pokemon_341_Gauche">
            <a:extLst>
              <a:ext uri="{FF2B5EF4-FFF2-40B4-BE49-F238E27FC236}">
                <a16:creationId xmlns:a16="http://schemas.microsoft.com/office/drawing/2014/main" id="{00000000-0008-0000-0300-00007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4"/>
          <a:stretch>
            <a:fillRect/>
          </a:stretch>
        </xdr:blipFill>
        <xdr:spPr>
          <a:xfrm>
            <a:off x="323336245" y="2926080"/>
            <a:ext cx="917986" cy="932330"/>
          </a:xfrm>
          <a:prstGeom prst="rect">
            <a:avLst/>
          </a:prstGeom>
        </xdr:spPr>
      </xdr:pic>
      <xdr:pic>
        <xdr:nvPicPr>
          <xdr:cNvPr id="1649" name="Pokemon_342_Gauche">
            <a:extLst>
              <a:ext uri="{FF2B5EF4-FFF2-40B4-BE49-F238E27FC236}">
                <a16:creationId xmlns:a16="http://schemas.microsoft.com/office/drawing/2014/main" id="{00000000-0008-0000-0300-00007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5"/>
          <a:stretch>
            <a:fillRect/>
          </a:stretch>
        </xdr:blipFill>
        <xdr:spPr>
          <a:xfrm>
            <a:off x="324254242" y="2926080"/>
            <a:ext cx="917986" cy="932330"/>
          </a:xfrm>
          <a:prstGeom prst="rect">
            <a:avLst/>
          </a:prstGeom>
        </xdr:spPr>
      </xdr:pic>
      <xdr:pic>
        <xdr:nvPicPr>
          <xdr:cNvPr id="1650" name="Pokemon_343_Gauche">
            <a:extLst>
              <a:ext uri="{FF2B5EF4-FFF2-40B4-BE49-F238E27FC236}">
                <a16:creationId xmlns:a16="http://schemas.microsoft.com/office/drawing/2014/main" id="{00000000-0008-0000-0300-00007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6"/>
          <a:stretch>
            <a:fillRect/>
          </a:stretch>
        </xdr:blipFill>
        <xdr:spPr>
          <a:xfrm>
            <a:off x="325172239" y="2926080"/>
            <a:ext cx="917986" cy="932330"/>
          </a:xfrm>
          <a:prstGeom prst="rect">
            <a:avLst/>
          </a:prstGeom>
        </xdr:spPr>
      </xdr:pic>
      <xdr:pic>
        <xdr:nvPicPr>
          <xdr:cNvPr id="1651" name="Pokemon_344_Gauche">
            <a:extLst>
              <a:ext uri="{FF2B5EF4-FFF2-40B4-BE49-F238E27FC236}">
                <a16:creationId xmlns:a16="http://schemas.microsoft.com/office/drawing/2014/main" id="{00000000-0008-0000-0300-00007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7"/>
          <a:stretch>
            <a:fillRect/>
          </a:stretch>
        </xdr:blipFill>
        <xdr:spPr>
          <a:xfrm>
            <a:off x="326090211" y="2926080"/>
            <a:ext cx="917986" cy="932330"/>
          </a:xfrm>
          <a:prstGeom prst="rect">
            <a:avLst/>
          </a:prstGeom>
        </xdr:spPr>
      </xdr:pic>
      <xdr:pic>
        <xdr:nvPicPr>
          <xdr:cNvPr id="1652" name="Pokemon_345_Gauche">
            <a:extLst>
              <a:ext uri="{FF2B5EF4-FFF2-40B4-BE49-F238E27FC236}">
                <a16:creationId xmlns:a16="http://schemas.microsoft.com/office/drawing/2014/main" id="{00000000-0008-0000-0300-00007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8"/>
          <a:stretch>
            <a:fillRect/>
          </a:stretch>
        </xdr:blipFill>
        <xdr:spPr>
          <a:xfrm>
            <a:off x="327008207" y="2926080"/>
            <a:ext cx="917986" cy="932330"/>
          </a:xfrm>
          <a:prstGeom prst="rect">
            <a:avLst/>
          </a:prstGeom>
        </xdr:spPr>
      </xdr:pic>
      <xdr:pic>
        <xdr:nvPicPr>
          <xdr:cNvPr id="1653" name="Pokemon_346_Gauche">
            <a:extLst>
              <a:ext uri="{FF2B5EF4-FFF2-40B4-BE49-F238E27FC236}">
                <a16:creationId xmlns:a16="http://schemas.microsoft.com/office/drawing/2014/main" id="{00000000-0008-0000-0300-00007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9"/>
          <a:stretch>
            <a:fillRect/>
          </a:stretch>
        </xdr:blipFill>
        <xdr:spPr>
          <a:xfrm>
            <a:off x="327926179" y="2926080"/>
            <a:ext cx="917986" cy="932330"/>
          </a:xfrm>
          <a:prstGeom prst="rect">
            <a:avLst/>
          </a:prstGeom>
        </xdr:spPr>
      </xdr:pic>
      <xdr:pic>
        <xdr:nvPicPr>
          <xdr:cNvPr id="1654" name="Pokemon_347_Gauche">
            <a:extLst>
              <a:ext uri="{FF2B5EF4-FFF2-40B4-BE49-F238E27FC236}">
                <a16:creationId xmlns:a16="http://schemas.microsoft.com/office/drawing/2014/main" id="{00000000-0008-0000-0300-00007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0"/>
          <a:stretch>
            <a:fillRect/>
          </a:stretch>
        </xdr:blipFill>
        <xdr:spPr>
          <a:xfrm>
            <a:off x="328844176" y="2926080"/>
            <a:ext cx="917986" cy="932330"/>
          </a:xfrm>
          <a:prstGeom prst="rect">
            <a:avLst/>
          </a:prstGeom>
        </xdr:spPr>
      </xdr:pic>
      <xdr:pic>
        <xdr:nvPicPr>
          <xdr:cNvPr id="1655" name="Pokemon_348_Gauche">
            <a:extLst>
              <a:ext uri="{FF2B5EF4-FFF2-40B4-BE49-F238E27FC236}">
                <a16:creationId xmlns:a16="http://schemas.microsoft.com/office/drawing/2014/main" id="{00000000-0008-0000-0300-00007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1"/>
          <a:stretch>
            <a:fillRect/>
          </a:stretch>
        </xdr:blipFill>
        <xdr:spPr>
          <a:xfrm>
            <a:off x="329762148" y="2926080"/>
            <a:ext cx="917986" cy="932330"/>
          </a:xfrm>
          <a:prstGeom prst="rect">
            <a:avLst/>
          </a:prstGeom>
        </xdr:spPr>
      </xdr:pic>
      <xdr:pic>
        <xdr:nvPicPr>
          <xdr:cNvPr id="1656" name="Pokemon_349_Gauche">
            <a:extLst>
              <a:ext uri="{FF2B5EF4-FFF2-40B4-BE49-F238E27FC236}">
                <a16:creationId xmlns:a16="http://schemas.microsoft.com/office/drawing/2014/main" id="{00000000-0008-0000-0300-00007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2"/>
          <a:stretch>
            <a:fillRect/>
          </a:stretch>
        </xdr:blipFill>
        <xdr:spPr>
          <a:xfrm>
            <a:off x="330680144" y="2926080"/>
            <a:ext cx="917986" cy="932330"/>
          </a:xfrm>
          <a:prstGeom prst="rect">
            <a:avLst/>
          </a:prstGeom>
        </xdr:spPr>
      </xdr:pic>
      <xdr:pic>
        <xdr:nvPicPr>
          <xdr:cNvPr id="1657" name="Pokemon_350_Gauche">
            <a:extLst>
              <a:ext uri="{FF2B5EF4-FFF2-40B4-BE49-F238E27FC236}">
                <a16:creationId xmlns:a16="http://schemas.microsoft.com/office/drawing/2014/main" id="{00000000-0008-0000-0300-00007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3"/>
          <a:stretch>
            <a:fillRect/>
          </a:stretch>
        </xdr:blipFill>
        <xdr:spPr>
          <a:xfrm>
            <a:off x="331598116" y="2926080"/>
            <a:ext cx="917986" cy="932330"/>
          </a:xfrm>
          <a:prstGeom prst="rect">
            <a:avLst/>
          </a:prstGeom>
        </xdr:spPr>
      </xdr:pic>
      <xdr:pic>
        <xdr:nvPicPr>
          <xdr:cNvPr id="1658" name="Pokemon_351_Gauche">
            <a:extLst>
              <a:ext uri="{FF2B5EF4-FFF2-40B4-BE49-F238E27FC236}">
                <a16:creationId xmlns:a16="http://schemas.microsoft.com/office/drawing/2014/main" id="{00000000-0008-0000-0300-00007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4"/>
          <a:stretch>
            <a:fillRect/>
          </a:stretch>
        </xdr:blipFill>
        <xdr:spPr>
          <a:xfrm>
            <a:off x="332516113" y="2926080"/>
            <a:ext cx="917986" cy="932330"/>
          </a:xfrm>
          <a:prstGeom prst="rect">
            <a:avLst/>
          </a:prstGeom>
        </xdr:spPr>
      </xdr:pic>
      <xdr:pic>
        <xdr:nvPicPr>
          <xdr:cNvPr id="1659" name="Pokemon_352_Gauche">
            <a:extLst>
              <a:ext uri="{FF2B5EF4-FFF2-40B4-BE49-F238E27FC236}">
                <a16:creationId xmlns:a16="http://schemas.microsoft.com/office/drawing/2014/main" id="{00000000-0008-0000-0300-00007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5"/>
          <a:stretch>
            <a:fillRect/>
          </a:stretch>
        </xdr:blipFill>
        <xdr:spPr>
          <a:xfrm>
            <a:off x="333434134" y="2926080"/>
            <a:ext cx="917986" cy="932330"/>
          </a:xfrm>
          <a:prstGeom prst="rect">
            <a:avLst/>
          </a:prstGeom>
        </xdr:spPr>
      </xdr:pic>
      <xdr:pic>
        <xdr:nvPicPr>
          <xdr:cNvPr id="1660" name="Pokemon_353_Gauche">
            <a:extLst>
              <a:ext uri="{FF2B5EF4-FFF2-40B4-BE49-F238E27FC236}">
                <a16:creationId xmlns:a16="http://schemas.microsoft.com/office/drawing/2014/main" id="{00000000-0008-0000-0300-00007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6"/>
          <a:stretch>
            <a:fillRect/>
          </a:stretch>
        </xdr:blipFill>
        <xdr:spPr>
          <a:xfrm>
            <a:off x="334352131" y="2926080"/>
            <a:ext cx="917986" cy="932330"/>
          </a:xfrm>
          <a:prstGeom prst="rect">
            <a:avLst/>
          </a:prstGeom>
        </xdr:spPr>
      </xdr:pic>
      <xdr:pic>
        <xdr:nvPicPr>
          <xdr:cNvPr id="1661" name="Pokemon_354_Gauche">
            <a:extLst>
              <a:ext uri="{FF2B5EF4-FFF2-40B4-BE49-F238E27FC236}">
                <a16:creationId xmlns:a16="http://schemas.microsoft.com/office/drawing/2014/main" id="{00000000-0008-0000-0300-00007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7"/>
          <a:stretch>
            <a:fillRect/>
          </a:stretch>
        </xdr:blipFill>
        <xdr:spPr>
          <a:xfrm>
            <a:off x="335270128" y="2926080"/>
            <a:ext cx="917986" cy="932330"/>
          </a:xfrm>
          <a:prstGeom prst="rect">
            <a:avLst/>
          </a:prstGeom>
        </xdr:spPr>
      </xdr:pic>
      <xdr:pic>
        <xdr:nvPicPr>
          <xdr:cNvPr id="1662" name="Pokemon_355_Gauche">
            <a:extLst>
              <a:ext uri="{FF2B5EF4-FFF2-40B4-BE49-F238E27FC236}">
                <a16:creationId xmlns:a16="http://schemas.microsoft.com/office/drawing/2014/main" id="{00000000-0008-0000-0300-00007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8"/>
          <a:stretch>
            <a:fillRect/>
          </a:stretch>
        </xdr:blipFill>
        <xdr:spPr>
          <a:xfrm>
            <a:off x="336188149" y="2926080"/>
            <a:ext cx="917986" cy="932330"/>
          </a:xfrm>
          <a:prstGeom prst="rect">
            <a:avLst/>
          </a:prstGeom>
        </xdr:spPr>
      </xdr:pic>
      <xdr:pic>
        <xdr:nvPicPr>
          <xdr:cNvPr id="1663" name="Pokemon_356_Gauche">
            <a:extLst>
              <a:ext uri="{FF2B5EF4-FFF2-40B4-BE49-F238E27FC236}">
                <a16:creationId xmlns:a16="http://schemas.microsoft.com/office/drawing/2014/main" id="{00000000-0008-0000-0300-00007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9"/>
          <a:stretch>
            <a:fillRect/>
          </a:stretch>
        </xdr:blipFill>
        <xdr:spPr>
          <a:xfrm>
            <a:off x="337106146" y="2926080"/>
            <a:ext cx="917986" cy="932330"/>
          </a:xfrm>
          <a:prstGeom prst="rect">
            <a:avLst/>
          </a:prstGeom>
        </xdr:spPr>
      </xdr:pic>
      <xdr:pic>
        <xdr:nvPicPr>
          <xdr:cNvPr id="1664" name="Pokemon_357_Gauche">
            <a:extLst>
              <a:ext uri="{FF2B5EF4-FFF2-40B4-BE49-F238E27FC236}">
                <a16:creationId xmlns:a16="http://schemas.microsoft.com/office/drawing/2014/main" id="{00000000-0008-0000-0300-00008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0"/>
          <a:stretch>
            <a:fillRect/>
          </a:stretch>
        </xdr:blipFill>
        <xdr:spPr>
          <a:xfrm>
            <a:off x="338024143" y="2926080"/>
            <a:ext cx="917986" cy="932330"/>
          </a:xfrm>
          <a:prstGeom prst="rect">
            <a:avLst/>
          </a:prstGeom>
        </xdr:spPr>
      </xdr:pic>
      <xdr:pic>
        <xdr:nvPicPr>
          <xdr:cNvPr id="1665" name="Pokemon_358_Gauche">
            <a:extLst>
              <a:ext uri="{FF2B5EF4-FFF2-40B4-BE49-F238E27FC236}">
                <a16:creationId xmlns:a16="http://schemas.microsoft.com/office/drawing/2014/main" id="{00000000-0008-0000-0300-00008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1"/>
          <a:stretch>
            <a:fillRect/>
          </a:stretch>
        </xdr:blipFill>
        <xdr:spPr>
          <a:xfrm>
            <a:off x="338942114" y="2926080"/>
            <a:ext cx="917986" cy="932330"/>
          </a:xfrm>
          <a:prstGeom prst="rect">
            <a:avLst/>
          </a:prstGeom>
        </xdr:spPr>
      </xdr:pic>
      <xdr:pic>
        <xdr:nvPicPr>
          <xdr:cNvPr id="1666" name="Pokemon_359_Gauche">
            <a:extLst>
              <a:ext uri="{FF2B5EF4-FFF2-40B4-BE49-F238E27FC236}">
                <a16:creationId xmlns:a16="http://schemas.microsoft.com/office/drawing/2014/main" id="{00000000-0008-0000-0300-00008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2"/>
          <a:stretch>
            <a:fillRect/>
          </a:stretch>
        </xdr:blipFill>
        <xdr:spPr>
          <a:xfrm>
            <a:off x="339860111" y="2926080"/>
            <a:ext cx="917986" cy="932330"/>
          </a:xfrm>
          <a:prstGeom prst="rect">
            <a:avLst/>
          </a:prstGeom>
        </xdr:spPr>
      </xdr:pic>
      <xdr:pic>
        <xdr:nvPicPr>
          <xdr:cNvPr id="1667" name="Pokemon_360_Gauche">
            <a:extLst>
              <a:ext uri="{FF2B5EF4-FFF2-40B4-BE49-F238E27FC236}">
                <a16:creationId xmlns:a16="http://schemas.microsoft.com/office/drawing/2014/main" id="{00000000-0008-0000-0300-00008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3"/>
          <a:stretch>
            <a:fillRect/>
          </a:stretch>
        </xdr:blipFill>
        <xdr:spPr>
          <a:xfrm>
            <a:off x="340778083" y="2926080"/>
            <a:ext cx="917986" cy="932330"/>
          </a:xfrm>
          <a:prstGeom prst="rect">
            <a:avLst/>
          </a:prstGeom>
        </xdr:spPr>
      </xdr:pic>
      <xdr:pic>
        <xdr:nvPicPr>
          <xdr:cNvPr id="1668" name="Pokemon_361_Gauche">
            <a:extLst>
              <a:ext uri="{FF2B5EF4-FFF2-40B4-BE49-F238E27FC236}">
                <a16:creationId xmlns:a16="http://schemas.microsoft.com/office/drawing/2014/main" id="{00000000-0008-0000-0300-00008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4"/>
          <a:stretch>
            <a:fillRect/>
          </a:stretch>
        </xdr:blipFill>
        <xdr:spPr>
          <a:xfrm>
            <a:off x="341696080" y="2926080"/>
            <a:ext cx="917986" cy="932330"/>
          </a:xfrm>
          <a:prstGeom prst="rect">
            <a:avLst/>
          </a:prstGeom>
        </xdr:spPr>
      </xdr:pic>
      <xdr:pic>
        <xdr:nvPicPr>
          <xdr:cNvPr id="1669" name="Pokemon_362_Gauche">
            <a:extLst>
              <a:ext uri="{FF2B5EF4-FFF2-40B4-BE49-F238E27FC236}">
                <a16:creationId xmlns:a16="http://schemas.microsoft.com/office/drawing/2014/main" id="{00000000-0008-0000-0300-00008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5"/>
          <a:stretch>
            <a:fillRect/>
          </a:stretch>
        </xdr:blipFill>
        <xdr:spPr>
          <a:xfrm>
            <a:off x="342614052" y="2926080"/>
            <a:ext cx="917986" cy="932330"/>
          </a:xfrm>
          <a:prstGeom prst="rect">
            <a:avLst/>
          </a:prstGeom>
        </xdr:spPr>
      </xdr:pic>
      <xdr:pic>
        <xdr:nvPicPr>
          <xdr:cNvPr id="1670" name="Pokemon_363_Gauche">
            <a:extLst>
              <a:ext uri="{FF2B5EF4-FFF2-40B4-BE49-F238E27FC236}">
                <a16:creationId xmlns:a16="http://schemas.microsoft.com/office/drawing/2014/main" id="{00000000-0008-0000-0300-00008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6"/>
          <a:stretch>
            <a:fillRect/>
          </a:stretch>
        </xdr:blipFill>
        <xdr:spPr>
          <a:xfrm>
            <a:off x="343532048" y="2926080"/>
            <a:ext cx="917986" cy="932330"/>
          </a:xfrm>
          <a:prstGeom prst="rect">
            <a:avLst/>
          </a:prstGeom>
        </xdr:spPr>
      </xdr:pic>
      <xdr:pic>
        <xdr:nvPicPr>
          <xdr:cNvPr id="1671" name="Pokemon_364_Gauche">
            <a:extLst>
              <a:ext uri="{FF2B5EF4-FFF2-40B4-BE49-F238E27FC236}">
                <a16:creationId xmlns:a16="http://schemas.microsoft.com/office/drawing/2014/main" id="{00000000-0008-0000-0300-00008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7"/>
          <a:stretch>
            <a:fillRect/>
          </a:stretch>
        </xdr:blipFill>
        <xdr:spPr>
          <a:xfrm>
            <a:off x="344450020" y="2926080"/>
            <a:ext cx="917986" cy="932330"/>
          </a:xfrm>
          <a:prstGeom prst="rect">
            <a:avLst/>
          </a:prstGeom>
        </xdr:spPr>
      </xdr:pic>
      <xdr:pic>
        <xdr:nvPicPr>
          <xdr:cNvPr id="1672" name="Pokemon_365_Gauche">
            <a:extLst>
              <a:ext uri="{FF2B5EF4-FFF2-40B4-BE49-F238E27FC236}">
                <a16:creationId xmlns:a16="http://schemas.microsoft.com/office/drawing/2014/main" id="{00000000-0008-0000-0300-00008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8"/>
          <a:stretch>
            <a:fillRect/>
          </a:stretch>
        </xdr:blipFill>
        <xdr:spPr>
          <a:xfrm>
            <a:off x="345368017" y="2926080"/>
            <a:ext cx="917986" cy="932330"/>
          </a:xfrm>
          <a:prstGeom prst="rect">
            <a:avLst/>
          </a:prstGeom>
        </xdr:spPr>
      </xdr:pic>
      <xdr:pic>
        <xdr:nvPicPr>
          <xdr:cNvPr id="1673" name="Pokemon_366_Gauche">
            <a:extLst>
              <a:ext uri="{FF2B5EF4-FFF2-40B4-BE49-F238E27FC236}">
                <a16:creationId xmlns:a16="http://schemas.microsoft.com/office/drawing/2014/main" id="{00000000-0008-0000-0300-00008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9"/>
          <a:stretch>
            <a:fillRect/>
          </a:stretch>
        </xdr:blipFill>
        <xdr:spPr>
          <a:xfrm>
            <a:off x="346286038" y="2926080"/>
            <a:ext cx="917986" cy="932330"/>
          </a:xfrm>
          <a:prstGeom prst="rect">
            <a:avLst/>
          </a:prstGeom>
        </xdr:spPr>
      </xdr:pic>
      <xdr:pic>
        <xdr:nvPicPr>
          <xdr:cNvPr id="1674" name="Pokemon_367_Gauche">
            <a:extLst>
              <a:ext uri="{FF2B5EF4-FFF2-40B4-BE49-F238E27FC236}">
                <a16:creationId xmlns:a16="http://schemas.microsoft.com/office/drawing/2014/main" id="{00000000-0008-0000-0300-00008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0"/>
          <a:stretch>
            <a:fillRect/>
          </a:stretch>
        </xdr:blipFill>
        <xdr:spPr>
          <a:xfrm>
            <a:off x="347204035" y="2926080"/>
            <a:ext cx="917986" cy="932330"/>
          </a:xfrm>
          <a:prstGeom prst="rect">
            <a:avLst/>
          </a:prstGeom>
        </xdr:spPr>
      </xdr:pic>
      <xdr:pic>
        <xdr:nvPicPr>
          <xdr:cNvPr id="1675" name="Pokemon_368_Gauche">
            <a:extLst>
              <a:ext uri="{FF2B5EF4-FFF2-40B4-BE49-F238E27FC236}">
                <a16:creationId xmlns:a16="http://schemas.microsoft.com/office/drawing/2014/main" id="{00000000-0008-0000-0300-00008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1"/>
          <a:stretch>
            <a:fillRect/>
          </a:stretch>
        </xdr:blipFill>
        <xdr:spPr>
          <a:xfrm>
            <a:off x="348122032" y="2926080"/>
            <a:ext cx="917986" cy="932330"/>
          </a:xfrm>
          <a:prstGeom prst="rect">
            <a:avLst/>
          </a:prstGeom>
        </xdr:spPr>
      </xdr:pic>
      <xdr:pic>
        <xdr:nvPicPr>
          <xdr:cNvPr id="1676" name="Pokemon_369_Gauche">
            <a:extLst>
              <a:ext uri="{FF2B5EF4-FFF2-40B4-BE49-F238E27FC236}">
                <a16:creationId xmlns:a16="http://schemas.microsoft.com/office/drawing/2014/main" id="{00000000-0008-0000-0300-00008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2"/>
          <a:stretch>
            <a:fillRect/>
          </a:stretch>
        </xdr:blipFill>
        <xdr:spPr>
          <a:xfrm>
            <a:off x="349040053" y="2926080"/>
            <a:ext cx="917986" cy="932330"/>
          </a:xfrm>
          <a:prstGeom prst="rect">
            <a:avLst/>
          </a:prstGeom>
        </xdr:spPr>
      </xdr:pic>
      <xdr:pic>
        <xdr:nvPicPr>
          <xdr:cNvPr id="1677" name="Pokemon_370_Gauche">
            <a:extLst>
              <a:ext uri="{FF2B5EF4-FFF2-40B4-BE49-F238E27FC236}">
                <a16:creationId xmlns:a16="http://schemas.microsoft.com/office/drawing/2014/main" id="{00000000-0008-0000-0300-00008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3"/>
          <a:stretch>
            <a:fillRect/>
          </a:stretch>
        </xdr:blipFill>
        <xdr:spPr>
          <a:xfrm>
            <a:off x="349958050" y="2926080"/>
            <a:ext cx="917986" cy="932330"/>
          </a:xfrm>
          <a:prstGeom prst="rect">
            <a:avLst/>
          </a:prstGeom>
        </xdr:spPr>
      </xdr:pic>
      <xdr:pic>
        <xdr:nvPicPr>
          <xdr:cNvPr id="1678" name="Pokemon_371_Gauche">
            <a:extLst>
              <a:ext uri="{FF2B5EF4-FFF2-40B4-BE49-F238E27FC236}">
                <a16:creationId xmlns:a16="http://schemas.microsoft.com/office/drawing/2014/main" id="{00000000-0008-0000-0300-00008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4"/>
          <a:stretch>
            <a:fillRect/>
          </a:stretch>
        </xdr:blipFill>
        <xdr:spPr>
          <a:xfrm>
            <a:off x="350876046" y="2926080"/>
            <a:ext cx="917986" cy="932330"/>
          </a:xfrm>
          <a:prstGeom prst="rect">
            <a:avLst/>
          </a:prstGeom>
        </xdr:spPr>
      </xdr:pic>
      <xdr:pic>
        <xdr:nvPicPr>
          <xdr:cNvPr id="1679" name="Pokemon_372_Gauche">
            <a:extLst>
              <a:ext uri="{FF2B5EF4-FFF2-40B4-BE49-F238E27FC236}">
                <a16:creationId xmlns:a16="http://schemas.microsoft.com/office/drawing/2014/main" id="{00000000-0008-0000-0300-00008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5"/>
          <a:stretch>
            <a:fillRect/>
          </a:stretch>
        </xdr:blipFill>
        <xdr:spPr>
          <a:xfrm>
            <a:off x="351794018" y="2926080"/>
            <a:ext cx="917986" cy="932330"/>
          </a:xfrm>
          <a:prstGeom prst="rect">
            <a:avLst/>
          </a:prstGeom>
        </xdr:spPr>
      </xdr:pic>
      <xdr:pic>
        <xdr:nvPicPr>
          <xdr:cNvPr id="1680" name="Pokemon_373_Gauche">
            <a:extLst>
              <a:ext uri="{FF2B5EF4-FFF2-40B4-BE49-F238E27FC236}">
                <a16:creationId xmlns:a16="http://schemas.microsoft.com/office/drawing/2014/main" id="{00000000-0008-0000-0300-00009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6"/>
          <a:stretch>
            <a:fillRect/>
          </a:stretch>
        </xdr:blipFill>
        <xdr:spPr>
          <a:xfrm>
            <a:off x="352712015" y="2926080"/>
            <a:ext cx="917986" cy="932330"/>
          </a:xfrm>
          <a:prstGeom prst="rect">
            <a:avLst/>
          </a:prstGeom>
        </xdr:spPr>
      </xdr:pic>
      <xdr:pic>
        <xdr:nvPicPr>
          <xdr:cNvPr id="1681" name="Pokemon_374_Gauche">
            <a:extLst>
              <a:ext uri="{FF2B5EF4-FFF2-40B4-BE49-F238E27FC236}">
                <a16:creationId xmlns:a16="http://schemas.microsoft.com/office/drawing/2014/main" id="{00000000-0008-0000-0300-00009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7"/>
          <a:stretch>
            <a:fillRect/>
          </a:stretch>
        </xdr:blipFill>
        <xdr:spPr>
          <a:xfrm>
            <a:off x="353629987" y="2926080"/>
            <a:ext cx="917986" cy="932330"/>
          </a:xfrm>
          <a:prstGeom prst="rect">
            <a:avLst/>
          </a:prstGeom>
        </xdr:spPr>
      </xdr:pic>
      <xdr:pic>
        <xdr:nvPicPr>
          <xdr:cNvPr id="1682" name="Pokemon_375_Gauche">
            <a:extLst>
              <a:ext uri="{FF2B5EF4-FFF2-40B4-BE49-F238E27FC236}">
                <a16:creationId xmlns:a16="http://schemas.microsoft.com/office/drawing/2014/main" id="{00000000-0008-0000-0300-00009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8"/>
          <a:stretch>
            <a:fillRect/>
          </a:stretch>
        </xdr:blipFill>
        <xdr:spPr>
          <a:xfrm>
            <a:off x="354547984" y="2926080"/>
            <a:ext cx="917986" cy="932330"/>
          </a:xfrm>
          <a:prstGeom prst="rect">
            <a:avLst/>
          </a:prstGeom>
        </xdr:spPr>
      </xdr:pic>
      <xdr:pic>
        <xdr:nvPicPr>
          <xdr:cNvPr id="1683" name="Pokemon_376_Gauche">
            <a:extLst>
              <a:ext uri="{FF2B5EF4-FFF2-40B4-BE49-F238E27FC236}">
                <a16:creationId xmlns:a16="http://schemas.microsoft.com/office/drawing/2014/main" id="{00000000-0008-0000-0300-00009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9"/>
          <a:stretch>
            <a:fillRect/>
          </a:stretch>
        </xdr:blipFill>
        <xdr:spPr>
          <a:xfrm>
            <a:off x="355465955" y="2926080"/>
            <a:ext cx="917986" cy="932330"/>
          </a:xfrm>
          <a:prstGeom prst="rect">
            <a:avLst/>
          </a:prstGeom>
        </xdr:spPr>
      </xdr:pic>
      <xdr:pic>
        <xdr:nvPicPr>
          <xdr:cNvPr id="1684" name="Pokemon_377_Gauche">
            <a:extLst>
              <a:ext uri="{FF2B5EF4-FFF2-40B4-BE49-F238E27FC236}">
                <a16:creationId xmlns:a16="http://schemas.microsoft.com/office/drawing/2014/main" id="{00000000-0008-0000-0300-00009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0"/>
          <a:stretch>
            <a:fillRect/>
          </a:stretch>
        </xdr:blipFill>
        <xdr:spPr>
          <a:xfrm>
            <a:off x="356383952" y="2926080"/>
            <a:ext cx="917986" cy="932330"/>
          </a:xfrm>
          <a:prstGeom prst="rect">
            <a:avLst/>
          </a:prstGeom>
        </xdr:spPr>
      </xdr:pic>
      <xdr:pic>
        <xdr:nvPicPr>
          <xdr:cNvPr id="1685" name="Pokemon_378_Gauche">
            <a:extLst>
              <a:ext uri="{FF2B5EF4-FFF2-40B4-BE49-F238E27FC236}">
                <a16:creationId xmlns:a16="http://schemas.microsoft.com/office/drawing/2014/main" id="{00000000-0008-0000-0300-00009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1"/>
          <a:stretch>
            <a:fillRect/>
          </a:stretch>
        </xdr:blipFill>
        <xdr:spPr>
          <a:xfrm>
            <a:off x="357301924" y="2926080"/>
            <a:ext cx="917986" cy="932330"/>
          </a:xfrm>
          <a:prstGeom prst="rect">
            <a:avLst/>
          </a:prstGeom>
        </xdr:spPr>
      </xdr:pic>
      <xdr:pic>
        <xdr:nvPicPr>
          <xdr:cNvPr id="1686" name="Pokemon_379_Gauche">
            <a:extLst>
              <a:ext uri="{FF2B5EF4-FFF2-40B4-BE49-F238E27FC236}">
                <a16:creationId xmlns:a16="http://schemas.microsoft.com/office/drawing/2014/main" id="{00000000-0008-0000-0300-00009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2"/>
          <a:stretch>
            <a:fillRect/>
          </a:stretch>
        </xdr:blipFill>
        <xdr:spPr>
          <a:xfrm>
            <a:off x="358219921" y="2926080"/>
            <a:ext cx="917986" cy="932330"/>
          </a:xfrm>
          <a:prstGeom prst="rect">
            <a:avLst/>
          </a:prstGeom>
        </xdr:spPr>
      </xdr:pic>
      <xdr:pic>
        <xdr:nvPicPr>
          <xdr:cNvPr id="1687" name="Pokemon_380_Gauche">
            <a:extLst>
              <a:ext uri="{FF2B5EF4-FFF2-40B4-BE49-F238E27FC236}">
                <a16:creationId xmlns:a16="http://schemas.microsoft.com/office/drawing/2014/main" id="{00000000-0008-0000-0300-00009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3"/>
          <a:stretch>
            <a:fillRect/>
          </a:stretch>
        </xdr:blipFill>
        <xdr:spPr>
          <a:xfrm>
            <a:off x="359137942" y="2926080"/>
            <a:ext cx="917986" cy="932330"/>
          </a:xfrm>
          <a:prstGeom prst="rect">
            <a:avLst/>
          </a:prstGeom>
        </xdr:spPr>
      </xdr:pic>
      <xdr:pic>
        <xdr:nvPicPr>
          <xdr:cNvPr id="1688" name="Pokemon_381_Gauche">
            <a:extLst>
              <a:ext uri="{FF2B5EF4-FFF2-40B4-BE49-F238E27FC236}">
                <a16:creationId xmlns:a16="http://schemas.microsoft.com/office/drawing/2014/main" id="{00000000-0008-0000-0300-00009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4"/>
          <a:stretch>
            <a:fillRect/>
          </a:stretch>
        </xdr:blipFill>
        <xdr:spPr>
          <a:xfrm>
            <a:off x="360055939" y="2926080"/>
            <a:ext cx="917986" cy="932330"/>
          </a:xfrm>
          <a:prstGeom prst="rect">
            <a:avLst/>
          </a:prstGeom>
        </xdr:spPr>
      </xdr:pic>
      <xdr:pic>
        <xdr:nvPicPr>
          <xdr:cNvPr id="1689" name="Pokemon_382_Gauche">
            <a:extLst>
              <a:ext uri="{FF2B5EF4-FFF2-40B4-BE49-F238E27FC236}">
                <a16:creationId xmlns:a16="http://schemas.microsoft.com/office/drawing/2014/main" id="{00000000-0008-0000-0300-00009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5"/>
          <a:stretch>
            <a:fillRect/>
          </a:stretch>
        </xdr:blipFill>
        <xdr:spPr>
          <a:xfrm>
            <a:off x="360973936" y="2926080"/>
            <a:ext cx="917986" cy="932330"/>
          </a:xfrm>
          <a:prstGeom prst="rect">
            <a:avLst/>
          </a:prstGeom>
        </xdr:spPr>
      </xdr:pic>
      <xdr:pic>
        <xdr:nvPicPr>
          <xdr:cNvPr id="1690" name="Pokemon_383_Gauche">
            <a:extLst>
              <a:ext uri="{FF2B5EF4-FFF2-40B4-BE49-F238E27FC236}">
                <a16:creationId xmlns:a16="http://schemas.microsoft.com/office/drawing/2014/main" id="{00000000-0008-0000-0300-00009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6"/>
          <a:stretch>
            <a:fillRect/>
          </a:stretch>
        </xdr:blipFill>
        <xdr:spPr>
          <a:xfrm>
            <a:off x="361891957" y="2926080"/>
            <a:ext cx="917986" cy="932330"/>
          </a:xfrm>
          <a:prstGeom prst="rect">
            <a:avLst/>
          </a:prstGeom>
        </xdr:spPr>
      </xdr:pic>
      <xdr:pic>
        <xdr:nvPicPr>
          <xdr:cNvPr id="1691" name="Pokemon_384_Gauche">
            <a:extLst>
              <a:ext uri="{FF2B5EF4-FFF2-40B4-BE49-F238E27FC236}">
                <a16:creationId xmlns:a16="http://schemas.microsoft.com/office/drawing/2014/main" id="{00000000-0008-0000-0300-00009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7"/>
          <a:stretch>
            <a:fillRect/>
          </a:stretch>
        </xdr:blipFill>
        <xdr:spPr>
          <a:xfrm>
            <a:off x="362809954" y="2926080"/>
            <a:ext cx="917986" cy="932330"/>
          </a:xfrm>
          <a:prstGeom prst="rect">
            <a:avLst/>
          </a:prstGeom>
        </xdr:spPr>
      </xdr:pic>
      <xdr:pic>
        <xdr:nvPicPr>
          <xdr:cNvPr id="1692" name="Pokemon_385_Gauche">
            <a:extLst>
              <a:ext uri="{FF2B5EF4-FFF2-40B4-BE49-F238E27FC236}">
                <a16:creationId xmlns:a16="http://schemas.microsoft.com/office/drawing/2014/main" id="{00000000-0008-0000-0300-00009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8"/>
          <a:stretch>
            <a:fillRect/>
          </a:stretch>
        </xdr:blipFill>
        <xdr:spPr>
          <a:xfrm>
            <a:off x="363727950" y="2926080"/>
            <a:ext cx="917986" cy="932330"/>
          </a:xfrm>
          <a:prstGeom prst="rect">
            <a:avLst/>
          </a:prstGeom>
        </xdr:spPr>
      </xdr:pic>
      <xdr:pic>
        <xdr:nvPicPr>
          <xdr:cNvPr id="1693" name="Pokemon_386_Gauche">
            <a:extLst>
              <a:ext uri="{FF2B5EF4-FFF2-40B4-BE49-F238E27FC236}">
                <a16:creationId xmlns:a16="http://schemas.microsoft.com/office/drawing/2014/main" id="{00000000-0008-0000-0300-00009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9"/>
          <a:stretch>
            <a:fillRect/>
          </a:stretch>
        </xdr:blipFill>
        <xdr:spPr>
          <a:xfrm>
            <a:off x="364645922" y="2926080"/>
            <a:ext cx="917986" cy="932330"/>
          </a:xfrm>
          <a:prstGeom prst="rect">
            <a:avLst/>
          </a:prstGeom>
        </xdr:spPr>
      </xdr:pic>
      <xdr:pic>
        <xdr:nvPicPr>
          <xdr:cNvPr id="1694" name="Pokemon_387_Gauche">
            <a:extLst>
              <a:ext uri="{FF2B5EF4-FFF2-40B4-BE49-F238E27FC236}">
                <a16:creationId xmlns:a16="http://schemas.microsoft.com/office/drawing/2014/main" id="{00000000-0008-0000-0300-00009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0"/>
          <a:stretch>
            <a:fillRect/>
          </a:stretch>
        </xdr:blipFill>
        <xdr:spPr>
          <a:xfrm>
            <a:off x="365563919" y="2926080"/>
            <a:ext cx="917986" cy="932330"/>
          </a:xfrm>
          <a:prstGeom prst="rect">
            <a:avLst/>
          </a:prstGeom>
        </xdr:spPr>
      </xdr:pic>
      <xdr:pic>
        <xdr:nvPicPr>
          <xdr:cNvPr id="1695" name="Pokemon_388_Gauche">
            <a:extLst>
              <a:ext uri="{FF2B5EF4-FFF2-40B4-BE49-F238E27FC236}">
                <a16:creationId xmlns:a16="http://schemas.microsoft.com/office/drawing/2014/main" id="{00000000-0008-0000-0300-00009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1"/>
          <a:stretch>
            <a:fillRect/>
          </a:stretch>
        </xdr:blipFill>
        <xdr:spPr>
          <a:xfrm>
            <a:off x="366481891" y="2926080"/>
            <a:ext cx="917986" cy="932330"/>
          </a:xfrm>
          <a:prstGeom prst="rect">
            <a:avLst/>
          </a:prstGeom>
        </xdr:spPr>
      </xdr:pic>
      <xdr:pic>
        <xdr:nvPicPr>
          <xdr:cNvPr id="1696" name="Pokemon_389_Gauche">
            <a:extLst>
              <a:ext uri="{FF2B5EF4-FFF2-40B4-BE49-F238E27FC236}">
                <a16:creationId xmlns:a16="http://schemas.microsoft.com/office/drawing/2014/main" id="{00000000-0008-0000-0300-0000A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2"/>
          <a:stretch>
            <a:fillRect/>
          </a:stretch>
        </xdr:blipFill>
        <xdr:spPr>
          <a:xfrm>
            <a:off x="367399888" y="2926080"/>
            <a:ext cx="917986" cy="932330"/>
          </a:xfrm>
          <a:prstGeom prst="rect">
            <a:avLst/>
          </a:prstGeom>
        </xdr:spPr>
      </xdr:pic>
      <xdr:pic>
        <xdr:nvPicPr>
          <xdr:cNvPr id="1697" name="Pokemon_390_Gauche">
            <a:extLst>
              <a:ext uri="{FF2B5EF4-FFF2-40B4-BE49-F238E27FC236}">
                <a16:creationId xmlns:a16="http://schemas.microsoft.com/office/drawing/2014/main" id="{00000000-0008-0000-0300-0000A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3"/>
          <a:stretch>
            <a:fillRect/>
          </a:stretch>
        </xdr:blipFill>
        <xdr:spPr>
          <a:xfrm>
            <a:off x="368317859" y="2926080"/>
            <a:ext cx="917986" cy="932330"/>
          </a:xfrm>
          <a:prstGeom prst="rect">
            <a:avLst/>
          </a:prstGeom>
        </xdr:spPr>
      </xdr:pic>
      <xdr:pic>
        <xdr:nvPicPr>
          <xdr:cNvPr id="1698" name="Pokemon_391_Gauche">
            <a:extLst>
              <a:ext uri="{FF2B5EF4-FFF2-40B4-BE49-F238E27FC236}">
                <a16:creationId xmlns:a16="http://schemas.microsoft.com/office/drawing/2014/main" id="{00000000-0008-0000-0300-0000A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4"/>
          <a:stretch>
            <a:fillRect/>
          </a:stretch>
        </xdr:blipFill>
        <xdr:spPr>
          <a:xfrm>
            <a:off x="369235856" y="2926080"/>
            <a:ext cx="917986" cy="932330"/>
          </a:xfrm>
          <a:prstGeom prst="rect">
            <a:avLst/>
          </a:prstGeom>
        </xdr:spPr>
      </xdr:pic>
      <xdr:pic>
        <xdr:nvPicPr>
          <xdr:cNvPr id="1699" name="Pokemon_392_Gauche">
            <a:extLst>
              <a:ext uri="{FF2B5EF4-FFF2-40B4-BE49-F238E27FC236}">
                <a16:creationId xmlns:a16="http://schemas.microsoft.com/office/drawing/2014/main" id="{00000000-0008-0000-0300-0000A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5"/>
          <a:stretch>
            <a:fillRect/>
          </a:stretch>
        </xdr:blipFill>
        <xdr:spPr>
          <a:xfrm>
            <a:off x="370153828" y="2926080"/>
            <a:ext cx="917986" cy="932330"/>
          </a:xfrm>
          <a:prstGeom prst="rect">
            <a:avLst/>
          </a:prstGeom>
        </xdr:spPr>
      </xdr:pic>
      <xdr:pic>
        <xdr:nvPicPr>
          <xdr:cNvPr id="1700" name="Pokemon_393_Gauche">
            <a:extLst>
              <a:ext uri="{FF2B5EF4-FFF2-40B4-BE49-F238E27FC236}">
                <a16:creationId xmlns:a16="http://schemas.microsoft.com/office/drawing/2014/main" id="{00000000-0008-0000-0300-0000A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6"/>
          <a:stretch>
            <a:fillRect/>
          </a:stretch>
        </xdr:blipFill>
        <xdr:spPr>
          <a:xfrm>
            <a:off x="371071825" y="2926080"/>
            <a:ext cx="917986" cy="932330"/>
          </a:xfrm>
          <a:prstGeom prst="rect">
            <a:avLst/>
          </a:prstGeom>
        </xdr:spPr>
      </xdr:pic>
      <xdr:pic>
        <xdr:nvPicPr>
          <xdr:cNvPr id="1701" name="Pokemon_394_Gauche">
            <a:extLst>
              <a:ext uri="{FF2B5EF4-FFF2-40B4-BE49-F238E27FC236}">
                <a16:creationId xmlns:a16="http://schemas.microsoft.com/office/drawing/2014/main" id="{00000000-0008-0000-0300-0000A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7"/>
          <a:stretch>
            <a:fillRect/>
          </a:stretch>
        </xdr:blipFill>
        <xdr:spPr>
          <a:xfrm>
            <a:off x="371989846" y="2926080"/>
            <a:ext cx="917986" cy="932330"/>
          </a:xfrm>
          <a:prstGeom prst="rect">
            <a:avLst/>
          </a:prstGeom>
        </xdr:spPr>
      </xdr:pic>
      <xdr:pic>
        <xdr:nvPicPr>
          <xdr:cNvPr id="1702" name="Pokemon_395_Gauche">
            <a:extLst>
              <a:ext uri="{FF2B5EF4-FFF2-40B4-BE49-F238E27FC236}">
                <a16:creationId xmlns:a16="http://schemas.microsoft.com/office/drawing/2014/main" id="{00000000-0008-0000-0300-0000A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8"/>
          <a:stretch>
            <a:fillRect/>
          </a:stretch>
        </xdr:blipFill>
        <xdr:spPr>
          <a:xfrm>
            <a:off x="372907843" y="2926080"/>
            <a:ext cx="917986" cy="932330"/>
          </a:xfrm>
          <a:prstGeom prst="rect">
            <a:avLst/>
          </a:prstGeom>
        </xdr:spPr>
      </xdr:pic>
      <xdr:pic>
        <xdr:nvPicPr>
          <xdr:cNvPr id="1703" name="Pokemon_396_Gauche">
            <a:extLst>
              <a:ext uri="{FF2B5EF4-FFF2-40B4-BE49-F238E27FC236}">
                <a16:creationId xmlns:a16="http://schemas.microsoft.com/office/drawing/2014/main" id="{00000000-0008-0000-0300-0000A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9"/>
          <a:stretch>
            <a:fillRect/>
          </a:stretch>
        </xdr:blipFill>
        <xdr:spPr>
          <a:xfrm>
            <a:off x="373825839" y="2926080"/>
            <a:ext cx="917986" cy="932330"/>
          </a:xfrm>
          <a:prstGeom prst="rect">
            <a:avLst/>
          </a:prstGeom>
        </xdr:spPr>
      </xdr:pic>
      <xdr:pic>
        <xdr:nvPicPr>
          <xdr:cNvPr id="1704" name="Pokemon_397_Gauche">
            <a:extLst>
              <a:ext uri="{FF2B5EF4-FFF2-40B4-BE49-F238E27FC236}">
                <a16:creationId xmlns:a16="http://schemas.microsoft.com/office/drawing/2014/main" id="{00000000-0008-0000-0300-0000A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0"/>
          <a:stretch>
            <a:fillRect/>
          </a:stretch>
        </xdr:blipFill>
        <xdr:spPr>
          <a:xfrm>
            <a:off x="374743811" y="2926080"/>
            <a:ext cx="917986" cy="932330"/>
          </a:xfrm>
          <a:prstGeom prst="rect">
            <a:avLst/>
          </a:prstGeom>
        </xdr:spPr>
      </xdr:pic>
      <xdr:pic>
        <xdr:nvPicPr>
          <xdr:cNvPr id="1705" name="Pokemon_398_Gauche">
            <a:extLst>
              <a:ext uri="{FF2B5EF4-FFF2-40B4-BE49-F238E27FC236}">
                <a16:creationId xmlns:a16="http://schemas.microsoft.com/office/drawing/2014/main" id="{00000000-0008-0000-0300-0000A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1"/>
          <a:stretch>
            <a:fillRect/>
          </a:stretch>
        </xdr:blipFill>
        <xdr:spPr>
          <a:xfrm>
            <a:off x="375661808" y="2926080"/>
            <a:ext cx="917986" cy="932330"/>
          </a:xfrm>
          <a:prstGeom prst="rect">
            <a:avLst/>
          </a:prstGeom>
        </xdr:spPr>
      </xdr:pic>
      <xdr:pic>
        <xdr:nvPicPr>
          <xdr:cNvPr id="1706" name="Pokemon_399_Gauche">
            <a:extLst>
              <a:ext uri="{FF2B5EF4-FFF2-40B4-BE49-F238E27FC236}">
                <a16:creationId xmlns:a16="http://schemas.microsoft.com/office/drawing/2014/main" id="{00000000-0008-0000-0300-0000A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2"/>
          <a:stretch>
            <a:fillRect/>
          </a:stretch>
        </xdr:blipFill>
        <xdr:spPr>
          <a:xfrm>
            <a:off x="376579829" y="2926080"/>
            <a:ext cx="917986" cy="932330"/>
          </a:xfrm>
          <a:prstGeom prst="rect">
            <a:avLst/>
          </a:prstGeom>
        </xdr:spPr>
      </xdr:pic>
      <xdr:pic>
        <xdr:nvPicPr>
          <xdr:cNvPr id="1707" name="Pokemon_400_Gauche">
            <a:extLst>
              <a:ext uri="{FF2B5EF4-FFF2-40B4-BE49-F238E27FC236}">
                <a16:creationId xmlns:a16="http://schemas.microsoft.com/office/drawing/2014/main" id="{00000000-0008-0000-0300-0000A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3"/>
          <a:stretch>
            <a:fillRect/>
          </a:stretch>
        </xdr:blipFill>
        <xdr:spPr>
          <a:xfrm>
            <a:off x="377497826" y="2926080"/>
            <a:ext cx="917986" cy="932330"/>
          </a:xfrm>
          <a:prstGeom prst="rect">
            <a:avLst/>
          </a:prstGeom>
        </xdr:spPr>
      </xdr:pic>
      <xdr:pic>
        <xdr:nvPicPr>
          <xdr:cNvPr id="1708" name="Pokemon_401_Gauche">
            <a:extLst>
              <a:ext uri="{FF2B5EF4-FFF2-40B4-BE49-F238E27FC236}">
                <a16:creationId xmlns:a16="http://schemas.microsoft.com/office/drawing/2014/main" id="{00000000-0008-0000-0300-0000A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4"/>
          <a:stretch>
            <a:fillRect/>
          </a:stretch>
        </xdr:blipFill>
        <xdr:spPr>
          <a:xfrm>
            <a:off x="378415823" y="2926080"/>
            <a:ext cx="917986" cy="932330"/>
          </a:xfrm>
          <a:prstGeom prst="rect">
            <a:avLst/>
          </a:prstGeom>
        </xdr:spPr>
      </xdr:pic>
      <xdr:pic>
        <xdr:nvPicPr>
          <xdr:cNvPr id="1709" name="Pokemon_402_Gauche">
            <a:extLst>
              <a:ext uri="{FF2B5EF4-FFF2-40B4-BE49-F238E27FC236}">
                <a16:creationId xmlns:a16="http://schemas.microsoft.com/office/drawing/2014/main" id="{00000000-0008-0000-0300-0000A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5"/>
          <a:stretch>
            <a:fillRect/>
          </a:stretch>
        </xdr:blipFill>
        <xdr:spPr>
          <a:xfrm>
            <a:off x="379333795" y="2926080"/>
            <a:ext cx="917986" cy="932330"/>
          </a:xfrm>
          <a:prstGeom prst="rect">
            <a:avLst/>
          </a:prstGeom>
        </xdr:spPr>
      </xdr:pic>
      <xdr:pic>
        <xdr:nvPicPr>
          <xdr:cNvPr id="1710" name="Pokemon_403_Gauche">
            <a:extLst>
              <a:ext uri="{FF2B5EF4-FFF2-40B4-BE49-F238E27FC236}">
                <a16:creationId xmlns:a16="http://schemas.microsoft.com/office/drawing/2014/main" id="{00000000-0008-0000-0300-0000A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6"/>
          <a:stretch>
            <a:fillRect/>
          </a:stretch>
        </xdr:blipFill>
        <xdr:spPr>
          <a:xfrm>
            <a:off x="380251791" y="2926080"/>
            <a:ext cx="917986" cy="932330"/>
          </a:xfrm>
          <a:prstGeom prst="rect">
            <a:avLst/>
          </a:prstGeom>
        </xdr:spPr>
      </xdr:pic>
      <xdr:pic>
        <xdr:nvPicPr>
          <xdr:cNvPr id="1711" name="Pokemon_404_Gauche">
            <a:extLst>
              <a:ext uri="{FF2B5EF4-FFF2-40B4-BE49-F238E27FC236}">
                <a16:creationId xmlns:a16="http://schemas.microsoft.com/office/drawing/2014/main" id="{00000000-0008-0000-0300-0000A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7"/>
          <a:stretch>
            <a:fillRect/>
          </a:stretch>
        </xdr:blipFill>
        <xdr:spPr>
          <a:xfrm>
            <a:off x="381169763" y="2926080"/>
            <a:ext cx="917986" cy="932330"/>
          </a:xfrm>
          <a:prstGeom prst="rect">
            <a:avLst/>
          </a:prstGeom>
        </xdr:spPr>
      </xdr:pic>
      <xdr:pic>
        <xdr:nvPicPr>
          <xdr:cNvPr id="1712" name="Pokemon_405_Gauche">
            <a:extLst>
              <a:ext uri="{FF2B5EF4-FFF2-40B4-BE49-F238E27FC236}">
                <a16:creationId xmlns:a16="http://schemas.microsoft.com/office/drawing/2014/main" id="{00000000-0008-0000-0300-0000B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8"/>
          <a:stretch>
            <a:fillRect/>
          </a:stretch>
        </xdr:blipFill>
        <xdr:spPr>
          <a:xfrm>
            <a:off x="382087760" y="2926080"/>
            <a:ext cx="917986" cy="932330"/>
          </a:xfrm>
          <a:prstGeom prst="rect">
            <a:avLst/>
          </a:prstGeom>
        </xdr:spPr>
      </xdr:pic>
      <xdr:pic>
        <xdr:nvPicPr>
          <xdr:cNvPr id="1713" name="Pokemon_406_Gauche">
            <a:extLst>
              <a:ext uri="{FF2B5EF4-FFF2-40B4-BE49-F238E27FC236}">
                <a16:creationId xmlns:a16="http://schemas.microsoft.com/office/drawing/2014/main" id="{00000000-0008-0000-0300-0000B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9"/>
          <a:stretch>
            <a:fillRect/>
          </a:stretch>
        </xdr:blipFill>
        <xdr:spPr>
          <a:xfrm>
            <a:off x="383005732" y="2926080"/>
            <a:ext cx="917986" cy="932330"/>
          </a:xfrm>
          <a:prstGeom prst="rect">
            <a:avLst/>
          </a:prstGeom>
        </xdr:spPr>
      </xdr:pic>
      <xdr:pic>
        <xdr:nvPicPr>
          <xdr:cNvPr id="1714" name="Pokemon_407_Gauche">
            <a:extLst>
              <a:ext uri="{FF2B5EF4-FFF2-40B4-BE49-F238E27FC236}">
                <a16:creationId xmlns:a16="http://schemas.microsoft.com/office/drawing/2014/main" id="{00000000-0008-0000-0300-0000B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0"/>
          <a:stretch>
            <a:fillRect/>
          </a:stretch>
        </xdr:blipFill>
        <xdr:spPr>
          <a:xfrm>
            <a:off x="383923729" y="2926080"/>
            <a:ext cx="917986" cy="932330"/>
          </a:xfrm>
          <a:prstGeom prst="rect">
            <a:avLst/>
          </a:prstGeom>
        </xdr:spPr>
      </xdr:pic>
      <xdr:pic>
        <xdr:nvPicPr>
          <xdr:cNvPr id="1715" name="Pokemon_408_Gauche">
            <a:extLst>
              <a:ext uri="{FF2B5EF4-FFF2-40B4-BE49-F238E27FC236}">
                <a16:creationId xmlns:a16="http://schemas.microsoft.com/office/drawing/2014/main" id="{00000000-0008-0000-0300-0000B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1"/>
          <a:stretch>
            <a:fillRect/>
          </a:stretch>
        </xdr:blipFill>
        <xdr:spPr>
          <a:xfrm>
            <a:off x="384841750" y="2926080"/>
            <a:ext cx="917986" cy="932330"/>
          </a:xfrm>
          <a:prstGeom prst="rect">
            <a:avLst/>
          </a:prstGeom>
        </xdr:spPr>
      </xdr:pic>
      <xdr:pic>
        <xdr:nvPicPr>
          <xdr:cNvPr id="1716" name="Pokemon_409_Gauche">
            <a:extLst>
              <a:ext uri="{FF2B5EF4-FFF2-40B4-BE49-F238E27FC236}">
                <a16:creationId xmlns:a16="http://schemas.microsoft.com/office/drawing/2014/main" id="{00000000-0008-0000-0300-0000B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2"/>
          <a:stretch>
            <a:fillRect/>
          </a:stretch>
        </xdr:blipFill>
        <xdr:spPr>
          <a:xfrm>
            <a:off x="385759747" y="2926080"/>
            <a:ext cx="917986" cy="932330"/>
          </a:xfrm>
          <a:prstGeom prst="rect">
            <a:avLst/>
          </a:prstGeom>
        </xdr:spPr>
      </xdr:pic>
      <xdr:pic>
        <xdr:nvPicPr>
          <xdr:cNvPr id="1717" name="Pokemon_410_Gauche">
            <a:extLst>
              <a:ext uri="{FF2B5EF4-FFF2-40B4-BE49-F238E27FC236}">
                <a16:creationId xmlns:a16="http://schemas.microsoft.com/office/drawing/2014/main" id="{00000000-0008-0000-0300-0000B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3"/>
          <a:stretch>
            <a:fillRect/>
          </a:stretch>
        </xdr:blipFill>
        <xdr:spPr>
          <a:xfrm>
            <a:off x="386677743" y="2926080"/>
            <a:ext cx="917986" cy="932330"/>
          </a:xfrm>
          <a:prstGeom prst="rect">
            <a:avLst/>
          </a:prstGeom>
        </xdr:spPr>
      </xdr:pic>
      <xdr:pic>
        <xdr:nvPicPr>
          <xdr:cNvPr id="1718" name="Pokemon_411_Gauche">
            <a:extLst>
              <a:ext uri="{FF2B5EF4-FFF2-40B4-BE49-F238E27FC236}">
                <a16:creationId xmlns:a16="http://schemas.microsoft.com/office/drawing/2014/main" id="{00000000-0008-0000-0300-0000B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4"/>
          <a:stretch>
            <a:fillRect/>
          </a:stretch>
        </xdr:blipFill>
        <xdr:spPr>
          <a:xfrm>
            <a:off x="387595715" y="2926080"/>
            <a:ext cx="917986" cy="932330"/>
          </a:xfrm>
          <a:prstGeom prst="rect">
            <a:avLst/>
          </a:prstGeom>
        </xdr:spPr>
      </xdr:pic>
      <xdr:pic>
        <xdr:nvPicPr>
          <xdr:cNvPr id="1719" name="Pokemon_412_Gauche">
            <a:extLst>
              <a:ext uri="{FF2B5EF4-FFF2-40B4-BE49-F238E27FC236}">
                <a16:creationId xmlns:a16="http://schemas.microsoft.com/office/drawing/2014/main" id="{00000000-0008-0000-0300-0000B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5"/>
          <a:stretch>
            <a:fillRect/>
          </a:stretch>
        </xdr:blipFill>
        <xdr:spPr>
          <a:xfrm>
            <a:off x="388513712" y="2926080"/>
            <a:ext cx="917986" cy="932330"/>
          </a:xfrm>
          <a:prstGeom prst="rect">
            <a:avLst/>
          </a:prstGeom>
        </xdr:spPr>
      </xdr:pic>
      <xdr:pic>
        <xdr:nvPicPr>
          <xdr:cNvPr id="1720" name="Pokemon_413_Gauche">
            <a:extLst>
              <a:ext uri="{FF2B5EF4-FFF2-40B4-BE49-F238E27FC236}">
                <a16:creationId xmlns:a16="http://schemas.microsoft.com/office/drawing/2014/main" id="{00000000-0008-0000-0300-0000B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6"/>
          <a:stretch>
            <a:fillRect/>
          </a:stretch>
        </xdr:blipFill>
        <xdr:spPr>
          <a:xfrm>
            <a:off x="389431733" y="2926080"/>
            <a:ext cx="917986" cy="932330"/>
          </a:xfrm>
          <a:prstGeom prst="rect">
            <a:avLst/>
          </a:prstGeom>
        </xdr:spPr>
      </xdr:pic>
      <xdr:pic>
        <xdr:nvPicPr>
          <xdr:cNvPr id="1721" name="Pokemon_414_Gauche">
            <a:extLst>
              <a:ext uri="{FF2B5EF4-FFF2-40B4-BE49-F238E27FC236}">
                <a16:creationId xmlns:a16="http://schemas.microsoft.com/office/drawing/2014/main" id="{00000000-0008-0000-0300-0000B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7"/>
          <a:stretch>
            <a:fillRect/>
          </a:stretch>
        </xdr:blipFill>
        <xdr:spPr>
          <a:xfrm>
            <a:off x="390349730" y="2926080"/>
            <a:ext cx="917986" cy="932330"/>
          </a:xfrm>
          <a:prstGeom prst="rect">
            <a:avLst/>
          </a:prstGeom>
        </xdr:spPr>
      </xdr:pic>
      <xdr:pic>
        <xdr:nvPicPr>
          <xdr:cNvPr id="1722" name="Pokemon_415_Gauche">
            <a:extLst>
              <a:ext uri="{FF2B5EF4-FFF2-40B4-BE49-F238E27FC236}">
                <a16:creationId xmlns:a16="http://schemas.microsoft.com/office/drawing/2014/main" id="{00000000-0008-0000-0300-0000B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8"/>
          <a:stretch>
            <a:fillRect/>
          </a:stretch>
        </xdr:blipFill>
        <xdr:spPr>
          <a:xfrm>
            <a:off x="391267727" y="2926080"/>
            <a:ext cx="917986" cy="932330"/>
          </a:xfrm>
          <a:prstGeom prst="rect">
            <a:avLst/>
          </a:prstGeom>
        </xdr:spPr>
      </xdr:pic>
      <xdr:pic>
        <xdr:nvPicPr>
          <xdr:cNvPr id="1723" name="Pokemon_416_Gauche">
            <a:extLst>
              <a:ext uri="{FF2B5EF4-FFF2-40B4-BE49-F238E27FC236}">
                <a16:creationId xmlns:a16="http://schemas.microsoft.com/office/drawing/2014/main" id="{00000000-0008-0000-0300-0000B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9"/>
          <a:stretch>
            <a:fillRect/>
          </a:stretch>
        </xdr:blipFill>
        <xdr:spPr>
          <a:xfrm>
            <a:off x="392185699" y="2926080"/>
            <a:ext cx="917986" cy="932330"/>
          </a:xfrm>
          <a:prstGeom prst="rect">
            <a:avLst/>
          </a:prstGeom>
        </xdr:spPr>
      </xdr:pic>
      <xdr:pic>
        <xdr:nvPicPr>
          <xdr:cNvPr id="1724" name="Pokemon_417_Gauche">
            <a:extLst>
              <a:ext uri="{FF2B5EF4-FFF2-40B4-BE49-F238E27FC236}">
                <a16:creationId xmlns:a16="http://schemas.microsoft.com/office/drawing/2014/main" id="{00000000-0008-0000-0300-0000B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0"/>
          <a:stretch>
            <a:fillRect/>
          </a:stretch>
        </xdr:blipFill>
        <xdr:spPr>
          <a:xfrm>
            <a:off x="393103695" y="2926080"/>
            <a:ext cx="917986" cy="932330"/>
          </a:xfrm>
          <a:prstGeom prst="rect">
            <a:avLst/>
          </a:prstGeom>
        </xdr:spPr>
      </xdr:pic>
      <xdr:pic>
        <xdr:nvPicPr>
          <xdr:cNvPr id="1725" name="Pokemon_418_Gauche">
            <a:extLst>
              <a:ext uri="{FF2B5EF4-FFF2-40B4-BE49-F238E27FC236}">
                <a16:creationId xmlns:a16="http://schemas.microsoft.com/office/drawing/2014/main" id="{00000000-0008-0000-0300-0000B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1"/>
          <a:stretch>
            <a:fillRect/>
          </a:stretch>
        </xdr:blipFill>
        <xdr:spPr>
          <a:xfrm>
            <a:off x="394021667" y="2926080"/>
            <a:ext cx="917986" cy="932330"/>
          </a:xfrm>
          <a:prstGeom prst="rect">
            <a:avLst/>
          </a:prstGeom>
        </xdr:spPr>
      </xdr:pic>
      <xdr:pic>
        <xdr:nvPicPr>
          <xdr:cNvPr id="1726" name="Pokemon_419_Gauche">
            <a:extLst>
              <a:ext uri="{FF2B5EF4-FFF2-40B4-BE49-F238E27FC236}">
                <a16:creationId xmlns:a16="http://schemas.microsoft.com/office/drawing/2014/main" id="{00000000-0008-0000-0300-0000B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2"/>
          <a:stretch>
            <a:fillRect/>
          </a:stretch>
        </xdr:blipFill>
        <xdr:spPr>
          <a:xfrm>
            <a:off x="394939664" y="2926080"/>
            <a:ext cx="917986" cy="932330"/>
          </a:xfrm>
          <a:prstGeom prst="rect">
            <a:avLst/>
          </a:prstGeom>
        </xdr:spPr>
      </xdr:pic>
      <xdr:pic>
        <xdr:nvPicPr>
          <xdr:cNvPr id="1727" name="Pokemon_420_Gauche">
            <a:extLst>
              <a:ext uri="{FF2B5EF4-FFF2-40B4-BE49-F238E27FC236}">
                <a16:creationId xmlns:a16="http://schemas.microsoft.com/office/drawing/2014/main" id="{00000000-0008-0000-0300-0000B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3"/>
          <a:stretch>
            <a:fillRect/>
          </a:stretch>
        </xdr:blipFill>
        <xdr:spPr>
          <a:xfrm>
            <a:off x="395857636" y="2926080"/>
            <a:ext cx="917986" cy="932330"/>
          </a:xfrm>
          <a:prstGeom prst="rect">
            <a:avLst/>
          </a:prstGeom>
        </xdr:spPr>
      </xdr:pic>
      <xdr:pic>
        <xdr:nvPicPr>
          <xdr:cNvPr id="1728" name="Pokemon_421_Gauche">
            <a:extLst>
              <a:ext uri="{FF2B5EF4-FFF2-40B4-BE49-F238E27FC236}">
                <a16:creationId xmlns:a16="http://schemas.microsoft.com/office/drawing/2014/main" id="{00000000-0008-0000-0300-0000C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4"/>
          <a:stretch>
            <a:fillRect/>
          </a:stretch>
        </xdr:blipFill>
        <xdr:spPr>
          <a:xfrm>
            <a:off x="396775632" y="2926080"/>
            <a:ext cx="917986" cy="932330"/>
          </a:xfrm>
          <a:prstGeom prst="rect">
            <a:avLst/>
          </a:prstGeom>
        </xdr:spPr>
      </xdr:pic>
      <xdr:pic>
        <xdr:nvPicPr>
          <xdr:cNvPr id="1729" name="Pokemon_422_Gauche">
            <a:extLst>
              <a:ext uri="{FF2B5EF4-FFF2-40B4-BE49-F238E27FC236}">
                <a16:creationId xmlns:a16="http://schemas.microsoft.com/office/drawing/2014/main" id="{00000000-0008-0000-0300-0000C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5"/>
          <a:stretch>
            <a:fillRect/>
          </a:stretch>
        </xdr:blipFill>
        <xdr:spPr>
          <a:xfrm>
            <a:off x="397693604" y="2926080"/>
            <a:ext cx="917986" cy="932330"/>
          </a:xfrm>
          <a:prstGeom prst="rect">
            <a:avLst/>
          </a:prstGeom>
        </xdr:spPr>
      </xdr:pic>
      <xdr:pic>
        <xdr:nvPicPr>
          <xdr:cNvPr id="1730" name="Pokemon_423_Gauche">
            <a:extLst>
              <a:ext uri="{FF2B5EF4-FFF2-40B4-BE49-F238E27FC236}">
                <a16:creationId xmlns:a16="http://schemas.microsoft.com/office/drawing/2014/main" id="{00000000-0008-0000-0300-0000C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6"/>
          <a:stretch>
            <a:fillRect/>
          </a:stretch>
        </xdr:blipFill>
        <xdr:spPr>
          <a:xfrm>
            <a:off x="398611601" y="2926080"/>
            <a:ext cx="917986" cy="932330"/>
          </a:xfrm>
          <a:prstGeom prst="rect">
            <a:avLst/>
          </a:prstGeom>
        </xdr:spPr>
      </xdr:pic>
      <xdr:pic>
        <xdr:nvPicPr>
          <xdr:cNvPr id="1731" name="Pokemon_424_Gauche">
            <a:extLst>
              <a:ext uri="{FF2B5EF4-FFF2-40B4-BE49-F238E27FC236}">
                <a16:creationId xmlns:a16="http://schemas.microsoft.com/office/drawing/2014/main" id="{00000000-0008-0000-0300-0000C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7"/>
          <a:stretch>
            <a:fillRect/>
          </a:stretch>
        </xdr:blipFill>
        <xdr:spPr>
          <a:xfrm>
            <a:off x="399529622" y="2926080"/>
            <a:ext cx="917986" cy="932330"/>
          </a:xfrm>
          <a:prstGeom prst="rect">
            <a:avLst/>
          </a:prstGeom>
        </xdr:spPr>
      </xdr:pic>
      <xdr:pic>
        <xdr:nvPicPr>
          <xdr:cNvPr id="1732" name="Pokemon_425_Gauche">
            <a:extLst>
              <a:ext uri="{FF2B5EF4-FFF2-40B4-BE49-F238E27FC236}">
                <a16:creationId xmlns:a16="http://schemas.microsoft.com/office/drawing/2014/main" id="{00000000-0008-0000-0300-0000C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8"/>
          <a:stretch>
            <a:fillRect/>
          </a:stretch>
        </xdr:blipFill>
        <xdr:spPr>
          <a:xfrm>
            <a:off x="400447619" y="2926080"/>
            <a:ext cx="917986" cy="932330"/>
          </a:xfrm>
          <a:prstGeom prst="rect">
            <a:avLst/>
          </a:prstGeom>
        </xdr:spPr>
      </xdr:pic>
      <xdr:pic>
        <xdr:nvPicPr>
          <xdr:cNvPr id="1733" name="Pokemon_426_Gauche">
            <a:extLst>
              <a:ext uri="{FF2B5EF4-FFF2-40B4-BE49-F238E27FC236}">
                <a16:creationId xmlns:a16="http://schemas.microsoft.com/office/drawing/2014/main" id="{00000000-0008-0000-0300-0000C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9"/>
          <a:stretch>
            <a:fillRect/>
          </a:stretch>
        </xdr:blipFill>
        <xdr:spPr>
          <a:xfrm>
            <a:off x="401365616" y="2926080"/>
            <a:ext cx="917986" cy="932330"/>
          </a:xfrm>
          <a:prstGeom prst="rect">
            <a:avLst/>
          </a:prstGeom>
        </xdr:spPr>
      </xdr:pic>
      <xdr:pic>
        <xdr:nvPicPr>
          <xdr:cNvPr id="1734" name="Pokemon_427_Gauche">
            <a:extLst>
              <a:ext uri="{FF2B5EF4-FFF2-40B4-BE49-F238E27FC236}">
                <a16:creationId xmlns:a16="http://schemas.microsoft.com/office/drawing/2014/main" id="{00000000-0008-0000-0300-0000C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0"/>
          <a:stretch>
            <a:fillRect/>
          </a:stretch>
        </xdr:blipFill>
        <xdr:spPr>
          <a:xfrm>
            <a:off x="402283637" y="2926080"/>
            <a:ext cx="917986" cy="932330"/>
          </a:xfrm>
          <a:prstGeom prst="rect">
            <a:avLst/>
          </a:prstGeom>
        </xdr:spPr>
      </xdr:pic>
      <xdr:pic>
        <xdr:nvPicPr>
          <xdr:cNvPr id="1735" name="Pokemon_428_Gauche">
            <a:extLst>
              <a:ext uri="{FF2B5EF4-FFF2-40B4-BE49-F238E27FC236}">
                <a16:creationId xmlns:a16="http://schemas.microsoft.com/office/drawing/2014/main" id="{00000000-0008-0000-0300-0000C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1"/>
          <a:stretch>
            <a:fillRect/>
          </a:stretch>
        </xdr:blipFill>
        <xdr:spPr>
          <a:xfrm>
            <a:off x="403201634" y="2926080"/>
            <a:ext cx="917986" cy="932330"/>
          </a:xfrm>
          <a:prstGeom prst="rect">
            <a:avLst/>
          </a:prstGeom>
        </xdr:spPr>
      </xdr:pic>
      <xdr:pic>
        <xdr:nvPicPr>
          <xdr:cNvPr id="1736" name="Pokemon_429_Gauche">
            <a:extLst>
              <a:ext uri="{FF2B5EF4-FFF2-40B4-BE49-F238E27FC236}">
                <a16:creationId xmlns:a16="http://schemas.microsoft.com/office/drawing/2014/main" id="{00000000-0008-0000-0300-0000C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2"/>
          <a:stretch>
            <a:fillRect/>
          </a:stretch>
        </xdr:blipFill>
        <xdr:spPr>
          <a:xfrm>
            <a:off x="404119631" y="2926080"/>
            <a:ext cx="917986" cy="932330"/>
          </a:xfrm>
          <a:prstGeom prst="rect">
            <a:avLst/>
          </a:prstGeom>
        </xdr:spPr>
      </xdr:pic>
      <xdr:pic>
        <xdr:nvPicPr>
          <xdr:cNvPr id="1737" name="Pokemon_430_Gauche">
            <a:extLst>
              <a:ext uri="{FF2B5EF4-FFF2-40B4-BE49-F238E27FC236}">
                <a16:creationId xmlns:a16="http://schemas.microsoft.com/office/drawing/2014/main" id="{00000000-0008-0000-0300-0000C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3"/>
          <a:stretch>
            <a:fillRect/>
          </a:stretch>
        </xdr:blipFill>
        <xdr:spPr>
          <a:xfrm>
            <a:off x="405037603" y="2926080"/>
            <a:ext cx="917986" cy="932330"/>
          </a:xfrm>
          <a:prstGeom prst="rect">
            <a:avLst/>
          </a:prstGeom>
        </xdr:spPr>
      </xdr:pic>
      <xdr:pic>
        <xdr:nvPicPr>
          <xdr:cNvPr id="1738" name="Pokemon_431_Gauche">
            <a:extLst>
              <a:ext uri="{FF2B5EF4-FFF2-40B4-BE49-F238E27FC236}">
                <a16:creationId xmlns:a16="http://schemas.microsoft.com/office/drawing/2014/main" id="{00000000-0008-0000-0300-0000C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4"/>
          <a:stretch>
            <a:fillRect/>
          </a:stretch>
        </xdr:blipFill>
        <xdr:spPr>
          <a:xfrm>
            <a:off x="405955599" y="2926080"/>
            <a:ext cx="917986" cy="932330"/>
          </a:xfrm>
          <a:prstGeom prst="rect">
            <a:avLst/>
          </a:prstGeom>
        </xdr:spPr>
      </xdr:pic>
      <xdr:pic>
        <xdr:nvPicPr>
          <xdr:cNvPr id="1739" name="Pokemon_432_Gauche">
            <a:extLst>
              <a:ext uri="{FF2B5EF4-FFF2-40B4-BE49-F238E27FC236}">
                <a16:creationId xmlns:a16="http://schemas.microsoft.com/office/drawing/2014/main" id="{00000000-0008-0000-0300-0000C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5"/>
          <a:stretch>
            <a:fillRect/>
          </a:stretch>
        </xdr:blipFill>
        <xdr:spPr>
          <a:xfrm>
            <a:off x="406873571" y="2926080"/>
            <a:ext cx="917986" cy="932330"/>
          </a:xfrm>
          <a:prstGeom prst="rect">
            <a:avLst/>
          </a:prstGeom>
        </xdr:spPr>
      </xdr:pic>
      <xdr:pic>
        <xdr:nvPicPr>
          <xdr:cNvPr id="1740" name="Pokemon_433_Gauche">
            <a:extLst>
              <a:ext uri="{FF2B5EF4-FFF2-40B4-BE49-F238E27FC236}">
                <a16:creationId xmlns:a16="http://schemas.microsoft.com/office/drawing/2014/main" id="{00000000-0008-0000-0300-0000C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6"/>
          <a:stretch>
            <a:fillRect/>
          </a:stretch>
        </xdr:blipFill>
        <xdr:spPr>
          <a:xfrm>
            <a:off x="407791568" y="2926080"/>
            <a:ext cx="917986" cy="932330"/>
          </a:xfrm>
          <a:prstGeom prst="rect">
            <a:avLst/>
          </a:prstGeom>
        </xdr:spPr>
      </xdr:pic>
      <xdr:pic>
        <xdr:nvPicPr>
          <xdr:cNvPr id="1741" name="Pokemon_434_Gauche">
            <a:extLst>
              <a:ext uri="{FF2B5EF4-FFF2-40B4-BE49-F238E27FC236}">
                <a16:creationId xmlns:a16="http://schemas.microsoft.com/office/drawing/2014/main" id="{00000000-0008-0000-0300-0000C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7"/>
          <a:stretch>
            <a:fillRect/>
          </a:stretch>
        </xdr:blipFill>
        <xdr:spPr>
          <a:xfrm>
            <a:off x="408709540" y="2926080"/>
            <a:ext cx="917986" cy="932330"/>
          </a:xfrm>
          <a:prstGeom prst="rect">
            <a:avLst/>
          </a:prstGeom>
        </xdr:spPr>
      </xdr:pic>
      <xdr:pic>
        <xdr:nvPicPr>
          <xdr:cNvPr id="1742" name="Pokemon_435_Gauche">
            <a:extLst>
              <a:ext uri="{FF2B5EF4-FFF2-40B4-BE49-F238E27FC236}">
                <a16:creationId xmlns:a16="http://schemas.microsoft.com/office/drawing/2014/main" id="{00000000-0008-0000-0300-0000C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8"/>
          <a:stretch>
            <a:fillRect/>
          </a:stretch>
        </xdr:blipFill>
        <xdr:spPr>
          <a:xfrm>
            <a:off x="409627536" y="2926080"/>
            <a:ext cx="917986" cy="932330"/>
          </a:xfrm>
          <a:prstGeom prst="rect">
            <a:avLst/>
          </a:prstGeom>
        </xdr:spPr>
      </xdr:pic>
      <xdr:pic>
        <xdr:nvPicPr>
          <xdr:cNvPr id="1743" name="Pokemon_436_Gauche">
            <a:extLst>
              <a:ext uri="{FF2B5EF4-FFF2-40B4-BE49-F238E27FC236}">
                <a16:creationId xmlns:a16="http://schemas.microsoft.com/office/drawing/2014/main" id="{00000000-0008-0000-0300-0000C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9"/>
          <a:stretch>
            <a:fillRect/>
          </a:stretch>
        </xdr:blipFill>
        <xdr:spPr>
          <a:xfrm>
            <a:off x="410545508" y="2926080"/>
            <a:ext cx="917986" cy="932330"/>
          </a:xfrm>
          <a:prstGeom prst="rect">
            <a:avLst/>
          </a:prstGeom>
        </xdr:spPr>
      </xdr:pic>
      <xdr:pic>
        <xdr:nvPicPr>
          <xdr:cNvPr id="1744" name="Pokemon_437_Gauche">
            <a:extLst>
              <a:ext uri="{FF2B5EF4-FFF2-40B4-BE49-F238E27FC236}">
                <a16:creationId xmlns:a16="http://schemas.microsoft.com/office/drawing/2014/main" id="{00000000-0008-0000-0300-0000D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0"/>
          <a:stretch>
            <a:fillRect/>
          </a:stretch>
        </xdr:blipFill>
        <xdr:spPr>
          <a:xfrm>
            <a:off x="411463505" y="2926080"/>
            <a:ext cx="917986" cy="932330"/>
          </a:xfrm>
          <a:prstGeom prst="rect">
            <a:avLst/>
          </a:prstGeom>
        </xdr:spPr>
      </xdr:pic>
      <xdr:pic>
        <xdr:nvPicPr>
          <xdr:cNvPr id="1745" name="Pokemon_438_Gauche">
            <a:extLst>
              <a:ext uri="{FF2B5EF4-FFF2-40B4-BE49-F238E27FC236}">
                <a16:creationId xmlns:a16="http://schemas.microsoft.com/office/drawing/2014/main" id="{00000000-0008-0000-0300-0000D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1"/>
          <a:stretch>
            <a:fillRect/>
          </a:stretch>
        </xdr:blipFill>
        <xdr:spPr>
          <a:xfrm>
            <a:off x="412381526" y="2926080"/>
            <a:ext cx="917986" cy="932330"/>
          </a:xfrm>
          <a:prstGeom prst="rect">
            <a:avLst/>
          </a:prstGeom>
        </xdr:spPr>
      </xdr:pic>
      <xdr:pic>
        <xdr:nvPicPr>
          <xdr:cNvPr id="1746" name="Pokemon_439_Gauche">
            <a:extLst>
              <a:ext uri="{FF2B5EF4-FFF2-40B4-BE49-F238E27FC236}">
                <a16:creationId xmlns:a16="http://schemas.microsoft.com/office/drawing/2014/main" id="{00000000-0008-0000-0300-0000D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2"/>
          <a:stretch>
            <a:fillRect/>
          </a:stretch>
        </xdr:blipFill>
        <xdr:spPr>
          <a:xfrm>
            <a:off x="413299523" y="2926080"/>
            <a:ext cx="917986" cy="932330"/>
          </a:xfrm>
          <a:prstGeom prst="rect">
            <a:avLst/>
          </a:prstGeom>
        </xdr:spPr>
      </xdr:pic>
      <xdr:pic>
        <xdr:nvPicPr>
          <xdr:cNvPr id="1747" name="Pokemon_440_Gauche">
            <a:extLst>
              <a:ext uri="{FF2B5EF4-FFF2-40B4-BE49-F238E27FC236}">
                <a16:creationId xmlns:a16="http://schemas.microsoft.com/office/drawing/2014/main" id="{00000000-0008-0000-0300-0000D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3"/>
          <a:stretch>
            <a:fillRect/>
          </a:stretch>
        </xdr:blipFill>
        <xdr:spPr>
          <a:xfrm>
            <a:off x="414217520" y="2926080"/>
            <a:ext cx="917986" cy="932330"/>
          </a:xfrm>
          <a:prstGeom prst="rect">
            <a:avLst/>
          </a:prstGeom>
        </xdr:spPr>
      </xdr:pic>
      <xdr:pic>
        <xdr:nvPicPr>
          <xdr:cNvPr id="1748" name="Pokemon_441_Gauche">
            <a:extLst>
              <a:ext uri="{FF2B5EF4-FFF2-40B4-BE49-F238E27FC236}">
                <a16:creationId xmlns:a16="http://schemas.microsoft.com/office/drawing/2014/main" id="{00000000-0008-0000-0300-0000D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4"/>
          <a:stretch>
            <a:fillRect/>
          </a:stretch>
        </xdr:blipFill>
        <xdr:spPr>
          <a:xfrm>
            <a:off x="415135541" y="2926080"/>
            <a:ext cx="917986" cy="932330"/>
          </a:xfrm>
          <a:prstGeom prst="rect">
            <a:avLst/>
          </a:prstGeom>
        </xdr:spPr>
      </xdr:pic>
      <xdr:pic>
        <xdr:nvPicPr>
          <xdr:cNvPr id="1749" name="Pokemon_442_Gauche">
            <a:extLst>
              <a:ext uri="{FF2B5EF4-FFF2-40B4-BE49-F238E27FC236}">
                <a16:creationId xmlns:a16="http://schemas.microsoft.com/office/drawing/2014/main" id="{00000000-0008-0000-0300-0000D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5"/>
          <a:stretch>
            <a:fillRect/>
          </a:stretch>
        </xdr:blipFill>
        <xdr:spPr>
          <a:xfrm>
            <a:off x="416053538" y="2926080"/>
            <a:ext cx="917986" cy="932330"/>
          </a:xfrm>
          <a:prstGeom prst="rect">
            <a:avLst/>
          </a:prstGeom>
        </xdr:spPr>
      </xdr:pic>
      <xdr:pic>
        <xdr:nvPicPr>
          <xdr:cNvPr id="1750" name="Pokemon_443_Gauche">
            <a:extLst>
              <a:ext uri="{FF2B5EF4-FFF2-40B4-BE49-F238E27FC236}">
                <a16:creationId xmlns:a16="http://schemas.microsoft.com/office/drawing/2014/main" id="{00000000-0008-0000-0300-0000D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6"/>
          <a:stretch>
            <a:fillRect/>
          </a:stretch>
        </xdr:blipFill>
        <xdr:spPr>
          <a:xfrm>
            <a:off x="416971510" y="2926080"/>
            <a:ext cx="917986" cy="932330"/>
          </a:xfrm>
          <a:prstGeom prst="rect">
            <a:avLst/>
          </a:prstGeom>
        </xdr:spPr>
      </xdr:pic>
      <xdr:pic>
        <xdr:nvPicPr>
          <xdr:cNvPr id="1751" name="Pokemon_444_Gauche">
            <a:extLst>
              <a:ext uri="{FF2B5EF4-FFF2-40B4-BE49-F238E27FC236}">
                <a16:creationId xmlns:a16="http://schemas.microsoft.com/office/drawing/2014/main" id="{00000000-0008-0000-0300-0000D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7"/>
          <a:stretch>
            <a:fillRect/>
          </a:stretch>
        </xdr:blipFill>
        <xdr:spPr>
          <a:xfrm>
            <a:off x="417889482" y="2926080"/>
            <a:ext cx="917986" cy="932330"/>
          </a:xfrm>
          <a:prstGeom prst="rect">
            <a:avLst/>
          </a:prstGeom>
        </xdr:spPr>
      </xdr:pic>
      <xdr:pic>
        <xdr:nvPicPr>
          <xdr:cNvPr id="1752" name="Pokemon_445_Gauche">
            <a:extLst>
              <a:ext uri="{FF2B5EF4-FFF2-40B4-BE49-F238E27FC236}">
                <a16:creationId xmlns:a16="http://schemas.microsoft.com/office/drawing/2014/main" id="{00000000-0008-0000-0300-0000D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8"/>
          <a:stretch>
            <a:fillRect/>
          </a:stretch>
        </xdr:blipFill>
        <xdr:spPr>
          <a:xfrm>
            <a:off x="418807454" y="2926080"/>
            <a:ext cx="917986" cy="932330"/>
          </a:xfrm>
          <a:prstGeom prst="rect">
            <a:avLst/>
          </a:prstGeom>
        </xdr:spPr>
      </xdr:pic>
      <xdr:pic>
        <xdr:nvPicPr>
          <xdr:cNvPr id="1753" name="Pokemon_446_Gauche">
            <a:extLst>
              <a:ext uri="{FF2B5EF4-FFF2-40B4-BE49-F238E27FC236}">
                <a16:creationId xmlns:a16="http://schemas.microsoft.com/office/drawing/2014/main" id="{00000000-0008-0000-0300-0000D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9"/>
          <a:stretch>
            <a:fillRect/>
          </a:stretch>
        </xdr:blipFill>
        <xdr:spPr>
          <a:xfrm>
            <a:off x="419725425" y="2926080"/>
            <a:ext cx="917986" cy="932330"/>
          </a:xfrm>
          <a:prstGeom prst="rect">
            <a:avLst/>
          </a:prstGeom>
        </xdr:spPr>
      </xdr:pic>
      <xdr:pic>
        <xdr:nvPicPr>
          <xdr:cNvPr id="1754" name="Pokemon_447_Gauche">
            <a:extLst>
              <a:ext uri="{FF2B5EF4-FFF2-40B4-BE49-F238E27FC236}">
                <a16:creationId xmlns:a16="http://schemas.microsoft.com/office/drawing/2014/main" id="{00000000-0008-0000-0300-0000D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0"/>
          <a:stretch>
            <a:fillRect/>
          </a:stretch>
        </xdr:blipFill>
        <xdr:spPr>
          <a:xfrm>
            <a:off x="420643397" y="2926080"/>
            <a:ext cx="917986" cy="932330"/>
          </a:xfrm>
          <a:prstGeom prst="rect">
            <a:avLst/>
          </a:prstGeom>
        </xdr:spPr>
      </xdr:pic>
      <xdr:pic>
        <xdr:nvPicPr>
          <xdr:cNvPr id="1755" name="Pokemon_448_Gauche">
            <a:extLst>
              <a:ext uri="{FF2B5EF4-FFF2-40B4-BE49-F238E27FC236}">
                <a16:creationId xmlns:a16="http://schemas.microsoft.com/office/drawing/2014/main" id="{00000000-0008-0000-0300-0000D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1"/>
          <a:stretch>
            <a:fillRect/>
          </a:stretch>
        </xdr:blipFill>
        <xdr:spPr>
          <a:xfrm>
            <a:off x="421561369" y="2926080"/>
            <a:ext cx="917986" cy="932330"/>
          </a:xfrm>
          <a:prstGeom prst="rect">
            <a:avLst/>
          </a:prstGeom>
        </xdr:spPr>
      </xdr:pic>
      <xdr:pic>
        <xdr:nvPicPr>
          <xdr:cNvPr id="1756" name="Pokemon_449_Gauche">
            <a:extLst>
              <a:ext uri="{FF2B5EF4-FFF2-40B4-BE49-F238E27FC236}">
                <a16:creationId xmlns:a16="http://schemas.microsoft.com/office/drawing/2014/main" id="{00000000-0008-0000-0300-0000D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2"/>
          <a:stretch>
            <a:fillRect/>
          </a:stretch>
        </xdr:blipFill>
        <xdr:spPr>
          <a:xfrm>
            <a:off x="422479341" y="2926080"/>
            <a:ext cx="917986" cy="932330"/>
          </a:xfrm>
          <a:prstGeom prst="rect">
            <a:avLst/>
          </a:prstGeom>
        </xdr:spPr>
      </xdr:pic>
      <xdr:pic>
        <xdr:nvPicPr>
          <xdr:cNvPr id="1757" name="Pokemon_450_Gauche">
            <a:extLst>
              <a:ext uri="{FF2B5EF4-FFF2-40B4-BE49-F238E27FC236}">
                <a16:creationId xmlns:a16="http://schemas.microsoft.com/office/drawing/2014/main" id="{00000000-0008-0000-0300-0000D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3"/>
          <a:stretch>
            <a:fillRect/>
          </a:stretch>
        </xdr:blipFill>
        <xdr:spPr>
          <a:xfrm>
            <a:off x="423397313" y="2926080"/>
            <a:ext cx="917986" cy="932330"/>
          </a:xfrm>
          <a:prstGeom prst="rect">
            <a:avLst/>
          </a:prstGeom>
        </xdr:spPr>
      </xdr:pic>
      <xdr:pic>
        <xdr:nvPicPr>
          <xdr:cNvPr id="1758" name="Pokemon_451_Gauche">
            <a:extLst>
              <a:ext uri="{FF2B5EF4-FFF2-40B4-BE49-F238E27FC236}">
                <a16:creationId xmlns:a16="http://schemas.microsoft.com/office/drawing/2014/main" id="{00000000-0008-0000-0300-0000D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4"/>
          <a:stretch>
            <a:fillRect/>
          </a:stretch>
        </xdr:blipFill>
        <xdr:spPr>
          <a:xfrm>
            <a:off x="424315285" y="2926080"/>
            <a:ext cx="917986" cy="932330"/>
          </a:xfrm>
          <a:prstGeom prst="rect">
            <a:avLst/>
          </a:prstGeom>
        </xdr:spPr>
      </xdr:pic>
      <xdr:pic>
        <xdr:nvPicPr>
          <xdr:cNvPr id="1759" name="Pokemon_452_Gauche">
            <a:extLst>
              <a:ext uri="{FF2B5EF4-FFF2-40B4-BE49-F238E27FC236}">
                <a16:creationId xmlns:a16="http://schemas.microsoft.com/office/drawing/2014/main" id="{00000000-0008-0000-0300-0000D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5"/>
          <a:stretch>
            <a:fillRect/>
          </a:stretch>
        </xdr:blipFill>
        <xdr:spPr>
          <a:xfrm>
            <a:off x="425233257" y="2926080"/>
            <a:ext cx="917986" cy="932330"/>
          </a:xfrm>
          <a:prstGeom prst="rect">
            <a:avLst/>
          </a:prstGeom>
        </xdr:spPr>
      </xdr:pic>
      <xdr:pic>
        <xdr:nvPicPr>
          <xdr:cNvPr id="1760" name="Pokemon_453_Gauche">
            <a:extLst>
              <a:ext uri="{FF2B5EF4-FFF2-40B4-BE49-F238E27FC236}">
                <a16:creationId xmlns:a16="http://schemas.microsoft.com/office/drawing/2014/main" id="{00000000-0008-0000-0300-0000E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6"/>
          <a:stretch>
            <a:fillRect/>
          </a:stretch>
        </xdr:blipFill>
        <xdr:spPr>
          <a:xfrm>
            <a:off x="426151229" y="2926080"/>
            <a:ext cx="917986" cy="932330"/>
          </a:xfrm>
          <a:prstGeom prst="rect">
            <a:avLst/>
          </a:prstGeom>
        </xdr:spPr>
      </xdr:pic>
      <xdr:pic>
        <xdr:nvPicPr>
          <xdr:cNvPr id="1761" name="Pokemon_454_Gauche">
            <a:extLst>
              <a:ext uri="{FF2B5EF4-FFF2-40B4-BE49-F238E27FC236}">
                <a16:creationId xmlns:a16="http://schemas.microsoft.com/office/drawing/2014/main" id="{00000000-0008-0000-0300-0000E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7"/>
          <a:stretch>
            <a:fillRect/>
          </a:stretch>
        </xdr:blipFill>
        <xdr:spPr>
          <a:xfrm>
            <a:off x="427069200" y="2926080"/>
            <a:ext cx="917986" cy="932330"/>
          </a:xfrm>
          <a:prstGeom prst="rect">
            <a:avLst/>
          </a:prstGeom>
        </xdr:spPr>
      </xdr:pic>
      <xdr:pic>
        <xdr:nvPicPr>
          <xdr:cNvPr id="1762" name="Pokemon_455_Gauche">
            <a:extLst>
              <a:ext uri="{FF2B5EF4-FFF2-40B4-BE49-F238E27FC236}">
                <a16:creationId xmlns:a16="http://schemas.microsoft.com/office/drawing/2014/main" id="{00000000-0008-0000-0300-0000E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8"/>
          <a:stretch>
            <a:fillRect/>
          </a:stretch>
        </xdr:blipFill>
        <xdr:spPr>
          <a:xfrm>
            <a:off x="427987172" y="2926080"/>
            <a:ext cx="917986" cy="932330"/>
          </a:xfrm>
          <a:prstGeom prst="rect">
            <a:avLst/>
          </a:prstGeom>
        </xdr:spPr>
      </xdr:pic>
      <xdr:pic>
        <xdr:nvPicPr>
          <xdr:cNvPr id="1763" name="Pokemon_456_Gauche">
            <a:extLst>
              <a:ext uri="{FF2B5EF4-FFF2-40B4-BE49-F238E27FC236}">
                <a16:creationId xmlns:a16="http://schemas.microsoft.com/office/drawing/2014/main" id="{00000000-0008-0000-0300-0000E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9"/>
          <a:stretch>
            <a:fillRect/>
          </a:stretch>
        </xdr:blipFill>
        <xdr:spPr>
          <a:xfrm>
            <a:off x="428905144" y="2926080"/>
            <a:ext cx="917986" cy="932330"/>
          </a:xfrm>
          <a:prstGeom prst="rect">
            <a:avLst/>
          </a:prstGeom>
        </xdr:spPr>
      </xdr:pic>
      <xdr:pic>
        <xdr:nvPicPr>
          <xdr:cNvPr id="1764" name="Pokemon_457_Gauche">
            <a:extLst>
              <a:ext uri="{FF2B5EF4-FFF2-40B4-BE49-F238E27FC236}">
                <a16:creationId xmlns:a16="http://schemas.microsoft.com/office/drawing/2014/main" id="{00000000-0008-0000-0300-0000E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0"/>
          <a:stretch>
            <a:fillRect/>
          </a:stretch>
        </xdr:blipFill>
        <xdr:spPr>
          <a:xfrm>
            <a:off x="429823116" y="2926080"/>
            <a:ext cx="917986" cy="932330"/>
          </a:xfrm>
          <a:prstGeom prst="rect">
            <a:avLst/>
          </a:prstGeom>
        </xdr:spPr>
      </xdr:pic>
      <xdr:pic>
        <xdr:nvPicPr>
          <xdr:cNvPr id="1765" name="Pokemon_458_Gauche">
            <a:extLst>
              <a:ext uri="{FF2B5EF4-FFF2-40B4-BE49-F238E27FC236}">
                <a16:creationId xmlns:a16="http://schemas.microsoft.com/office/drawing/2014/main" id="{00000000-0008-0000-0300-0000E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1"/>
          <a:stretch>
            <a:fillRect/>
          </a:stretch>
        </xdr:blipFill>
        <xdr:spPr>
          <a:xfrm>
            <a:off x="430741088" y="2926080"/>
            <a:ext cx="917986" cy="932330"/>
          </a:xfrm>
          <a:prstGeom prst="rect">
            <a:avLst/>
          </a:prstGeom>
        </xdr:spPr>
      </xdr:pic>
      <xdr:pic>
        <xdr:nvPicPr>
          <xdr:cNvPr id="1766" name="Pokemon_459_Gauche">
            <a:extLst>
              <a:ext uri="{FF2B5EF4-FFF2-40B4-BE49-F238E27FC236}">
                <a16:creationId xmlns:a16="http://schemas.microsoft.com/office/drawing/2014/main" id="{00000000-0008-0000-0300-0000E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2"/>
          <a:stretch>
            <a:fillRect/>
          </a:stretch>
        </xdr:blipFill>
        <xdr:spPr>
          <a:xfrm>
            <a:off x="431659060" y="2926080"/>
            <a:ext cx="917986" cy="932330"/>
          </a:xfrm>
          <a:prstGeom prst="rect">
            <a:avLst/>
          </a:prstGeom>
        </xdr:spPr>
      </xdr:pic>
      <xdr:pic>
        <xdr:nvPicPr>
          <xdr:cNvPr id="1767" name="Pokemon_460_Gauche">
            <a:extLst>
              <a:ext uri="{FF2B5EF4-FFF2-40B4-BE49-F238E27FC236}">
                <a16:creationId xmlns:a16="http://schemas.microsoft.com/office/drawing/2014/main" id="{00000000-0008-0000-0300-0000E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3"/>
          <a:stretch>
            <a:fillRect/>
          </a:stretch>
        </xdr:blipFill>
        <xdr:spPr>
          <a:xfrm>
            <a:off x="432577032" y="2926080"/>
            <a:ext cx="917986" cy="932330"/>
          </a:xfrm>
          <a:prstGeom prst="rect">
            <a:avLst/>
          </a:prstGeom>
        </xdr:spPr>
      </xdr:pic>
      <xdr:pic>
        <xdr:nvPicPr>
          <xdr:cNvPr id="1768" name="Pokemon_461_Gauche">
            <a:extLst>
              <a:ext uri="{FF2B5EF4-FFF2-40B4-BE49-F238E27FC236}">
                <a16:creationId xmlns:a16="http://schemas.microsoft.com/office/drawing/2014/main" id="{00000000-0008-0000-0300-0000E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4"/>
          <a:stretch>
            <a:fillRect/>
          </a:stretch>
        </xdr:blipFill>
        <xdr:spPr>
          <a:xfrm>
            <a:off x="433495004" y="2926080"/>
            <a:ext cx="917986" cy="932330"/>
          </a:xfrm>
          <a:prstGeom prst="rect">
            <a:avLst/>
          </a:prstGeom>
        </xdr:spPr>
      </xdr:pic>
      <xdr:pic>
        <xdr:nvPicPr>
          <xdr:cNvPr id="1769" name="Pokemon_462_Gauche">
            <a:extLst>
              <a:ext uri="{FF2B5EF4-FFF2-40B4-BE49-F238E27FC236}">
                <a16:creationId xmlns:a16="http://schemas.microsoft.com/office/drawing/2014/main" id="{00000000-0008-0000-0300-0000E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5"/>
          <a:stretch>
            <a:fillRect/>
          </a:stretch>
        </xdr:blipFill>
        <xdr:spPr>
          <a:xfrm>
            <a:off x="434412975" y="2926080"/>
            <a:ext cx="917986" cy="932330"/>
          </a:xfrm>
          <a:prstGeom prst="rect">
            <a:avLst/>
          </a:prstGeom>
        </xdr:spPr>
      </xdr:pic>
      <xdr:pic>
        <xdr:nvPicPr>
          <xdr:cNvPr id="1770" name="Pokemon_463_Gauche">
            <a:extLst>
              <a:ext uri="{FF2B5EF4-FFF2-40B4-BE49-F238E27FC236}">
                <a16:creationId xmlns:a16="http://schemas.microsoft.com/office/drawing/2014/main" id="{00000000-0008-0000-0300-0000E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6"/>
          <a:stretch>
            <a:fillRect/>
          </a:stretch>
        </xdr:blipFill>
        <xdr:spPr>
          <a:xfrm>
            <a:off x="435330947" y="2926080"/>
            <a:ext cx="917986" cy="932330"/>
          </a:xfrm>
          <a:prstGeom prst="rect">
            <a:avLst/>
          </a:prstGeom>
        </xdr:spPr>
      </xdr:pic>
      <xdr:pic>
        <xdr:nvPicPr>
          <xdr:cNvPr id="1771" name="Pokemon_464_Gauche">
            <a:extLst>
              <a:ext uri="{FF2B5EF4-FFF2-40B4-BE49-F238E27FC236}">
                <a16:creationId xmlns:a16="http://schemas.microsoft.com/office/drawing/2014/main" id="{00000000-0008-0000-0300-0000E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7"/>
          <a:stretch>
            <a:fillRect/>
          </a:stretch>
        </xdr:blipFill>
        <xdr:spPr>
          <a:xfrm>
            <a:off x="436248919" y="2926080"/>
            <a:ext cx="917986" cy="932330"/>
          </a:xfrm>
          <a:prstGeom prst="rect">
            <a:avLst/>
          </a:prstGeom>
        </xdr:spPr>
      </xdr:pic>
      <xdr:pic>
        <xdr:nvPicPr>
          <xdr:cNvPr id="1772" name="Pokemon_465_Gauche">
            <a:extLst>
              <a:ext uri="{FF2B5EF4-FFF2-40B4-BE49-F238E27FC236}">
                <a16:creationId xmlns:a16="http://schemas.microsoft.com/office/drawing/2014/main" id="{00000000-0008-0000-0300-0000E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8"/>
          <a:stretch>
            <a:fillRect/>
          </a:stretch>
        </xdr:blipFill>
        <xdr:spPr>
          <a:xfrm>
            <a:off x="437166891" y="2926080"/>
            <a:ext cx="917986" cy="932330"/>
          </a:xfrm>
          <a:prstGeom prst="rect">
            <a:avLst/>
          </a:prstGeom>
        </xdr:spPr>
      </xdr:pic>
      <xdr:pic>
        <xdr:nvPicPr>
          <xdr:cNvPr id="1773" name="Pokemon_466_Gauche">
            <a:extLst>
              <a:ext uri="{FF2B5EF4-FFF2-40B4-BE49-F238E27FC236}">
                <a16:creationId xmlns:a16="http://schemas.microsoft.com/office/drawing/2014/main" id="{00000000-0008-0000-0300-0000E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9"/>
          <a:stretch>
            <a:fillRect/>
          </a:stretch>
        </xdr:blipFill>
        <xdr:spPr>
          <a:xfrm>
            <a:off x="438084863" y="2926080"/>
            <a:ext cx="917986" cy="932330"/>
          </a:xfrm>
          <a:prstGeom prst="rect">
            <a:avLst/>
          </a:prstGeom>
        </xdr:spPr>
      </xdr:pic>
      <xdr:pic>
        <xdr:nvPicPr>
          <xdr:cNvPr id="1774" name="Pokemon_467_Gauche">
            <a:extLst>
              <a:ext uri="{FF2B5EF4-FFF2-40B4-BE49-F238E27FC236}">
                <a16:creationId xmlns:a16="http://schemas.microsoft.com/office/drawing/2014/main" id="{00000000-0008-0000-0300-0000E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0"/>
          <a:stretch>
            <a:fillRect/>
          </a:stretch>
        </xdr:blipFill>
        <xdr:spPr>
          <a:xfrm>
            <a:off x="439002835" y="2926080"/>
            <a:ext cx="917986" cy="932330"/>
          </a:xfrm>
          <a:prstGeom prst="rect">
            <a:avLst/>
          </a:prstGeom>
        </xdr:spPr>
      </xdr:pic>
      <xdr:pic>
        <xdr:nvPicPr>
          <xdr:cNvPr id="1775" name="Pokemon_468_Gauche">
            <a:extLst>
              <a:ext uri="{FF2B5EF4-FFF2-40B4-BE49-F238E27FC236}">
                <a16:creationId xmlns:a16="http://schemas.microsoft.com/office/drawing/2014/main" id="{00000000-0008-0000-0300-0000E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1"/>
          <a:stretch>
            <a:fillRect/>
          </a:stretch>
        </xdr:blipFill>
        <xdr:spPr>
          <a:xfrm>
            <a:off x="439920807" y="2926080"/>
            <a:ext cx="917986" cy="932330"/>
          </a:xfrm>
          <a:prstGeom prst="rect">
            <a:avLst/>
          </a:prstGeom>
        </xdr:spPr>
      </xdr:pic>
      <xdr:pic>
        <xdr:nvPicPr>
          <xdr:cNvPr id="1776" name="Pokemon_469_Gauche">
            <a:extLst>
              <a:ext uri="{FF2B5EF4-FFF2-40B4-BE49-F238E27FC236}">
                <a16:creationId xmlns:a16="http://schemas.microsoft.com/office/drawing/2014/main" id="{00000000-0008-0000-0300-0000F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2"/>
          <a:stretch>
            <a:fillRect/>
          </a:stretch>
        </xdr:blipFill>
        <xdr:spPr>
          <a:xfrm>
            <a:off x="440838779" y="2926080"/>
            <a:ext cx="917986" cy="932330"/>
          </a:xfrm>
          <a:prstGeom prst="rect">
            <a:avLst/>
          </a:prstGeom>
        </xdr:spPr>
      </xdr:pic>
      <xdr:pic>
        <xdr:nvPicPr>
          <xdr:cNvPr id="1777" name="Pokemon_470_Gauche">
            <a:extLst>
              <a:ext uri="{FF2B5EF4-FFF2-40B4-BE49-F238E27FC236}">
                <a16:creationId xmlns:a16="http://schemas.microsoft.com/office/drawing/2014/main" id="{00000000-0008-0000-0300-0000F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3"/>
          <a:stretch>
            <a:fillRect/>
          </a:stretch>
        </xdr:blipFill>
        <xdr:spPr>
          <a:xfrm>
            <a:off x="441756750" y="2926080"/>
            <a:ext cx="917986" cy="932330"/>
          </a:xfrm>
          <a:prstGeom prst="rect">
            <a:avLst/>
          </a:prstGeom>
        </xdr:spPr>
      </xdr:pic>
      <xdr:pic>
        <xdr:nvPicPr>
          <xdr:cNvPr id="1778" name="Pokemon_471_Gauche">
            <a:extLst>
              <a:ext uri="{FF2B5EF4-FFF2-40B4-BE49-F238E27FC236}">
                <a16:creationId xmlns:a16="http://schemas.microsoft.com/office/drawing/2014/main" id="{00000000-0008-0000-0300-0000F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4"/>
          <a:stretch>
            <a:fillRect/>
          </a:stretch>
        </xdr:blipFill>
        <xdr:spPr>
          <a:xfrm>
            <a:off x="442674722" y="2926080"/>
            <a:ext cx="917986" cy="932330"/>
          </a:xfrm>
          <a:prstGeom prst="rect">
            <a:avLst/>
          </a:prstGeom>
        </xdr:spPr>
      </xdr:pic>
      <xdr:pic>
        <xdr:nvPicPr>
          <xdr:cNvPr id="1779" name="Pokemon_472_Gauche">
            <a:extLst>
              <a:ext uri="{FF2B5EF4-FFF2-40B4-BE49-F238E27FC236}">
                <a16:creationId xmlns:a16="http://schemas.microsoft.com/office/drawing/2014/main" id="{00000000-0008-0000-0300-0000F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5"/>
          <a:stretch>
            <a:fillRect/>
          </a:stretch>
        </xdr:blipFill>
        <xdr:spPr>
          <a:xfrm>
            <a:off x="443592694" y="2926080"/>
            <a:ext cx="917986" cy="932330"/>
          </a:xfrm>
          <a:prstGeom prst="rect">
            <a:avLst/>
          </a:prstGeom>
        </xdr:spPr>
      </xdr:pic>
      <xdr:pic>
        <xdr:nvPicPr>
          <xdr:cNvPr id="1780" name="Pokemon_473_Gauche">
            <a:extLst>
              <a:ext uri="{FF2B5EF4-FFF2-40B4-BE49-F238E27FC236}">
                <a16:creationId xmlns:a16="http://schemas.microsoft.com/office/drawing/2014/main" id="{00000000-0008-0000-0300-0000F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6"/>
          <a:stretch>
            <a:fillRect/>
          </a:stretch>
        </xdr:blipFill>
        <xdr:spPr>
          <a:xfrm>
            <a:off x="444510666" y="2926080"/>
            <a:ext cx="917986" cy="932330"/>
          </a:xfrm>
          <a:prstGeom prst="rect">
            <a:avLst/>
          </a:prstGeom>
        </xdr:spPr>
      </xdr:pic>
      <xdr:pic>
        <xdr:nvPicPr>
          <xdr:cNvPr id="1781" name="Pokemon_474_Gauche">
            <a:extLst>
              <a:ext uri="{FF2B5EF4-FFF2-40B4-BE49-F238E27FC236}">
                <a16:creationId xmlns:a16="http://schemas.microsoft.com/office/drawing/2014/main" id="{00000000-0008-0000-0300-0000F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7"/>
          <a:stretch>
            <a:fillRect/>
          </a:stretch>
        </xdr:blipFill>
        <xdr:spPr>
          <a:xfrm>
            <a:off x="445428638" y="2926080"/>
            <a:ext cx="917986" cy="932330"/>
          </a:xfrm>
          <a:prstGeom prst="rect">
            <a:avLst/>
          </a:prstGeom>
        </xdr:spPr>
      </xdr:pic>
      <xdr:pic>
        <xdr:nvPicPr>
          <xdr:cNvPr id="1782" name="Pokemon_475_Gauche">
            <a:extLst>
              <a:ext uri="{FF2B5EF4-FFF2-40B4-BE49-F238E27FC236}">
                <a16:creationId xmlns:a16="http://schemas.microsoft.com/office/drawing/2014/main" id="{00000000-0008-0000-0300-0000F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8"/>
          <a:stretch>
            <a:fillRect/>
          </a:stretch>
        </xdr:blipFill>
        <xdr:spPr>
          <a:xfrm>
            <a:off x="446346610" y="2926080"/>
            <a:ext cx="917986" cy="932330"/>
          </a:xfrm>
          <a:prstGeom prst="rect">
            <a:avLst/>
          </a:prstGeom>
        </xdr:spPr>
      </xdr:pic>
      <xdr:pic>
        <xdr:nvPicPr>
          <xdr:cNvPr id="1783" name="Pokemon_476_Gauche">
            <a:extLst>
              <a:ext uri="{FF2B5EF4-FFF2-40B4-BE49-F238E27FC236}">
                <a16:creationId xmlns:a16="http://schemas.microsoft.com/office/drawing/2014/main" id="{00000000-0008-0000-0300-0000F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9"/>
          <a:stretch>
            <a:fillRect/>
          </a:stretch>
        </xdr:blipFill>
        <xdr:spPr>
          <a:xfrm>
            <a:off x="447264582" y="2926080"/>
            <a:ext cx="917986" cy="932330"/>
          </a:xfrm>
          <a:prstGeom prst="rect">
            <a:avLst/>
          </a:prstGeom>
        </xdr:spPr>
      </xdr:pic>
      <xdr:pic>
        <xdr:nvPicPr>
          <xdr:cNvPr id="1784" name="Pokemon_477_Gauche">
            <a:extLst>
              <a:ext uri="{FF2B5EF4-FFF2-40B4-BE49-F238E27FC236}">
                <a16:creationId xmlns:a16="http://schemas.microsoft.com/office/drawing/2014/main" id="{00000000-0008-0000-0300-0000F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0"/>
          <a:stretch>
            <a:fillRect/>
          </a:stretch>
        </xdr:blipFill>
        <xdr:spPr>
          <a:xfrm>
            <a:off x="448182554" y="2926080"/>
            <a:ext cx="917986" cy="932330"/>
          </a:xfrm>
          <a:prstGeom prst="rect">
            <a:avLst/>
          </a:prstGeom>
        </xdr:spPr>
      </xdr:pic>
      <xdr:pic>
        <xdr:nvPicPr>
          <xdr:cNvPr id="1785" name="Pokemon_478_Gauche">
            <a:extLst>
              <a:ext uri="{FF2B5EF4-FFF2-40B4-BE49-F238E27FC236}">
                <a16:creationId xmlns:a16="http://schemas.microsoft.com/office/drawing/2014/main" id="{00000000-0008-0000-0300-0000F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1"/>
          <a:stretch>
            <a:fillRect/>
          </a:stretch>
        </xdr:blipFill>
        <xdr:spPr>
          <a:xfrm>
            <a:off x="449100525" y="2926080"/>
            <a:ext cx="917986" cy="932330"/>
          </a:xfrm>
          <a:prstGeom prst="rect">
            <a:avLst/>
          </a:prstGeom>
        </xdr:spPr>
      </xdr:pic>
      <xdr:pic>
        <xdr:nvPicPr>
          <xdr:cNvPr id="1786" name="Pokemon_479_Gauche">
            <a:extLst>
              <a:ext uri="{FF2B5EF4-FFF2-40B4-BE49-F238E27FC236}">
                <a16:creationId xmlns:a16="http://schemas.microsoft.com/office/drawing/2014/main" id="{00000000-0008-0000-0300-0000F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2"/>
          <a:stretch>
            <a:fillRect/>
          </a:stretch>
        </xdr:blipFill>
        <xdr:spPr>
          <a:xfrm>
            <a:off x="450018497" y="2926080"/>
            <a:ext cx="917986" cy="932330"/>
          </a:xfrm>
          <a:prstGeom prst="rect">
            <a:avLst/>
          </a:prstGeom>
        </xdr:spPr>
      </xdr:pic>
      <xdr:pic>
        <xdr:nvPicPr>
          <xdr:cNvPr id="1787" name="Pokemon_480_Gauche">
            <a:extLst>
              <a:ext uri="{FF2B5EF4-FFF2-40B4-BE49-F238E27FC236}">
                <a16:creationId xmlns:a16="http://schemas.microsoft.com/office/drawing/2014/main" id="{00000000-0008-0000-0300-0000F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3"/>
          <a:stretch>
            <a:fillRect/>
          </a:stretch>
        </xdr:blipFill>
        <xdr:spPr>
          <a:xfrm>
            <a:off x="450936469" y="2926080"/>
            <a:ext cx="917986" cy="932330"/>
          </a:xfrm>
          <a:prstGeom prst="rect">
            <a:avLst/>
          </a:prstGeom>
        </xdr:spPr>
      </xdr:pic>
      <xdr:pic>
        <xdr:nvPicPr>
          <xdr:cNvPr id="1788" name="Pokemon_481_Gauche">
            <a:extLst>
              <a:ext uri="{FF2B5EF4-FFF2-40B4-BE49-F238E27FC236}">
                <a16:creationId xmlns:a16="http://schemas.microsoft.com/office/drawing/2014/main" id="{00000000-0008-0000-0300-0000F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4"/>
          <a:stretch>
            <a:fillRect/>
          </a:stretch>
        </xdr:blipFill>
        <xdr:spPr>
          <a:xfrm>
            <a:off x="451854441" y="2926080"/>
            <a:ext cx="917986" cy="932330"/>
          </a:xfrm>
          <a:prstGeom prst="rect">
            <a:avLst/>
          </a:prstGeom>
        </xdr:spPr>
      </xdr:pic>
      <xdr:pic>
        <xdr:nvPicPr>
          <xdr:cNvPr id="1789" name="Pokemon_482_Gauche">
            <a:extLst>
              <a:ext uri="{FF2B5EF4-FFF2-40B4-BE49-F238E27FC236}">
                <a16:creationId xmlns:a16="http://schemas.microsoft.com/office/drawing/2014/main" id="{00000000-0008-0000-0300-0000F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5"/>
          <a:stretch>
            <a:fillRect/>
          </a:stretch>
        </xdr:blipFill>
        <xdr:spPr>
          <a:xfrm>
            <a:off x="452772413" y="2926080"/>
            <a:ext cx="917986" cy="932330"/>
          </a:xfrm>
          <a:prstGeom prst="rect">
            <a:avLst/>
          </a:prstGeom>
        </xdr:spPr>
      </xdr:pic>
      <xdr:pic>
        <xdr:nvPicPr>
          <xdr:cNvPr id="1790" name="Pokemon_483_Gauche">
            <a:extLst>
              <a:ext uri="{FF2B5EF4-FFF2-40B4-BE49-F238E27FC236}">
                <a16:creationId xmlns:a16="http://schemas.microsoft.com/office/drawing/2014/main" id="{00000000-0008-0000-0300-0000F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6"/>
          <a:stretch>
            <a:fillRect/>
          </a:stretch>
        </xdr:blipFill>
        <xdr:spPr>
          <a:xfrm>
            <a:off x="453690385" y="2926080"/>
            <a:ext cx="917986" cy="932330"/>
          </a:xfrm>
          <a:prstGeom prst="rect">
            <a:avLst/>
          </a:prstGeom>
        </xdr:spPr>
      </xdr:pic>
      <xdr:pic>
        <xdr:nvPicPr>
          <xdr:cNvPr id="1791" name="Pokemon_484_Gauche">
            <a:extLst>
              <a:ext uri="{FF2B5EF4-FFF2-40B4-BE49-F238E27FC236}">
                <a16:creationId xmlns:a16="http://schemas.microsoft.com/office/drawing/2014/main" id="{00000000-0008-0000-0300-0000F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7"/>
          <a:stretch>
            <a:fillRect/>
          </a:stretch>
        </xdr:blipFill>
        <xdr:spPr>
          <a:xfrm>
            <a:off x="454608357" y="2926080"/>
            <a:ext cx="917986" cy="932330"/>
          </a:xfrm>
          <a:prstGeom prst="rect">
            <a:avLst/>
          </a:prstGeom>
        </xdr:spPr>
      </xdr:pic>
      <xdr:pic>
        <xdr:nvPicPr>
          <xdr:cNvPr id="1792" name="Pokemon_485_Gauche">
            <a:extLst>
              <a:ext uri="{FF2B5EF4-FFF2-40B4-BE49-F238E27FC236}">
                <a16:creationId xmlns:a16="http://schemas.microsoft.com/office/drawing/2014/main" id="{00000000-0008-0000-0300-00000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8"/>
          <a:stretch>
            <a:fillRect/>
          </a:stretch>
        </xdr:blipFill>
        <xdr:spPr>
          <a:xfrm>
            <a:off x="455526329" y="2926080"/>
            <a:ext cx="917986" cy="932330"/>
          </a:xfrm>
          <a:prstGeom prst="rect">
            <a:avLst/>
          </a:prstGeom>
        </xdr:spPr>
      </xdr:pic>
      <xdr:pic>
        <xdr:nvPicPr>
          <xdr:cNvPr id="1793" name="Pokemon_486_Gauche">
            <a:extLst>
              <a:ext uri="{FF2B5EF4-FFF2-40B4-BE49-F238E27FC236}">
                <a16:creationId xmlns:a16="http://schemas.microsoft.com/office/drawing/2014/main" id="{00000000-0008-0000-0300-00000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9"/>
          <a:stretch>
            <a:fillRect/>
          </a:stretch>
        </xdr:blipFill>
        <xdr:spPr>
          <a:xfrm>
            <a:off x="456444300" y="2926080"/>
            <a:ext cx="917986" cy="932330"/>
          </a:xfrm>
          <a:prstGeom prst="rect">
            <a:avLst/>
          </a:prstGeom>
        </xdr:spPr>
      </xdr:pic>
      <xdr:pic>
        <xdr:nvPicPr>
          <xdr:cNvPr id="1794" name="Pokemon_487_Gauche">
            <a:extLst>
              <a:ext uri="{FF2B5EF4-FFF2-40B4-BE49-F238E27FC236}">
                <a16:creationId xmlns:a16="http://schemas.microsoft.com/office/drawing/2014/main" id="{00000000-0008-0000-0300-00000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0"/>
          <a:stretch>
            <a:fillRect/>
          </a:stretch>
        </xdr:blipFill>
        <xdr:spPr>
          <a:xfrm>
            <a:off x="457362272" y="2926080"/>
            <a:ext cx="917986" cy="932330"/>
          </a:xfrm>
          <a:prstGeom prst="rect">
            <a:avLst/>
          </a:prstGeom>
        </xdr:spPr>
      </xdr:pic>
      <xdr:pic>
        <xdr:nvPicPr>
          <xdr:cNvPr id="1795" name="Pokemon_488_Gauche">
            <a:extLst>
              <a:ext uri="{FF2B5EF4-FFF2-40B4-BE49-F238E27FC236}">
                <a16:creationId xmlns:a16="http://schemas.microsoft.com/office/drawing/2014/main" id="{00000000-0008-0000-0300-00000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1"/>
          <a:stretch>
            <a:fillRect/>
          </a:stretch>
        </xdr:blipFill>
        <xdr:spPr>
          <a:xfrm>
            <a:off x="458280244" y="2926080"/>
            <a:ext cx="917986" cy="932330"/>
          </a:xfrm>
          <a:prstGeom prst="rect">
            <a:avLst/>
          </a:prstGeom>
        </xdr:spPr>
      </xdr:pic>
      <xdr:pic>
        <xdr:nvPicPr>
          <xdr:cNvPr id="1796" name="Pokemon_489_Gauche">
            <a:extLst>
              <a:ext uri="{FF2B5EF4-FFF2-40B4-BE49-F238E27FC236}">
                <a16:creationId xmlns:a16="http://schemas.microsoft.com/office/drawing/2014/main" id="{00000000-0008-0000-0300-00000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2"/>
          <a:stretch>
            <a:fillRect/>
          </a:stretch>
        </xdr:blipFill>
        <xdr:spPr>
          <a:xfrm>
            <a:off x="459198216" y="2926080"/>
            <a:ext cx="917986" cy="932330"/>
          </a:xfrm>
          <a:prstGeom prst="rect">
            <a:avLst/>
          </a:prstGeom>
        </xdr:spPr>
      </xdr:pic>
      <xdr:pic>
        <xdr:nvPicPr>
          <xdr:cNvPr id="1797" name="Pokemon_490_Gauche">
            <a:extLst>
              <a:ext uri="{FF2B5EF4-FFF2-40B4-BE49-F238E27FC236}">
                <a16:creationId xmlns:a16="http://schemas.microsoft.com/office/drawing/2014/main" id="{00000000-0008-0000-0300-00000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3"/>
          <a:stretch>
            <a:fillRect/>
          </a:stretch>
        </xdr:blipFill>
        <xdr:spPr>
          <a:xfrm>
            <a:off x="460116188" y="2926080"/>
            <a:ext cx="917986" cy="932330"/>
          </a:xfrm>
          <a:prstGeom prst="rect">
            <a:avLst/>
          </a:prstGeom>
        </xdr:spPr>
      </xdr:pic>
      <xdr:pic>
        <xdr:nvPicPr>
          <xdr:cNvPr id="1798" name="Pokemon_491_Gauche">
            <a:extLst>
              <a:ext uri="{FF2B5EF4-FFF2-40B4-BE49-F238E27FC236}">
                <a16:creationId xmlns:a16="http://schemas.microsoft.com/office/drawing/2014/main" id="{00000000-0008-0000-0300-00000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4"/>
          <a:stretch>
            <a:fillRect/>
          </a:stretch>
        </xdr:blipFill>
        <xdr:spPr>
          <a:xfrm>
            <a:off x="461034160" y="2926080"/>
            <a:ext cx="917986" cy="932330"/>
          </a:xfrm>
          <a:prstGeom prst="rect">
            <a:avLst/>
          </a:prstGeom>
        </xdr:spPr>
      </xdr:pic>
      <xdr:pic>
        <xdr:nvPicPr>
          <xdr:cNvPr id="1799" name="Pokemon_492_Gauche">
            <a:extLst>
              <a:ext uri="{FF2B5EF4-FFF2-40B4-BE49-F238E27FC236}">
                <a16:creationId xmlns:a16="http://schemas.microsoft.com/office/drawing/2014/main" id="{00000000-0008-0000-0300-00000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5"/>
          <a:stretch>
            <a:fillRect/>
          </a:stretch>
        </xdr:blipFill>
        <xdr:spPr>
          <a:xfrm>
            <a:off x="461952132" y="2926080"/>
            <a:ext cx="917986" cy="932330"/>
          </a:xfrm>
          <a:prstGeom prst="rect">
            <a:avLst/>
          </a:prstGeom>
        </xdr:spPr>
      </xdr:pic>
      <xdr:pic>
        <xdr:nvPicPr>
          <xdr:cNvPr id="1800" name="Pokemon_493_Gauche">
            <a:extLst>
              <a:ext uri="{FF2B5EF4-FFF2-40B4-BE49-F238E27FC236}">
                <a16:creationId xmlns:a16="http://schemas.microsoft.com/office/drawing/2014/main" id="{00000000-0008-0000-0300-00000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6"/>
          <a:stretch>
            <a:fillRect/>
          </a:stretch>
        </xdr:blipFill>
        <xdr:spPr>
          <a:xfrm>
            <a:off x="462870104" y="2926080"/>
            <a:ext cx="917986" cy="932330"/>
          </a:xfrm>
          <a:prstGeom prst="rect">
            <a:avLst/>
          </a:prstGeom>
        </xdr:spPr>
      </xdr:pic>
      <xdr:pic>
        <xdr:nvPicPr>
          <xdr:cNvPr id="1801" name="Pokemon_494_Gauche">
            <a:extLst>
              <a:ext uri="{FF2B5EF4-FFF2-40B4-BE49-F238E27FC236}">
                <a16:creationId xmlns:a16="http://schemas.microsoft.com/office/drawing/2014/main" id="{00000000-0008-0000-0300-00000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7"/>
          <a:stretch>
            <a:fillRect/>
          </a:stretch>
        </xdr:blipFill>
        <xdr:spPr>
          <a:xfrm>
            <a:off x="463788075" y="2926080"/>
            <a:ext cx="917986" cy="932330"/>
          </a:xfrm>
          <a:prstGeom prst="rect">
            <a:avLst/>
          </a:prstGeom>
        </xdr:spPr>
      </xdr:pic>
      <xdr:pic>
        <xdr:nvPicPr>
          <xdr:cNvPr id="1802" name="Pokemon_495_Gauche">
            <a:extLst>
              <a:ext uri="{FF2B5EF4-FFF2-40B4-BE49-F238E27FC236}">
                <a16:creationId xmlns:a16="http://schemas.microsoft.com/office/drawing/2014/main" id="{00000000-0008-0000-0300-00000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8"/>
          <a:stretch>
            <a:fillRect/>
          </a:stretch>
        </xdr:blipFill>
        <xdr:spPr>
          <a:xfrm>
            <a:off x="464706047" y="2926080"/>
            <a:ext cx="917986" cy="932330"/>
          </a:xfrm>
          <a:prstGeom prst="rect">
            <a:avLst/>
          </a:prstGeom>
        </xdr:spPr>
      </xdr:pic>
      <xdr:pic>
        <xdr:nvPicPr>
          <xdr:cNvPr id="1803" name="Pokemon_496_Gauche">
            <a:extLst>
              <a:ext uri="{FF2B5EF4-FFF2-40B4-BE49-F238E27FC236}">
                <a16:creationId xmlns:a16="http://schemas.microsoft.com/office/drawing/2014/main" id="{00000000-0008-0000-0300-00000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9"/>
          <a:stretch>
            <a:fillRect/>
          </a:stretch>
        </xdr:blipFill>
        <xdr:spPr>
          <a:xfrm>
            <a:off x="465624019" y="2926080"/>
            <a:ext cx="917986" cy="932330"/>
          </a:xfrm>
          <a:prstGeom prst="rect">
            <a:avLst/>
          </a:prstGeom>
        </xdr:spPr>
      </xdr:pic>
      <xdr:pic>
        <xdr:nvPicPr>
          <xdr:cNvPr id="1804" name="Pokemon_497_Gauche">
            <a:extLst>
              <a:ext uri="{FF2B5EF4-FFF2-40B4-BE49-F238E27FC236}">
                <a16:creationId xmlns:a16="http://schemas.microsoft.com/office/drawing/2014/main" id="{00000000-0008-0000-0300-00000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0"/>
          <a:stretch>
            <a:fillRect/>
          </a:stretch>
        </xdr:blipFill>
        <xdr:spPr>
          <a:xfrm>
            <a:off x="466541991" y="2926080"/>
            <a:ext cx="917986" cy="932330"/>
          </a:xfrm>
          <a:prstGeom prst="rect">
            <a:avLst/>
          </a:prstGeom>
        </xdr:spPr>
      </xdr:pic>
      <xdr:pic>
        <xdr:nvPicPr>
          <xdr:cNvPr id="1805" name="Pokemon_498_Gauche">
            <a:extLst>
              <a:ext uri="{FF2B5EF4-FFF2-40B4-BE49-F238E27FC236}">
                <a16:creationId xmlns:a16="http://schemas.microsoft.com/office/drawing/2014/main" id="{00000000-0008-0000-0300-00000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1"/>
          <a:stretch>
            <a:fillRect/>
          </a:stretch>
        </xdr:blipFill>
        <xdr:spPr>
          <a:xfrm>
            <a:off x="467459963" y="2926080"/>
            <a:ext cx="917986" cy="932330"/>
          </a:xfrm>
          <a:prstGeom prst="rect">
            <a:avLst/>
          </a:prstGeom>
        </xdr:spPr>
      </xdr:pic>
      <xdr:pic>
        <xdr:nvPicPr>
          <xdr:cNvPr id="1806" name="Pokemon_499_Gauche">
            <a:extLst>
              <a:ext uri="{FF2B5EF4-FFF2-40B4-BE49-F238E27FC236}">
                <a16:creationId xmlns:a16="http://schemas.microsoft.com/office/drawing/2014/main" id="{00000000-0008-0000-0300-00000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2"/>
          <a:stretch>
            <a:fillRect/>
          </a:stretch>
        </xdr:blipFill>
        <xdr:spPr>
          <a:xfrm>
            <a:off x="468377935" y="2926080"/>
            <a:ext cx="917986" cy="932330"/>
          </a:xfrm>
          <a:prstGeom prst="rect">
            <a:avLst/>
          </a:prstGeom>
        </xdr:spPr>
      </xdr:pic>
      <xdr:pic>
        <xdr:nvPicPr>
          <xdr:cNvPr id="1807" name="Pokemon_500_Gauche">
            <a:extLst>
              <a:ext uri="{FF2B5EF4-FFF2-40B4-BE49-F238E27FC236}">
                <a16:creationId xmlns:a16="http://schemas.microsoft.com/office/drawing/2014/main" id="{00000000-0008-0000-0300-00000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3"/>
          <a:stretch>
            <a:fillRect/>
          </a:stretch>
        </xdr:blipFill>
        <xdr:spPr>
          <a:xfrm>
            <a:off x="469295907" y="2926080"/>
            <a:ext cx="917986" cy="932330"/>
          </a:xfrm>
          <a:prstGeom prst="rect">
            <a:avLst/>
          </a:prstGeom>
        </xdr:spPr>
      </xdr:pic>
      <xdr:pic>
        <xdr:nvPicPr>
          <xdr:cNvPr id="1808" name="Pokemon_501_Gauche">
            <a:extLst>
              <a:ext uri="{FF2B5EF4-FFF2-40B4-BE49-F238E27FC236}">
                <a16:creationId xmlns:a16="http://schemas.microsoft.com/office/drawing/2014/main" id="{00000000-0008-0000-0300-00001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4"/>
          <a:stretch>
            <a:fillRect/>
          </a:stretch>
        </xdr:blipFill>
        <xdr:spPr>
          <a:xfrm>
            <a:off x="470213879" y="2926080"/>
            <a:ext cx="917986" cy="932330"/>
          </a:xfrm>
          <a:prstGeom prst="rect">
            <a:avLst/>
          </a:prstGeom>
        </xdr:spPr>
      </xdr:pic>
      <xdr:pic>
        <xdr:nvPicPr>
          <xdr:cNvPr id="1809" name="Pokemon_502_Gauche">
            <a:extLst>
              <a:ext uri="{FF2B5EF4-FFF2-40B4-BE49-F238E27FC236}">
                <a16:creationId xmlns:a16="http://schemas.microsoft.com/office/drawing/2014/main" id="{00000000-0008-0000-0300-00001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5"/>
          <a:stretch>
            <a:fillRect/>
          </a:stretch>
        </xdr:blipFill>
        <xdr:spPr>
          <a:xfrm>
            <a:off x="471131850" y="2926080"/>
            <a:ext cx="917986" cy="932330"/>
          </a:xfrm>
          <a:prstGeom prst="rect">
            <a:avLst/>
          </a:prstGeom>
        </xdr:spPr>
      </xdr:pic>
      <xdr:pic>
        <xdr:nvPicPr>
          <xdr:cNvPr id="1810" name="Pokemon_503_Gauche">
            <a:extLst>
              <a:ext uri="{FF2B5EF4-FFF2-40B4-BE49-F238E27FC236}">
                <a16:creationId xmlns:a16="http://schemas.microsoft.com/office/drawing/2014/main" id="{00000000-0008-0000-0300-00001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6"/>
          <a:stretch>
            <a:fillRect/>
          </a:stretch>
        </xdr:blipFill>
        <xdr:spPr>
          <a:xfrm>
            <a:off x="472049822" y="2926080"/>
            <a:ext cx="917986" cy="932330"/>
          </a:xfrm>
          <a:prstGeom prst="rect">
            <a:avLst/>
          </a:prstGeom>
        </xdr:spPr>
      </xdr:pic>
      <xdr:pic>
        <xdr:nvPicPr>
          <xdr:cNvPr id="1811" name="Pokemon_504_Gauche">
            <a:extLst>
              <a:ext uri="{FF2B5EF4-FFF2-40B4-BE49-F238E27FC236}">
                <a16:creationId xmlns:a16="http://schemas.microsoft.com/office/drawing/2014/main" id="{00000000-0008-0000-0300-00001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7"/>
          <a:stretch>
            <a:fillRect/>
          </a:stretch>
        </xdr:blipFill>
        <xdr:spPr>
          <a:xfrm>
            <a:off x="472967794" y="2926080"/>
            <a:ext cx="917986" cy="932330"/>
          </a:xfrm>
          <a:prstGeom prst="rect">
            <a:avLst/>
          </a:prstGeom>
        </xdr:spPr>
      </xdr:pic>
      <xdr:pic>
        <xdr:nvPicPr>
          <xdr:cNvPr id="1812" name="Pokemon_505_Gauche">
            <a:extLst>
              <a:ext uri="{FF2B5EF4-FFF2-40B4-BE49-F238E27FC236}">
                <a16:creationId xmlns:a16="http://schemas.microsoft.com/office/drawing/2014/main" id="{00000000-0008-0000-0300-00001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8"/>
          <a:stretch>
            <a:fillRect/>
          </a:stretch>
        </xdr:blipFill>
        <xdr:spPr>
          <a:xfrm>
            <a:off x="473885766" y="2926080"/>
            <a:ext cx="917986" cy="932330"/>
          </a:xfrm>
          <a:prstGeom prst="rect">
            <a:avLst/>
          </a:prstGeom>
        </xdr:spPr>
      </xdr:pic>
      <xdr:pic>
        <xdr:nvPicPr>
          <xdr:cNvPr id="1813" name="Pokemon_506_Gauche">
            <a:extLst>
              <a:ext uri="{FF2B5EF4-FFF2-40B4-BE49-F238E27FC236}">
                <a16:creationId xmlns:a16="http://schemas.microsoft.com/office/drawing/2014/main" id="{00000000-0008-0000-0300-00001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9"/>
          <a:stretch>
            <a:fillRect/>
          </a:stretch>
        </xdr:blipFill>
        <xdr:spPr>
          <a:xfrm>
            <a:off x="474803738" y="2926080"/>
            <a:ext cx="917986" cy="932330"/>
          </a:xfrm>
          <a:prstGeom prst="rect">
            <a:avLst/>
          </a:prstGeom>
        </xdr:spPr>
      </xdr:pic>
      <xdr:pic>
        <xdr:nvPicPr>
          <xdr:cNvPr id="1814" name="Pokemon_507_Gauche">
            <a:extLst>
              <a:ext uri="{FF2B5EF4-FFF2-40B4-BE49-F238E27FC236}">
                <a16:creationId xmlns:a16="http://schemas.microsoft.com/office/drawing/2014/main" id="{00000000-0008-0000-0300-00001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0"/>
          <a:stretch>
            <a:fillRect/>
          </a:stretch>
        </xdr:blipFill>
        <xdr:spPr>
          <a:xfrm>
            <a:off x="475721710" y="2926080"/>
            <a:ext cx="917986" cy="932330"/>
          </a:xfrm>
          <a:prstGeom prst="rect">
            <a:avLst/>
          </a:prstGeom>
        </xdr:spPr>
      </xdr:pic>
      <xdr:pic>
        <xdr:nvPicPr>
          <xdr:cNvPr id="1815" name="Pokemon_508_Gauche">
            <a:extLst>
              <a:ext uri="{FF2B5EF4-FFF2-40B4-BE49-F238E27FC236}">
                <a16:creationId xmlns:a16="http://schemas.microsoft.com/office/drawing/2014/main" id="{00000000-0008-0000-0300-00001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1"/>
          <a:stretch>
            <a:fillRect/>
          </a:stretch>
        </xdr:blipFill>
        <xdr:spPr>
          <a:xfrm>
            <a:off x="476639682" y="2926080"/>
            <a:ext cx="917986" cy="932330"/>
          </a:xfrm>
          <a:prstGeom prst="rect">
            <a:avLst/>
          </a:prstGeom>
        </xdr:spPr>
      </xdr:pic>
      <xdr:pic>
        <xdr:nvPicPr>
          <xdr:cNvPr id="1816" name="Pokemon_509_Gauche">
            <a:extLst>
              <a:ext uri="{FF2B5EF4-FFF2-40B4-BE49-F238E27FC236}">
                <a16:creationId xmlns:a16="http://schemas.microsoft.com/office/drawing/2014/main" id="{00000000-0008-0000-0300-00001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2"/>
          <a:stretch>
            <a:fillRect/>
          </a:stretch>
        </xdr:blipFill>
        <xdr:spPr>
          <a:xfrm>
            <a:off x="477557654" y="2926080"/>
            <a:ext cx="917986" cy="932330"/>
          </a:xfrm>
          <a:prstGeom prst="rect">
            <a:avLst/>
          </a:prstGeom>
        </xdr:spPr>
      </xdr:pic>
      <xdr:pic>
        <xdr:nvPicPr>
          <xdr:cNvPr id="1817" name="Pokemon_510_Gauche">
            <a:extLst>
              <a:ext uri="{FF2B5EF4-FFF2-40B4-BE49-F238E27FC236}">
                <a16:creationId xmlns:a16="http://schemas.microsoft.com/office/drawing/2014/main" id="{00000000-0008-0000-0300-00001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3"/>
          <a:stretch>
            <a:fillRect/>
          </a:stretch>
        </xdr:blipFill>
        <xdr:spPr>
          <a:xfrm>
            <a:off x="478475625" y="2926080"/>
            <a:ext cx="917986" cy="932330"/>
          </a:xfrm>
          <a:prstGeom prst="rect">
            <a:avLst/>
          </a:prstGeom>
        </xdr:spPr>
      </xdr:pic>
      <xdr:pic>
        <xdr:nvPicPr>
          <xdr:cNvPr id="1818" name="Pokemon_511_Gauche">
            <a:extLst>
              <a:ext uri="{FF2B5EF4-FFF2-40B4-BE49-F238E27FC236}">
                <a16:creationId xmlns:a16="http://schemas.microsoft.com/office/drawing/2014/main" id="{00000000-0008-0000-0300-00001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4"/>
          <a:stretch>
            <a:fillRect/>
          </a:stretch>
        </xdr:blipFill>
        <xdr:spPr>
          <a:xfrm>
            <a:off x="479393597" y="2926080"/>
            <a:ext cx="917986" cy="932330"/>
          </a:xfrm>
          <a:prstGeom prst="rect">
            <a:avLst/>
          </a:prstGeom>
        </xdr:spPr>
      </xdr:pic>
      <xdr:pic>
        <xdr:nvPicPr>
          <xdr:cNvPr id="1819" name="Pokemon_512_Gauche">
            <a:extLst>
              <a:ext uri="{FF2B5EF4-FFF2-40B4-BE49-F238E27FC236}">
                <a16:creationId xmlns:a16="http://schemas.microsoft.com/office/drawing/2014/main" id="{00000000-0008-0000-0300-00001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5"/>
          <a:stretch>
            <a:fillRect/>
          </a:stretch>
        </xdr:blipFill>
        <xdr:spPr>
          <a:xfrm>
            <a:off x="480311569" y="2926080"/>
            <a:ext cx="917986" cy="932330"/>
          </a:xfrm>
          <a:prstGeom prst="rect">
            <a:avLst/>
          </a:prstGeom>
        </xdr:spPr>
      </xdr:pic>
      <xdr:pic>
        <xdr:nvPicPr>
          <xdr:cNvPr id="1820" name="Pokemon_513_Gauche">
            <a:extLst>
              <a:ext uri="{FF2B5EF4-FFF2-40B4-BE49-F238E27FC236}">
                <a16:creationId xmlns:a16="http://schemas.microsoft.com/office/drawing/2014/main" id="{00000000-0008-0000-0300-00001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6"/>
          <a:stretch>
            <a:fillRect/>
          </a:stretch>
        </xdr:blipFill>
        <xdr:spPr>
          <a:xfrm>
            <a:off x="481229541" y="2926080"/>
            <a:ext cx="917986" cy="932330"/>
          </a:xfrm>
          <a:prstGeom prst="rect">
            <a:avLst/>
          </a:prstGeom>
        </xdr:spPr>
      </xdr:pic>
      <xdr:pic>
        <xdr:nvPicPr>
          <xdr:cNvPr id="1821" name="Pokemon_514_Gauche">
            <a:extLst>
              <a:ext uri="{FF2B5EF4-FFF2-40B4-BE49-F238E27FC236}">
                <a16:creationId xmlns:a16="http://schemas.microsoft.com/office/drawing/2014/main" id="{00000000-0008-0000-0300-00001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7"/>
          <a:stretch>
            <a:fillRect/>
          </a:stretch>
        </xdr:blipFill>
        <xdr:spPr>
          <a:xfrm>
            <a:off x="482147513" y="2926080"/>
            <a:ext cx="917986" cy="932330"/>
          </a:xfrm>
          <a:prstGeom prst="rect">
            <a:avLst/>
          </a:prstGeom>
        </xdr:spPr>
      </xdr:pic>
      <xdr:pic>
        <xdr:nvPicPr>
          <xdr:cNvPr id="1822" name="Pokemon_515_Gauche">
            <a:extLst>
              <a:ext uri="{FF2B5EF4-FFF2-40B4-BE49-F238E27FC236}">
                <a16:creationId xmlns:a16="http://schemas.microsoft.com/office/drawing/2014/main" id="{00000000-0008-0000-0300-00001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8"/>
          <a:stretch>
            <a:fillRect/>
          </a:stretch>
        </xdr:blipFill>
        <xdr:spPr>
          <a:xfrm>
            <a:off x="483065485" y="2926080"/>
            <a:ext cx="917986" cy="932330"/>
          </a:xfrm>
          <a:prstGeom prst="rect">
            <a:avLst/>
          </a:prstGeom>
        </xdr:spPr>
      </xdr:pic>
      <xdr:pic>
        <xdr:nvPicPr>
          <xdr:cNvPr id="1823" name="Pokemon_516_Gauche">
            <a:extLst>
              <a:ext uri="{FF2B5EF4-FFF2-40B4-BE49-F238E27FC236}">
                <a16:creationId xmlns:a16="http://schemas.microsoft.com/office/drawing/2014/main" id="{00000000-0008-0000-0300-00001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9"/>
          <a:stretch>
            <a:fillRect/>
          </a:stretch>
        </xdr:blipFill>
        <xdr:spPr>
          <a:xfrm>
            <a:off x="483983457" y="2926080"/>
            <a:ext cx="917986" cy="932330"/>
          </a:xfrm>
          <a:prstGeom prst="rect">
            <a:avLst/>
          </a:prstGeom>
        </xdr:spPr>
      </xdr:pic>
      <xdr:pic>
        <xdr:nvPicPr>
          <xdr:cNvPr id="1824" name="Pokemon_517_Gauche">
            <a:extLst>
              <a:ext uri="{FF2B5EF4-FFF2-40B4-BE49-F238E27FC236}">
                <a16:creationId xmlns:a16="http://schemas.microsoft.com/office/drawing/2014/main" id="{00000000-0008-0000-0300-00002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0"/>
          <a:stretch>
            <a:fillRect/>
          </a:stretch>
        </xdr:blipFill>
        <xdr:spPr>
          <a:xfrm>
            <a:off x="484901429" y="2926080"/>
            <a:ext cx="917986" cy="932330"/>
          </a:xfrm>
          <a:prstGeom prst="rect">
            <a:avLst/>
          </a:prstGeom>
        </xdr:spPr>
      </xdr:pic>
      <xdr:pic>
        <xdr:nvPicPr>
          <xdr:cNvPr id="1825" name="Pokemon_518_Gauche">
            <a:extLst>
              <a:ext uri="{FF2B5EF4-FFF2-40B4-BE49-F238E27FC236}">
                <a16:creationId xmlns:a16="http://schemas.microsoft.com/office/drawing/2014/main" id="{00000000-0008-0000-0300-00002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1"/>
          <a:stretch>
            <a:fillRect/>
          </a:stretch>
        </xdr:blipFill>
        <xdr:spPr>
          <a:xfrm>
            <a:off x="485819400" y="2926080"/>
            <a:ext cx="917986" cy="932330"/>
          </a:xfrm>
          <a:prstGeom prst="rect">
            <a:avLst/>
          </a:prstGeom>
        </xdr:spPr>
      </xdr:pic>
      <xdr:pic>
        <xdr:nvPicPr>
          <xdr:cNvPr id="1826" name="Pokemon_519_Gauche">
            <a:extLst>
              <a:ext uri="{FF2B5EF4-FFF2-40B4-BE49-F238E27FC236}">
                <a16:creationId xmlns:a16="http://schemas.microsoft.com/office/drawing/2014/main" id="{00000000-0008-0000-0300-00002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2"/>
          <a:stretch>
            <a:fillRect/>
          </a:stretch>
        </xdr:blipFill>
        <xdr:spPr>
          <a:xfrm>
            <a:off x="486737372" y="2926080"/>
            <a:ext cx="917986" cy="932330"/>
          </a:xfrm>
          <a:prstGeom prst="rect">
            <a:avLst/>
          </a:prstGeom>
        </xdr:spPr>
      </xdr:pic>
      <xdr:pic>
        <xdr:nvPicPr>
          <xdr:cNvPr id="1827" name="Pokemon_520_Gauche">
            <a:extLst>
              <a:ext uri="{FF2B5EF4-FFF2-40B4-BE49-F238E27FC236}">
                <a16:creationId xmlns:a16="http://schemas.microsoft.com/office/drawing/2014/main" id="{00000000-0008-0000-0300-00002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3"/>
          <a:stretch>
            <a:fillRect/>
          </a:stretch>
        </xdr:blipFill>
        <xdr:spPr>
          <a:xfrm>
            <a:off x="487655344" y="2926080"/>
            <a:ext cx="917986" cy="932330"/>
          </a:xfrm>
          <a:prstGeom prst="rect">
            <a:avLst/>
          </a:prstGeom>
        </xdr:spPr>
      </xdr:pic>
      <xdr:pic>
        <xdr:nvPicPr>
          <xdr:cNvPr id="1828" name="Pokemon_521_Gauche">
            <a:extLst>
              <a:ext uri="{FF2B5EF4-FFF2-40B4-BE49-F238E27FC236}">
                <a16:creationId xmlns:a16="http://schemas.microsoft.com/office/drawing/2014/main" id="{00000000-0008-0000-0300-00002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4"/>
          <a:stretch>
            <a:fillRect/>
          </a:stretch>
        </xdr:blipFill>
        <xdr:spPr>
          <a:xfrm>
            <a:off x="488573316" y="2926080"/>
            <a:ext cx="917986" cy="932330"/>
          </a:xfrm>
          <a:prstGeom prst="rect">
            <a:avLst/>
          </a:prstGeom>
        </xdr:spPr>
      </xdr:pic>
      <xdr:pic>
        <xdr:nvPicPr>
          <xdr:cNvPr id="1829" name="Pokemon_522_Gauche">
            <a:extLst>
              <a:ext uri="{FF2B5EF4-FFF2-40B4-BE49-F238E27FC236}">
                <a16:creationId xmlns:a16="http://schemas.microsoft.com/office/drawing/2014/main" id="{00000000-0008-0000-0300-00002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5"/>
          <a:stretch>
            <a:fillRect/>
          </a:stretch>
        </xdr:blipFill>
        <xdr:spPr>
          <a:xfrm>
            <a:off x="489491288" y="2926080"/>
            <a:ext cx="917986" cy="932330"/>
          </a:xfrm>
          <a:prstGeom prst="rect">
            <a:avLst/>
          </a:prstGeom>
        </xdr:spPr>
      </xdr:pic>
      <xdr:pic>
        <xdr:nvPicPr>
          <xdr:cNvPr id="1830" name="Pokemon_523_Gauche">
            <a:extLst>
              <a:ext uri="{FF2B5EF4-FFF2-40B4-BE49-F238E27FC236}">
                <a16:creationId xmlns:a16="http://schemas.microsoft.com/office/drawing/2014/main" id="{00000000-0008-0000-0300-00002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6"/>
          <a:stretch>
            <a:fillRect/>
          </a:stretch>
        </xdr:blipFill>
        <xdr:spPr>
          <a:xfrm>
            <a:off x="490409260" y="2926080"/>
            <a:ext cx="917986" cy="932330"/>
          </a:xfrm>
          <a:prstGeom prst="rect">
            <a:avLst/>
          </a:prstGeom>
        </xdr:spPr>
      </xdr:pic>
      <xdr:pic>
        <xdr:nvPicPr>
          <xdr:cNvPr id="1831" name="Pokemon_524_Gauche">
            <a:extLst>
              <a:ext uri="{FF2B5EF4-FFF2-40B4-BE49-F238E27FC236}">
                <a16:creationId xmlns:a16="http://schemas.microsoft.com/office/drawing/2014/main" id="{00000000-0008-0000-0300-00002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7"/>
          <a:stretch>
            <a:fillRect/>
          </a:stretch>
        </xdr:blipFill>
        <xdr:spPr>
          <a:xfrm>
            <a:off x="491327232" y="2926080"/>
            <a:ext cx="917986" cy="932330"/>
          </a:xfrm>
          <a:prstGeom prst="rect">
            <a:avLst/>
          </a:prstGeom>
        </xdr:spPr>
      </xdr:pic>
      <xdr:pic>
        <xdr:nvPicPr>
          <xdr:cNvPr id="1832" name="Pokemon_525_Gauche">
            <a:extLst>
              <a:ext uri="{FF2B5EF4-FFF2-40B4-BE49-F238E27FC236}">
                <a16:creationId xmlns:a16="http://schemas.microsoft.com/office/drawing/2014/main" id="{00000000-0008-0000-0300-00002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8"/>
          <a:stretch>
            <a:fillRect/>
          </a:stretch>
        </xdr:blipFill>
        <xdr:spPr>
          <a:xfrm>
            <a:off x="492245204" y="2926080"/>
            <a:ext cx="917986" cy="932330"/>
          </a:xfrm>
          <a:prstGeom prst="rect">
            <a:avLst/>
          </a:prstGeom>
        </xdr:spPr>
      </xdr:pic>
      <xdr:pic>
        <xdr:nvPicPr>
          <xdr:cNvPr id="1833" name="Pokemon_526_Gauche">
            <a:extLst>
              <a:ext uri="{FF2B5EF4-FFF2-40B4-BE49-F238E27FC236}">
                <a16:creationId xmlns:a16="http://schemas.microsoft.com/office/drawing/2014/main" id="{00000000-0008-0000-0300-00002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9"/>
          <a:stretch>
            <a:fillRect/>
          </a:stretch>
        </xdr:blipFill>
        <xdr:spPr>
          <a:xfrm>
            <a:off x="493163175" y="2926080"/>
            <a:ext cx="917986" cy="932330"/>
          </a:xfrm>
          <a:prstGeom prst="rect">
            <a:avLst/>
          </a:prstGeom>
        </xdr:spPr>
      </xdr:pic>
      <xdr:pic>
        <xdr:nvPicPr>
          <xdr:cNvPr id="1834" name="Pokemon_527_Gauche">
            <a:extLst>
              <a:ext uri="{FF2B5EF4-FFF2-40B4-BE49-F238E27FC236}">
                <a16:creationId xmlns:a16="http://schemas.microsoft.com/office/drawing/2014/main" id="{00000000-0008-0000-0300-00002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0"/>
          <a:stretch>
            <a:fillRect/>
          </a:stretch>
        </xdr:blipFill>
        <xdr:spPr>
          <a:xfrm>
            <a:off x="494081147" y="2926080"/>
            <a:ext cx="917986" cy="932330"/>
          </a:xfrm>
          <a:prstGeom prst="rect">
            <a:avLst/>
          </a:prstGeom>
        </xdr:spPr>
      </xdr:pic>
      <xdr:pic>
        <xdr:nvPicPr>
          <xdr:cNvPr id="1835" name="Pokemon_528_Gauche">
            <a:extLst>
              <a:ext uri="{FF2B5EF4-FFF2-40B4-BE49-F238E27FC236}">
                <a16:creationId xmlns:a16="http://schemas.microsoft.com/office/drawing/2014/main" id="{00000000-0008-0000-0300-00002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1"/>
          <a:stretch>
            <a:fillRect/>
          </a:stretch>
        </xdr:blipFill>
        <xdr:spPr>
          <a:xfrm>
            <a:off x="494999119" y="2926080"/>
            <a:ext cx="917986" cy="932330"/>
          </a:xfrm>
          <a:prstGeom prst="rect">
            <a:avLst/>
          </a:prstGeom>
        </xdr:spPr>
      </xdr:pic>
      <xdr:pic>
        <xdr:nvPicPr>
          <xdr:cNvPr id="1836" name="Pokemon_529_Gauche">
            <a:extLst>
              <a:ext uri="{FF2B5EF4-FFF2-40B4-BE49-F238E27FC236}">
                <a16:creationId xmlns:a16="http://schemas.microsoft.com/office/drawing/2014/main" id="{00000000-0008-0000-0300-00002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2"/>
          <a:stretch>
            <a:fillRect/>
          </a:stretch>
        </xdr:blipFill>
        <xdr:spPr>
          <a:xfrm>
            <a:off x="495917091" y="2926080"/>
            <a:ext cx="917986" cy="932330"/>
          </a:xfrm>
          <a:prstGeom prst="rect">
            <a:avLst/>
          </a:prstGeom>
        </xdr:spPr>
      </xdr:pic>
      <xdr:pic>
        <xdr:nvPicPr>
          <xdr:cNvPr id="1837" name="Pokemon_530_Gauche">
            <a:extLst>
              <a:ext uri="{FF2B5EF4-FFF2-40B4-BE49-F238E27FC236}">
                <a16:creationId xmlns:a16="http://schemas.microsoft.com/office/drawing/2014/main" id="{00000000-0008-0000-0300-00002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3"/>
          <a:stretch>
            <a:fillRect/>
          </a:stretch>
        </xdr:blipFill>
        <xdr:spPr>
          <a:xfrm>
            <a:off x="496835063" y="2926080"/>
            <a:ext cx="917986" cy="932330"/>
          </a:xfrm>
          <a:prstGeom prst="rect">
            <a:avLst/>
          </a:prstGeom>
        </xdr:spPr>
      </xdr:pic>
      <xdr:pic>
        <xdr:nvPicPr>
          <xdr:cNvPr id="1838" name="Pokemon_531_Gauche">
            <a:extLst>
              <a:ext uri="{FF2B5EF4-FFF2-40B4-BE49-F238E27FC236}">
                <a16:creationId xmlns:a16="http://schemas.microsoft.com/office/drawing/2014/main" id="{00000000-0008-0000-0300-00002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4"/>
          <a:stretch>
            <a:fillRect/>
          </a:stretch>
        </xdr:blipFill>
        <xdr:spPr>
          <a:xfrm>
            <a:off x="497753035" y="2926080"/>
            <a:ext cx="917986" cy="932330"/>
          </a:xfrm>
          <a:prstGeom prst="rect">
            <a:avLst/>
          </a:prstGeom>
        </xdr:spPr>
      </xdr:pic>
      <xdr:pic>
        <xdr:nvPicPr>
          <xdr:cNvPr id="1839" name="Pokemon_532_Gauche">
            <a:extLst>
              <a:ext uri="{FF2B5EF4-FFF2-40B4-BE49-F238E27FC236}">
                <a16:creationId xmlns:a16="http://schemas.microsoft.com/office/drawing/2014/main" id="{00000000-0008-0000-0300-00002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5"/>
          <a:stretch>
            <a:fillRect/>
          </a:stretch>
        </xdr:blipFill>
        <xdr:spPr>
          <a:xfrm>
            <a:off x="498671007" y="2926080"/>
            <a:ext cx="917986" cy="932330"/>
          </a:xfrm>
          <a:prstGeom prst="rect">
            <a:avLst/>
          </a:prstGeom>
        </xdr:spPr>
      </xdr:pic>
      <xdr:pic>
        <xdr:nvPicPr>
          <xdr:cNvPr id="1840" name="Pokemon_533_Gauche">
            <a:extLst>
              <a:ext uri="{FF2B5EF4-FFF2-40B4-BE49-F238E27FC236}">
                <a16:creationId xmlns:a16="http://schemas.microsoft.com/office/drawing/2014/main" id="{00000000-0008-0000-0300-00003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6"/>
          <a:stretch>
            <a:fillRect/>
          </a:stretch>
        </xdr:blipFill>
        <xdr:spPr>
          <a:xfrm>
            <a:off x="499588979" y="2926080"/>
            <a:ext cx="917986" cy="932330"/>
          </a:xfrm>
          <a:prstGeom prst="rect">
            <a:avLst/>
          </a:prstGeom>
        </xdr:spPr>
      </xdr:pic>
      <xdr:pic>
        <xdr:nvPicPr>
          <xdr:cNvPr id="1841" name="Pokemon_534_Gauche">
            <a:extLst>
              <a:ext uri="{FF2B5EF4-FFF2-40B4-BE49-F238E27FC236}">
                <a16:creationId xmlns:a16="http://schemas.microsoft.com/office/drawing/2014/main" id="{00000000-0008-0000-0300-00003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7"/>
          <a:stretch>
            <a:fillRect/>
          </a:stretch>
        </xdr:blipFill>
        <xdr:spPr>
          <a:xfrm>
            <a:off x="500506950" y="2926080"/>
            <a:ext cx="917986" cy="932330"/>
          </a:xfrm>
          <a:prstGeom prst="rect">
            <a:avLst/>
          </a:prstGeom>
        </xdr:spPr>
      </xdr:pic>
      <xdr:pic>
        <xdr:nvPicPr>
          <xdr:cNvPr id="1842" name="Pokemon_535_Gauche">
            <a:extLst>
              <a:ext uri="{FF2B5EF4-FFF2-40B4-BE49-F238E27FC236}">
                <a16:creationId xmlns:a16="http://schemas.microsoft.com/office/drawing/2014/main" id="{00000000-0008-0000-0300-00003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8"/>
          <a:stretch>
            <a:fillRect/>
          </a:stretch>
        </xdr:blipFill>
        <xdr:spPr>
          <a:xfrm>
            <a:off x="501424922" y="2926080"/>
            <a:ext cx="917986" cy="932330"/>
          </a:xfrm>
          <a:prstGeom prst="rect">
            <a:avLst/>
          </a:prstGeom>
        </xdr:spPr>
      </xdr:pic>
      <xdr:pic>
        <xdr:nvPicPr>
          <xdr:cNvPr id="1843" name="Pokemon_536_Gauche">
            <a:extLst>
              <a:ext uri="{FF2B5EF4-FFF2-40B4-BE49-F238E27FC236}">
                <a16:creationId xmlns:a16="http://schemas.microsoft.com/office/drawing/2014/main" id="{00000000-0008-0000-0300-00003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9"/>
          <a:stretch>
            <a:fillRect/>
          </a:stretch>
        </xdr:blipFill>
        <xdr:spPr>
          <a:xfrm>
            <a:off x="502342894" y="2926080"/>
            <a:ext cx="917986" cy="932330"/>
          </a:xfrm>
          <a:prstGeom prst="rect">
            <a:avLst/>
          </a:prstGeom>
        </xdr:spPr>
      </xdr:pic>
      <xdr:pic>
        <xdr:nvPicPr>
          <xdr:cNvPr id="1844" name="Pokemon_537_Gauche">
            <a:extLst>
              <a:ext uri="{FF2B5EF4-FFF2-40B4-BE49-F238E27FC236}">
                <a16:creationId xmlns:a16="http://schemas.microsoft.com/office/drawing/2014/main" id="{00000000-0008-0000-0300-00003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0"/>
          <a:stretch>
            <a:fillRect/>
          </a:stretch>
        </xdr:blipFill>
        <xdr:spPr>
          <a:xfrm>
            <a:off x="503260866" y="2926080"/>
            <a:ext cx="917986" cy="932330"/>
          </a:xfrm>
          <a:prstGeom prst="rect">
            <a:avLst/>
          </a:prstGeom>
        </xdr:spPr>
      </xdr:pic>
      <xdr:pic>
        <xdr:nvPicPr>
          <xdr:cNvPr id="1845" name="Pokemon_538_Gauche">
            <a:extLst>
              <a:ext uri="{FF2B5EF4-FFF2-40B4-BE49-F238E27FC236}">
                <a16:creationId xmlns:a16="http://schemas.microsoft.com/office/drawing/2014/main" id="{00000000-0008-0000-0300-00003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1"/>
          <a:stretch>
            <a:fillRect/>
          </a:stretch>
        </xdr:blipFill>
        <xdr:spPr>
          <a:xfrm>
            <a:off x="504178838" y="2926080"/>
            <a:ext cx="917986" cy="932330"/>
          </a:xfrm>
          <a:prstGeom prst="rect">
            <a:avLst/>
          </a:prstGeom>
        </xdr:spPr>
      </xdr:pic>
      <xdr:pic>
        <xdr:nvPicPr>
          <xdr:cNvPr id="1846" name="Pokemon_539_Gauche">
            <a:extLst>
              <a:ext uri="{FF2B5EF4-FFF2-40B4-BE49-F238E27FC236}">
                <a16:creationId xmlns:a16="http://schemas.microsoft.com/office/drawing/2014/main" id="{00000000-0008-0000-0300-00003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2"/>
          <a:stretch>
            <a:fillRect/>
          </a:stretch>
        </xdr:blipFill>
        <xdr:spPr>
          <a:xfrm>
            <a:off x="505096810" y="2926080"/>
            <a:ext cx="917986" cy="932330"/>
          </a:xfrm>
          <a:prstGeom prst="rect">
            <a:avLst/>
          </a:prstGeom>
        </xdr:spPr>
      </xdr:pic>
      <xdr:pic>
        <xdr:nvPicPr>
          <xdr:cNvPr id="1847" name="Pokemon_540_Gauche">
            <a:extLst>
              <a:ext uri="{FF2B5EF4-FFF2-40B4-BE49-F238E27FC236}">
                <a16:creationId xmlns:a16="http://schemas.microsoft.com/office/drawing/2014/main" id="{00000000-0008-0000-0300-00003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3"/>
          <a:stretch>
            <a:fillRect/>
          </a:stretch>
        </xdr:blipFill>
        <xdr:spPr>
          <a:xfrm>
            <a:off x="506014782" y="2926080"/>
            <a:ext cx="917986" cy="932330"/>
          </a:xfrm>
          <a:prstGeom prst="rect">
            <a:avLst/>
          </a:prstGeom>
        </xdr:spPr>
      </xdr:pic>
      <xdr:pic>
        <xdr:nvPicPr>
          <xdr:cNvPr id="1848" name="Pokemon_541_Gauche">
            <a:extLst>
              <a:ext uri="{FF2B5EF4-FFF2-40B4-BE49-F238E27FC236}">
                <a16:creationId xmlns:a16="http://schemas.microsoft.com/office/drawing/2014/main" id="{00000000-0008-0000-0300-00003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4"/>
          <a:stretch>
            <a:fillRect/>
          </a:stretch>
        </xdr:blipFill>
        <xdr:spPr>
          <a:xfrm>
            <a:off x="506932754" y="2926080"/>
            <a:ext cx="917986" cy="932330"/>
          </a:xfrm>
          <a:prstGeom prst="rect">
            <a:avLst/>
          </a:prstGeom>
        </xdr:spPr>
      </xdr:pic>
      <xdr:pic>
        <xdr:nvPicPr>
          <xdr:cNvPr id="1849" name="Pokemon_542_Gauche">
            <a:extLst>
              <a:ext uri="{FF2B5EF4-FFF2-40B4-BE49-F238E27FC236}">
                <a16:creationId xmlns:a16="http://schemas.microsoft.com/office/drawing/2014/main" id="{00000000-0008-0000-0300-00003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5"/>
          <a:stretch>
            <a:fillRect/>
          </a:stretch>
        </xdr:blipFill>
        <xdr:spPr>
          <a:xfrm>
            <a:off x="507850725" y="2926080"/>
            <a:ext cx="917986" cy="932330"/>
          </a:xfrm>
          <a:prstGeom prst="rect">
            <a:avLst/>
          </a:prstGeom>
        </xdr:spPr>
      </xdr:pic>
      <xdr:pic>
        <xdr:nvPicPr>
          <xdr:cNvPr id="1850" name="Pokemon_543_Gauche">
            <a:extLst>
              <a:ext uri="{FF2B5EF4-FFF2-40B4-BE49-F238E27FC236}">
                <a16:creationId xmlns:a16="http://schemas.microsoft.com/office/drawing/2014/main" id="{00000000-0008-0000-0300-00003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6"/>
          <a:stretch>
            <a:fillRect/>
          </a:stretch>
        </xdr:blipFill>
        <xdr:spPr>
          <a:xfrm>
            <a:off x="508768697" y="2926080"/>
            <a:ext cx="917986" cy="932330"/>
          </a:xfrm>
          <a:prstGeom prst="rect">
            <a:avLst/>
          </a:prstGeom>
        </xdr:spPr>
      </xdr:pic>
      <xdr:pic>
        <xdr:nvPicPr>
          <xdr:cNvPr id="1851" name="Pokemon_544_Gauche">
            <a:extLst>
              <a:ext uri="{FF2B5EF4-FFF2-40B4-BE49-F238E27FC236}">
                <a16:creationId xmlns:a16="http://schemas.microsoft.com/office/drawing/2014/main" id="{00000000-0008-0000-0300-00003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7"/>
          <a:stretch>
            <a:fillRect/>
          </a:stretch>
        </xdr:blipFill>
        <xdr:spPr>
          <a:xfrm>
            <a:off x="509686669" y="2926080"/>
            <a:ext cx="917986" cy="932330"/>
          </a:xfrm>
          <a:prstGeom prst="rect">
            <a:avLst/>
          </a:prstGeom>
        </xdr:spPr>
      </xdr:pic>
      <xdr:pic>
        <xdr:nvPicPr>
          <xdr:cNvPr id="1852" name="Pokemon_545_Gauche">
            <a:extLst>
              <a:ext uri="{FF2B5EF4-FFF2-40B4-BE49-F238E27FC236}">
                <a16:creationId xmlns:a16="http://schemas.microsoft.com/office/drawing/2014/main" id="{00000000-0008-0000-0300-00003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8"/>
          <a:stretch>
            <a:fillRect/>
          </a:stretch>
        </xdr:blipFill>
        <xdr:spPr>
          <a:xfrm>
            <a:off x="510604641" y="2926080"/>
            <a:ext cx="917986" cy="932330"/>
          </a:xfrm>
          <a:prstGeom prst="rect">
            <a:avLst/>
          </a:prstGeom>
        </xdr:spPr>
      </xdr:pic>
      <xdr:pic>
        <xdr:nvPicPr>
          <xdr:cNvPr id="1853" name="Pokemon_546_Gauche">
            <a:extLst>
              <a:ext uri="{FF2B5EF4-FFF2-40B4-BE49-F238E27FC236}">
                <a16:creationId xmlns:a16="http://schemas.microsoft.com/office/drawing/2014/main" id="{00000000-0008-0000-0300-00003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9"/>
          <a:stretch>
            <a:fillRect/>
          </a:stretch>
        </xdr:blipFill>
        <xdr:spPr>
          <a:xfrm>
            <a:off x="511522613" y="2926080"/>
            <a:ext cx="917986" cy="932330"/>
          </a:xfrm>
          <a:prstGeom prst="rect">
            <a:avLst/>
          </a:prstGeom>
        </xdr:spPr>
      </xdr:pic>
      <xdr:pic>
        <xdr:nvPicPr>
          <xdr:cNvPr id="1854" name="Pokemon_547_Gauche">
            <a:extLst>
              <a:ext uri="{FF2B5EF4-FFF2-40B4-BE49-F238E27FC236}">
                <a16:creationId xmlns:a16="http://schemas.microsoft.com/office/drawing/2014/main" id="{00000000-0008-0000-0300-00003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0"/>
          <a:stretch>
            <a:fillRect/>
          </a:stretch>
        </xdr:blipFill>
        <xdr:spPr>
          <a:xfrm>
            <a:off x="512440585" y="2926080"/>
            <a:ext cx="917986" cy="932330"/>
          </a:xfrm>
          <a:prstGeom prst="rect">
            <a:avLst/>
          </a:prstGeom>
        </xdr:spPr>
      </xdr:pic>
      <xdr:pic>
        <xdr:nvPicPr>
          <xdr:cNvPr id="1855" name="Pokemon_548_Gauche">
            <a:extLst>
              <a:ext uri="{FF2B5EF4-FFF2-40B4-BE49-F238E27FC236}">
                <a16:creationId xmlns:a16="http://schemas.microsoft.com/office/drawing/2014/main" id="{00000000-0008-0000-0300-00003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1"/>
          <a:stretch>
            <a:fillRect/>
          </a:stretch>
        </xdr:blipFill>
        <xdr:spPr>
          <a:xfrm>
            <a:off x="513358557" y="2926080"/>
            <a:ext cx="917986" cy="932330"/>
          </a:xfrm>
          <a:prstGeom prst="rect">
            <a:avLst/>
          </a:prstGeom>
        </xdr:spPr>
      </xdr:pic>
      <xdr:pic>
        <xdr:nvPicPr>
          <xdr:cNvPr id="1856" name="Pokemon_549_Gauche">
            <a:extLst>
              <a:ext uri="{FF2B5EF4-FFF2-40B4-BE49-F238E27FC236}">
                <a16:creationId xmlns:a16="http://schemas.microsoft.com/office/drawing/2014/main" id="{00000000-0008-0000-0300-00004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2"/>
          <a:stretch>
            <a:fillRect/>
          </a:stretch>
        </xdr:blipFill>
        <xdr:spPr>
          <a:xfrm>
            <a:off x="514276529" y="2926080"/>
            <a:ext cx="917986" cy="932330"/>
          </a:xfrm>
          <a:prstGeom prst="rect">
            <a:avLst/>
          </a:prstGeom>
        </xdr:spPr>
      </xdr:pic>
      <xdr:pic>
        <xdr:nvPicPr>
          <xdr:cNvPr id="1857" name="Pokemon_550_Gauche">
            <a:extLst>
              <a:ext uri="{FF2B5EF4-FFF2-40B4-BE49-F238E27FC236}">
                <a16:creationId xmlns:a16="http://schemas.microsoft.com/office/drawing/2014/main" id="{00000000-0008-0000-0300-00004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3"/>
          <a:stretch>
            <a:fillRect/>
          </a:stretch>
        </xdr:blipFill>
        <xdr:spPr>
          <a:xfrm>
            <a:off x="515194500" y="2926080"/>
            <a:ext cx="917986" cy="932330"/>
          </a:xfrm>
          <a:prstGeom prst="rect">
            <a:avLst/>
          </a:prstGeom>
        </xdr:spPr>
      </xdr:pic>
      <xdr:pic>
        <xdr:nvPicPr>
          <xdr:cNvPr id="1858" name="Pokemon_551_Gauche">
            <a:extLst>
              <a:ext uri="{FF2B5EF4-FFF2-40B4-BE49-F238E27FC236}">
                <a16:creationId xmlns:a16="http://schemas.microsoft.com/office/drawing/2014/main" id="{00000000-0008-0000-0300-00004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4"/>
          <a:stretch>
            <a:fillRect/>
          </a:stretch>
        </xdr:blipFill>
        <xdr:spPr>
          <a:xfrm>
            <a:off x="516112472" y="2926080"/>
            <a:ext cx="917986" cy="932330"/>
          </a:xfrm>
          <a:prstGeom prst="rect">
            <a:avLst/>
          </a:prstGeom>
        </xdr:spPr>
      </xdr:pic>
      <xdr:pic>
        <xdr:nvPicPr>
          <xdr:cNvPr id="1859" name="Pokemon_552_Gauche">
            <a:extLst>
              <a:ext uri="{FF2B5EF4-FFF2-40B4-BE49-F238E27FC236}">
                <a16:creationId xmlns:a16="http://schemas.microsoft.com/office/drawing/2014/main" id="{00000000-0008-0000-0300-00004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5"/>
          <a:stretch>
            <a:fillRect/>
          </a:stretch>
        </xdr:blipFill>
        <xdr:spPr>
          <a:xfrm>
            <a:off x="517030444" y="2926080"/>
            <a:ext cx="917986" cy="932330"/>
          </a:xfrm>
          <a:prstGeom prst="rect">
            <a:avLst/>
          </a:prstGeom>
        </xdr:spPr>
      </xdr:pic>
      <xdr:pic>
        <xdr:nvPicPr>
          <xdr:cNvPr id="1860" name="Pokemon_553_Gauche">
            <a:extLst>
              <a:ext uri="{FF2B5EF4-FFF2-40B4-BE49-F238E27FC236}">
                <a16:creationId xmlns:a16="http://schemas.microsoft.com/office/drawing/2014/main" id="{00000000-0008-0000-0300-00004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6"/>
          <a:stretch>
            <a:fillRect/>
          </a:stretch>
        </xdr:blipFill>
        <xdr:spPr>
          <a:xfrm>
            <a:off x="517948416" y="2926080"/>
            <a:ext cx="917986" cy="932330"/>
          </a:xfrm>
          <a:prstGeom prst="rect">
            <a:avLst/>
          </a:prstGeom>
        </xdr:spPr>
      </xdr:pic>
      <xdr:pic>
        <xdr:nvPicPr>
          <xdr:cNvPr id="1861" name="Pokemon_554_Gauche">
            <a:extLst>
              <a:ext uri="{FF2B5EF4-FFF2-40B4-BE49-F238E27FC236}">
                <a16:creationId xmlns:a16="http://schemas.microsoft.com/office/drawing/2014/main" id="{00000000-0008-0000-0300-00004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7"/>
          <a:stretch>
            <a:fillRect/>
          </a:stretch>
        </xdr:blipFill>
        <xdr:spPr>
          <a:xfrm>
            <a:off x="518866388" y="2926080"/>
            <a:ext cx="917986" cy="932330"/>
          </a:xfrm>
          <a:prstGeom prst="rect">
            <a:avLst/>
          </a:prstGeom>
        </xdr:spPr>
      </xdr:pic>
      <xdr:pic>
        <xdr:nvPicPr>
          <xdr:cNvPr id="1862" name="Pokemon_555_Gauche">
            <a:extLst>
              <a:ext uri="{FF2B5EF4-FFF2-40B4-BE49-F238E27FC236}">
                <a16:creationId xmlns:a16="http://schemas.microsoft.com/office/drawing/2014/main" id="{00000000-0008-0000-0300-00004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8"/>
          <a:stretch>
            <a:fillRect/>
          </a:stretch>
        </xdr:blipFill>
        <xdr:spPr>
          <a:xfrm>
            <a:off x="519784360" y="2926080"/>
            <a:ext cx="917986" cy="932330"/>
          </a:xfrm>
          <a:prstGeom prst="rect">
            <a:avLst/>
          </a:prstGeom>
        </xdr:spPr>
      </xdr:pic>
      <xdr:pic>
        <xdr:nvPicPr>
          <xdr:cNvPr id="1863" name="Pokemon_556_Gauche">
            <a:extLst>
              <a:ext uri="{FF2B5EF4-FFF2-40B4-BE49-F238E27FC236}">
                <a16:creationId xmlns:a16="http://schemas.microsoft.com/office/drawing/2014/main" id="{00000000-0008-0000-0300-00004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9"/>
          <a:stretch>
            <a:fillRect/>
          </a:stretch>
        </xdr:blipFill>
        <xdr:spPr>
          <a:xfrm>
            <a:off x="520702332" y="2926080"/>
            <a:ext cx="917986" cy="932330"/>
          </a:xfrm>
          <a:prstGeom prst="rect">
            <a:avLst/>
          </a:prstGeom>
        </xdr:spPr>
      </xdr:pic>
      <xdr:pic>
        <xdr:nvPicPr>
          <xdr:cNvPr id="1864" name="Pokemon_557_Gauche">
            <a:extLst>
              <a:ext uri="{FF2B5EF4-FFF2-40B4-BE49-F238E27FC236}">
                <a16:creationId xmlns:a16="http://schemas.microsoft.com/office/drawing/2014/main" id="{00000000-0008-0000-0300-00004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0"/>
          <a:stretch>
            <a:fillRect/>
          </a:stretch>
        </xdr:blipFill>
        <xdr:spPr>
          <a:xfrm>
            <a:off x="521620304" y="2926080"/>
            <a:ext cx="917986" cy="932330"/>
          </a:xfrm>
          <a:prstGeom prst="rect">
            <a:avLst/>
          </a:prstGeom>
        </xdr:spPr>
      </xdr:pic>
      <xdr:pic>
        <xdr:nvPicPr>
          <xdr:cNvPr id="1865" name="Pokemon_558_Gauche">
            <a:extLst>
              <a:ext uri="{FF2B5EF4-FFF2-40B4-BE49-F238E27FC236}">
                <a16:creationId xmlns:a16="http://schemas.microsoft.com/office/drawing/2014/main" id="{00000000-0008-0000-0300-00004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1"/>
          <a:stretch>
            <a:fillRect/>
          </a:stretch>
        </xdr:blipFill>
        <xdr:spPr>
          <a:xfrm>
            <a:off x="522538275" y="2926080"/>
            <a:ext cx="917986" cy="932330"/>
          </a:xfrm>
          <a:prstGeom prst="rect">
            <a:avLst/>
          </a:prstGeom>
        </xdr:spPr>
      </xdr:pic>
      <xdr:pic>
        <xdr:nvPicPr>
          <xdr:cNvPr id="1866" name="Pokemon_559_Gauche">
            <a:extLst>
              <a:ext uri="{FF2B5EF4-FFF2-40B4-BE49-F238E27FC236}">
                <a16:creationId xmlns:a16="http://schemas.microsoft.com/office/drawing/2014/main" id="{00000000-0008-0000-0300-00004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2"/>
          <a:stretch>
            <a:fillRect/>
          </a:stretch>
        </xdr:blipFill>
        <xdr:spPr>
          <a:xfrm>
            <a:off x="523456247" y="2926080"/>
            <a:ext cx="917986" cy="932330"/>
          </a:xfrm>
          <a:prstGeom prst="rect">
            <a:avLst/>
          </a:prstGeom>
        </xdr:spPr>
      </xdr:pic>
      <xdr:pic>
        <xdr:nvPicPr>
          <xdr:cNvPr id="1867" name="Pokemon_560_Gauche">
            <a:extLst>
              <a:ext uri="{FF2B5EF4-FFF2-40B4-BE49-F238E27FC236}">
                <a16:creationId xmlns:a16="http://schemas.microsoft.com/office/drawing/2014/main" id="{00000000-0008-0000-0300-00004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3"/>
          <a:stretch>
            <a:fillRect/>
          </a:stretch>
        </xdr:blipFill>
        <xdr:spPr>
          <a:xfrm>
            <a:off x="524374219" y="2926080"/>
            <a:ext cx="917986" cy="932330"/>
          </a:xfrm>
          <a:prstGeom prst="rect">
            <a:avLst/>
          </a:prstGeom>
        </xdr:spPr>
      </xdr:pic>
      <xdr:pic>
        <xdr:nvPicPr>
          <xdr:cNvPr id="1868" name="Pokemon_561_Gauche">
            <a:extLst>
              <a:ext uri="{FF2B5EF4-FFF2-40B4-BE49-F238E27FC236}">
                <a16:creationId xmlns:a16="http://schemas.microsoft.com/office/drawing/2014/main" id="{00000000-0008-0000-0300-00004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4"/>
          <a:stretch>
            <a:fillRect/>
          </a:stretch>
        </xdr:blipFill>
        <xdr:spPr>
          <a:xfrm>
            <a:off x="525292191" y="2926080"/>
            <a:ext cx="917986" cy="932330"/>
          </a:xfrm>
          <a:prstGeom prst="rect">
            <a:avLst/>
          </a:prstGeom>
        </xdr:spPr>
      </xdr:pic>
      <xdr:pic>
        <xdr:nvPicPr>
          <xdr:cNvPr id="1869" name="Pokemon_562_Gauche">
            <a:extLst>
              <a:ext uri="{FF2B5EF4-FFF2-40B4-BE49-F238E27FC236}">
                <a16:creationId xmlns:a16="http://schemas.microsoft.com/office/drawing/2014/main" id="{00000000-0008-0000-0300-00004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5"/>
          <a:stretch>
            <a:fillRect/>
          </a:stretch>
        </xdr:blipFill>
        <xdr:spPr>
          <a:xfrm>
            <a:off x="526210163" y="2926080"/>
            <a:ext cx="917986" cy="932330"/>
          </a:xfrm>
          <a:prstGeom prst="rect">
            <a:avLst/>
          </a:prstGeom>
        </xdr:spPr>
      </xdr:pic>
      <xdr:pic>
        <xdr:nvPicPr>
          <xdr:cNvPr id="1870" name="Pokemon_563_Gauche">
            <a:extLst>
              <a:ext uri="{FF2B5EF4-FFF2-40B4-BE49-F238E27FC236}">
                <a16:creationId xmlns:a16="http://schemas.microsoft.com/office/drawing/2014/main" id="{00000000-0008-0000-0300-00004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6"/>
          <a:stretch>
            <a:fillRect/>
          </a:stretch>
        </xdr:blipFill>
        <xdr:spPr>
          <a:xfrm>
            <a:off x="527128135" y="2926080"/>
            <a:ext cx="917986" cy="932330"/>
          </a:xfrm>
          <a:prstGeom prst="rect">
            <a:avLst/>
          </a:prstGeom>
        </xdr:spPr>
      </xdr:pic>
      <xdr:pic>
        <xdr:nvPicPr>
          <xdr:cNvPr id="1871" name="Pokemon_564_Gauche">
            <a:extLst>
              <a:ext uri="{FF2B5EF4-FFF2-40B4-BE49-F238E27FC236}">
                <a16:creationId xmlns:a16="http://schemas.microsoft.com/office/drawing/2014/main" id="{00000000-0008-0000-0300-00004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7"/>
          <a:stretch>
            <a:fillRect/>
          </a:stretch>
        </xdr:blipFill>
        <xdr:spPr>
          <a:xfrm>
            <a:off x="528046107" y="2926080"/>
            <a:ext cx="917986" cy="932330"/>
          </a:xfrm>
          <a:prstGeom prst="rect">
            <a:avLst/>
          </a:prstGeom>
        </xdr:spPr>
      </xdr:pic>
      <xdr:pic>
        <xdr:nvPicPr>
          <xdr:cNvPr id="1872" name="Pokemon_565_Gauche">
            <a:extLst>
              <a:ext uri="{FF2B5EF4-FFF2-40B4-BE49-F238E27FC236}">
                <a16:creationId xmlns:a16="http://schemas.microsoft.com/office/drawing/2014/main" id="{00000000-0008-0000-0300-00005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8"/>
          <a:stretch>
            <a:fillRect/>
          </a:stretch>
        </xdr:blipFill>
        <xdr:spPr>
          <a:xfrm>
            <a:off x="528964079" y="2926080"/>
            <a:ext cx="917986" cy="932330"/>
          </a:xfrm>
          <a:prstGeom prst="rect">
            <a:avLst/>
          </a:prstGeom>
        </xdr:spPr>
      </xdr:pic>
      <xdr:pic>
        <xdr:nvPicPr>
          <xdr:cNvPr id="1873" name="Pokemon_566_Gauche">
            <a:extLst>
              <a:ext uri="{FF2B5EF4-FFF2-40B4-BE49-F238E27FC236}">
                <a16:creationId xmlns:a16="http://schemas.microsoft.com/office/drawing/2014/main" id="{00000000-0008-0000-0300-00005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9"/>
          <a:stretch>
            <a:fillRect/>
          </a:stretch>
        </xdr:blipFill>
        <xdr:spPr>
          <a:xfrm>
            <a:off x="529882050" y="2926080"/>
            <a:ext cx="917986" cy="932330"/>
          </a:xfrm>
          <a:prstGeom prst="rect">
            <a:avLst/>
          </a:prstGeom>
        </xdr:spPr>
      </xdr:pic>
      <xdr:pic>
        <xdr:nvPicPr>
          <xdr:cNvPr id="1874" name="Pokemon_567_Gauche">
            <a:extLst>
              <a:ext uri="{FF2B5EF4-FFF2-40B4-BE49-F238E27FC236}">
                <a16:creationId xmlns:a16="http://schemas.microsoft.com/office/drawing/2014/main" id="{00000000-0008-0000-0300-00005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0"/>
          <a:stretch>
            <a:fillRect/>
          </a:stretch>
        </xdr:blipFill>
        <xdr:spPr>
          <a:xfrm>
            <a:off x="530800022" y="2926080"/>
            <a:ext cx="917986" cy="932330"/>
          </a:xfrm>
          <a:prstGeom prst="rect">
            <a:avLst/>
          </a:prstGeom>
        </xdr:spPr>
      </xdr:pic>
      <xdr:pic>
        <xdr:nvPicPr>
          <xdr:cNvPr id="1875" name="Pokemon_568_Gauche">
            <a:extLst>
              <a:ext uri="{FF2B5EF4-FFF2-40B4-BE49-F238E27FC236}">
                <a16:creationId xmlns:a16="http://schemas.microsoft.com/office/drawing/2014/main" id="{00000000-0008-0000-0300-00005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1"/>
          <a:stretch>
            <a:fillRect/>
          </a:stretch>
        </xdr:blipFill>
        <xdr:spPr>
          <a:xfrm>
            <a:off x="531717994" y="2926080"/>
            <a:ext cx="917986" cy="932330"/>
          </a:xfrm>
          <a:prstGeom prst="rect">
            <a:avLst/>
          </a:prstGeom>
        </xdr:spPr>
      </xdr:pic>
      <xdr:pic>
        <xdr:nvPicPr>
          <xdr:cNvPr id="1876" name="Pokemon_569_Gauche">
            <a:extLst>
              <a:ext uri="{FF2B5EF4-FFF2-40B4-BE49-F238E27FC236}">
                <a16:creationId xmlns:a16="http://schemas.microsoft.com/office/drawing/2014/main" id="{00000000-0008-0000-0300-00005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2"/>
          <a:stretch>
            <a:fillRect/>
          </a:stretch>
        </xdr:blipFill>
        <xdr:spPr>
          <a:xfrm>
            <a:off x="532635966" y="2926080"/>
            <a:ext cx="917986" cy="932330"/>
          </a:xfrm>
          <a:prstGeom prst="rect">
            <a:avLst/>
          </a:prstGeom>
        </xdr:spPr>
      </xdr:pic>
      <xdr:pic>
        <xdr:nvPicPr>
          <xdr:cNvPr id="1877" name="Pokemon_570_Gauche">
            <a:extLst>
              <a:ext uri="{FF2B5EF4-FFF2-40B4-BE49-F238E27FC236}">
                <a16:creationId xmlns:a16="http://schemas.microsoft.com/office/drawing/2014/main" id="{00000000-0008-0000-0300-00005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3"/>
          <a:stretch>
            <a:fillRect/>
          </a:stretch>
        </xdr:blipFill>
        <xdr:spPr>
          <a:xfrm>
            <a:off x="533553938" y="2926080"/>
            <a:ext cx="917986" cy="932330"/>
          </a:xfrm>
          <a:prstGeom prst="rect">
            <a:avLst/>
          </a:prstGeom>
        </xdr:spPr>
      </xdr:pic>
      <xdr:pic>
        <xdr:nvPicPr>
          <xdr:cNvPr id="1878" name="Pokemon_571_Gauche">
            <a:extLst>
              <a:ext uri="{FF2B5EF4-FFF2-40B4-BE49-F238E27FC236}">
                <a16:creationId xmlns:a16="http://schemas.microsoft.com/office/drawing/2014/main" id="{00000000-0008-0000-0300-00005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4"/>
          <a:stretch>
            <a:fillRect/>
          </a:stretch>
        </xdr:blipFill>
        <xdr:spPr>
          <a:xfrm>
            <a:off x="534471910" y="2926080"/>
            <a:ext cx="917986" cy="932330"/>
          </a:xfrm>
          <a:prstGeom prst="rect">
            <a:avLst/>
          </a:prstGeom>
        </xdr:spPr>
      </xdr:pic>
      <xdr:pic>
        <xdr:nvPicPr>
          <xdr:cNvPr id="1879" name="Pokemon_572_Gauche">
            <a:extLst>
              <a:ext uri="{FF2B5EF4-FFF2-40B4-BE49-F238E27FC236}">
                <a16:creationId xmlns:a16="http://schemas.microsoft.com/office/drawing/2014/main" id="{00000000-0008-0000-0300-00005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5"/>
          <a:stretch>
            <a:fillRect/>
          </a:stretch>
        </xdr:blipFill>
        <xdr:spPr>
          <a:xfrm>
            <a:off x="535389882" y="2926080"/>
            <a:ext cx="917986" cy="932330"/>
          </a:xfrm>
          <a:prstGeom prst="rect">
            <a:avLst/>
          </a:prstGeom>
        </xdr:spPr>
      </xdr:pic>
      <xdr:pic>
        <xdr:nvPicPr>
          <xdr:cNvPr id="1880" name="Pokemon_573_Gauche">
            <a:extLst>
              <a:ext uri="{FF2B5EF4-FFF2-40B4-BE49-F238E27FC236}">
                <a16:creationId xmlns:a16="http://schemas.microsoft.com/office/drawing/2014/main" id="{00000000-0008-0000-0300-00005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6"/>
          <a:stretch>
            <a:fillRect/>
          </a:stretch>
        </xdr:blipFill>
        <xdr:spPr>
          <a:xfrm>
            <a:off x="536307854" y="2926080"/>
            <a:ext cx="917986" cy="932330"/>
          </a:xfrm>
          <a:prstGeom prst="rect">
            <a:avLst/>
          </a:prstGeom>
        </xdr:spPr>
      </xdr:pic>
      <xdr:pic>
        <xdr:nvPicPr>
          <xdr:cNvPr id="1881" name="Pokemon_574_Gauche">
            <a:extLst>
              <a:ext uri="{FF2B5EF4-FFF2-40B4-BE49-F238E27FC236}">
                <a16:creationId xmlns:a16="http://schemas.microsoft.com/office/drawing/2014/main" id="{00000000-0008-0000-0300-00005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7"/>
          <a:stretch>
            <a:fillRect/>
          </a:stretch>
        </xdr:blipFill>
        <xdr:spPr>
          <a:xfrm>
            <a:off x="537225825" y="2926080"/>
            <a:ext cx="917986" cy="932330"/>
          </a:xfrm>
          <a:prstGeom prst="rect">
            <a:avLst/>
          </a:prstGeom>
        </xdr:spPr>
      </xdr:pic>
      <xdr:pic>
        <xdr:nvPicPr>
          <xdr:cNvPr id="1882" name="Pokemon_575_Gauche">
            <a:extLst>
              <a:ext uri="{FF2B5EF4-FFF2-40B4-BE49-F238E27FC236}">
                <a16:creationId xmlns:a16="http://schemas.microsoft.com/office/drawing/2014/main" id="{00000000-0008-0000-0300-00005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8"/>
          <a:stretch>
            <a:fillRect/>
          </a:stretch>
        </xdr:blipFill>
        <xdr:spPr>
          <a:xfrm>
            <a:off x="538143847" y="2926080"/>
            <a:ext cx="917986" cy="932330"/>
          </a:xfrm>
          <a:prstGeom prst="rect">
            <a:avLst/>
          </a:prstGeom>
        </xdr:spPr>
      </xdr:pic>
      <xdr:pic>
        <xdr:nvPicPr>
          <xdr:cNvPr id="1883" name="Pokemon_576_Gauche">
            <a:extLst>
              <a:ext uri="{FF2B5EF4-FFF2-40B4-BE49-F238E27FC236}">
                <a16:creationId xmlns:a16="http://schemas.microsoft.com/office/drawing/2014/main" id="{00000000-0008-0000-0300-00005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9"/>
          <a:stretch>
            <a:fillRect/>
          </a:stretch>
        </xdr:blipFill>
        <xdr:spPr>
          <a:xfrm>
            <a:off x="539061868" y="2926080"/>
            <a:ext cx="917986" cy="932330"/>
          </a:xfrm>
          <a:prstGeom prst="rect">
            <a:avLst/>
          </a:prstGeom>
        </xdr:spPr>
      </xdr:pic>
      <xdr:pic>
        <xdr:nvPicPr>
          <xdr:cNvPr id="1884" name="Pokemon_577_Gauche">
            <a:extLst>
              <a:ext uri="{FF2B5EF4-FFF2-40B4-BE49-F238E27FC236}">
                <a16:creationId xmlns:a16="http://schemas.microsoft.com/office/drawing/2014/main" id="{00000000-0008-0000-0300-00005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0"/>
          <a:stretch>
            <a:fillRect/>
          </a:stretch>
        </xdr:blipFill>
        <xdr:spPr>
          <a:xfrm>
            <a:off x="539979840" y="2926080"/>
            <a:ext cx="917986" cy="932330"/>
          </a:xfrm>
          <a:prstGeom prst="rect">
            <a:avLst/>
          </a:prstGeom>
        </xdr:spPr>
      </xdr:pic>
      <xdr:pic>
        <xdr:nvPicPr>
          <xdr:cNvPr id="1885" name="Pokemon_578_Gauche">
            <a:extLst>
              <a:ext uri="{FF2B5EF4-FFF2-40B4-BE49-F238E27FC236}">
                <a16:creationId xmlns:a16="http://schemas.microsoft.com/office/drawing/2014/main" id="{00000000-0008-0000-0300-00005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1"/>
          <a:stretch>
            <a:fillRect/>
          </a:stretch>
        </xdr:blipFill>
        <xdr:spPr>
          <a:xfrm>
            <a:off x="540897812" y="2926080"/>
            <a:ext cx="917986" cy="932330"/>
          </a:xfrm>
          <a:prstGeom prst="rect">
            <a:avLst/>
          </a:prstGeom>
        </xdr:spPr>
      </xdr:pic>
      <xdr:pic>
        <xdr:nvPicPr>
          <xdr:cNvPr id="1886" name="Pokemon_579_Gauche">
            <a:extLst>
              <a:ext uri="{FF2B5EF4-FFF2-40B4-BE49-F238E27FC236}">
                <a16:creationId xmlns:a16="http://schemas.microsoft.com/office/drawing/2014/main" id="{00000000-0008-0000-0300-00005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2"/>
          <a:stretch>
            <a:fillRect/>
          </a:stretch>
        </xdr:blipFill>
        <xdr:spPr>
          <a:xfrm>
            <a:off x="541815784" y="2926080"/>
            <a:ext cx="917986" cy="932330"/>
          </a:xfrm>
          <a:prstGeom prst="rect">
            <a:avLst/>
          </a:prstGeom>
        </xdr:spPr>
      </xdr:pic>
      <xdr:pic>
        <xdr:nvPicPr>
          <xdr:cNvPr id="1887" name="Pokemon_580_Gauche">
            <a:extLst>
              <a:ext uri="{FF2B5EF4-FFF2-40B4-BE49-F238E27FC236}">
                <a16:creationId xmlns:a16="http://schemas.microsoft.com/office/drawing/2014/main" id="{00000000-0008-0000-0300-00005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3"/>
          <a:stretch>
            <a:fillRect/>
          </a:stretch>
        </xdr:blipFill>
        <xdr:spPr>
          <a:xfrm>
            <a:off x="542733756" y="2926080"/>
            <a:ext cx="917986" cy="932330"/>
          </a:xfrm>
          <a:prstGeom prst="rect">
            <a:avLst/>
          </a:prstGeom>
        </xdr:spPr>
      </xdr:pic>
      <xdr:pic>
        <xdr:nvPicPr>
          <xdr:cNvPr id="1888" name="Pokemon_581_Gauche">
            <a:extLst>
              <a:ext uri="{FF2B5EF4-FFF2-40B4-BE49-F238E27FC236}">
                <a16:creationId xmlns:a16="http://schemas.microsoft.com/office/drawing/2014/main" id="{00000000-0008-0000-0300-00006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4"/>
          <a:stretch>
            <a:fillRect/>
          </a:stretch>
        </xdr:blipFill>
        <xdr:spPr>
          <a:xfrm>
            <a:off x="543651728" y="2926080"/>
            <a:ext cx="917986" cy="932330"/>
          </a:xfrm>
          <a:prstGeom prst="rect">
            <a:avLst/>
          </a:prstGeom>
        </xdr:spPr>
      </xdr:pic>
      <xdr:pic>
        <xdr:nvPicPr>
          <xdr:cNvPr id="1889" name="Pokemon_582_Gauche">
            <a:extLst>
              <a:ext uri="{FF2B5EF4-FFF2-40B4-BE49-F238E27FC236}">
                <a16:creationId xmlns:a16="http://schemas.microsoft.com/office/drawing/2014/main" id="{00000000-0008-0000-0300-00006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5"/>
          <a:stretch>
            <a:fillRect/>
          </a:stretch>
        </xdr:blipFill>
        <xdr:spPr>
          <a:xfrm>
            <a:off x="544569700" y="2926080"/>
            <a:ext cx="917986" cy="932330"/>
          </a:xfrm>
          <a:prstGeom prst="rect">
            <a:avLst/>
          </a:prstGeom>
        </xdr:spPr>
      </xdr:pic>
      <xdr:pic>
        <xdr:nvPicPr>
          <xdr:cNvPr id="1890" name="Pokemon_583_Gauche">
            <a:extLst>
              <a:ext uri="{FF2B5EF4-FFF2-40B4-BE49-F238E27FC236}">
                <a16:creationId xmlns:a16="http://schemas.microsoft.com/office/drawing/2014/main" id="{00000000-0008-0000-0300-00006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6"/>
          <a:stretch>
            <a:fillRect/>
          </a:stretch>
        </xdr:blipFill>
        <xdr:spPr>
          <a:xfrm>
            <a:off x="545487721" y="2926080"/>
            <a:ext cx="917986" cy="932330"/>
          </a:xfrm>
          <a:prstGeom prst="rect">
            <a:avLst/>
          </a:prstGeom>
        </xdr:spPr>
      </xdr:pic>
      <xdr:pic>
        <xdr:nvPicPr>
          <xdr:cNvPr id="1891" name="Pokemon_584_Gauche">
            <a:extLst>
              <a:ext uri="{FF2B5EF4-FFF2-40B4-BE49-F238E27FC236}">
                <a16:creationId xmlns:a16="http://schemas.microsoft.com/office/drawing/2014/main" id="{00000000-0008-0000-0300-00006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7"/>
          <a:stretch>
            <a:fillRect/>
          </a:stretch>
        </xdr:blipFill>
        <xdr:spPr>
          <a:xfrm>
            <a:off x="546405693" y="2926080"/>
            <a:ext cx="917986" cy="932330"/>
          </a:xfrm>
          <a:prstGeom prst="rect">
            <a:avLst/>
          </a:prstGeom>
        </xdr:spPr>
      </xdr:pic>
      <xdr:pic>
        <xdr:nvPicPr>
          <xdr:cNvPr id="1892" name="Pokemon_585_Gauche">
            <a:extLst>
              <a:ext uri="{FF2B5EF4-FFF2-40B4-BE49-F238E27FC236}">
                <a16:creationId xmlns:a16="http://schemas.microsoft.com/office/drawing/2014/main" id="{00000000-0008-0000-0300-00006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8"/>
          <a:stretch>
            <a:fillRect/>
          </a:stretch>
        </xdr:blipFill>
        <xdr:spPr>
          <a:xfrm>
            <a:off x="547323665" y="2926080"/>
            <a:ext cx="917986" cy="932330"/>
          </a:xfrm>
          <a:prstGeom prst="rect">
            <a:avLst/>
          </a:prstGeom>
        </xdr:spPr>
      </xdr:pic>
      <xdr:pic>
        <xdr:nvPicPr>
          <xdr:cNvPr id="1893" name="Pokemon_586_Gauche">
            <a:extLst>
              <a:ext uri="{FF2B5EF4-FFF2-40B4-BE49-F238E27FC236}">
                <a16:creationId xmlns:a16="http://schemas.microsoft.com/office/drawing/2014/main" id="{00000000-0008-0000-0300-00006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9"/>
          <a:stretch>
            <a:fillRect/>
          </a:stretch>
        </xdr:blipFill>
        <xdr:spPr>
          <a:xfrm>
            <a:off x="548241637" y="2926080"/>
            <a:ext cx="917986" cy="932330"/>
          </a:xfrm>
          <a:prstGeom prst="rect">
            <a:avLst/>
          </a:prstGeom>
        </xdr:spPr>
      </xdr:pic>
      <xdr:pic>
        <xdr:nvPicPr>
          <xdr:cNvPr id="1894" name="Pokemon_587_Gauche">
            <a:extLst>
              <a:ext uri="{FF2B5EF4-FFF2-40B4-BE49-F238E27FC236}">
                <a16:creationId xmlns:a16="http://schemas.microsoft.com/office/drawing/2014/main" id="{00000000-0008-0000-0300-00006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0"/>
          <a:stretch>
            <a:fillRect/>
          </a:stretch>
        </xdr:blipFill>
        <xdr:spPr>
          <a:xfrm>
            <a:off x="549159658" y="2926080"/>
            <a:ext cx="917986" cy="932330"/>
          </a:xfrm>
          <a:prstGeom prst="rect">
            <a:avLst/>
          </a:prstGeom>
        </xdr:spPr>
      </xdr:pic>
      <xdr:pic>
        <xdr:nvPicPr>
          <xdr:cNvPr id="1895" name="Pokemon_588_Gauche">
            <a:extLst>
              <a:ext uri="{FF2B5EF4-FFF2-40B4-BE49-F238E27FC236}">
                <a16:creationId xmlns:a16="http://schemas.microsoft.com/office/drawing/2014/main" id="{00000000-0008-0000-0300-00006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1"/>
          <a:stretch>
            <a:fillRect/>
          </a:stretch>
        </xdr:blipFill>
        <xdr:spPr>
          <a:xfrm>
            <a:off x="550077630" y="2926080"/>
            <a:ext cx="917986" cy="932330"/>
          </a:xfrm>
          <a:prstGeom prst="rect">
            <a:avLst/>
          </a:prstGeom>
        </xdr:spPr>
      </xdr:pic>
      <xdr:pic>
        <xdr:nvPicPr>
          <xdr:cNvPr id="1896" name="Pokemon_589_Gauche">
            <a:extLst>
              <a:ext uri="{FF2B5EF4-FFF2-40B4-BE49-F238E27FC236}">
                <a16:creationId xmlns:a16="http://schemas.microsoft.com/office/drawing/2014/main" id="{00000000-0008-0000-0300-00006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2"/>
          <a:stretch>
            <a:fillRect/>
          </a:stretch>
        </xdr:blipFill>
        <xdr:spPr>
          <a:xfrm>
            <a:off x="550995602" y="2926080"/>
            <a:ext cx="917986" cy="932330"/>
          </a:xfrm>
          <a:prstGeom prst="rect">
            <a:avLst/>
          </a:prstGeom>
        </xdr:spPr>
      </xdr:pic>
      <xdr:pic>
        <xdr:nvPicPr>
          <xdr:cNvPr id="1897" name="Pokemon_590_Gauche">
            <a:extLst>
              <a:ext uri="{FF2B5EF4-FFF2-40B4-BE49-F238E27FC236}">
                <a16:creationId xmlns:a16="http://schemas.microsoft.com/office/drawing/2014/main" id="{00000000-0008-0000-0300-00006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3"/>
          <a:stretch>
            <a:fillRect/>
          </a:stretch>
        </xdr:blipFill>
        <xdr:spPr>
          <a:xfrm>
            <a:off x="551913574" y="2926080"/>
            <a:ext cx="917986" cy="932330"/>
          </a:xfrm>
          <a:prstGeom prst="rect">
            <a:avLst/>
          </a:prstGeom>
        </xdr:spPr>
      </xdr:pic>
      <xdr:pic>
        <xdr:nvPicPr>
          <xdr:cNvPr id="1898" name="Pokemon_591_Gauche">
            <a:extLst>
              <a:ext uri="{FF2B5EF4-FFF2-40B4-BE49-F238E27FC236}">
                <a16:creationId xmlns:a16="http://schemas.microsoft.com/office/drawing/2014/main" id="{00000000-0008-0000-0300-00006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4"/>
          <a:stretch>
            <a:fillRect/>
          </a:stretch>
        </xdr:blipFill>
        <xdr:spPr>
          <a:xfrm>
            <a:off x="552831595" y="2926080"/>
            <a:ext cx="917986" cy="932330"/>
          </a:xfrm>
          <a:prstGeom prst="rect">
            <a:avLst/>
          </a:prstGeom>
        </xdr:spPr>
      </xdr:pic>
      <xdr:pic>
        <xdr:nvPicPr>
          <xdr:cNvPr id="1899" name="Pokemon_592_Gauche">
            <a:extLst>
              <a:ext uri="{FF2B5EF4-FFF2-40B4-BE49-F238E27FC236}">
                <a16:creationId xmlns:a16="http://schemas.microsoft.com/office/drawing/2014/main" id="{00000000-0008-0000-0300-00006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5"/>
          <a:stretch>
            <a:fillRect/>
          </a:stretch>
        </xdr:blipFill>
        <xdr:spPr>
          <a:xfrm>
            <a:off x="553749567" y="2926080"/>
            <a:ext cx="917986" cy="932330"/>
          </a:xfrm>
          <a:prstGeom prst="rect">
            <a:avLst/>
          </a:prstGeom>
        </xdr:spPr>
      </xdr:pic>
      <xdr:pic>
        <xdr:nvPicPr>
          <xdr:cNvPr id="1900" name="Pokemon_593_Gauche">
            <a:extLst>
              <a:ext uri="{FF2B5EF4-FFF2-40B4-BE49-F238E27FC236}">
                <a16:creationId xmlns:a16="http://schemas.microsoft.com/office/drawing/2014/main" id="{00000000-0008-0000-0300-00006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6"/>
          <a:stretch>
            <a:fillRect/>
          </a:stretch>
        </xdr:blipFill>
        <xdr:spPr>
          <a:xfrm>
            <a:off x="554667539" y="2926080"/>
            <a:ext cx="917986" cy="932330"/>
          </a:xfrm>
          <a:prstGeom prst="rect">
            <a:avLst/>
          </a:prstGeom>
        </xdr:spPr>
      </xdr:pic>
      <xdr:pic>
        <xdr:nvPicPr>
          <xdr:cNvPr id="1901" name="Pokemon_594_Gauche">
            <a:extLst>
              <a:ext uri="{FF2B5EF4-FFF2-40B4-BE49-F238E27FC236}">
                <a16:creationId xmlns:a16="http://schemas.microsoft.com/office/drawing/2014/main" id="{00000000-0008-0000-0300-00006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7"/>
          <a:stretch>
            <a:fillRect/>
          </a:stretch>
        </xdr:blipFill>
        <xdr:spPr>
          <a:xfrm>
            <a:off x="555585511" y="2926080"/>
            <a:ext cx="917986" cy="932330"/>
          </a:xfrm>
          <a:prstGeom prst="rect">
            <a:avLst/>
          </a:prstGeom>
        </xdr:spPr>
      </xdr:pic>
      <xdr:pic>
        <xdr:nvPicPr>
          <xdr:cNvPr id="1902" name="Pokemon_595_Gauche">
            <a:extLst>
              <a:ext uri="{FF2B5EF4-FFF2-40B4-BE49-F238E27FC236}">
                <a16:creationId xmlns:a16="http://schemas.microsoft.com/office/drawing/2014/main" id="{00000000-0008-0000-0300-00006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8"/>
          <a:stretch>
            <a:fillRect/>
          </a:stretch>
        </xdr:blipFill>
        <xdr:spPr>
          <a:xfrm>
            <a:off x="556503532" y="2926080"/>
            <a:ext cx="917986" cy="932330"/>
          </a:xfrm>
          <a:prstGeom prst="rect">
            <a:avLst/>
          </a:prstGeom>
        </xdr:spPr>
      </xdr:pic>
      <xdr:pic>
        <xdr:nvPicPr>
          <xdr:cNvPr id="1903" name="Pokemon_596_Gauche">
            <a:extLst>
              <a:ext uri="{FF2B5EF4-FFF2-40B4-BE49-F238E27FC236}">
                <a16:creationId xmlns:a16="http://schemas.microsoft.com/office/drawing/2014/main" id="{00000000-0008-0000-0300-00006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9"/>
          <a:stretch>
            <a:fillRect/>
          </a:stretch>
        </xdr:blipFill>
        <xdr:spPr>
          <a:xfrm>
            <a:off x="557421504" y="2926080"/>
            <a:ext cx="917986" cy="932330"/>
          </a:xfrm>
          <a:prstGeom prst="rect">
            <a:avLst/>
          </a:prstGeom>
        </xdr:spPr>
      </xdr:pic>
      <xdr:pic>
        <xdr:nvPicPr>
          <xdr:cNvPr id="1904" name="Pokemon_597_Gauche">
            <a:extLst>
              <a:ext uri="{FF2B5EF4-FFF2-40B4-BE49-F238E27FC236}">
                <a16:creationId xmlns:a16="http://schemas.microsoft.com/office/drawing/2014/main" id="{00000000-0008-0000-0300-00007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0"/>
          <a:stretch>
            <a:fillRect/>
          </a:stretch>
        </xdr:blipFill>
        <xdr:spPr>
          <a:xfrm>
            <a:off x="558339476" y="2926080"/>
            <a:ext cx="917986" cy="932330"/>
          </a:xfrm>
          <a:prstGeom prst="rect">
            <a:avLst/>
          </a:prstGeom>
        </xdr:spPr>
      </xdr:pic>
      <xdr:pic>
        <xdr:nvPicPr>
          <xdr:cNvPr id="1905" name="Pokemon_598_Gauche">
            <a:extLst>
              <a:ext uri="{FF2B5EF4-FFF2-40B4-BE49-F238E27FC236}">
                <a16:creationId xmlns:a16="http://schemas.microsoft.com/office/drawing/2014/main" id="{00000000-0008-0000-0300-00007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1"/>
          <a:stretch>
            <a:fillRect/>
          </a:stretch>
        </xdr:blipFill>
        <xdr:spPr>
          <a:xfrm>
            <a:off x="559257448" y="2926080"/>
            <a:ext cx="917986" cy="932330"/>
          </a:xfrm>
          <a:prstGeom prst="rect">
            <a:avLst/>
          </a:prstGeom>
        </xdr:spPr>
      </xdr:pic>
      <xdr:pic>
        <xdr:nvPicPr>
          <xdr:cNvPr id="1906" name="Pokemon_599_Gauche">
            <a:extLst>
              <a:ext uri="{FF2B5EF4-FFF2-40B4-BE49-F238E27FC236}">
                <a16:creationId xmlns:a16="http://schemas.microsoft.com/office/drawing/2014/main" id="{00000000-0008-0000-0300-00007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2"/>
          <a:stretch>
            <a:fillRect/>
          </a:stretch>
        </xdr:blipFill>
        <xdr:spPr>
          <a:xfrm>
            <a:off x="560175420" y="2926080"/>
            <a:ext cx="917986" cy="932330"/>
          </a:xfrm>
          <a:prstGeom prst="rect">
            <a:avLst/>
          </a:prstGeom>
        </xdr:spPr>
      </xdr:pic>
      <xdr:pic>
        <xdr:nvPicPr>
          <xdr:cNvPr id="1907" name="Pokemon_600_Gauche">
            <a:extLst>
              <a:ext uri="{FF2B5EF4-FFF2-40B4-BE49-F238E27FC236}">
                <a16:creationId xmlns:a16="http://schemas.microsoft.com/office/drawing/2014/main" id="{00000000-0008-0000-0300-00007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3"/>
          <a:stretch>
            <a:fillRect/>
          </a:stretch>
        </xdr:blipFill>
        <xdr:spPr>
          <a:xfrm>
            <a:off x="561093392" y="2926080"/>
            <a:ext cx="917986" cy="932330"/>
          </a:xfrm>
          <a:prstGeom prst="rect">
            <a:avLst/>
          </a:prstGeom>
        </xdr:spPr>
      </xdr:pic>
      <xdr:pic>
        <xdr:nvPicPr>
          <xdr:cNvPr id="1908" name="Pokemon_601_Gauche">
            <a:extLst>
              <a:ext uri="{FF2B5EF4-FFF2-40B4-BE49-F238E27FC236}">
                <a16:creationId xmlns:a16="http://schemas.microsoft.com/office/drawing/2014/main" id="{00000000-0008-0000-0300-00007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4"/>
          <a:stretch>
            <a:fillRect/>
          </a:stretch>
        </xdr:blipFill>
        <xdr:spPr>
          <a:xfrm>
            <a:off x="562011364" y="2926080"/>
            <a:ext cx="917986" cy="932330"/>
          </a:xfrm>
          <a:prstGeom prst="rect">
            <a:avLst/>
          </a:prstGeom>
        </xdr:spPr>
      </xdr:pic>
      <xdr:pic>
        <xdr:nvPicPr>
          <xdr:cNvPr id="1909" name="Pokemon_602_Gauche">
            <a:extLst>
              <a:ext uri="{FF2B5EF4-FFF2-40B4-BE49-F238E27FC236}">
                <a16:creationId xmlns:a16="http://schemas.microsoft.com/office/drawing/2014/main" id="{00000000-0008-0000-0300-00007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5"/>
          <a:stretch>
            <a:fillRect/>
          </a:stretch>
        </xdr:blipFill>
        <xdr:spPr>
          <a:xfrm>
            <a:off x="562929385" y="2926080"/>
            <a:ext cx="917986" cy="932330"/>
          </a:xfrm>
          <a:prstGeom prst="rect">
            <a:avLst/>
          </a:prstGeom>
        </xdr:spPr>
      </xdr:pic>
      <xdr:pic>
        <xdr:nvPicPr>
          <xdr:cNvPr id="1910" name="Pokemon_603_Gauche">
            <a:extLst>
              <a:ext uri="{FF2B5EF4-FFF2-40B4-BE49-F238E27FC236}">
                <a16:creationId xmlns:a16="http://schemas.microsoft.com/office/drawing/2014/main" id="{00000000-0008-0000-0300-00007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6"/>
          <a:stretch>
            <a:fillRect/>
          </a:stretch>
        </xdr:blipFill>
        <xdr:spPr>
          <a:xfrm>
            <a:off x="563847357" y="2926080"/>
            <a:ext cx="917986" cy="932330"/>
          </a:xfrm>
          <a:prstGeom prst="rect">
            <a:avLst/>
          </a:prstGeom>
        </xdr:spPr>
      </xdr:pic>
      <xdr:pic>
        <xdr:nvPicPr>
          <xdr:cNvPr id="1911" name="Pokemon_604_Gauche">
            <a:extLst>
              <a:ext uri="{FF2B5EF4-FFF2-40B4-BE49-F238E27FC236}">
                <a16:creationId xmlns:a16="http://schemas.microsoft.com/office/drawing/2014/main" id="{00000000-0008-0000-0300-00007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7"/>
          <a:stretch>
            <a:fillRect/>
          </a:stretch>
        </xdr:blipFill>
        <xdr:spPr>
          <a:xfrm>
            <a:off x="564765329" y="2926080"/>
            <a:ext cx="917986" cy="932330"/>
          </a:xfrm>
          <a:prstGeom prst="rect">
            <a:avLst/>
          </a:prstGeom>
        </xdr:spPr>
      </xdr:pic>
      <xdr:pic>
        <xdr:nvPicPr>
          <xdr:cNvPr id="1912" name="Pokemon_605_Gauche">
            <a:extLst>
              <a:ext uri="{FF2B5EF4-FFF2-40B4-BE49-F238E27FC236}">
                <a16:creationId xmlns:a16="http://schemas.microsoft.com/office/drawing/2014/main" id="{00000000-0008-0000-0300-00007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8"/>
          <a:stretch>
            <a:fillRect/>
          </a:stretch>
        </xdr:blipFill>
        <xdr:spPr>
          <a:xfrm>
            <a:off x="565683301" y="2926080"/>
            <a:ext cx="917986" cy="932330"/>
          </a:xfrm>
          <a:prstGeom prst="rect">
            <a:avLst/>
          </a:prstGeom>
        </xdr:spPr>
      </xdr:pic>
      <xdr:pic>
        <xdr:nvPicPr>
          <xdr:cNvPr id="1913" name="Pokemon_606_Gauche">
            <a:extLst>
              <a:ext uri="{FF2B5EF4-FFF2-40B4-BE49-F238E27FC236}">
                <a16:creationId xmlns:a16="http://schemas.microsoft.com/office/drawing/2014/main" id="{00000000-0008-0000-0300-00007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9"/>
          <a:stretch>
            <a:fillRect/>
          </a:stretch>
        </xdr:blipFill>
        <xdr:spPr>
          <a:xfrm>
            <a:off x="566601322" y="2926080"/>
            <a:ext cx="917986" cy="932330"/>
          </a:xfrm>
          <a:prstGeom prst="rect">
            <a:avLst/>
          </a:prstGeom>
        </xdr:spPr>
      </xdr:pic>
      <xdr:pic>
        <xdr:nvPicPr>
          <xdr:cNvPr id="1914" name="Pokemon_607_Gauche">
            <a:extLst>
              <a:ext uri="{FF2B5EF4-FFF2-40B4-BE49-F238E27FC236}">
                <a16:creationId xmlns:a16="http://schemas.microsoft.com/office/drawing/2014/main" id="{00000000-0008-0000-0300-00007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0"/>
          <a:stretch>
            <a:fillRect/>
          </a:stretch>
        </xdr:blipFill>
        <xdr:spPr>
          <a:xfrm>
            <a:off x="567519294" y="2926080"/>
            <a:ext cx="917986" cy="932330"/>
          </a:xfrm>
          <a:prstGeom prst="rect">
            <a:avLst/>
          </a:prstGeom>
        </xdr:spPr>
      </xdr:pic>
      <xdr:pic>
        <xdr:nvPicPr>
          <xdr:cNvPr id="1915" name="Pokemon_608_Gauche">
            <a:extLst>
              <a:ext uri="{FF2B5EF4-FFF2-40B4-BE49-F238E27FC236}">
                <a16:creationId xmlns:a16="http://schemas.microsoft.com/office/drawing/2014/main" id="{00000000-0008-0000-0300-00007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1"/>
          <a:stretch>
            <a:fillRect/>
          </a:stretch>
        </xdr:blipFill>
        <xdr:spPr>
          <a:xfrm>
            <a:off x="568437266" y="2926080"/>
            <a:ext cx="917986" cy="932330"/>
          </a:xfrm>
          <a:prstGeom prst="rect">
            <a:avLst/>
          </a:prstGeom>
        </xdr:spPr>
      </xdr:pic>
      <xdr:pic>
        <xdr:nvPicPr>
          <xdr:cNvPr id="1916" name="Pokemon_609_Gauche">
            <a:extLst>
              <a:ext uri="{FF2B5EF4-FFF2-40B4-BE49-F238E27FC236}">
                <a16:creationId xmlns:a16="http://schemas.microsoft.com/office/drawing/2014/main" id="{00000000-0008-0000-0300-00007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2"/>
          <a:stretch>
            <a:fillRect/>
          </a:stretch>
        </xdr:blipFill>
        <xdr:spPr>
          <a:xfrm>
            <a:off x="569355238" y="2926080"/>
            <a:ext cx="917986" cy="932330"/>
          </a:xfrm>
          <a:prstGeom prst="rect">
            <a:avLst/>
          </a:prstGeom>
        </xdr:spPr>
      </xdr:pic>
      <xdr:pic>
        <xdr:nvPicPr>
          <xdr:cNvPr id="1917" name="Pokemon_610_Gauche">
            <a:extLst>
              <a:ext uri="{FF2B5EF4-FFF2-40B4-BE49-F238E27FC236}">
                <a16:creationId xmlns:a16="http://schemas.microsoft.com/office/drawing/2014/main" id="{00000000-0008-0000-0300-00007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3"/>
          <a:stretch>
            <a:fillRect/>
          </a:stretch>
        </xdr:blipFill>
        <xdr:spPr>
          <a:xfrm>
            <a:off x="570273259" y="2926080"/>
            <a:ext cx="917986" cy="932330"/>
          </a:xfrm>
          <a:prstGeom prst="rect">
            <a:avLst/>
          </a:prstGeom>
        </xdr:spPr>
      </xdr:pic>
      <xdr:pic>
        <xdr:nvPicPr>
          <xdr:cNvPr id="1918" name="Pokemon_611_Gauche">
            <a:extLst>
              <a:ext uri="{FF2B5EF4-FFF2-40B4-BE49-F238E27FC236}">
                <a16:creationId xmlns:a16="http://schemas.microsoft.com/office/drawing/2014/main" id="{00000000-0008-0000-0300-00007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4"/>
          <a:stretch>
            <a:fillRect/>
          </a:stretch>
        </xdr:blipFill>
        <xdr:spPr>
          <a:xfrm>
            <a:off x="571191231" y="2926080"/>
            <a:ext cx="917986" cy="932330"/>
          </a:xfrm>
          <a:prstGeom prst="rect">
            <a:avLst/>
          </a:prstGeom>
        </xdr:spPr>
      </xdr:pic>
      <xdr:pic>
        <xdr:nvPicPr>
          <xdr:cNvPr id="1919" name="Pokemon_612_Gauche">
            <a:extLst>
              <a:ext uri="{FF2B5EF4-FFF2-40B4-BE49-F238E27FC236}">
                <a16:creationId xmlns:a16="http://schemas.microsoft.com/office/drawing/2014/main" id="{00000000-0008-0000-0300-00007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5"/>
          <a:stretch>
            <a:fillRect/>
          </a:stretch>
        </xdr:blipFill>
        <xdr:spPr>
          <a:xfrm>
            <a:off x="572109203" y="2926080"/>
            <a:ext cx="917986" cy="932330"/>
          </a:xfrm>
          <a:prstGeom prst="rect">
            <a:avLst/>
          </a:prstGeom>
        </xdr:spPr>
      </xdr:pic>
      <xdr:pic>
        <xdr:nvPicPr>
          <xdr:cNvPr id="1920" name="Pokemon_613_Gauche">
            <a:extLst>
              <a:ext uri="{FF2B5EF4-FFF2-40B4-BE49-F238E27FC236}">
                <a16:creationId xmlns:a16="http://schemas.microsoft.com/office/drawing/2014/main" id="{00000000-0008-0000-0300-00008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6"/>
          <a:stretch>
            <a:fillRect/>
          </a:stretch>
        </xdr:blipFill>
        <xdr:spPr>
          <a:xfrm>
            <a:off x="573027175" y="2926080"/>
            <a:ext cx="917986" cy="932330"/>
          </a:xfrm>
          <a:prstGeom prst="rect">
            <a:avLst/>
          </a:prstGeom>
        </xdr:spPr>
      </xdr:pic>
      <xdr:pic>
        <xdr:nvPicPr>
          <xdr:cNvPr id="1921" name="Pokemon_614_Gauche">
            <a:extLst>
              <a:ext uri="{FF2B5EF4-FFF2-40B4-BE49-F238E27FC236}">
                <a16:creationId xmlns:a16="http://schemas.microsoft.com/office/drawing/2014/main" id="{00000000-0008-0000-0300-00008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7"/>
          <a:stretch>
            <a:fillRect/>
          </a:stretch>
        </xdr:blipFill>
        <xdr:spPr>
          <a:xfrm>
            <a:off x="573945196" y="2926080"/>
            <a:ext cx="917986" cy="932330"/>
          </a:xfrm>
          <a:prstGeom prst="rect">
            <a:avLst/>
          </a:prstGeom>
        </xdr:spPr>
      </xdr:pic>
      <xdr:pic>
        <xdr:nvPicPr>
          <xdr:cNvPr id="1922" name="Pokemon_615_Gauche">
            <a:extLst>
              <a:ext uri="{FF2B5EF4-FFF2-40B4-BE49-F238E27FC236}">
                <a16:creationId xmlns:a16="http://schemas.microsoft.com/office/drawing/2014/main" id="{00000000-0008-0000-0300-00008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8"/>
          <a:stretch>
            <a:fillRect/>
          </a:stretch>
        </xdr:blipFill>
        <xdr:spPr>
          <a:xfrm>
            <a:off x="574863168" y="2926080"/>
            <a:ext cx="917986" cy="932330"/>
          </a:xfrm>
          <a:prstGeom prst="rect">
            <a:avLst/>
          </a:prstGeom>
        </xdr:spPr>
      </xdr:pic>
      <xdr:pic>
        <xdr:nvPicPr>
          <xdr:cNvPr id="1923" name="Pokemon_616_Gauche">
            <a:extLst>
              <a:ext uri="{FF2B5EF4-FFF2-40B4-BE49-F238E27FC236}">
                <a16:creationId xmlns:a16="http://schemas.microsoft.com/office/drawing/2014/main" id="{00000000-0008-0000-0300-00008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9"/>
          <a:stretch>
            <a:fillRect/>
          </a:stretch>
        </xdr:blipFill>
        <xdr:spPr>
          <a:xfrm>
            <a:off x="575781140" y="2926080"/>
            <a:ext cx="917986" cy="932330"/>
          </a:xfrm>
          <a:prstGeom prst="rect">
            <a:avLst/>
          </a:prstGeom>
        </xdr:spPr>
      </xdr:pic>
      <xdr:pic>
        <xdr:nvPicPr>
          <xdr:cNvPr id="1924" name="Pokemon_617_Gauche">
            <a:extLst>
              <a:ext uri="{FF2B5EF4-FFF2-40B4-BE49-F238E27FC236}">
                <a16:creationId xmlns:a16="http://schemas.microsoft.com/office/drawing/2014/main" id="{00000000-0008-0000-0300-00008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0"/>
          <a:stretch>
            <a:fillRect/>
          </a:stretch>
        </xdr:blipFill>
        <xdr:spPr>
          <a:xfrm>
            <a:off x="576699112" y="2926080"/>
            <a:ext cx="917986" cy="932330"/>
          </a:xfrm>
          <a:prstGeom prst="rect">
            <a:avLst/>
          </a:prstGeom>
        </xdr:spPr>
      </xdr:pic>
      <xdr:pic>
        <xdr:nvPicPr>
          <xdr:cNvPr id="1925" name="Pokemon_618_Gauche">
            <a:extLst>
              <a:ext uri="{FF2B5EF4-FFF2-40B4-BE49-F238E27FC236}">
                <a16:creationId xmlns:a16="http://schemas.microsoft.com/office/drawing/2014/main" id="{00000000-0008-0000-0300-00008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1"/>
          <a:stretch>
            <a:fillRect/>
          </a:stretch>
        </xdr:blipFill>
        <xdr:spPr>
          <a:xfrm>
            <a:off x="577617084" y="2926080"/>
            <a:ext cx="917986" cy="932330"/>
          </a:xfrm>
          <a:prstGeom prst="rect">
            <a:avLst/>
          </a:prstGeom>
        </xdr:spPr>
      </xdr:pic>
      <xdr:pic>
        <xdr:nvPicPr>
          <xdr:cNvPr id="1926" name="Pokemon_619_Gauche">
            <a:extLst>
              <a:ext uri="{FF2B5EF4-FFF2-40B4-BE49-F238E27FC236}">
                <a16:creationId xmlns:a16="http://schemas.microsoft.com/office/drawing/2014/main" id="{00000000-0008-0000-0300-00008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2"/>
          <a:stretch>
            <a:fillRect/>
          </a:stretch>
        </xdr:blipFill>
        <xdr:spPr>
          <a:xfrm>
            <a:off x="578535056" y="2926080"/>
            <a:ext cx="917986" cy="932330"/>
          </a:xfrm>
          <a:prstGeom prst="rect">
            <a:avLst/>
          </a:prstGeom>
        </xdr:spPr>
      </xdr:pic>
      <xdr:pic>
        <xdr:nvPicPr>
          <xdr:cNvPr id="1927" name="Pokemon_620_Gauche">
            <a:extLst>
              <a:ext uri="{FF2B5EF4-FFF2-40B4-BE49-F238E27FC236}">
                <a16:creationId xmlns:a16="http://schemas.microsoft.com/office/drawing/2014/main" id="{00000000-0008-0000-0300-00008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3"/>
          <a:stretch>
            <a:fillRect/>
          </a:stretch>
        </xdr:blipFill>
        <xdr:spPr>
          <a:xfrm>
            <a:off x="579453028" y="2926080"/>
            <a:ext cx="917986" cy="932330"/>
          </a:xfrm>
          <a:prstGeom prst="rect">
            <a:avLst/>
          </a:prstGeom>
        </xdr:spPr>
      </xdr:pic>
      <xdr:pic>
        <xdr:nvPicPr>
          <xdr:cNvPr id="1928" name="Pokemon_621_Gauche">
            <a:extLst>
              <a:ext uri="{FF2B5EF4-FFF2-40B4-BE49-F238E27FC236}">
                <a16:creationId xmlns:a16="http://schemas.microsoft.com/office/drawing/2014/main" id="{00000000-0008-0000-0300-00008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4"/>
          <a:stretch>
            <a:fillRect/>
          </a:stretch>
        </xdr:blipFill>
        <xdr:spPr>
          <a:xfrm>
            <a:off x="580371049" y="2926080"/>
            <a:ext cx="917986" cy="932330"/>
          </a:xfrm>
          <a:prstGeom prst="rect">
            <a:avLst/>
          </a:prstGeom>
        </xdr:spPr>
      </xdr:pic>
      <xdr:pic>
        <xdr:nvPicPr>
          <xdr:cNvPr id="1929" name="Pokemon_622_Gauche">
            <a:extLst>
              <a:ext uri="{FF2B5EF4-FFF2-40B4-BE49-F238E27FC236}">
                <a16:creationId xmlns:a16="http://schemas.microsoft.com/office/drawing/2014/main" id="{00000000-0008-0000-0300-00008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5"/>
          <a:stretch>
            <a:fillRect/>
          </a:stretch>
        </xdr:blipFill>
        <xdr:spPr>
          <a:xfrm>
            <a:off x="581289021" y="2926080"/>
            <a:ext cx="917986" cy="932330"/>
          </a:xfrm>
          <a:prstGeom prst="rect">
            <a:avLst/>
          </a:prstGeom>
        </xdr:spPr>
      </xdr:pic>
      <xdr:pic>
        <xdr:nvPicPr>
          <xdr:cNvPr id="1930" name="Pokemon_623_Gauche">
            <a:extLst>
              <a:ext uri="{FF2B5EF4-FFF2-40B4-BE49-F238E27FC236}">
                <a16:creationId xmlns:a16="http://schemas.microsoft.com/office/drawing/2014/main" id="{00000000-0008-0000-0300-00008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6"/>
          <a:stretch>
            <a:fillRect/>
          </a:stretch>
        </xdr:blipFill>
        <xdr:spPr>
          <a:xfrm>
            <a:off x="582206993" y="2926080"/>
            <a:ext cx="917986" cy="932330"/>
          </a:xfrm>
          <a:prstGeom prst="rect">
            <a:avLst/>
          </a:prstGeom>
        </xdr:spPr>
      </xdr:pic>
      <xdr:pic>
        <xdr:nvPicPr>
          <xdr:cNvPr id="1931" name="Pokemon_624_Gauche">
            <a:extLst>
              <a:ext uri="{FF2B5EF4-FFF2-40B4-BE49-F238E27FC236}">
                <a16:creationId xmlns:a16="http://schemas.microsoft.com/office/drawing/2014/main" id="{00000000-0008-0000-0300-00008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7"/>
          <a:stretch>
            <a:fillRect/>
          </a:stretch>
        </xdr:blipFill>
        <xdr:spPr>
          <a:xfrm>
            <a:off x="583124965" y="2926080"/>
            <a:ext cx="917986" cy="932330"/>
          </a:xfrm>
          <a:prstGeom prst="rect">
            <a:avLst/>
          </a:prstGeom>
        </xdr:spPr>
      </xdr:pic>
      <xdr:pic>
        <xdr:nvPicPr>
          <xdr:cNvPr id="1932" name="Pokemon_625_Gauche">
            <a:extLst>
              <a:ext uri="{FF2B5EF4-FFF2-40B4-BE49-F238E27FC236}">
                <a16:creationId xmlns:a16="http://schemas.microsoft.com/office/drawing/2014/main" id="{00000000-0008-0000-0300-00008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8"/>
          <a:stretch>
            <a:fillRect/>
          </a:stretch>
        </xdr:blipFill>
        <xdr:spPr>
          <a:xfrm>
            <a:off x="584042986" y="2926080"/>
            <a:ext cx="917986" cy="932330"/>
          </a:xfrm>
          <a:prstGeom prst="rect">
            <a:avLst/>
          </a:prstGeom>
        </xdr:spPr>
      </xdr:pic>
      <xdr:pic>
        <xdr:nvPicPr>
          <xdr:cNvPr id="1933" name="Pokemon_626_Gauche">
            <a:extLst>
              <a:ext uri="{FF2B5EF4-FFF2-40B4-BE49-F238E27FC236}">
                <a16:creationId xmlns:a16="http://schemas.microsoft.com/office/drawing/2014/main" id="{00000000-0008-0000-0300-00008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9"/>
          <a:stretch>
            <a:fillRect/>
          </a:stretch>
        </xdr:blipFill>
        <xdr:spPr>
          <a:xfrm>
            <a:off x="584960958" y="2926080"/>
            <a:ext cx="917986" cy="932330"/>
          </a:xfrm>
          <a:prstGeom prst="rect">
            <a:avLst/>
          </a:prstGeom>
        </xdr:spPr>
      </xdr:pic>
      <xdr:pic>
        <xdr:nvPicPr>
          <xdr:cNvPr id="1934" name="Pokemon_627_Gauche">
            <a:extLst>
              <a:ext uri="{FF2B5EF4-FFF2-40B4-BE49-F238E27FC236}">
                <a16:creationId xmlns:a16="http://schemas.microsoft.com/office/drawing/2014/main" id="{00000000-0008-0000-0300-00008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0"/>
          <a:stretch>
            <a:fillRect/>
          </a:stretch>
        </xdr:blipFill>
        <xdr:spPr>
          <a:xfrm>
            <a:off x="585878930" y="2926080"/>
            <a:ext cx="917986" cy="932330"/>
          </a:xfrm>
          <a:prstGeom prst="rect">
            <a:avLst/>
          </a:prstGeom>
        </xdr:spPr>
      </xdr:pic>
      <xdr:pic>
        <xdr:nvPicPr>
          <xdr:cNvPr id="1935" name="Pokemon_628_Gauche">
            <a:extLst>
              <a:ext uri="{FF2B5EF4-FFF2-40B4-BE49-F238E27FC236}">
                <a16:creationId xmlns:a16="http://schemas.microsoft.com/office/drawing/2014/main" id="{00000000-0008-0000-0300-00008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1"/>
          <a:stretch>
            <a:fillRect/>
          </a:stretch>
        </xdr:blipFill>
        <xdr:spPr>
          <a:xfrm>
            <a:off x="586796902" y="2926080"/>
            <a:ext cx="917986" cy="932330"/>
          </a:xfrm>
          <a:prstGeom prst="rect">
            <a:avLst/>
          </a:prstGeom>
        </xdr:spPr>
      </xdr:pic>
      <xdr:pic>
        <xdr:nvPicPr>
          <xdr:cNvPr id="1936" name="Pokemon_629_Gauche">
            <a:extLst>
              <a:ext uri="{FF2B5EF4-FFF2-40B4-BE49-F238E27FC236}">
                <a16:creationId xmlns:a16="http://schemas.microsoft.com/office/drawing/2014/main" id="{00000000-0008-0000-0300-00009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2"/>
          <a:stretch>
            <a:fillRect/>
          </a:stretch>
        </xdr:blipFill>
        <xdr:spPr>
          <a:xfrm>
            <a:off x="587714923" y="2926080"/>
            <a:ext cx="917986" cy="932330"/>
          </a:xfrm>
          <a:prstGeom prst="rect">
            <a:avLst/>
          </a:prstGeom>
        </xdr:spPr>
      </xdr:pic>
      <xdr:pic>
        <xdr:nvPicPr>
          <xdr:cNvPr id="1937" name="Pokemon_630_Gauche">
            <a:extLst>
              <a:ext uri="{FF2B5EF4-FFF2-40B4-BE49-F238E27FC236}">
                <a16:creationId xmlns:a16="http://schemas.microsoft.com/office/drawing/2014/main" id="{00000000-0008-0000-0300-00009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3"/>
          <a:stretch>
            <a:fillRect/>
          </a:stretch>
        </xdr:blipFill>
        <xdr:spPr>
          <a:xfrm>
            <a:off x="588632895" y="2926080"/>
            <a:ext cx="917986" cy="932330"/>
          </a:xfrm>
          <a:prstGeom prst="rect">
            <a:avLst/>
          </a:prstGeom>
        </xdr:spPr>
      </xdr:pic>
      <xdr:pic>
        <xdr:nvPicPr>
          <xdr:cNvPr id="1938" name="Pokemon_631_Gauche">
            <a:extLst>
              <a:ext uri="{FF2B5EF4-FFF2-40B4-BE49-F238E27FC236}">
                <a16:creationId xmlns:a16="http://schemas.microsoft.com/office/drawing/2014/main" id="{00000000-0008-0000-0300-00009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4"/>
          <a:stretch>
            <a:fillRect/>
          </a:stretch>
        </xdr:blipFill>
        <xdr:spPr>
          <a:xfrm>
            <a:off x="589550867" y="2926080"/>
            <a:ext cx="917986" cy="932330"/>
          </a:xfrm>
          <a:prstGeom prst="rect">
            <a:avLst/>
          </a:prstGeom>
        </xdr:spPr>
      </xdr:pic>
      <xdr:pic>
        <xdr:nvPicPr>
          <xdr:cNvPr id="1939" name="Pokemon_632_Gauche">
            <a:extLst>
              <a:ext uri="{FF2B5EF4-FFF2-40B4-BE49-F238E27FC236}">
                <a16:creationId xmlns:a16="http://schemas.microsoft.com/office/drawing/2014/main" id="{00000000-0008-0000-0300-00009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5"/>
          <a:stretch>
            <a:fillRect/>
          </a:stretch>
        </xdr:blipFill>
        <xdr:spPr>
          <a:xfrm>
            <a:off x="590468839" y="2926080"/>
            <a:ext cx="917986" cy="932330"/>
          </a:xfrm>
          <a:prstGeom prst="rect">
            <a:avLst/>
          </a:prstGeom>
        </xdr:spPr>
      </xdr:pic>
      <xdr:pic>
        <xdr:nvPicPr>
          <xdr:cNvPr id="1940" name="Pokemon_633_Gauche">
            <a:extLst>
              <a:ext uri="{FF2B5EF4-FFF2-40B4-BE49-F238E27FC236}">
                <a16:creationId xmlns:a16="http://schemas.microsoft.com/office/drawing/2014/main" id="{00000000-0008-0000-0300-00009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6"/>
          <a:stretch>
            <a:fillRect/>
          </a:stretch>
        </xdr:blipFill>
        <xdr:spPr>
          <a:xfrm>
            <a:off x="591386861" y="2926080"/>
            <a:ext cx="917986" cy="932330"/>
          </a:xfrm>
          <a:prstGeom prst="rect">
            <a:avLst/>
          </a:prstGeom>
        </xdr:spPr>
      </xdr:pic>
      <xdr:pic>
        <xdr:nvPicPr>
          <xdr:cNvPr id="1941" name="Pokemon_634_Gauche">
            <a:extLst>
              <a:ext uri="{FF2B5EF4-FFF2-40B4-BE49-F238E27FC236}">
                <a16:creationId xmlns:a16="http://schemas.microsoft.com/office/drawing/2014/main" id="{00000000-0008-0000-0300-00009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7"/>
          <a:stretch>
            <a:fillRect/>
          </a:stretch>
        </xdr:blipFill>
        <xdr:spPr>
          <a:xfrm>
            <a:off x="592304832" y="2926080"/>
            <a:ext cx="917986" cy="932330"/>
          </a:xfrm>
          <a:prstGeom prst="rect">
            <a:avLst/>
          </a:prstGeom>
        </xdr:spPr>
      </xdr:pic>
      <xdr:pic>
        <xdr:nvPicPr>
          <xdr:cNvPr id="1942" name="Pokemon_635_Gauche">
            <a:extLst>
              <a:ext uri="{FF2B5EF4-FFF2-40B4-BE49-F238E27FC236}">
                <a16:creationId xmlns:a16="http://schemas.microsoft.com/office/drawing/2014/main" id="{00000000-0008-0000-0300-00009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8"/>
          <a:stretch>
            <a:fillRect/>
          </a:stretch>
        </xdr:blipFill>
        <xdr:spPr>
          <a:xfrm>
            <a:off x="593222804" y="2926080"/>
            <a:ext cx="917986" cy="932330"/>
          </a:xfrm>
          <a:prstGeom prst="rect">
            <a:avLst/>
          </a:prstGeom>
        </xdr:spPr>
      </xdr:pic>
      <xdr:pic>
        <xdr:nvPicPr>
          <xdr:cNvPr id="1943" name="Pokemon_636_Gauche">
            <a:extLst>
              <a:ext uri="{FF2B5EF4-FFF2-40B4-BE49-F238E27FC236}">
                <a16:creationId xmlns:a16="http://schemas.microsoft.com/office/drawing/2014/main" id="{00000000-0008-0000-0300-00009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9"/>
          <a:stretch>
            <a:fillRect/>
          </a:stretch>
        </xdr:blipFill>
        <xdr:spPr>
          <a:xfrm>
            <a:off x="594140776" y="2926080"/>
            <a:ext cx="917986" cy="932330"/>
          </a:xfrm>
          <a:prstGeom prst="rect">
            <a:avLst/>
          </a:prstGeom>
        </xdr:spPr>
      </xdr:pic>
      <xdr:pic>
        <xdr:nvPicPr>
          <xdr:cNvPr id="1944" name="Pokemon_637_Gauche">
            <a:extLst>
              <a:ext uri="{FF2B5EF4-FFF2-40B4-BE49-F238E27FC236}">
                <a16:creationId xmlns:a16="http://schemas.microsoft.com/office/drawing/2014/main" id="{00000000-0008-0000-0300-00009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0"/>
          <a:stretch>
            <a:fillRect/>
          </a:stretch>
        </xdr:blipFill>
        <xdr:spPr>
          <a:xfrm>
            <a:off x="595058748" y="2926080"/>
            <a:ext cx="917986" cy="932330"/>
          </a:xfrm>
          <a:prstGeom prst="rect">
            <a:avLst/>
          </a:prstGeom>
        </xdr:spPr>
      </xdr:pic>
      <xdr:pic>
        <xdr:nvPicPr>
          <xdr:cNvPr id="1945" name="Pokemon_638_Gauche">
            <a:extLst>
              <a:ext uri="{FF2B5EF4-FFF2-40B4-BE49-F238E27FC236}">
                <a16:creationId xmlns:a16="http://schemas.microsoft.com/office/drawing/2014/main" id="{00000000-0008-0000-0300-00009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1"/>
          <a:stretch>
            <a:fillRect/>
          </a:stretch>
        </xdr:blipFill>
        <xdr:spPr>
          <a:xfrm>
            <a:off x="595976720" y="2926080"/>
            <a:ext cx="917986" cy="932330"/>
          </a:xfrm>
          <a:prstGeom prst="rect">
            <a:avLst/>
          </a:prstGeom>
        </xdr:spPr>
      </xdr:pic>
      <xdr:pic>
        <xdr:nvPicPr>
          <xdr:cNvPr id="1946" name="Pokemon_639_Gauche">
            <a:extLst>
              <a:ext uri="{FF2B5EF4-FFF2-40B4-BE49-F238E27FC236}">
                <a16:creationId xmlns:a16="http://schemas.microsoft.com/office/drawing/2014/main" id="{00000000-0008-0000-0300-00009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2"/>
          <a:stretch>
            <a:fillRect/>
          </a:stretch>
        </xdr:blipFill>
        <xdr:spPr>
          <a:xfrm>
            <a:off x="596894692" y="2926080"/>
            <a:ext cx="917986" cy="932330"/>
          </a:xfrm>
          <a:prstGeom prst="rect">
            <a:avLst/>
          </a:prstGeom>
        </xdr:spPr>
      </xdr:pic>
      <xdr:pic>
        <xdr:nvPicPr>
          <xdr:cNvPr id="1947" name="Pokemon_640_Gauche">
            <a:extLst>
              <a:ext uri="{FF2B5EF4-FFF2-40B4-BE49-F238E27FC236}">
                <a16:creationId xmlns:a16="http://schemas.microsoft.com/office/drawing/2014/main" id="{00000000-0008-0000-0300-00009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3"/>
          <a:stretch>
            <a:fillRect/>
          </a:stretch>
        </xdr:blipFill>
        <xdr:spPr>
          <a:xfrm>
            <a:off x="597812713" y="2926080"/>
            <a:ext cx="917986" cy="932330"/>
          </a:xfrm>
          <a:prstGeom prst="rect">
            <a:avLst/>
          </a:prstGeom>
        </xdr:spPr>
      </xdr:pic>
      <xdr:pic>
        <xdr:nvPicPr>
          <xdr:cNvPr id="1948" name="Pokemon_641_Gauche">
            <a:extLst>
              <a:ext uri="{FF2B5EF4-FFF2-40B4-BE49-F238E27FC236}">
                <a16:creationId xmlns:a16="http://schemas.microsoft.com/office/drawing/2014/main" id="{00000000-0008-0000-0300-00009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4"/>
          <a:stretch>
            <a:fillRect/>
          </a:stretch>
        </xdr:blipFill>
        <xdr:spPr>
          <a:xfrm>
            <a:off x="598730685" y="2926080"/>
            <a:ext cx="917986" cy="932330"/>
          </a:xfrm>
          <a:prstGeom prst="rect">
            <a:avLst/>
          </a:prstGeom>
        </xdr:spPr>
      </xdr:pic>
      <xdr:pic>
        <xdr:nvPicPr>
          <xdr:cNvPr id="1949" name="Pokemon_642_Gauche">
            <a:extLst>
              <a:ext uri="{FF2B5EF4-FFF2-40B4-BE49-F238E27FC236}">
                <a16:creationId xmlns:a16="http://schemas.microsoft.com/office/drawing/2014/main" id="{00000000-0008-0000-0300-00009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5"/>
          <a:stretch>
            <a:fillRect/>
          </a:stretch>
        </xdr:blipFill>
        <xdr:spPr>
          <a:xfrm>
            <a:off x="599648657" y="2926080"/>
            <a:ext cx="917986" cy="932330"/>
          </a:xfrm>
          <a:prstGeom prst="rect">
            <a:avLst/>
          </a:prstGeom>
        </xdr:spPr>
      </xdr:pic>
      <xdr:pic>
        <xdr:nvPicPr>
          <xdr:cNvPr id="1950" name="Pokemon_643_Gauche">
            <a:extLst>
              <a:ext uri="{FF2B5EF4-FFF2-40B4-BE49-F238E27FC236}">
                <a16:creationId xmlns:a16="http://schemas.microsoft.com/office/drawing/2014/main" id="{00000000-0008-0000-0300-00009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6"/>
          <a:stretch>
            <a:fillRect/>
          </a:stretch>
        </xdr:blipFill>
        <xdr:spPr>
          <a:xfrm>
            <a:off x="600566629" y="2926080"/>
            <a:ext cx="917986" cy="932330"/>
          </a:xfrm>
          <a:prstGeom prst="rect">
            <a:avLst/>
          </a:prstGeom>
        </xdr:spPr>
      </xdr:pic>
      <xdr:pic>
        <xdr:nvPicPr>
          <xdr:cNvPr id="1951" name="Pokemon_644_Gauche">
            <a:extLst>
              <a:ext uri="{FF2B5EF4-FFF2-40B4-BE49-F238E27FC236}">
                <a16:creationId xmlns:a16="http://schemas.microsoft.com/office/drawing/2014/main" id="{00000000-0008-0000-0300-00009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7"/>
          <a:stretch>
            <a:fillRect/>
          </a:stretch>
        </xdr:blipFill>
        <xdr:spPr>
          <a:xfrm>
            <a:off x="601484650" y="2926080"/>
            <a:ext cx="917986" cy="932330"/>
          </a:xfrm>
          <a:prstGeom prst="rect">
            <a:avLst/>
          </a:prstGeom>
        </xdr:spPr>
      </xdr:pic>
      <xdr:pic>
        <xdr:nvPicPr>
          <xdr:cNvPr id="1952" name="Pokemon_645_Gauche">
            <a:extLst>
              <a:ext uri="{FF2B5EF4-FFF2-40B4-BE49-F238E27FC236}">
                <a16:creationId xmlns:a16="http://schemas.microsoft.com/office/drawing/2014/main" id="{00000000-0008-0000-0300-0000A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8"/>
          <a:stretch>
            <a:fillRect/>
          </a:stretch>
        </xdr:blipFill>
        <xdr:spPr>
          <a:xfrm>
            <a:off x="602402622" y="2926080"/>
            <a:ext cx="917986" cy="932330"/>
          </a:xfrm>
          <a:prstGeom prst="rect">
            <a:avLst/>
          </a:prstGeom>
        </xdr:spPr>
      </xdr:pic>
      <xdr:pic>
        <xdr:nvPicPr>
          <xdr:cNvPr id="1953" name="Pokemon_646_Gauche">
            <a:extLst>
              <a:ext uri="{FF2B5EF4-FFF2-40B4-BE49-F238E27FC236}">
                <a16:creationId xmlns:a16="http://schemas.microsoft.com/office/drawing/2014/main" id="{00000000-0008-0000-0300-0000A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9"/>
          <a:stretch>
            <a:fillRect/>
          </a:stretch>
        </xdr:blipFill>
        <xdr:spPr>
          <a:xfrm>
            <a:off x="603320594" y="2926080"/>
            <a:ext cx="917986" cy="932330"/>
          </a:xfrm>
          <a:prstGeom prst="rect">
            <a:avLst/>
          </a:prstGeom>
        </xdr:spPr>
      </xdr:pic>
      <xdr:pic>
        <xdr:nvPicPr>
          <xdr:cNvPr id="1954" name="Pokemon_647_Gauche">
            <a:extLst>
              <a:ext uri="{FF2B5EF4-FFF2-40B4-BE49-F238E27FC236}">
                <a16:creationId xmlns:a16="http://schemas.microsoft.com/office/drawing/2014/main" id="{00000000-0008-0000-0300-0000A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0"/>
          <a:stretch>
            <a:fillRect/>
          </a:stretch>
        </xdr:blipFill>
        <xdr:spPr>
          <a:xfrm>
            <a:off x="604238566" y="2926080"/>
            <a:ext cx="917986" cy="932330"/>
          </a:xfrm>
          <a:prstGeom prst="rect">
            <a:avLst/>
          </a:prstGeom>
        </xdr:spPr>
      </xdr:pic>
      <xdr:pic>
        <xdr:nvPicPr>
          <xdr:cNvPr id="1955" name="Pokemon_648_Gauche">
            <a:extLst>
              <a:ext uri="{FF2B5EF4-FFF2-40B4-BE49-F238E27FC236}">
                <a16:creationId xmlns:a16="http://schemas.microsoft.com/office/drawing/2014/main" id="{00000000-0008-0000-0300-0000A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1"/>
          <a:stretch>
            <a:fillRect/>
          </a:stretch>
        </xdr:blipFill>
        <xdr:spPr>
          <a:xfrm>
            <a:off x="605156588" y="2926080"/>
            <a:ext cx="917986" cy="932330"/>
          </a:xfrm>
          <a:prstGeom prst="rect">
            <a:avLst/>
          </a:prstGeom>
        </xdr:spPr>
      </xdr:pic>
      <xdr:pic>
        <xdr:nvPicPr>
          <xdr:cNvPr id="1956" name="Pokemon_649_Gauche">
            <a:extLst>
              <a:ext uri="{FF2B5EF4-FFF2-40B4-BE49-F238E27FC236}">
                <a16:creationId xmlns:a16="http://schemas.microsoft.com/office/drawing/2014/main" id="{00000000-0008-0000-0300-0000A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2"/>
          <a:stretch>
            <a:fillRect/>
          </a:stretch>
        </xdr:blipFill>
        <xdr:spPr>
          <a:xfrm>
            <a:off x="606074559" y="2926080"/>
            <a:ext cx="917986" cy="9323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25</xdr:row>
      <xdr:rowOff>0</xdr:rowOff>
    </xdr:from>
    <xdr:to>
      <xdr:col>750</xdr:col>
      <xdr:colOff>426242</xdr:colOff>
      <xdr:row>30</xdr:row>
      <xdr:rowOff>0</xdr:rowOff>
    </xdr:to>
    <xdr:grpSp>
      <xdr:nvGrpSpPr>
        <xdr:cNvPr id="2608" name="Pokemon_Groupe_Droite">
          <a:extLst>
            <a:ext uri="{FF2B5EF4-FFF2-40B4-BE49-F238E27FC236}">
              <a16:creationId xmlns:a16="http://schemas.microsoft.com/office/drawing/2014/main" id="{00000000-0008-0000-0300-0000300A0000}"/>
            </a:ext>
          </a:extLst>
        </xdr:cNvPr>
        <xdr:cNvGrpSpPr/>
      </xdr:nvGrpSpPr>
      <xdr:grpSpPr>
        <a:xfrm>
          <a:off x="788894" y="4554071"/>
          <a:ext cx="591307936" cy="896470"/>
          <a:chOff x="8717280" y="1097280"/>
          <a:chExt cx="596690345" cy="932330"/>
        </a:xfrm>
      </xdr:grpSpPr>
      <xdr:pic>
        <xdr:nvPicPr>
          <xdr:cNvPr id="2609" name="Pokemon_0_Droite">
            <a:extLst>
              <a:ext uri="{FF2B5EF4-FFF2-40B4-BE49-F238E27FC236}">
                <a16:creationId xmlns:a16="http://schemas.microsoft.com/office/drawing/2014/main" id="{00000000-0008-0000-0300-00003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3"/>
          <a:stretch>
            <a:fillRect/>
          </a:stretch>
        </xdr:blipFill>
        <xdr:spPr>
          <a:xfrm>
            <a:off x="8717280" y="1097280"/>
            <a:ext cx="917986" cy="932330"/>
          </a:xfrm>
          <a:prstGeom prst="rect">
            <a:avLst/>
          </a:prstGeom>
        </xdr:spPr>
      </xdr:pic>
      <xdr:pic>
        <xdr:nvPicPr>
          <xdr:cNvPr id="2610" name="Pokemon_1_Droite">
            <a:extLst>
              <a:ext uri="{FF2B5EF4-FFF2-40B4-BE49-F238E27FC236}">
                <a16:creationId xmlns:a16="http://schemas.microsoft.com/office/drawing/2014/main" id="{00000000-0008-0000-0300-00003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4"/>
          <a:stretch>
            <a:fillRect/>
          </a:stretch>
        </xdr:blipFill>
        <xdr:spPr>
          <a:xfrm>
            <a:off x="9635266" y="1097280"/>
            <a:ext cx="917986" cy="932330"/>
          </a:xfrm>
          <a:prstGeom prst="rect">
            <a:avLst/>
          </a:prstGeom>
        </xdr:spPr>
      </xdr:pic>
      <xdr:pic>
        <xdr:nvPicPr>
          <xdr:cNvPr id="2611" name="Pokemon_2_Droite">
            <a:extLst>
              <a:ext uri="{FF2B5EF4-FFF2-40B4-BE49-F238E27FC236}">
                <a16:creationId xmlns:a16="http://schemas.microsoft.com/office/drawing/2014/main" id="{00000000-0008-0000-0300-00003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5"/>
          <a:stretch>
            <a:fillRect/>
          </a:stretch>
        </xdr:blipFill>
        <xdr:spPr>
          <a:xfrm>
            <a:off x="10553252" y="1097280"/>
            <a:ext cx="917986" cy="932330"/>
          </a:xfrm>
          <a:prstGeom prst="rect">
            <a:avLst/>
          </a:prstGeom>
        </xdr:spPr>
      </xdr:pic>
      <xdr:pic>
        <xdr:nvPicPr>
          <xdr:cNvPr id="2612" name="Pokemon_3_Droite">
            <a:extLst>
              <a:ext uri="{FF2B5EF4-FFF2-40B4-BE49-F238E27FC236}">
                <a16:creationId xmlns:a16="http://schemas.microsoft.com/office/drawing/2014/main" id="{00000000-0008-0000-0300-00003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6"/>
          <a:stretch>
            <a:fillRect/>
          </a:stretch>
        </xdr:blipFill>
        <xdr:spPr>
          <a:xfrm>
            <a:off x="11471238" y="1097280"/>
            <a:ext cx="917986" cy="932330"/>
          </a:xfrm>
          <a:prstGeom prst="rect">
            <a:avLst/>
          </a:prstGeom>
        </xdr:spPr>
      </xdr:pic>
      <xdr:pic>
        <xdr:nvPicPr>
          <xdr:cNvPr id="2613" name="Pokemon_4_Droite">
            <a:extLst>
              <a:ext uri="{FF2B5EF4-FFF2-40B4-BE49-F238E27FC236}">
                <a16:creationId xmlns:a16="http://schemas.microsoft.com/office/drawing/2014/main" id="{00000000-0008-0000-0300-00003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7"/>
          <a:stretch>
            <a:fillRect/>
          </a:stretch>
        </xdr:blipFill>
        <xdr:spPr>
          <a:xfrm>
            <a:off x="12389224" y="1097280"/>
            <a:ext cx="917986" cy="932330"/>
          </a:xfrm>
          <a:prstGeom prst="rect">
            <a:avLst/>
          </a:prstGeom>
        </xdr:spPr>
      </xdr:pic>
      <xdr:pic>
        <xdr:nvPicPr>
          <xdr:cNvPr id="2614" name="Pokemon_5_Droite">
            <a:extLst>
              <a:ext uri="{FF2B5EF4-FFF2-40B4-BE49-F238E27FC236}">
                <a16:creationId xmlns:a16="http://schemas.microsoft.com/office/drawing/2014/main" id="{00000000-0008-0000-0300-00003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8"/>
          <a:stretch>
            <a:fillRect/>
          </a:stretch>
        </xdr:blipFill>
        <xdr:spPr>
          <a:xfrm>
            <a:off x="13307209" y="1097280"/>
            <a:ext cx="917986" cy="932330"/>
          </a:xfrm>
          <a:prstGeom prst="rect">
            <a:avLst/>
          </a:prstGeom>
        </xdr:spPr>
      </xdr:pic>
      <xdr:pic>
        <xdr:nvPicPr>
          <xdr:cNvPr id="2615" name="Pokemon_6_Droite">
            <a:extLst>
              <a:ext uri="{FF2B5EF4-FFF2-40B4-BE49-F238E27FC236}">
                <a16:creationId xmlns:a16="http://schemas.microsoft.com/office/drawing/2014/main" id="{00000000-0008-0000-0300-00003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9"/>
          <a:stretch>
            <a:fillRect/>
          </a:stretch>
        </xdr:blipFill>
        <xdr:spPr>
          <a:xfrm>
            <a:off x="14225195" y="1097280"/>
            <a:ext cx="917986" cy="932330"/>
          </a:xfrm>
          <a:prstGeom prst="rect">
            <a:avLst/>
          </a:prstGeom>
        </xdr:spPr>
      </xdr:pic>
      <xdr:pic>
        <xdr:nvPicPr>
          <xdr:cNvPr id="2616" name="Pokemon_7_Droite">
            <a:extLst>
              <a:ext uri="{FF2B5EF4-FFF2-40B4-BE49-F238E27FC236}">
                <a16:creationId xmlns:a16="http://schemas.microsoft.com/office/drawing/2014/main" id="{00000000-0008-0000-0300-00003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0"/>
          <a:stretch>
            <a:fillRect/>
          </a:stretch>
        </xdr:blipFill>
        <xdr:spPr>
          <a:xfrm>
            <a:off x="15143181" y="1097280"/>
            <a:ext cx="917986" cy="932330"/>
          </a:xfrm>
          <a:prstGeom prst="rect">
            <a:avLst/>
          </a:prstGeom>
        </xdr:spPr>
      </xdr:pic>
      <xdr:pic>
        <xdr:nvPicPr>
          <xdr:cNvPr id="2617" name="Pokemon_8_Droite">
            <a:extLst>
              <a:ext uri="{FF2B5EF4-FFF2-40B4-BE49-F238E27FC236}">
                <a16:creationId xmlns:a16="http://schemas.microsoft.com/office/drawing/2014/main" id="{00000000-0008-0000-0300-00003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1"/>
          <a:stretch>
            <a:fillRect/>
          </a:stretch>
        </xdr:blipFill>
        <xdr:spPr>
          <a:xfrm>
            <a:off x="16061167" y="1097280"/>
            <a:ext cx="917986" cy="932330"/>
          </a:xfrm>
          <a:prstGeom prst="rect">
            <a:avLst/>
          </a:prstGeom>
        </xdr:spPr>
      </xdr:pic>
      <xdr:pic>
        <xdr:nvPicPr>
          <xdr:cNvPr id="2618" name="Pokemon_9_Droite">
            <a:extLst>
              <a:ext uri="{FF2B5EF4-FFF2-40B4-BE49-F238E27FC236}">
                <a16:creationId xmlns:a16="http://schemas.microsoft.com/office/drawing/2014/main" id="{00000000-0008-0000-0300-00003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2"/>
          <a:stretch>
            <a:fillRect/>
          </a:stretch>
        </xdr:blipFill>
        <xdr:spPr>
          <a:xfrm>
            <a:off x="16979153" y="1097280"/>
            <a:ext cx="917986" cy="932330"/>
          </a:xfrm>
          <a:prstGeom prst="rect">
            <a:avLst/>
          </a:prstGeom>
        </xdr:spPr>
      </xdr:pic>
      <xdr:pic>
        <xdr:nvPicPr>
          <xdr:cNvPr id="2619" name="Pokemon_10_Droite">
            <a:extLst>
              <a:ext uri="{FF2B5EF4-FFF2-40B4-BE49-F238E27FC236}">
                <a16:creationId xmlns:a16="http://schemas.microsoft.com/office/drawing/2014/main" id="{00000000-0008-0000-0300-00003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3"/>
          <a:stretch>
            <a:fillRect/>
          </a:stretch>
        </xdr:blipFill>
        <xdr:spPr>
          <a:xfrm>
            <a:off x="17897139" y="1097280"/>
            <a:ext cx="917986" cy="932330"/>
          </a:xfrm>
          <a:prstGeom prst="rect">
            <a:avLst/>
          </a:prstGeom>
        </xdr:spPr>
      </xdr:pic>
      <xdr:pic>
        <xdr:nvPicPr>
          <xdr:cNvPr id="2620" name="Pokemon_11_Droite">
            <a:extLst>
              <a:ext uri="{FF2B5EF4-FFF2-40B4-BE49-F238E27FC236}">
                <a16:creationId xmlns:a16="http://schemas.microsoft.com/office/drawing/2014/main" id="{00000000-0008-0000-0300-00003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4"/>
          <a:stretch>
            <a:fillRect/>
          </a:stretch>
        </xdr:blipFill>
        <xdr:spPr>
          <a:xfrm>
            <a:off x="18815126" y="1097280"/>
            <a:ext cx="917986" cy="932330"/>
          </a:xfrm>
          <a:prstGeom prst="rect">
            <a:avLst/>
          </a:prstGeom>
        </xdr:spPr>
      </xdr:pic>
      <xdr:pic>
        <xdr:nvPicPr>
          <xdr:cNvPr id="2621" name="Pokemon_12_Droite">
            <a:extLst>
              <a:ext uri="{FF2B5EF4-FFF2-40B4-BE49-F238E27FC236}">
                <a16:creationId xmlns:a16="http://schemas.microsoft.com/office/drawing/2014/main" id="{00000000-0008-0000-0300-00003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5"/>
          <a:stretch>
            <a:fillRect/>
          </a:stretch>
        </xdr:blipFill>
        <xdr:spPr>
          <a:xfrm>
            <a:off x="19733112" y="1097280"/>
            <a:ext cx="917986" cy="932330"/>
          </a:xfrm>
          <a:prstGeom prst="rect">
            <a:avLst/>
          </a:prstGeom>
        </xdr:spPr>
      </xdr:pic>
      <xdr:pic>
        <xdr:nvPicPr>
          <xdr:cNvPr id="2622" name="Pokemon_13_Droite">
            <a:extLst>
              <a:ext uri="{FF2B5EF4-FFF2-40B4-BE49-F238E27FC236}">
                <a16:creationId xmlns:a16="http://schemas.microsoft.com/office/drawing/2014/main" id="{00000000-0008-0000-0300-00003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6"/>
          <a:stretch>
            <a:fillRect/>
          </a:stretch>
        </xdr:blipFill>
        <xdr:spPr>
          <a:xfrm>
            <a:off x="20651098" y="1097280"/>
            <a:ext cx="917986" cy="932330"/>
          </a:xfrm>
          <a:prstGeom prst="rect">
            <a:avLst/>
          </a:prstGeom>
        </xdr:spPr>
      </xdr:pic>
      <xdr:pic>
        <xdr:nvPicPr>
          <xdr:cNvPr id="2623" name="Pokemon_14_Droite">
            <a:extLst>
              <a:ext uri="{FF2B5EF4-FFF2-40B4-BE49-F238E27FC236}">
                <a16:creationId xmlns:a16="http://schemas.microsoft.com/office/drawing/2014/main" id="{00000000-0008-0000-0300-00003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7"/>
          <a:stretch>
            <a:fillRect/>
          </a:stretch>
        </xdr:blipFill>
        <xdr:spPr>
          <a:xfrm>
            <a:off x="21569083" y="1097280"/>
            <a:ext cx="917986" cy="932330"/>
          </a:xfrm>
          <a:prstGeom prst="rect">
            <a:avLst/>
          </a:prstGeom>
        </xdr:spPr>
      </xdr:pic>
      <xdr:pic>
        <xdr:nvPicPr>
          <xdr:cNvPr id="2624" name="Pokemon_15_Droite">
            <a:extLst>
              <a:ext uri="{FF2B5EF4-FFF2-40B4-BE49-F238E27FC236}">
                <a16:creationId xmlns:a16="http://schemas.microsoft.com/office/drawing/2014/main" id="{00000000-0008-0000-0300-00004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8"/>
          <a:stretch>
            <a:fillRect/>
          </a:stretch>
        </xdr:blipFill>
        <xdr:spPr>
          <a:xfrm>
            <a:off x="22487069" y="1097280"/>
            <a:ext cx="917986" cy="932330"/>
          </a:xfrm>
          <a:prstGeom prst="rect">
            <a:avLst/>
          </a:prstGeom>
        </xdr:spPr>
      </xdr:pic>
      <xdr:pic>
        <xdr:nvPicPr>
          <xdr:cNvPr id="2625" name="Pokemon_16_Droite">
            <a:extLst>
              <a:ext uri="{FF2B5EF4-FFF2-40B4-BE49-F238E27FC236}">
                <a16:creationId xmlns:a16="http://schemas.microsoft.com/office/drawing/2014/main" id="{00000000-0008-0000-0300-00004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9"/>
          <a:stretch>
            <a:fillRect/>
          </a:stretch>
        </xdr:blipFill>
        <xdr:spPr>
          <a:xfrm>
            <a:off x="23405054" y="1097280"/>
            <a:ext cx="917986" cy="932330"/>
          </a:xfrm>
          <a:prstGeom prst="rect">
            <a:avLst/>
          </a:prstGeom>
        </xdr:spPr>
      </xdr:pic>
      <xdr:pic>
        <xdr:nvPicPr>
          <xdr:cNvPr id="2626" name="Pokemon_17_Droite">
            <a:extLst>
              <a:ext uri="{FF2B5EF4-FFF2-40B4-BE49-F238E27FC236}">
                <a16:creationId xmlns:a16="http://schemas.microsoft.com/office/drawing/2014/main" id="{00000000-0008-0000-0300-00004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0"/>
          <a:stretch>
            <a:fillRect/>
          </a:stretch>
        </xdr:blipFill>
        <xdr:spPr>
          <a:xfrm>
            <a:off x="24323039" y="1097280"/>
            <a:ext cx="917986" cy="932330"/>
          </a:xfrm>
          <a:prstGeom prst="rect">
            <a:avLst/>
          </a:prstGeom>
        </xdr:spPr>
      </xdr:pic>
      <xdr:pic>
        <xdr:nvPicPr>
          <xdr:cNvPr id="2627" name="Pokemon_18_Droite">
            <a:extLst>
              <a:ext uri="{FF2B5EF4-FFF2-40B4-BE49-F238E27FC236}">
                <a16:creationId xmlns:a16="http://schemas.microsoft.com/office/drawing/2014/main" id="{00000000-0008-0000-0300-00004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1"/>
          <a:stretch>
            <a:fillRect/>
          </a:stretch>
        </xdr:blipFill>
        <xdr:spPr>
          <a:xfrm>
            <a:off x="25241025" y="1097280"/>
            <a:ext cx="917986" cy="932330"/>
          </a:xfrm>
          <a:prstGeom prst="rect">
            <a:avLst/>
          </a:prstGeom>
        </xdr:spPr>
      </xdr:pic>
      <xdr:pic>
        <xdr:nvPicPr>
          <xdr:cNvPr id="2628" name="Pokemon_19_Droite">
            <a:extLst>
              <a:ext uri="{FF2B5EF4-FFF2-40B4-BE49-F238E27FC236}">
                <a16:creationId xmlns:a16="http://schemas.microsoft.com/office/drawing/2014/main" id="{00000000-0008-0000-0300-00004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2"/>
          <a:stretch>
            <a:fillRect/>
          </a:stretch>
        </xdr:blipFill>
        <xdr:spPr>
          <a:xfrm>
            <a:off x="26159011" y="1097280"/>
            <a:ext cx="917986" cy="932330"/>
          </a:xfrm>
          <a:prstGeom prst="rect">
            <a:avLst/>
          </a:prstGeom>
        </xdr:spPr>
      </xdr:pic>
      <xdr:pic>
        <xdr:nvPicPr>
          <xdr:cNvPr id="2629" name="Pokemon_20_Droite">
            <a:extLst>
              <a:ext uri="{FF2B5EF4-FFF2-40B4-BE49-F238E27FC236}">
                <a16:creationId xmlns:a16="http://schemas.microsoft.com/office/drawing/2014/main" id="{00000000-0008-0000-0300-00004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3"/>
          <a:stretch>
            <a:fillRect/>
          </a:stretch>
        </xdr:blipFill>
        <xdr:spPr>
          <a:xfrm>
            <a:off x="27076998" y="1097280"/>
            <a:ext cx="917986" cy="932330"/>
          </a:xfrm>
          <a:prstGeom prst="rect">
            <a:avLst/>
          </a:prstGeom>
        </xdr:spPr>
      </xdr:pic>
      <xdr:pic>
        <xdr:nvPicPr>
          <xdr:cNvPr id="2630" name="Pokemon_21_Droite">
            <a:extLst>
              <a:ext uri="{FF2B5EF4-FFF2-40B4-BE49-F238E27FC236}">
                <a16:creationId xmlns:a16="http://schemas.microsoft.com/office/drawing/2014/main" id="{00000000-0008-0000-0300-00004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4"/>
          <a:stretch>
            <a:fillRect/>
          </a:stretch>
        </xdr:blipFill>
        <xdr:spPr>
          <a:xfrm>
            <a:off x="27994986" y="1097280"/>
            <a:ext cx="917986" cy="932330"/>
          </a:xfrm>
          <a:prstGeom prst="rect">
            <a:avLst/>
          </a:prstGeom>
        </xdr:spPr>
      </xdr:pic>
      <xdr:pic>
        <xdr:nvPicPr>
          <xdr:cNvPr id="2631" name="Pokemon_22_Droite">
            <a:extLst>
              <a:ext uri="{FF2B5EF4-FFF2-40B4-BE49-F238E27FC236}">
                <a16:creationId xmlns:a16="http://schemas.microsoft.com/office/drawing/2014/main" id="{00000000-0008-0000-0300-00004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5"/>
          <a:stretch>
            <a:fillRect/>
          </a:stretch>
        </xdr:blipFill>
        <xdr:spPr>
          <a:xfrm>
            <a:off x="28912973" y="1097280"/>
            <a:ext cx="917986" cy="932330"/>
          </a:xfrm>
          <a:prstGeom prst="rect">
            <a:avLst/>
          </a:prstGeom>
        </xdr:spPr>
      </xdr:pic>
      <xdr:pic>
        <xdr:nvPicPr>
          <xdr:cNvPr id="2632" name="Pokemon_23_Droite">
            <a:extLst>
              <a:ext uri="{FF2B5EF4-FFF2-40B4-BE49-F238E27FC236}">
                <a16:creationId xmlns:a16="http://schemas.microsoft.com/office/drawing/2014/main" id="{00000000-0008-0000-0300-00004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6"/>
          <a:stretch>
            <a:fillRect/>
          </a:stretch>
        </xdr:blipFill>
        <xdr:spPr>
          <a:xfrm>
            <a:off x="29830961" y="1097280"/>
            <a:ext cx="917986" cy="932330"/>
          </a:xfrm>
          <a:prstGeom prst="rect">
            <a:avLst/>
          </a:prstGeom>
        </xdr:spPr>
      </xdr:pic>
      <xdr:pic>
        <xdr:nvPicPr>
          <xdr:cNvPr id="2633" name="Pokemon_24_Droite">
            <a:extLst>
              <a:ext uri="{FF2B5EF4-FFF2-40B4-BE49-F238E27FC236}">
                <a16:creationId xmlns:a16="http://schemas.microsoft.com/office/drawing/2014/main" id="{00000000-0008-0000-0300-00004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7"/>
          <a:stretch>
            <a:fillRect/>
          </a:stretch>
        </xdr:blipFill>
        <xdr:spPr>
          <a:xfrm>
            <a:off x="30748948" y="1097280"/>
            <a:ext cx="917986" cy="932330"/>
          </a:xfrm>
          <a:prstGeom prst="rect">
            <a:avLst/>
          </a:prstGeom>
        </xdr:spPr>
      </xdr:pic>
      <xdr:pic>
        <xdr:nvPicPr>
          <xdr:cNvPr id="2634" name="Pokemon_25_Droite">
            <a:extLst>
              <a:ext uri="{FF2B5EF4-FFF2-40B4-BE49-F238E27FC236}">
                <a16:creationId xmlns:a16="http://schemas.microsoft.com/office/drawing/2014/main" id="{00000000-0008-0000-0300-00004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8"/>
          <a:stretch>
            <a:fillRect/>
          </a:stretch>
        </xdr:blipFill>
        <xdr:spPr>
          <a:xfrm>
            <a:off x="31666935" y="1097280"/>
            <a:ext cx="917986" cy="932330"/>
          </a:xfrm>
          <a:prstGeom prst="rect">
            <a:avLst/>
          </a:prstGeom>
        </xdr:spPr>
      </xdr:pic>
      <xdr:pic>
        <xdr:nvPicPr>
          <xdr:cNvPr id="2635" name="Pokemon_26_Droite">
            <a:extLst>
              <a:ext uri="{FF2B5EF4-FFF2-40B4-BE49-F238E27FC236}">
                <a16:creationId xmlns:a16="http://schemas.microsoft.com/office/drawing/2014/main" id="{00000000-0008-0000-0300-00004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9"/>
          <a:stretch>
            <a:fillRect/>
          </a:stretch>
        </xdr:blipFill>
        <xdr:spPr>
          <a:xfrm>
            <a:off x="32584923" y="1097280"/>
            <a:ext cx="917986" cy="932330"/>
          </a:xfrm>
          <a:prstGeom prst="rect">
            <a:avLst/>
          </a:prstGeom>
        </xdr:spPr>
      </xdr:pic>
      <xdr:pic>
        <xdr:nvPicPr>
          <xdr:cNvPr id="2636" name="Pokemon_27_Droite">
            <a:extLst>
              <a:ext uri="{FF2B5EF4-FFF2-40B4-BE49-F238E27FC236}">
                <a16:creationId xmlns:a16="http://schemas.microsoft.com/office/drawing/2014/main" id="{00000000-0008-0000-0300-00004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0"/>
          <a:stretch>
            <a:fillRect/>
          </a:stretch>
        </xdr:blipFill>
        <xdr:spPr>
          <a:xfrm>
            <a:off x="33502910" y="1097280"/>
            <a:ext cx="917986" cy="932330"/>
          </a:xfrm>
          <a:prstGeom prst="rect">
            <a:avLst/>
          </a:prstGeom>
        </xdr:spPr>
      </xdr:pic>
      <xdr:pic>
        <xdr:nvPicPr>
          <xdr:cNvPr id="2637" name="Pokemon_28_Droite">
            <a:extLst>
              <a:ext uri="{FF2B5EF4-FFF2-40B4-BE49-F238E27FC236}">
                <a16:creationId xmlns:a16="http://schemas.microsoft.com/office/drawing/2014/main" id="{00000000-0008-0000-0300-00004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1"/>
          <a:stretch>
            <a:fillRect/>
          </a:stretch>
        </xdr:blipFill>
        <xdr:spPr>
          <a:xfrm>
            <a:off x="34420897" y="1097280"/>
            <a:ext cx="917986" cy="932330"/>
          </a:xfrm>
          <a:prstGeom prst="rect">
            <a:avLst/>
          </a:prstGeom>
        </xdr:spPr>
      </xdr:pic>
      <xdr:pic>
        <xdr:nvPicPr>
          <xdr:cNvPr id="2638" name="Pokemon_29_Droite">
            <a:extLst>
              <a:ext uri="{FF2B5EF4-FFF2-40B4-BE49-F238E27FC236}">
                <a16:creationId xmlns:a16="http://schemas.microsoft.com/office/drawing/2014/main" id="{00000000-0008-0000-0300-00004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2"/>
          <a:stretch>
            <a:fillRect/>
          </a:stretch>
        </xdr:blipFill>
        <xdr:spPr>
          <a:xfrm>
            <a:off x="35338885" y="1097280"/>
            <a:ext cx="917986" cy="932330"/>
          </a:xfrm>
          <a:prstGeom prst="rect">
            <a:avLst/>
          </a:prstGeom>
        </xdr:spPr>
      </xdr:pic>
      <xdr:pic>
        <xdr:nvPicPr>
          <xdr:cNvPr id="2639" name="Pokemon_30_Droite">
            <a:extLst>
              <a:ext uri="{FF2B5EF4-FFF2-40B4-BE49-F238E27FC236}">
                <a16:creationId xmlns:a16="http://schemas.microsoft.com/office/drawing/2014/main" id="{00000000-0008-0000-0300-00004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3"/>
          <a:stretch>
            <a:fillRect/>
          </a:stretch>
        </xdr:blipFill>
        <xdr:spPr>
          <a:xfrm>
            <a:off x="36256872" y="1097280"/>
            <a:ext cx="917986" cy="932330"/>
          </a:xfrm>
          <a:prstGeom prst="rect">
            <a:avLst/>
          </a:prstGeom>
        </xdr:spPr>
      </xdr:pic>
      <xdr:pic>
        <xdr:nvPicPr>
          <xdr:cNvPr id="2640" name="Pokemon_31_Droite">
            <a:extLst>
              <a:ext uri="{FF2B5EF4-FFF2-40B4-BE49-F238E27FC236}">
                <a16:creationId xmlns:a16="http://schemas.microsoft.com/office/drawing/2014/main" id="{00000000-0008-0000-0300-00005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4"/>
          <a:stretch>
            <a:fillRect/>
          </a:stretch>
        </xdr:blipFill>
        <xdr:spPr>
          <a:xfrm>
            <a:off x="37174860" y="1097280"/>
            <a:ext cx="917986" cy="932330"/>
          </a:xfrm>
          <a:prstGeom prst="rect">
            <a:avLst/>
          </a:prstGeom>
        </xdr:spPr>
      </xdr:pic>
      <xdr:pic>
        <xdr:nvPicPr>
          <xdr:cNvPr id="2641" name="Pokemon_32_Droite">
            <a:extLst>
              <a:ext uri="{FF2B5EF4-FFF2-40B4-BE49-F238E27FC236}">
                <a16:creationId xmlns:a16="http://schemas.microsoft.com/office/drawing/2014/main" id="{00000000-0008-0000-0300-00005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5"/>
          <a:stretch>
            <a:fillRect/>
          </a:stretch>
        </xdr:blipFill>
        <xdr:spPr>
          <a:xfrm>
            <a:off x="38092847" y="1097280"/>
            <a:ext cx="917986" cy="932330"/>
          </a:xfrm>
          <a:prstGeom prst="rect">
            <a:avLst/>
          </a:prstGeom>
        </xdr:spPr>
      </xdr:pic>
      <xdr:pic>
        <xdr:nvPicPr>
          <xdr:cNvPr id="2642" name="Pokemon_33_Droite">
            <a:extLst>
              <a:ext uri="{FF2B5EF4-FFF2-40B4-BE49-F238E27FC236}">
                <a16:creationId xmlns:a16="http://schemas.microsoft.com/office/drawing/2014/main" id="{00000000-0008-0000-0300-00005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6"/>
          <a:stretch>
            <a:fillRect/>
          </a:stretch>
        </xdr:blipFill>
        <xdr:spPr>
          <a:xfrm>
            <a:off x="39010834" y="1097280"/>
            <a:ext cx="917986" cy="932330"/>
          </a:xfrm>
          <a:prstGeom prst="rect">
            <a:avLst/>
          </a:prstGeom>
        </xdr:spPr>
      </xdr:pic>
      <xdr:pic>
        <xdr:nvPicPr>
          <xdr:cNvPr id="2643" name="Pokemon_34_Droite">
            <a:extLst>
              <a:ext uri="{FF2B5EF4-FFF2-40B4-BE49-F238E27FC236}">
                <a16:creationId xmlns:a16="http://schemas.microsoft.com/office/drawing/2014/main" id="{00000000-0008-0000-0300-00005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7"/>
          <a:stretch>
            <a:fillRect/>
          </a:stretch>
        </xdr:blipFill>
        <xdr:spPr>
          <a:xfrm>
            <a:off x="39928819" y="1097280"/>
            <a:ext cx="917986" cy="932330"/>
          </a:xfrm>
          <a:prstGeom prst="rect">
            <a:avLst/>
          </a:prstGeom>
        </xdr:spPr>
      </xdr:pic>
      <xdr:pic>
        <xdr:nvPicPr>
          <xdr:cNvPr id="2644" name="Pokemon_35_Droite">
            <a:extLst>
              <a:ext uri="{FF2B5EF4-FFF2-40B4-BE49-F238E27FC236}">
                <a16:creationId xmlns:a16="http://schemas.microsoft.com/office/drawing/2014/main" id="{00000000-0008-0000-0300-00005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8"/>
          <a:stretch>
            <a:fillRect/>
          </a:stretch>
        </xdr:blipFill>
        <xdr:spPr>
          <a:xfrm>
            <a:off x="40846806" y="1097280"/>
            <a:ext cx="917986" cy="932330"/>
          </a:xfrm>
          <a:prstGeom prst="rect">
            <a:avLst/>
          </a:prstGeom>
        </xdr:spPr>
      </xdr:pic>
      <xdr:pic>
        <xdr:nvPicPr>
          <xdr:cNvPr id="2645" name="Pokemon_36_Droite">
            <a:extLst>
              <a:ext uri="{FF2B5EF4-FFF2-40B4-BE49-F238E27FC236}">
                <a16:creationId xmlns:a16="http://schemas.microsoft.com/office/drawing/2014/main" id="{00000000-0008-0000-0300-00005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9"/>
          <a:stretch>
            <a:fillRect/>
          </a:stretch>
        </xdr:blipFill>
        <xdr:spPr>
          <a:xfrm>
            <a:off x="41764796" y="1097280"/>
            <a:ext cx="917986" cy="932330"/>
          </a:xfrm>
          <a:prstGeom prst="rect">
            <a:avLst/>
          </a:prstGeom>
        </xdr:spPr>
      </xdr:pic>
      <xdr:pic>
        <xdr:nvPicPr>
          <xdr:cNvPr id="2646" name="Pokemon_37_Droite">
            <a:extLst>
              <a:ext uri="{FF2B5EF4-FFF2-40B4-BE49-F238E27FC236}">
                <a16:creationId xmlns:a16="http://schemas.microsoft.com/office/drawing/2014/main" id="{00000000-0008-0000-0300-00005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0"/>
          <a:stretch>
            <a:fillRect/>
          </a:stretch>
        </xdr:blipFill>
        <xdr:spPr>
          <a:xfrm>
            <a:off x="42682784" y="1097280"/>
            <a:ext cx="917986" cy="932330"/>
          </a:xfrm>
          <a:prstGeom prst="rect">
            <a:avLst/>
          </a:prstGeom>
        </xdr:spPr>
      </xdr:pic>
      <xdr:pic>
        <xdr:nvPicPr>
          <xdr:cNvPr id="2647" name="Pokemon_38_Droite">
            <a:extLst>
              <a:ext uri="{FF2B5EF4-FFF2-40B4-BE49-F238E27FC236}">
                <a16:creationId xmlns:a16="http://schemas.microsoft.com/office/drawing/2014/main" id="{00000000-0008-0000-0300-00005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1"/>
          <a:stretch>
            <a:fillRect/>
          </a:stretch>
        </xdr:blipFill>
        <xdr:spPr>
          <a:xfrm>
            <a:off x="43600771" y="1097280"/>
            <a:ext cx="917986" cy="932330"/>
          </a:xfrm>
          <a:prstGeom prst="rect">
            <a:avLst/>
          </a:prstGeom>
        </xdr:spPr>
      </xdr:pic>
      <xdr:pic>
        <xdr:nvPicPr>
          <xdr:cNvPr id="2648" name="Pokemon_39_Droite">
            <a:extLst>
              <a:ext uri="{FF2B5EF4-FFF2-40B4-BE49-F238E27FC236}">
                <a16:creationId xmlns:a16="http://schemas.microsoft.com/office/drawing/2014/main" id="{00000000-0008-0000-0300-00005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2"/>
          <a:stretch>
            <a:fillRect/>
          </a:stretch>
        </xdr:blipFill>
        <xdr:spPr>
          <a:xfrm>
            <a:off x="44518759" y="1097280"/>
            <a:ext cx="917986" cy="932330"/>
          </a:xfrm>
          <a:prstGeom prst="rect">
            <a:avLst/>
          </a:prstGeom>
        </xdr:spPr>
      </xdr:pic>
      <xdr:pic>
        <xdr:nvPicPr>
          <xdr:cNvPr id="2649" name="Pokemon_40_Droite">
            <a:extLst>
              <a:ext uri="{FF2B5EF4-FFF2-40B4-BE49-F238E27FC236}">
                <a16:creationId xmlns:a16="http://schemas.microsoft.com/office/drawing/2014/main" id="{00000000-0008-0000-0300-00005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3"/>
          <a:stretch>
            <a:fillRect/>
          </a:stretch>
        </xdr:blipFill>
        <xdr:spPr>
          <a:xfrm>
            <a:off x="45436746" y="1097280"/>
            <a:ext cx="917986" cy="932330"/>
          </a:xfrm>
          <a:prstGeom prst="rect">
            <a:avLst/>
          </a:prstGeom>
        </xdr:spPr>
      </xdr:pic>
      <xdr:pic>
        <xdr:nvPicPr>
          <xdr:cNvPr id="2650" name="Pokemon_41_Droite">
            <a:extLst>
              <a:ext uri="{FF2B5EF4-FFF2-40B4-BE49-F238E27FC236}">
                <a16:creationId xmlns:a16="http://schemas.microsoft.com/office/drawing/2014/main" id="{00000000-0008-0000-0300-00005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4"/>
          <a:stretch>
            <a:fillRect/>
          </a:stretch>
        </xdr:blipFill>
        <xdr:spPr>
          <a:xfrm>
            <a:off x="46354730" y="1097280"/>
            <a:ext cx="917986" cy="932330"/>
          </a:xfrm>
          <a:prstGeom prst="rect">
            <a:avLst/>
          </a:prstGeom>
        </xdr:spPr>
      </xdr:pic>
      <xdr:pic>
        <xdr:nvPicPr>
          <xdr:cNvPr id="2651" name="Pokemon_42_Droite">
            <a:extLst>
              <a:ext uri="{FF2B5EF4-FFF2-40B4-BE49-F238E27FC236}">
                <a16:creationId xmlns:a16="http://schemas.microsoft.com/office/drawing/2014/main" id="{00000000-0008-0000-0300-00005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5"/>
          <a:stretch>
            <a:fillRect/>
          </a:stretch>
        </xdr:blipFill>
        <xdr:spPr>
          <a:xfrm>
            <a:off x="47272715" y="1097280"/>
            <a:ext cx="917986" cy="932330"/>
          </a:xfrm>
          <a:prstGeom prst="rect">
            <a:avLst/>
          </a:prstGeom>
        </xdr:spPr>
      </xdr:pic>
      <xdr:pic>
        <xdr:nvPicPr>
          <xdr:cNvPr id="2652" name="Pokemon_43_Droite">
            <a:extLst>
              <a:ext uri="{FF2B5EF4-FFF2-40B4-BE49-F238E27FC236}">
                <a16:creationId xmlns:a16="http://schemas.microsoft.com/office/drawing/2014/main" id="{00000000-0008-0000-0300-00005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6"/>
          <a:stretch>
            <a:fillRect/>
          </a:stretch>
        </xdr:blipFill>
        <xdr:spPr>
          <a:xfrm>
            <a:off x="48190702" y="1097280"/>
            <a:ext cx="917986" cy="932330"/>
          </a:xfrm>
          <a:prstGeom prst="rect">
            <a:avLst/>
          </a:prstGeom>
        </xdr:spPr>
      </xdr:pic>
      <xdr:pic>
        <xdr:nvPicPr>
          <xdr:cNvPr id="2653" name="Pokemon_44_Droite">
            <a:extLst>
              <a:ext uri="{FF2B5EF4-FFF2-40B4-BE49-F238E27FC236}">
                <a16:creationId xmlns:a16="http://schemas.microsoft.com/office/drawing/2014/main" id="{00000000-0008-0000-0300-00005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7"/>
          <a:stretch>
            <a:fillRect/>
          </a:stretch>
        </xdr:blipFill>
        <xdr:spPr>
          <a:xfrm>
            <a:off x="49108692" y="1097280"/>
            <a:ext cx="917986" cy="932330"/>
          </a:xfrm>
          <a:prstGeom prst="rect">
            <a:avLst/>
          </a:prstGeom>
        </xdr:spPr>
      </xdr:pic>
      <xdr:pic>
        <xdr:nvPicPr>
          <xdr:cNvPr id="2654" name="Pokemon_45_Droite">
            <a:extLst>
              <a:ext uri="{FF2B5EF4-FFF2-40B4-BE49-F238E27FC236}">
                <a16:creationId xmlns:a16="http://schemas.microsoft.com/office/drawing/2014/main" id="{00000000-0008-0000-0300-00005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8"/>
          <a:stretch>
            <a:fillRect/>
          </a:stretch>
        </xdr:blipFill>
        <xdr:spPr>
          <a:xfrm>
            <a:off x="50026680" y="1097280"/>
            <a:ext cx="917986" cy="932330"/>
          </a:xfrm>
          <a:prstGeom prst="rect">
            <a:avLst/>
          </a:prstGeom>
        </xdr:spPr>
      </xdr:pic>
      <xdr:pic>
        <xdr:nvPicPr>
          <xdr:cNvPr id="2655" name="Pokemon_46_Droite">
            <a:extLst>
              <a:ext uri="{FF2B5EF4-FFF2-40B4-BE49-F238E27FC236}">
                <a16:creationId xmlns:a16="http://schemas.microsoft.com/office/drawing/2014/main" id="{00000000-0008-0000-0300-00005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9"/>
          <a:stretch>
            <a:fillRect/>
          </a:stretch>
        </xdr:blipFill>
        <xdr:spPr>
          <a:xfrm>
            <a:off x="50944667" y="1097280"/>
            <a:ext cx="917986" cy="932330"/>
          </a:xfrm>
          <a:prstGeom prst="rect">
            <a:avLst/>
          </a:prstGeom>
        </xdr:spPr>
      </xdr:pic>
      <xdr:pic>
        <xdr:nvPicPr>
          <xdr:cNvPr id="2656" name="Pokemon_47_Droite">
            <a:extLst>
              <a:ext uri="{FF2B5EF4-FFF2-40B4-BE49-F238E27FC236}">
                <a16:creationId xmlns:a16="http://schemas.microsoft.com/office/drawing/2014/main" id="{00000000-0008-0000-0300-00006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0"/>
          <a:stretch>
            <a:fillRect/>
          </a:stretch>
        </xdr:blipFill>
        <xdr:spPr>
          <a:xfrm>
            <a:off x="51862655" y="1097280"/>
            <a:ext cx="917986" cy="932330"/>
          </a:xfrm>
          <a:prstGeom prst="rect">
            <a:avLst/>
          </a:prstGeom>
        </xdr:spPr>
      </xdr:pic>
      <xdr:pic>
        <xdr:nvPicPr>
          <xdr:cNvPr id="2657" name="Pokemon_48_Droite">
            <a:extLst>
              <a:ext uri="{FF2B5EF4-FFF2-40B4-BE49-F238E27FC236}">
                <a16:creationId xmlns:a16="http://schemas.microsoft.com/office/drawing/2014/main" id="{00000000-0008-0000-0300-00006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1"/>
          <a:stretch>
            <a:fillRect/>
          </a:stretch>
        </xdr:blipFill>
        <xdr:spPr>
          <a:xfrm>
            <a:off x="52780642" y="1097280"/>
            <a:ext cx="917986" cy="932330"/>
          </a:xfrm>
          <a:prstGeom prst="rect">
            <a:avLst/>
          </a:prstGeom>
        </xdr:spPr>
      </xdr:pic>
      <xdr:pic>
        <xdr:nvPicPr>
          <xdr:cNvPr id="2658" name="Pokemon_49_Droite">
            <a:extLst>
              <a:ext uri="{FF2B5EF4-FFF2-40B4-BE49-F238E27FC236}">
                <a16:creationId xmlns:a16="http://schemas.microsoft.com/office/drawing/2014/main" id="{00000000-0008-0000-0300-00006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2"/>
          <a:stretch>
            <a:fillRect/>
          </a:stretch>
        </xdr:blipFill>
        <xdr:spPr>
          <a:xfrm>
            <a:off x="53698626" y="1097280"/>
            <a:ext cx="917986" cy="932330"/>
          </a:xfrm>
          <a:prstGeom prst="rect">
            <a:avLst/>
          </a:prstGeom>
        </xdr:spPr>
      </xdr:pic>
      <xdr:pic>
        <xdr:nvPicPr>
          <xdr:cNvPr id="2659" name="Pokemon_50_Droite">
            <a:extLst>
              <a:ext uri="{FF2B5EF4-FFF2-40B4-BE49-F238E27FC236}">
                <a16:creationId xmlns:a16="http://schemas.microsoft.com/office/drawing/2014/main" id="{00000000-0008-0000-0300-00006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3"/>
          <a:stretch>
            <a:fillRect/>
          </a:stretch>
        </xdr:blipFill>
        <xdr:spPr>
          <a:xfrm>
            <a:off x="54616610" y="1097280"/>
            <a:ext cx="917986" cy="932330"/>
          </a:xfrm>
          <a:prstGeom prst="rect">
            <a:avLst/>
          </a:prstGeom>
        </xdr:spPr>
      </xdr:pic>
      <xdr:pic>
        <xdr:nvPicPr>
          <xdr:cNvPr id="2660" name="Pokemon_51_Droite">
            <a:extLst>
              <a:ext uri="{FF2B5EF4-FFF2-40B4-BE49-F238E27FC236}">
                <a16:creationId xmlns:a16="http://schemas.microsoft.com/office/drawing/2014/main" id="{00000000-0008-0000-0300-00006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4"/>
          <a:stretch>
            <a:fillRect/>
          </a:stretch>
        </xdr:blipFill>
        <xdr:spPr>
          <a:xfrm>
            <a:off x="55534595" y="1097280"/>
            <a:ext cx="917986" cy="932330"/>
          </a:xfrm>
          <a:prstGeom prst="rect">
            <a:avLst/>
          </a:prstGeom>
        </xdr:spPr>
      </xdr:pic>
      <xdr:pic>
        <xdr:nvPicPr>
          <xdr:cNvPr id="2661" name="Pokemon_52_Droite">
            <a:extLst>
              <a:ext uri="{FF2B5EF4-FFF2-40B4-BE49-F238E27FC236}">
                <a16:creationId xmlns:a16="http://schemas.microsoft.com/office/drawing/2014/main" id="{00000000-0008-0000-0300-00006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5"/>
          <a:stretch>
            <a:fillRect/>
          </a:stretch>
        </xdr:blipFill>
        <xdr:spPr>
          <a:xfrm>
            <a:off x="56452579" y="1097280"/>
            <a:ext cx="917986" cy="932330"/>
          </a:xfrm>
          <a:prstGeom prst="rect">
            <a:avLst/>
          </a:prstGeom>
        </xdr:spPr>
      </xdr:pic>
      <xdr:pic>
        <xdr:nvPicPr>
          <xdr:cNvPr id="2662" name="Pokemon_53_Droite">
            <a:extLst>
              <a:ext uri="{FF2B5EF4-FFF2-40B4-BE49-F238E27FC236}">
                <a16:creationId xmlns:a16="http://schemas.microsoft.com/office/drawing/2014/main" id="{00000000-0008-0000-0300-00006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6"/>
          <a:stretch>
            <a:fillRect/>
          </a:stretch>
        </xdr:blipFill>
        <xdr:spPr>
          <a:xfrm>
            <a:off x="57370563" y="1097280"/>
            <a:ext cx="917986" cy="932330"/>
          </a:xfrm>
          <a:prstGeom prst="rect">
            <a:avLst/>
          </a:prstGeom>
        </xdr:spPr>
      </xdr:pic>
      <xdr:pic>
        <xdr:nvPicPr>
          <xdr:cNvPr id="2663" name="Pokemon_54_Droite">
            <a:extLst>
              <a:ext uri="{FF2B5EF4-FFF2-40B4-BE49-F238E27FC236}">
                <a16:creationId xmlns:a16="http://schemas.microsoft.com/office/drawing/2014/main" id="{00000000-0008-0000-0300-00006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7"/>
          <a:stretch>
            <a:fillRect/>
          </a:stretch>
        </xdr:blipFill>
        <xdr:spPr>
          <a:xfrm>
            <a:off x="58288548" y="1097280"/>
            <a:ext cx="917986" cy="932330"/>
          </a:xfrm>
          <a:prstGeom prst="rect">
            <a:avLst/>
          </a:prstGeom>
        </xdr:spPr>
      </xdr:pic>
      <xdr:pic>
        <xdr:nvPicPr>
          <xdr:cNvPr id="2664" name="Pokemon_55_Droite">
            <a:extLst>
              <a:ext uri="{FF2B5EF4-FFF2-40B4-BE49-F238E27FC236}">
                <a16:creationId xmlns:a16="http://schemas.microsoft.com/office/drawing/2014/main" id="{00000000-0008-0000-0300-00006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8"/>
          <a:stretch>
            <a:fillRect/>
          </a:stretch>
        </xdr:blipFill>
        <xdr:spPr>
          <a:xfrm>
            <a:off x="59206532" y="1097280"/>
            <a:ext cx="917986" cy="932330"/>
          </a:xfrm>
          <a:prstGeom prst="rect">
            <a:avLst/>
          </a:prstGeom>
        </xdr:spPr>
      </xdr:pic>
      <xdr:pic>
        <xdr:nvPicPr>
          <xdr:cNvPr id="2665" name="Pokemon_56_Droite">
            <a:extLst>
              <a:ext uri="{FF2B5EF4-FFF2-40B4-BE49-F238E27FC236}">
                <a16:creationId xmlns:a16="http://schemas.microsoft.com/office/drawing/2014/main" id="{00000000-0008-0000-0300-00006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9"/>
          <a:stretch>
            <a:fillRect/>
          </a:stretch>
        </xdr:blipFill>
        <xdr:spPr>
          <a:xfrm>
            <a:off x="60124516" y="1097280"/>
            <a:ext cx="917986" cy="932330"/>
          </a:xfrm>
          <a:prstGeom prst="rect">
            <a:avLst/>
          </a:prstGeom>
        </xdr:spPr>
      </xdr:pic>
      <xdr:pic>
        <xdr:nvPicPr>
          <xdr:cNvPr id="2666" name="Pokemon_57_Droite">
            <a:extLst>
              <a:ext uri="{FF2B5EF4-FFF2-40B4-BE49-F238E27FC236}">
                <a16:creationId xmlns:a16="http://schemas.microsoft.com/office/drawing/2014/main" id="{00000000-0008-0000-0300-00006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0"/>
          <a:stretch>
            <a:fillRect/>
          </a:stretch>
        </xdr:blipFill>
        <xdr:spPr>
          <a:xfrm>
            <a:off x="61042500" y="1097280"/>
            <a:ext cx="917986" cy="932330"/>
          </a:xfrm>
          <a:prstGeom prst="rect">
            <a:avLst/>
          </a:prstGeom>
        </xdr:spPr>
      </xdr:pic>
      <xdr:pic>
        <xdr:nvPicPr>
          <xdr:cNvPr id="2667" name="Pokemon_58_Droite">
            <a:extLst>
              <a:ext uri="{FF2B5EF4-FFF2-40B4-BE49-F238E27FC236}">
                <a16:creationId xmlns:a16="http://schemas.microsoft.com/office/drawing/2014/main" id="{00000000-0008-0000-0300-00006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1"/>
          <a:stretch>
            <a:fillRect/>
          </a:stretch>
        </xdr:blipFill>
        <xdr:spPr>
          <a:xfrm>
            <a:off x="61960485" y="1097280"/>
            <a:ext cx="917986" cy="932330"/>
          </a:xfrm>
          <a:prstGeom prst="rect">
            <a:avLst/>
          </a:prstGeom>
        </xdr:spPr>
      </xdr:pic>
      <xdr:pic>
        <xdr:nvPicPr>
          <xdr:cNvPr id="2668" name="Pokemon_59_Droite">
            <a:extLst>
              <a:ext uri="{FF2B5EF4-FFF2-40B4-BE49-F238E27FC236}">
                <a16:creationId xmlns:a16="http://schemas.microsoft.com/office/drawing/2014/main" id="{00000000-0008-0000-0300-00006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2"/>
          <a:stretch>
            <a:fillRect/>
          </a:stretch>
        </xdr:blipFill>
        <xdr:spPr>
          <a:xfrm>
            <a:off x="62878469" y="1097280"/>
            <a:ext cx="917986" cy="932330"/>
          </a:xfrm>
          <a:prstGeom prst="rect">
            <a:avLst/>
          </a:prstGeom>
        </xdr:spPr>
      </xdr:pic>
      <xdr:pic>
        <xdr:nvPicPr>
          <xdr:cNvPr id="2669" name="Pokemon_60_Droite">
            <a:extLst>
              <a:ext uri="{FF2B5EF4-FFF2-40B4-BE49-F238E27FC236}">
                <a16:creationId xmlns:a16="http://schemas.microsoft.com/office/drawing/2014/main" id="{00000000-0008-0000-0300-00006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3"/>
          <a:stretch>
            <a:fillRect/>
          </a:stretch>
        </xdr:blipFill>
        <xdr:spPr>
          <a:xfrm>
            <a:off x="63796453" y="1097280"/>
            <a:ext cx="917986" cy="932330"/>
          </a:xfrm>
          <a:prstGeom prst="rect">
            <a:avLst/>
          </a:prstGeom>
        </xdr:spPr>
      </xdr:pic>
      <xdr:pic>
        <xdr:nvPicPr>
          <xdr:cNvPr id="2670" name="Pokemon_61_Droite">
            <a:extLst>
              <a:ext uri="{FF2B5EF4-FFF2-40B4-BE49-F238E27FC236}">
                <a16:creationId xmlns:a16="http://schemas.microsoft.com/office/drawing/2014/main" id="{00000000-0008-0000-0300-00006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4"/>
          <a:stretch>
            <a:fillRect/>
          </a:stretch>
        </xdr:blipFill>
        <xdr:spPr>
          <a:xfrm>
            <a:off x="64714438" y="1097280"/>
            <a:ext cx="917986" cy="932330"/>
          </a:xfrm>
          <a:prstGeom prst="rect">
            <a:avLst/>
          </a:prstGeom>
        </xdr:spPr>
      </xdr:pic>
      <xdr:pic>
        <xdr:nvPicPr>
          <xdr:cNvPr id="2671" name="Pokemon_62_Droite">
            <a:extLst>
              <a:ext uri="{FF2B5EF4-FFF2-40B4-BE49-F238E27FC236}">
                <a16:creationId xmlns:a16="http://schemas.microsoft.com/office/drawing/2014/main" id="{00000000-0008-0000-0300-00006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5"/>
          <a:stretch>
            <a:fillRect/>
          </a:stretch>
        </xdr:blipFill>
        <xdr:spPr>
          <a:xfrm>
            <a:off x="65632422" y="1097280"/>
            <a:ext cx="917986" cy="932330"/>
          </a:xfrm>
          <a:prstGeom prst="rect">
            <a:avLst/>
          </a:prstGeom>
        </xdr:spPr>
      </xdr:pic>
      <xdr:pic>
        <xdr:nvPicPr>
          <xdr:cNvPr id="2672" name="Pokemon_63_Droite">
            <a:extLst>
              <a:ext uri="{FF2B5EF4-FFF2-40B4-BE49-F238E27FC236}">
                <a16:creationId xmlns:a16="http://schemas.microsoft.com/office/drawing/2014/main" id="{00000000-0008-0000-0300-00007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6"/>
          <a:stretch>
            <a:fillRect/>
          </a:stretch>
        </xdr:blipFill>
        <xdr:spPr>
          <a:xfrm>
            <a:off x="66550406" y="1097280"/>
            <a:ext cx="917986" cy="932330"/>
          </a:xfrm>
          <a:prstGeom prst="rect">
            <a:avLst/>
          </a:prstGeom>
        </xdr:spPr>
      </xdr:pic>
      <xdr:pic>
        <xdr:nvPicPr>
          <xdr:cNvPr id="2673" name="Pokemon_64_Droite">
            <a:extLst>
              <a:ext uri="{FF2B5EF4-FFF2-40B4-BE49-F238E27FC236}">
                <a16:creationId xmlns:a16="http://schemas.microsoft.com/office/drawing/2014/main" id="{00000000-0008-0000-0300-00007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7"/>
          <a:stretch>
            <a:fillRect/>
          </a:stretch>
        </xdr:blipFill>
        <xdr:spPr>
          <a:xfrm>
            <a:off x="67468390" y="1097280"/>
            <a:ext cx="917986" cy="932330"/>
          </a:xfrm>
          <a:prstGeom prst="rect">
            <a:avLst/>
          </a:prstGeom>
        </xdr:spPr>
      </xdr:pic>
      <xdr:pic>
        <xdr:nvPicPr>
          <xdr:cNvPr id="2674" name="Pokemon_65_Droite">
            <a:extLst>
              <a:ext uri="{FF2B5EF4-FFF2-40B4-BE49-F238E27FC236}">
                <a16:creationId xmlns:a16="http://schemas.microsoft.com/office/drawing/2014/main" id="{00000000-0008-0000-0300-00007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8"/>
          <a:stretch>
            <a:fillRect/>
          </a:stretch>
        </xdr:blipFill>
        <xdr:spPr>
          <a:xfrm>
            <a:off x="68386375" y="1097280"/>
            <a:ext cx="917986" cy="932330"/>
          </a:xfrm>
          <a:prstGeom prst="rect">
            <a:avLst/>
          </a:prstGeom>
        </xdr:spPr>
      </xdr:pic>
      <xdr:pic>
        <xdr:nvPicPr>
          <xdr:cNvPr id="2675" name="Pokemon_66_Droite">
            <a:extLst>
              <a:ext uri="{FF2B5EF4-FFF2-40B4-BE49-F238E27FC236}">
                <a16:creationId xmlns:a16="http://schemas.microsoft.com/office/drawing/2014/main" id="{00000000-0008-0000-0300-00007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9"/>
          <a:stretch>
            <a:fillRect/>
          </a:stretch>
        </xdr:blipFill>
        <xdr:spPr>
          <a:xfrm>
            <a:off x="69304359" y="1097280"/>
            <a:ext cx="917986" cy="932330"/>
          </a:xfrm>
          <a:prstGeom prst="rect">
            <a:avLst/>
          </a:prstGeom>
        </xdr:spPr>
      </xdr:pic>
      <xdr:pic>
        <xdr:nvPicPr>
          <xdr:cNvPr id="2676" name="Pokemon_67_Droite">
            <a:extLst>
              <a:ext uri="{FF2B5EF4-FFF2-40B4-BE49-F238E27FC236}">
                <a16:creationId xmlns:a16="http://schemas.microsoft.com/office/drawing/2014/main" id="{00000000-0008-0000-0300-00007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0"/>
          <a:stretch>
            <a:fillRect/>
          </a:stretch>
        </xdr:blipFill>
        <xdr:spPr>
          <a:xfrm>
            <a:off x="70222343" y="1097280"/>
            <a:ext cx="917986" cy="932330"/>
          </a:xfrm>
          <a:prstGeom prst="rect">
            <a:avLst/>
          </a:prstGeom>
        </xdr:spPr>
      </xdr:pic>
      <xdr:pic>
        <xdr:nvPicPr>
          <xdr:cNvPr id="2677" name="Pokemon_68_Droite">
            <a:extLst>
              <a:ext uri="{FF2B5EF4-FFF2-40B4-BE49-F238E27FC236}">
                <a16:creationId xmlns:a16="http://schemas.microsoft.com/office/drawing/2014/main" id="{00000000-0008-0000-0300-00007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1"/>
          <a:stretch>
            <a:fillRect/>
          </a:stretch>
        </xdr:blipFill>
        <xdr:spPr>
          <a:xfrm>
            <a:off x="71140327" y="1097280"/>
            <a:ext cx="917986" cy="932330"/>
          </a:xfrm>
          <a:prstGeom prst="rect">
            <a:avLst/>
          </a:prstGeom>
        </xdr:spPr>
      </xdr:pic>
      <xdr:pic>
        <xdr:nvPicPr>
          <xdr:cNvPr id="2678" name="Pokemon_69_Droite">
            <a:extLst>
              <a:ext uri="{FF2B5EF4-FFF2-40B4-BE49-F238E27FC236}">
                <a16:creationId xmlns:a16="http://schemas.microsoft.com/office/drawing/2014/main" id="{00000000-0008-0000-0300-00007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2"/>
          <a:stretch>
            <a:fillRect/>
          </a:stretch>
        </xdr:blipFill>
        <xdr:spPr>
          <a:xfrm>
            <a:off x="72058312" y="1097280"/>
            <a:ext cx="917986" cy="932330"/>
          </a:xfrm>
          <a:prstGeom prst="rect">
            <a:avLst/>
          </a:prstGeom>
        </xdr:spPr>
      </xdr:pic>
      <xdr:pic>
        <xdr:nvPicPr>
          <xdr:cNvPr id="2679" name="Pokemon_70_Droite">
            <a:extLst>
              <a:ext uri="{FF2B5EF4-FFF2-40B4-BE49-F238E27FC236}">
                <a16:creationId xmlns:a16="http://schemas.microsoft.com/office/drawing/2014/main" id="{00000000-0008-0000-0300-00007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3"/>
          <a:stretch>
            <a:fillRect/>
          </a:stretch>
        </xdr:blipFill>
        <xdr:spPr>
          <a:xfrm>
            <a:off x="72976296" y="1097280"/>
            <a:ext cx="917986" cy="932330"/>
          </a:xfrm>
          <a:prstGeom prst="rect">
            <a:avLst/>
          </a:prstGeom>
        </xdr:spPr>
      </xdr:pic>
      <xdr:pic>
        <xdr:nvPicPr>
          <xdr:cNvPr id="2680" name="Pokemon_71_Droite">
            <a:extLst>
              <a:ext uri="{FF2B5EF4-FFF2-40B4-BE49-F238E27FC236}">
                <a16:creationId xmlns:a16="http://schemas.microsoft.com/office/drawing/2014/main" id="{00000000-0008-0000-0300-00007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4"/>
          <a:stretch>
            <a:fillRect/>
          </a:stretch>
        </xdr:blipFill>
        <xdr:spPr>
          <a:xfrm>
            <a:off x="73894280" y="1097280"/>
            <a:ext cx="917986" cy="932330"/>
          </a:xfrm>
          <a:prstGeom prst="rect">
            <a:avLst/>
          </a:prstGeom>
        </xdr:spPr>
      </xdr:pic>
      <xdr:pic>
        <xdr:nvPicPr>
          <xdr:cNvPr id="2681" name="Pokemon_72_Droite">
            <a:extLst>
              <a:ext uri="{FF2B5EF4-FFF2-40B4-BE49-F238E27FC236}">
                <a16:creationId xmlns:a16="http://schemas.microsoft.com/office/drawing/2014/main" id="{00000000-0008-0000-0300-00007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5"/>
          <a:stretch>
            <a:fillRect/>
          </a:stretch>
        </xdr:blipFill>
        <xdr:spPr>
          <a:xfrm>
            <a:off x="74812265" y="1097280"/>
            <a:ext cx="917986" cy="932330"/>
          </a:xfrm>
          <a:prstGeom prst="rect">
            <a:avLst/>
          </a:prstGeom>
        </xdr:spPr>
      </xdr:pic>
      <xdr:pic>
        <xdr:nvPicPr>
          <xdr:cNvPr id="2682" name="Pokemon_73_Droite">
            <a:extLst>
              <a:ext uri="{FF2B5EF4-FFF2-40B4-BE49-F238E27FC236}">
                <a16:creationId xmlns:a16="http://schemas.microsoft.com/office/drawing/2014/main" id="{00000000-0008-0000-0300-00007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6"/>
          <a:stretch>
            <a:fillRect/>
          </a:stretch>
        </xdr:blipFill>
        <xdr:spPr>
          <a:xfrm>
            <a:off x="75730249" y="1097280"/>
            <a:ext cx="917986" cy="932330"/>
          </a:xfrm>
          <a:prstGeom prst="rect">
            <a:avLst/>
          </a:prstGeom>
        </xdr:spPr>
      </xdr:pic>
      <xdr:pic>
        <xdr:nvPicPr>
          <xdr:cNvPr id="2683" name="Pokemon_74_Droite">
            <a:extLst>
              <a:ext uri="{FF2B5EF4-FFF2-40B4-BE49-F238E27FC236}">
                <a16:creationId xmlns:a16="http://schemas.microsoft.com/office/drawing/2014/main" id="{00000000-0008-0000-0300-00007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7"/>
          <a:stretch>
            <a:fillRect/>
          </a:stretch>
        </xdr:blipFill>
        <xdr:spPr>
          <a:xfrm>
            <a:off x="76648233" y="1097280"/>
            <a:ext cx="917986" cy="932330"/>
          </a:xfrm>
          <a:prstGeom prst="rect">
            <a:avLst/>
          </a:prstGeom>
        </xdr:spPr>
      </xdr:pic>
      <xdr:pic>
        <xdr:nvPicPr>
          <xdr:cNvPr id="2684" name="Pokemon_75_Droite">
            <a:extLst>
              <a:ext uri="{FF2B5EF4-FFF2-40B4-BE49-F238E27FC236}">
                <a16:creationId xmlns:a16="http://schemas.microsoft.com/office/drawing/2014/main" id="{00000000-0008-0000-0300-00007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8"/>
          <a:stretch>
            <a:fillRect/>
          </a:stretch>
        </xdr:blipFill>
        <xdr:spPr>
          <a:xfrm>
            <a:off x="77566217" y="1097280"/>
            <a:ext cx="917986" cy="932330"/>
          </a:xfrm>
          <a:prstGeom prst="rect">
            <a:avLst/>
          </a:prstGeom>
        </xdr:spPr>
      </xdr:pic>
      <xdr:pic>
        <xdr:nvPicPr>
          <xdr:cNvPr id="2685" name="Pokemon_76_Droite">
            <a:extLst>
              <a:ext uri="{FF2B5EF4-FFF2-40B4-BE49-F238E27FC236}">
                <a16:creationId xmlns:a16="http://schemas.microsoft.com/office/drawing/2014/main" id="{00000000-0008-0000-0300-00007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9"/>
          <a:stretch>
            <a:fillRect/>
          </a:stretch>
        </xdr:blipFill>
        <xdr:spPr>
          <a:xfrm>
            <a:off x="78484202" y="1097280"/>
            <a:ext cx="917986" cy="932330"/>
          </a:xfrm>
          <a:prstGeom prst="rect">
            <a:avLst/>
          </a:prstGeom>
        </xdr:spPr>
      </xdr:pic>
      <xdr:pic>
        <xdr:nvPicPr>
          <xdr:cNvPr id="2686" name="Pokemon_77_Droite">
            <a:extLst>
              <a:ext uri="{FF2B5EF4-FFF2-40B4-BE49-F238E27FC236}">
                <a16:creationId xmlns:a16="http://schemas.microsoft.com/office/drawing/2014/main" id="{00000000-0008-0000-0300-00007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0"/>
          <a:stretch>
            <a:fillRect/>
          </a:stretch>
        </xdr:blipFill>
        <xdr:spPr>
          <a:xfrm>
            <a:off x="79402186" y="1097280"/>
            <a:ext cx="917986" cy="932330"/>
          </a:xfrm>
          <a:prstGeom prst="rect">
            <a:avLst/>
          </a:prstGeom>
        </xdr:spPr>
      </xdr:pic>
      <xdr:pic>
        <xdr:nvPicPr>
          <xdr:cNvPr id="2687" name="Pokemon_78_Droite">
            <a:extLst>
              <a:ext uri="{FF2B5EF4-FFF2-40B4-BE49-F238E27FC236}">
                <a16:creationId xmlns:a16="http://schemas.microsoft.com/office/drawing/2014/main" id="{00000000-0008-0000-0300-00007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1"/>
          <a:stretch>
            <a:fillRect/>
          </a:stretch>
        </xdr:blipFill>
        <xdr:spPr>
          <a:xfrm>
            <a:off x="80320170" y="1097280"/>
            <a:ext cx="917986" cy="932330"/>
          </a:xfrm>
          <a:prstGeom prst="rect">
            <a:avLst/>
          </a:prstGeom>
        </xdr:spPr>
      </xdr:pic>
      <xdr:pic>
        <xdr:nvPicPr>
          <xdr:cNvPr id="2688" name="Pokemon_79_Droite">
            <a:extLst>
              <a:ext uri="{FF2B5EF4-FFF2-40B4-BE49-F238E27FC236}">
                <a16:creationId xmlns:a16="http://schemas.microsoft.com/office/drawing/2014/main" id="{00000000-0008-0000-0300-00008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2"/>
          <a:stretch>
            <a:fillRect/>
          </a:stretch>
        </xdr:blipFill>
        <xdr:spPr>
          <a:xfrm>
            <a:off x="81238154" y="1097280"/>
            <a:ext cx="917986" cy="932330"/>
          </a:xfrm>
          <a:prstGeom prst="rect">
            <a:avLst/>
          </a:prstGeom>
        </xdr:spPr>
      </xdr:pic>
      <xdr:pic>
        <xdr:nvPicPr>
          <xdr:cNvPr id="2689" name="Pokemon_80_Droite">
            <a:extLst>
              <a:ext uri="{FF2B5EF4-FFF2-40B4-BE49-F238E27FC236}">
                <a16:creationId xmlns:a16="http://schemas.microsoft.com/office/drawing/2014/main" id="{00000000-0008-0000-0300-00008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3"/>
          <a:stretch>
            <a:fillRect/>
          </a:stretch>
        </xdr:blipFill>
        <xdr:spPr>
          <a:xfrm>
            <a:off x="82156139" y="1097280"/>
            <a:ext cx="917986" cy="932330"/>
          </a:xfrm>
          <a:prstGeom prst="rect">
            <a:avLst/>
          </a:prstGeom>
        </xdr:spPr>
      </xdr:pic>
      <xdr:pic>
        <xdr:nvPicPr>
          <xdr:cNvPr id="2690" name="Pokemon_81_Droite">
            <a:extLst>
              <a:ext uri="{FF2B5EF4-FFF2-40B4-BE49-F238E27FC236}">
                <a16:creationId xmlns:a16="http://schemas.microsoft.com/office/drawing/2014/main" id="{00000000-0008-0000-0300-00008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4"/>
          <a:stretch>
            <a:fillRect/>
          </a:stretch>
        </xdr:blipFill>
        <xdr:spPr>
          <a:xfrm>
            <a:off x="83074123" y="1097280"/>
            <a:ext cx="917986" cy="932330"/>
          </a:xfrm>
          <a:prstGeom prst="rect">
            <a:avLst/>
          </a:prstGeom>
        </xdr:spPr>
      </xdr:pic>
      <xdr:pic>
        <xdr:nvPicPr>
          <xdr:cNvPr id="2691" name="Pokemon_82_Droite">
            <a:extLst>
              <a:ext uri="{FF2B5EF4-FFF2-40B4-BE49-F238E27FC236}">
                <a16:creationId xmlns:a16="http://schemas.microsoft.com/office/drawing/2014/main" id="{00000000-0008-0000-0300-00008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5"/>
          <a:stretch>
            <a:fillRect/>
          </a:stretch>
        </xdr:blipFill>
        <xdr:spPr>
          <a:xfrm>
            <a:off x="83992107" y="1097280"/>
            <a:ext cx="917986" cy="932330"/>
          </a:xfrm>
          <a:prstGeom prst="rect">
            <a:avLst/>
          </a:prstGeom>
        </xdr:spPr>
      </xdr:pic>
      <xdr:pic>
        <xdr:nvPicPr>
          <xdr:cNvPr id="2692" name="Pokemon_83_Droite">
            <a:extLst>
              <a:ext uri="{FF2B5EF4-FFF2-40B4-BE49-F238E27FC236}">
                <a16:creationId xmlns:a16="http://schemas.microsoft.com/office/drawing/2014/main" id="{00000000-0008-0000-0300-00008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6"/>
          <a:stretch>
            <a:fillRect/>
          </a:stretch>
        </xdr:blipFill>
        <xdr:spPr>
          <a:xfrm>
            <a:off x="84910085" y="1097280"/>
            <a:ext cx="917986" cy="932330"/>
          </a:xfrm>
          <a:prstGeom prst="rect">
            <a:avLst/>
          </a:prstGeom>
        </xdr:spPr>
      </xdr:pic>
      <xdr:pic>
        <xdr:nvPicPr>
          <xdr:cNvPr id="2693" name="Pokemon_84_Droite">
            <a:extLst>
              <a:ext uri="{FF2B5EF4-FFF2-40B4-BE49-F238E27FC236}">
                <a16:creationId xmlns:a16="http://schemas.microsoft.com/office/drawing/2014/main" id="{00000000-0008-0000-0300-00008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7"/>
          <a:stretch>
            <a:fillRect/>
          </a:stretch>
        </xdr:blipFill>
        <xdr:spPr>
          <a:xfrm>
            <a:off x="85828070" y="1097280"/>
            <a:ext cx="917986" cy="932330"/>
          </a:xfrm>
          <a:prstGeom prst="rect">
            <a:avLst/>
          </a:prstGeom>
        </xdr:spPr>
      </xdr:pic>
      <xdr:pic>
        <xdr:nvPicPr>
          <xdr:cNvPr id="2694" name="Pokemon_85_Droite">
            <a:extLst>
              <a:ext uri="{FF2B5EF4-FFF2-40B4-BE49-F238E27FC236}">
                <a16:creationId xmlns:a16="http://schemas.microsoft.com/office/drawing/2014/main" id="{00000000-0008-0000-0300-00008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8"/>
          <a:stretch>
            <a:fillRect/>
          </a:stretch>
        </xdr:blipFill>
        <xdr:spPr>
          <a:xfrm>
            <a:off x="86746054" y="1097280"/>
            <a:ext cx="917986" cy="932330"/>
          </a:xfrm>
          <a:prstGeom prst="rect">
            <a:avLst/>
          </a:prstGeom>
        </xdr:spPr>
      </xdr:pic>
      <xdr:pic>
        <xdr:nvPicPr>
          <xdr:cNvPr id="2695" name="Pokemon_86_Droite">
            <a:extLst>
              <a:ext uri="{FF2B5EF4-FFF2-40B4-BE49-F238E27FC236}">
                <a16:creationId xmlns:a16="http://schemas.microsoft.com/office/drawing/2014/main" id="{00000000-0008-0000-0300-00008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9"/>
          <a:stretch>
            <a:fillRect/>
          </a:stretch>
        </xdr:blipFill>
        <xdr:spPr>
          <a:xfrm>
            <a:off x="87664038" y="1097280"/>
            <a:ext cx="917986" cy="932330"/>
          </a:xfrm>
          <a:prstGeom prst="rect">
            <a:avLst/>
          </a:prstGeom>
        </xdr:spPr>
      </xdr:pic>
      <xdr:pic>
        <xdr:nvPicPr>
          <xdr:cNvPr id="2696" name="Pokemon_87_Droite">
            <a:extLst>
              <a:ext uri="{FF2B5EF4-FFF2-40B4-BE49-F238E27FC236}">
                <a16:creationId xmlns:a16="http://schemas.microsoft.com/office/drawing/2014/main" id="{00000000-0008-0000-0300-00008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0"/>
          <a:stretch>
            <a:fillRect/>
          </a:stretch>
        </xdr:blipFill>
        <xdr:spPr>
          <a:xfrm>
            <a:off x="88582023" y="1097280"/>
            <a:ext cx="917986" cy="932330"/>
          </a:xfrm>
          <a:prstGeom prst="rect">
            <a:avLst/>
          </a:prstGeom>
        </xdr:spPr>
      </xdr:pic>
      <xdr:pic>
        <xdr:nvPicPr>
          <xdr:cNvPr id="2697" name="Pokemon_88_Droite">
            <a:extLst>
              <a:ext uri="{FF2B5EF4-FFF2-40B4-BE49-F238E27FC236}">
                <a16:creationId xmlns:a16="http://schemas.microsoft.com/office/drawing/2014/main" id="{00000000-0008-0000-0300-00008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1"/>
          <a:stretch>
            <a:fillRect/>
          </a:stretch>
        </xdr:blipFill>
        <xdr:spPr>
          <a:xfrm>
            <a:off x="89500007" y="1097280"/>
            <a:ext cx="917986" cy="932330"/>
          </a:xfrm>
          <a:prstGeom prst="rect">
            <a:avLst/>
          </a:prstGeom>
        </xdr:spPr>
      </xdr:pic>
      <xdr:pic>
        <xdr:nvPicPr>
          <xdr:cNvPr id="2698" name="Pokemon_89_Droite">
            <a:extLst>
              <a:ext uri="{FF2B5EF4-FFF2-40B4-BE49-F238E27FC236}">
                <a16:creationId xmlns:a16="http://schemas.microsoft.com/office/drawing/2014/main" id="{00000000-0008-0000-0300-00008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2"/>
          <a:stretch>
            <a:fillRect/>
          </a:stretch>
        </xdr:blipFill>
        <xdr:spPr>
          <a:xfrm>
            <a:off x="90417991" y="1097280"/>
            <a:ext cx="917986" cy="932330"/>
          </a:xfrm>
          <a:prstGeom prst="rect">
            <a:avLst/>
          </a:prstGeom>
        </xdr:spPr>
      </xdr:pic>
      <xdr:pic>
        <xdr:nvPicPr>
          <xdr:cNvPr id="2699" name="Pokemon_90_Droite">
            <a:extLst>
              <a:ext uri="{FF2B5EF4-FFF2-40B4-BE49-F238E27FC236}">
                <a16:creationId xmlns:a16="http://schemas.microsoft.com/office/drawing/2014/main" id="{00000000-0008-0000-0300-00008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3"/>
          <a:stretch>
            <a:fillRect/>
          </a:stretch>
        </xdr:blipFill>
        <xdr:spPr>
          <a:xfrm>
            <a:off x="91335975" y="1097280"/>
            <a:ext cx="917986" cy="932330"/>
          </a:xfrm>
          <a:prstGeom prst="rect">
            <a:avLst/>
          </a:prstGeom>
        </xdr:spPr>
      </xdr:pic>
      <xdr:pic>
        <xdr:nvPicPr>
          <xdr:cNvPr id="2700" name="Pokemon_91_Droite">
            <a:extLst>
              <a:ext uri="{FF2B5EF4-FFF2-40B4-BE49-F238E27FC236}">
                <a16:creationId xmlns:a16="http://schemas.microsoft.com/office/drawing/2014/main" id="{00000000-0008-0000-0300-00008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4"/>
          <a:stretch>
            <a:fillRect/>
          </a:stretch>
        </xdr:blipFill>
        <xdr:spPr>
          <a:xfrm>
            <a:off x="92253960" y="1097280"/>
            <a:ext cx="917986" cy="932330"/>
          </a:xfrm>
          <a:prstGeom prst="rect">
            <a:avLst/>
          </a:prstGeom>
        </xdr:spPr>
      </xdr:pic>
      <xdr:pic>
        <xdr:nvPicPr>
          <xdr:cNvPr id="2701" name="Pokemon_92_Droite">
            <a:extLst>
              <a:ext uri="{FF2B5EF4-FFF2-40B4-BE49-F238E27FC236}">
                <a16:creationId xmlns:a16="http://schemas.microsoft.com/office/drawing/2014/main" id="{00000000-0008-0000-0300-00008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5"/>
          <a:stretch>
            <a:fillRect/>
          </a:stretch>
        </xdr:blipFill>
        <xdr:spPr>
          <a:xfrm>
            <a:off x="93171944" y="1097280"/>
            <a:ext cx="917986" cy="932330"/>
          </a:xfrm>
          <a:prstGeom prst="rect">
            <a:avLst/>
          </a:prstGeom>
        </xdr:spPr>
      </xdr:pic>
      <xdr:pic>
        <xdr:nvPicPr>
          <xdr:cNvPr id="2702" name="Pokemon_93_Droite">
            <a:extLst>
              <a:ext uri="{FF2B5EF4-FFF2-40B4-BE49-F238E27FC236}">
                <a16:creationId xmlns:a16="http://schemas.microsoft.com/office/drawing/2014/main" id="{00000000-0008-0000-0300-00008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6"/>
          <a:stretch>
            <a:fillRect/>
          </a:stretch>
        </xdr:blipFill>
        <xdr:spPr>
          <a:xfrm>
            <a:off x="94089928" y="1097280"/>
            <a:ext cx="917986" cy="932330"/>
          </a:xfrm>
          <a:prstGeom prst="rect">
            <a:avLst/>
          </a:prstGeom>
        </xdr:spPr>
      </xdr:pic>
      <xdr:pic>
        <xdr:nvPicPr>
          <xdr:cNvPr id="2703" name="Pokemon_94_Droite">
            <a:extLst>
              <a:ext uri="{FF2B5EF4-FFF2-40B4-BE49-F238E27FC236}">
                <a16:creationId xmlns:a16="http://schemas.microsoft.com/office/drawing/2014/main" id="{00000000-0008-0000-0300-00008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7"/>
          <a:stretch>
            <a:fillRect/>
          </a:stretch>
        </xdr:blipFill>
        <xdr:spPr>
          <a:xfrm>
            <a:off x="95007912" y="1097280"/>
            <a:ext cx="917986" cy="932330"/>
          </a:xfrm>
          <a:prstGeom prst="rect">
            <a:avLst/>
          </a:prstGeom>
        </xdr:spPr>
      </xdr:pic>
      <xdr:pic>
        <xdr:nvPicPr>
          <xdr:cNvPr id="2704" name="Pokemon_95_Droite">
            <a:extLst>
              <a:ext uri="{FF2B5EF4-FFF2-40B4-BE49-F238E27FC236}">
                <a16:creationId xmlns:a16="http://schemas.microsoft.com/office/drawing/2014/main" id="{00000000-0008-0000-0300-00009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8"/>
          <a:stretch>
            <a:fillRect/>
          </a:stretch>
        </xdr:blipFill>
        <xdr:spPr>
          <a:xfrm>
            <a:off x="95925897" y="1097280"/>
            <a:ext cx="917986" cy="932330"/>
          </a:xfrm>
          <a:prstGeom prst="rect">
            <a:avLst/>
          </a:prstGeom>
        </xdr:spPr>
      </xdr:pic>
      <xdr:pic>
        <xdr:nvPicPr>
          <xdr:cNvPr id="2705" name="Pokemon_96_Droite">
            <a:extLst>
              <a:ext uri="{FF2B5EF4-FFF2-40B4-BE49-F238E27FC236}">
                <a16:creationId xmlns:a16="http://schemas.microsoft.com/office/drawing/2014/main" id="{00000000-0008-0000-0300-00009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9"/>
          <a:stretch>
            <a:fillRect/>
          </a:stretch>
        </xdr:blipFill>
        <xdr:spPr>
          <a:xfrm>
            <a:off x="96843881" y="1097280"/>
            <a:ext cx="917986" cy="932330"/>
          </a:xfrm>
          <a:prstGeom prst="rect">
            <a:avLst/>
          </a:prstGeom>
        </xdr:spPr>
      </xdr:pic>
      <xdr:pic>
        <xdr:nvPicPr>
          <xdr:cNvPr id="2706" name="Pokemon_97_Droite">
            <a:extLst>
              <a:ext uri="{FF2B5EF4-FFF2-40B4-BE49-F238E27FC236}">
                <a16:creationId xmlns:a16="http://schemas.microsoft.com/office/drawing/2014/main" id="{00000000-0008-0000-0300-00009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0"/>
          <a:stretch>
            <a:fillRect/>
          </a:stretch>
        </xdr:blipFill>
        <xdr:spPr>
          <a:xfrm>
            <a:off x="97761865" y="1097280"/>
            <a:ext cx="917986" cy="932330"/>
          </a:xfrm>
          <a:prstGeom prst="rect">
            <a:avLst/>
          </a:prstGeom>
        </xdr:spPr>
      </xdr:pic>
      <xdr:pic>
        <xdr:nvPicPr>
          <xdr:cNvPr id="2707" name="Pokemon_98_Droite">
            <a:extLst>
              <a:ext uri="{FF2B5EF4-FFF2-40B4-BE49-F238E27FC236}">
                <a16:creationId xmlns:a16="http://schemas.microsoft.com/office/drawing/2014/main" id="{00000000-0008-0000-0300-00009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1"/>
          <a:stretch>
            <a:fillRect/>
          </a:stretch>
        </xdr:blipFill>
        <xdr:spPr>
          <a:xfrm>
            <a:off x="98679850" y="1097280"/>
            <a:ext cx="917986" cy="932330"/>
          </a:xfrm>
          <a:prstGeom prst="rect">
            <a:avLst/>
          </a:prstGeom>
        </xdr:spPr>
      </xdr:pic>
      <xdr:pic>
        <xdr:nvPicPr>
          <xdr:cNvPr id="2708" name="Pokemon_99_Droite">
            <a:extLst>
              <a:ext uri="{FF2B5EF4-FFF2-40B4-BE49-F238E27FC236}">
                <a16:creationId xmlns:a16="http://schemas.microsoft.com/office/drawing/2014/main" id="{00000000-0008-0000-0300-00009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2"/>
          <a:stretch>
            <a:fillRect/>
          </a:stretch>
        </xdr:blipFill>
        <xdr:spPr>
          <a:xfrm>
            <a:off x="99597834" y="1097280"/>
            <a:ext cx="917986" cy="932330"/>
          </a:xfrm>
          <a:prstGeom prst="rect">
            <a:avLst/>
          </a:prstGeom>
        </xdr:spPr>
      </xdr:pic>
      <xdr:pic>
        <xdr:nvPicPr>
          <xdr:cNvPr id="2709" name="Pokemon_100_Droite">
            <a:extLst>
              <a:ext uri="{FF2B5EF4-FFF2-40B4-BE49-F238E27FC236}">
                <a16:creationId xmlns:a16="http://schemas.microsoft.com/office/drawing/2014/main" id="{00000000-0008-0000-0300-00009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3"/>
          <a:stretch>
            <a:fillRect/>
          </a:stretch>
        </xdr:blipFill>
        <xdr:spPr>
          <a:xfrm>
            <a:off x="100515818" y="1097280"/>
            <a:ext cx="917986" cy="932330"/>
          </a:xfrm>
          <a:prstGeom prst="rect">
            <a:avLst/>
          </a:prstGeom>
        </xdr:spPr>
      </xdr:pic>
      <xdr:pic>
        <xdr:nvPicPr>
          <xdr:cNvPr id="2710" name="Pokemon_101_Droite">
            <a:extLst>
              <a:ext uri="{FF2B5EF4-FFF2-40B4-BE49-F238E27FC236}">
                <a16:creationId xmlns:a16="http://schemas.microsoft.com/office/drawing/2014/main" id="{00000000-0008-0000-0300-00009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4"/>
          <a:stretch>
            <a:fillRect/>
          </a:stretch>
        </xdr:blipFill>
        <xdr:spPr>
          <a:xfrm>
            <a:off x="101433802" y="1097280"/>
            <a:ext cx="917986" cy="932330"/>
          </a:xfrm>
          <a:prstGeom prst="rect">
            <a:avLst/>
          </a:prstGeom>
        </xdr:spPr>
      </xdr:pic>
      <xdr:pic>
        <xdr:nvPicPr>
          <xdr:cNvPr id="2711" name="Pokemon_102_Droite">
            <a:extLst>
              <a:ext uri="{FF2B5EF4-FFF2-40B4-BE49-F238E27FC236}">
                <a16:creationId xmlns:a16="http://schemas.microsoft.com/office/drawing/2014/main" id="{00000000-0008-0000-0300-00009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5"/>
          <a:stretch>
            <a:fillRect/>
          </a:stretch>
        </xdr:blipFill>
        <xdr:spPr>
          <a:xfrm>
            <a:off x="102351787" y="1097280"/>
            <a:ext cx="917986" cy="932330"/>
          </a:xfrm>
          <a:prstGeom prst="rect">
            <a:avLst/>
          </a:prstGeom>
        </xdr:spPr>
      </xdr:pic>
      <xdr:pic>
        <xdr:nvPicPr>
          <xdr:cNvPr id="2712" name="Pokemon_103_Droite">
            <a:extLst>
              <a:ext uri="{FF2B5EF4-FFF2-40B4-BE49-F238E27FC236}">
                <a16:creationId xmlns:a16="http://schemas.microsoft.com/office/drawing/2014/main" id="{00000000-0008-0000-0300-00009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6"/>
          <a:stretch>
            <a:fillRect/>
          </a:stretch>
        </xdr:blipFill>
        <xdr:spPr>
          <a:xfrm>
            <a:off x="103269771" y="1097280"/>
            <a:ext cx="917986" cy="932330"/>
          </a:xfrm>
          <a:prstGeom prst="rect">
            <a:avLst/>
          </a:prstGeom>
        </xdr:spPr>
      </xdr:pic>
      <xdr:pic>
        <xdr:nvPicPr>
          <xdr:cNvPr id="2713" name="Pokemon_104_Droite">
            <a:extLst>
              <a:ext uri="{FF2B5EF4-FFF2-40B4-BE49-F238E27FC236}">
                <a16:creationId xmlns:a16="http://schemas.microsoft.com/office/drawing/2014/main" id="{00000000-0008-0000-0300-00009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7"/>
          <a:stretch>
            <a:fillRect/>
          </a:stretch>
        </xdr:blipFill>
        <xdr:spPr>
          <a:xfrm>
            <a:off x="104187761" y="1097280"/>
            <a:ext cx="917986" cy="932330"/>
          </a:xfrm>
          <a:prstGeom prst="rect">
            <a:avLst/>
          </a:prstGeom>
        </xdr:spPr>
      </xdr:pic>
      <xdr:pic>
        <xdr:nvPicPr>
          <xdr:cNvPr id="2714" name="Pokemon_105_Droite">
            <a:extLst>
              <a:ext uri="{FF2B5EF4-FFF2-40B4-BE49-F238E27FC236}">
                <a16:creationId xmlns:a16="http://schemas.microsoft.com/office/drawing/2014/main" id="{00000000-0008-0000-0300-00009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8"/>
          <a:stretch>
            <a:fillRect/>
          </a:stretch>
        </xdr:blipFill>
        <xdr:spPr>
          <a:xfrm>
            <a:off x="105105746" y="1097280"/>
            <a:ext cx="917986" cy="932330"/>
          </a:xfrm>
          <a:prstGeom prst="rect">
            <a:avLst/>
          </a:prstGeom>
        </xdr:spPr>
      </xdr:pic>
      <xdr:pic>
        <xdr:nvPicPr>
          <xdr:cNvPr id="2715" name="Pokemon_106_Droite">
            <a:extLst>
              <a:ext uri="{FF2B5EF4-FFF2-40B4-BE49-F238E27FC236}">
                <a16:creationId xmlns:a16="http://schemas.microsoft.com/office/drawing/2014/main" id="{00000000-0008-0000-0300-00009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9"/>
          <a:stretch>
            <a:fillRect/>
          </a:stretch>
        </xdr:blipFill>
        <xdr:spPr>
          <a:xfrm>
            <a:off x="106023730" y="1097280"/>
            <a:ext cx="917986" cy="932330"/>
          </a:xfrm>
          <a:prstGeom prst="rect">
            <a:avLst/>
          </a:prstGeom>
        </xdr:spPr>
      </xdr:pic>
      <xdr:pic>
        <xdr:nvPicPr>
          <xdr:cNvPr id="2716" name="Pokemon_107_Droite">
            <a:extLst>
              <a:ext uri="{FF2B5EF4-FFF2-40B4-BE49-F238E27FC236}">
                <a16:creationId xmlns:a16="http://schemas.microsoft.com/office/drawing/2014/main" id="{00000000-0008-0000-0300-00009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0"/>
          <a:stretch>
            <a:fillRect/>
          </a:stretch>
        </xdr:blipFill>
        <xdr:spPr>
          <a:xfrm>
            <a:off x="106941714" y="1097280"/>
            <a:ext cx="917986" cy="932330"/>
          </a:xfrm>
          <a:prstGeom prst="rect">
            <a:avLst/>
          </a:prstGeom>
        </xdr:spPr>
      </xdr:pic>
      <xdr:pic>
        <xdr:nvPicPr>
          <xdr:cNvPr id="2717" name="Pokemon_108_Droite">
            <a:extLst>
              <a:ext uri="{FF2B5EF4-FFF2-40B4-BE49-F238E27FC236}">
                <a16:creationId xmlns:a16="http://schemas.microsoft.com/office/drawing/2014/main" id="{00000000-0008-0000-0300-00009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1"/>
          <a:stretch>
            <a:fillRect/>
          </a:stretch>
        </xdr:blipFill>
        <xdr:spPr>
          <a:xfrm>
            <a:off x="107859699" y="1097280"/>
            <a:ext cx="917986" cy="932330"/>
          </a:xfrm>
          <a:prstGeom prst="rect">
            <a:avLst/>
          </a:prstGeom>
        </xdr:spPr>
      </xdr:pic>
      <xdr:pic>
        <xdr:nvPicPr>
          <xdr:cNvPr id="2718" name="Pokemon_109_Droite">
            <a:extLst>
              <a:ext uri="{FF2B5EF4-FFF2-40B4-BE49-F238E27FC236}">
                <a16:creationId xmlns:a16="http://schemas.microsoft.com/office/drawing/2014/main" id="{00000000-0008-0000-0300-00009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2"/>
          <a:stretch>
            <a:fillRect/>
          </a:stretch>
        </xdr:blipFill>
        <xdr:spPr>
          <a:xfrm>
            <a:off x="108777683" y="1097280"/>
            <a:ext cx="917986" cy="932330"/>
          </a:xfrm>
          <a:prstGeom prst="rect">
            <a:avLst/>
          </a:prstGeom>
        </xdr:spPr>
      </xdr:pic>
      <xdr:pic>
        <xdr:nvPicPr>
          <xdr:cNvPr id="2719" name="Pokemon_110_Droite">
            <a:extLst>
              <a:ext uri="{FF2B5EF4-FFF2-40B4-BE49-F238E27FC236}">
                <a16:creationId xmlns:a16="http://schemas.microsoft.com/office/drawing/2014/main" id="{00000000-0008-0000-0300-00009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3"/>
          <a:stretch>
            <a:fillRect/>
          </a:stretch>
        </xdr:blipFill>
        <xdr:spPr>
          <a:xfrm>
            <a:off x="109695667" y="1097280"/>
            <a:ext cx="917986" cy="932330"/>
          </a:xfrm>
          <a:prstGeom prst="rect">
            <a:avLst/>
          </a:prstGeom>
        </xdr:spPr>
      </xdr:pic>
      <xdr:pic>
        <xdr:nvPicPr>
          <xdr:cNvPr id="2720" name="Pokemon_111_Droite">
            <a:extLst>
              <a:ext uri="{FF2B5EF4-FFF2-40B4-BE49-F238E27FC236}">
                <a16:creationId xmlns:a16="http://schemas.microsoft.com/office/drawing/2014/main" id="{00000000-0008-0000-0300-0000A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4"/>
          <a:stretch>
            <a:fillRect/>
          </a:stretch>
        </xdr:blipFill>
        <xdr:spPr>
          <a:xfrm>
            <a:off x="110613651" y="1097280"/>
            <a:ext cx="917986" cy="932330"/>
          </a:xfrm>
          <a:prstGeom prst="rect">
            <a:avLst/>
          </a:prstGeom>
        </xdr:spPr>
      </xdr:pic>
      <xdr:pic>
        <xdr:nvPicPr>
          <xdr:cNvPr id="2721" name="Pokemon_112_Droite">
            <a:extLst>
              <a:ext uri="{FF2B5EF4-FFF2-40B4-BE49-F238E27FC236}">
                <a16:creationId xmlns:a16="http://schemas.microsoft.com/office/drawing/2014/main" id="{00000000-0008-0000-0300-0000A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5"/>
          <a:stretch>
            <a:fillRect/>
          </a:stretch>
        </xdr:blipFill>
        <xdr:spPr>
          <a:xfrm>
            <a:off x="111531636" y="1097280"/>
            <a:ext cx="917986" cy="932330"/>
          </a:xfrm>
          <a:prstGeom prst="rect">
            <a:avLst/>
          </a:prstGeom>
        </xdr:spPr>
      </xdr:pic>
      <xdr:pic>
        <xdr:nvPicPr>
          <xdr:cNvPr id="2722" name="Pokemon_113_Droite">
            <a:extLst>
              <a:ext uri="{FF2B5EF4-FFF2-40B4-BE49-F238E27FC236}">
                <a16:creationId xmlns:a16="http://schemas.microsoft.com/office/drawing/2014/main" id="{00000000-0008-0000-0300-0000A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6"/>
          <a:stretch>
            <a:fillRect/>
          </a:stretch>
        </xdr:blipFill>
        <xdr:spPr>
          <a:xfrm>
            <a:off x="112449620" y="1097280"/>
            <a:ext cx="917986" cy="932330"/>
          </a:xfrm>
          <a:prstGeom prst="rect">
            <a:avLst/>
          </a:prstGeom>
        </xdr:spPr>
      </xdr:pic>
      <xdr:pic>
        <xdr:nvPicPr>
          <xdr:cNvPr id="2723" name="Pokemon_114_Droite">
            <a:extLst>
              <a:ext uri="{FF2B5EF4-FFF2-40B4-BE49-F238E27FC236}">
                <a16:creationId xmlns:a16="http://schemas.microsoft.com/office/drawing/2014/main" id="{00000000-0008-0000-0300-0000A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7"/>
          <a:stretch>
            <a:fillRect/>
          </a:stretch>
        </xdr:blipFill>
        <xdr:spPr>
          <a:xfrm>
            <a:off x="113367604" y="1097280"/>
            <a:ext cx="917986" cy="932330"/>
          </a:xfrm>
          <a:prstGeom prst="rect">
            <a:avLst/>
          </a:prstGeom>
        </xdr:spPr>
      </xdr:pic>
      <xdr:pic>
        <xdr:nvPicPr>
          <xdr:cNvPr id="2724" name="Pokemon_115_Droite">
            <a:extLst>
              <a:ext uri="{FF2B5EF4-FFF2-40B4-BE49-F238E27FC236}">
                <a16:creationId xmlns:a16="http://schemas.microsoft.com/office/drawing/2014/main" id="{00000000-0008-0000-0300-0000A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8"/>
          <a:stretch>
            <a:fillRect/>
          </a:stretch>
        </xdr:blipFill>
        <xdr:spPr>
          <a:xfrm>
            <a:off x="114285588" y="1097280"/>
            <a:ext cx="917986" cy="932330"/>
          </a:xfrm>
          <a:prstGeom prst="rect">
            <a:avLst/>
          </a:prstGeom>
        </xdr:spPr>
      </xdr:pic>
      <xdr:pic>
        <xdr:nvPicPr>
          <xdr:cNvPr id="2725" name="Pokemon_116_Droite">
            <a:extLst>
              <a:ext uri="{FF2B5EF4-FFF2-40B4-BE49-F238E27FC236}">
                <a16:creationId xmlns:a16="http://schemas.microsoft.com/office/drawing/2014/main" id="{00000000-0008-0000-0300-0000A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9"/>
          <a:stretch>
            <a:fillRect/>
          </a:stretch>
        </xdr:blipFill>
        <xdr:spPr>
          <a:xfrm>
            <a:off x="115203573" y="1097280"/>
            <a:ext cx="917986" cy="932330"/>
          </a:xfrm>
          <a:prstGeom prst="rect">
            <a:avLst/>
          </a:prstGeom>
        </xdr:spPr>
      </xdr:pic>
      <xdr:pic>
        <xdr:nvPicPr>
          <xdr:cNvPr id="2726" name="Pokemon_117_Droite">
            <a:extLst>
              <a:ext uri="{FF2B5EF4-FFF2-40B4-BE49-F238E27FC236}">
                <a16:creationId xmlns:a16="http://schemas.microsoft.com/office/drawing/2014/main" id="{00000000-0008-0000-0300-0000A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0"/>
          <a:stretch>
            <a:fillRect/>
          </a:stretch>
        </xdr:blipFill>
        <xdr:spPr>
          <a:xfrm>
            <a:off x="116121557" y="1097280"/>
            <a:ext cx="917986" cy="932330"/>
          </a:xfrm>
          <a:prstGeom prst="rect">
            <a:avLst/>
          </a:prstGeom>
        </xdr:spPr>
      </xdr:pic>
      <xdr:pic>
        <xdr:nvPicPr>
          <xdr:cNvPr id="2727" name="Pokemon_118_Droite">
            <a:extLst>
              <a:ext uri="{FF2B5EF4-FFF2-40B4-BE49-F238E27FC236}">
                <a16:creationId xmlns:a16="http://schemas.microsoft.com/office/drawing/2014/main" id="{00000000-0008-0000-0300-0000A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1"/>
          <a:stretch>
            <a:fillRect/>
          </a:stretch>
        </xdr:blipFill>
        <xdr:spPr>
          <a:xfrm>
            <a:off x="117039541" y="1097280"/>
            <a:ext cx="917986" cy="932330"/>
          </a:xfrm>
          <a:prstGeom prst="rect">
            <a:avLst/>
          </a:prstGeom>
        </xdr:spPr>
      </xdr:pic>
      <xdr:pic>
        <xdr:nvPicPr>
          <xdr:cNvPr id="2728" name="Pokemon_119_Droite">
            <a:extLst>
              <a:ext uri="{FF2B5EF4-FFF2-40B4-BE49-F238E27FC236}">
                <a16:creationId xmlns:a16="http://schemas.microsoft.com/office/drawing/2014/main" id="{00000000-0008-0000-0300-0000A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2"/>
          <a:stretch>
            <a:fillRect/>
          </a:stretch>
        </xdr:blipFill>
        <xdr:spPr>
          <a:xfrm>
            <a:off x="117957526" y="1097280"/>
            <a:ext cx="917986" cy="932330"/>
          </a:xfrm>
          <a:prstGeom prst="rect">
            <a:avLst/>
          </a:prstGeom>
        </xdr:spPr>
      </xdr:pic>
      <xdr:pic>
        <xdr:nvPicPr>
          <xdr:cNvPr id="2729" name="Pokemon_120_Droite">
            <a:extLst>
              <a:ext uri="{FF2B5EF4-FFF2-40B4-BE49-F238E27FC236}">
                <a16:creationId xmlns:a16="http://schemas.microsoft.com/office/drawing/2014/main" id="{00000000-0008-0000-0300-0000A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3"/>
          <a:stretch>
            <a:fillRect/>
          </a:stretch>
        </xdr:blipFill>
        <xdr:spPr>
          <a:xfrm>
            <a:off x="118875510" y="1097280"/>
            <a:ext cx="917986" cy="932330"/>
          </a:xfrm>
          <a:prstGeom prst="rect">
            <a:avLst/>
          </a:prstGeom>
        </xdr:spPr>
      </xdr:pic>
      <xdr:pic>
        <xdr:nvPicPr>
          <xdr:cNvPr id="2730" name="Pokemon_121_Droite">
            <a:extLst>
              <a:ext uri="{FF2B5EF4-FFF2-40B4-BE49-F238E27FC236}">
                <a16:creationId xmlns:a16="http://schemas.microsoft.com/office/drawing/2014/main" id="{00000000-0008-0000-0300-0000A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4"/>
          <a:stretch>
            <a:fillRect/>
          </a:stretch>
        </xdr:blipFill>
        <xdr:spPr>
          <a:xfrm>
            <a:off x="119793494" y="1097280"/>
            <a:ext cx="917986" cy="932330"/>
          </a:xfrm>
          <a:prstGeom prst="rect">
            <a:avLst/>
          </a:prstGeom>
        </xdr:spPr>
      </xdr:pic>
      <xdr:pic>
        <xdr:nvPicPr>
          <xdr:cNvPr id="2731" name="Pokemon_122_Droite">
            <a:extLst>
              <a:ext uri="{FF2B5EF4-FFF2-40B4-BE49-F238E27FC236}">
                <a16:creationId xmlns:a16="http://schemas.microsoft.com/office/drawing/2014/main" id="{00000000-0008-0000-0300-0000A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5"/>
          <a:stretch>
            <a:fillRect/>
          </a:stretch>
        </xdr:blipFill>
        <xdr:spPr>
          <a:xfrm>
            <a:off x="120711478" y="1097280"/>
            <a:ext cx="917986" cy="932330"/>
          </a:xfrm>
          <a:prstGeom prst="rect">
            <a:avLst/>
          </a:prstGeom>
        </xdr:spPr>
      </xdr:pic>
      <xdr:pic>
        <xdr:nvPicPr>
          <xdr:cNvPr id="2732" name="Pokemon_123_Droite">
            <a:extLst>
              <a:ext uri="{FF2B5EF4-FFF2-40B4-BE49-F238E27FC236}">
                <a16:creationId xmlns:a16="http://schemas.microsoft.com/office/drawing/2014/main" id="{00000000-0008-0000-0300-0000A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6"/>
          <a:stretch>
            <a:fillRect/>
          </a:stretch>
        </xdr:blipFill>
        <xdr:spPr>
          <a:xfrm>
            <a:off x="121629463" y="1097280"/>
            <a:ext cx="917986" cy="932330"/>
          </a:xfrm>
          <a:prstGeom prst="rect">
            <a:avLst/>
          </a:prstGeom>
        </xdr:spPr>
      </xdr:pic>
      <xdr:pic>
        <xdr:nvPicPr>
          <xdr:cNvPr id="2733" name="Pokemon_124_Droite">
            <a:extLst>
              <a:ext uri="{FF2B5EF4-FFF2-40B4-BE49-F238E27FC236}">
                <a16:creationId xmlns:a16="http://schemas.microsoft.com/office/drawing/2014/main" id="{00000000-0008-0000-0300-0000A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7"/>
          <a:stretch>
            <a:fillRect/>
          </a:stretch>
        </xdr:blipFill>
        <xdr:spPr>
          <a:xfrm>
            <a:off x="122547447" y="1097280"/>
            <a:ext cx="917986" cy="932330"/>
          </a:xfrm>
          <a:prstGeom prst="rect">
            <a:avLst/>
          </a:prstGeom>
        </xdr:spPr>
      </xdr:pic>
      <xdr:pic>
        <xdr:nvPicPr>
          <xdr:cNvPr id="2734" name="Pokemon_125_Droite">
            <a:extLst>
              <a:ext uri="{FF2B5EF4-FFF2-40B4-BE49-F238E27FC236}">
                <a16:creationId xmlns:a16="http://schemas.microsoft.com/office/drawing/2014/main" id="{00000000-0008-0000-0300-0000A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8"/>
          <a:stretch>
            <a:fillRect/>
          </a:stretch>
        </xdr:blipFill>
        <xdr:spPr>
          <a:xfrm>
            <a:off x="123465431" y="1097280"/>
            <a:ext cx="917986" cy="932330"/>
          </a:xfrm>
          <a:prstGeom prst="rect">
            <a:avLst/>
          </a:prstGeom>
        </xdr:spPr>
      </xdr:pic>
      <xdr:pic>
        <xdr:nvPicPr>
          <xdr:cNvPr id="2735" name="Pokemon_126_Droite">
            <a:extLst>
              <a:ext uri="{FF2B5EF4-FFF2-40B4-BE49-F238E27FC236}">
                <a16:creationId xmlns:a16="http://schemas.microsoft.com/office/drawing/2014/main" id="{00000000-0008-0000-0300-0000A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9"/>
          <a:stretch>
            <a:fillRect/>
          </a:stretch>
        </xdr:blipFill>
        <xdr:spPr>
          <a:xfrm>
            <a:off x="124383416" y="1097280"/>
            <a:ext cx="917986" cy="932330"/>
          </a:xfrm>
          <a:prstGeom prst="rect">
            <a:avLst/>
          </a:prstGeom>
        </xdr:spPr>
      </xdr:pic>
      <xdr:pic>
        <xdr:nvPicPr>
          <xdr:cNvPr id="2736" name="Pokemon_127_Droite">
            <a:extLst>
              <a:ext uri="{FF2B5EF4-FFF2-40B4-BE49-F238E27FC236}">
                <a16:creationId xmlns:a16="http://schemas.microsoft.com/office/drawing/2014/main" id="{00000000-0008-0000-0300-0000B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0"/>
          <a:stretch>
            <a:fillRect/>
          </a:stretch>
        </xdr:blipFill>
        <xdr:spPr>
          <a:xfrm>
            <a:off x="125301400" y="1097280"/>
            <a:ext cx="917986" cy="932330"/>
          </a:xfrm>
          <a:prstGeom prst="rect">
            <a:avLst/>
          </a:prstGeom>
        </xdr:spPr>
      </xdr:pic>
      <xdr:pic>
        <xdr:nvPicPr>
          <xdr:cNvPr id="2737" name="Pokemon_128_Droite">
            <a:extLst>
              <a:ext uri="{FF2B5EF4-FFF2-40B4-BE49-F238E27FC236}">
                <a16:creationId xmlns:a16="http://schemas.microsoft.com/office/drawing/2014/main" id="{00000000-0008-0000-0300-0000B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1"/>
          <a:stretch>
            <a:fillRect/>
          </a:stretch>
        </xdr:blipFill>
        <xdr:spPr>
          <a:xfrm>
            <a:off x="126219384" y="1097280"/>
            <a:ext cx="917986" cy="932330"/>
          </a:xfrm>
          <a:prstGeom prst="rect">
            <a:avLst/>
          </a:prstGeom>
        </xdr:spPr>
      </xdr:pic>
      <xdr:pic>
        <xdr:nvPicPr>
          <xdr:cNvPr id="2738" name="Pokemon_129_Droite">
            <a:extLst>
              <a:ext uri="{FF2B5EF4-FFF2-40B4-BE49-F238E27FC236}">
                <a16:creationId xmlns:a16="http://schemas.microsoft.com/office/drawing/2014/main" id="{00000000-0008-0000-0300-0000B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2"/>
          <a:stretch>
            <a:fillRect/>
          </a:stretch>
        </xdr:blipFill>
        <xdr:spPr>
          <a:xfrm>
            <a:off x="127137368" y="1097280"/>
            <a:ext cx="917986" cy="932330"/>
          </a:xfrm>
          <a:prstGeom prst="rect">
            <a:avLst/>
          </a:prstGeom>
        </xdr:spPr>
      </xdr:pic>
      <xdr:pic>
        <xdr:nvPicPr>
          <xdr:cNvPr id="2739" name="Pokemon_130_Droite">
            <a:extLst>
              <a:ext uri="{FF2B5EF4-FFF2-40B4-BE49-F238E27FC236}">
                <a16:creationId xmlns:a16="http://schemas.microsoft.com/office/drawing/2014/main" id="{00000000-0008-0000-0300-0000B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3"/>
          <a:stretch>
            <a:fillRect/>
          </a:stretch>
        </xdr:blipFill>
        <xdr:spPr>
          <a:xfrm>
            <a:off x="128055353" y="1097280"/>
            <a:ext cx="917986" cy="932330"/>
          </a:xfrm>
          <a:prstGeom prst="rect">
            <a:avLst/>
          </a:prstGeom>
        </xdr:spPr>
      </xdr:pic>
      <xdr:pic>
        <xdr:nvPicPr>
          <xdr:cNvPr id="2740" name="Pokemon_131_Droite">
            <a:extLst>
              <a:ext uri="{FF2B5EF4-FFF2-40B4-BE49-F238E27FC236}">
                <a16:creationId xmlns:a16="http://schemas.microsoft.com/office/drawing/2014/main" id="{00000000-0008-0000-0300-0000B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4"/>
          <a:stretch>
            <a:fillRect/>
          </a:stretch>
        </xdr:blipFill>
        <xdr:spPr>
          <a:xfrm>
            <a:off x="128973337" y="1097280"/>
            <a:ext cx="917986" cy="932330"/>
          </a:xfrm>
          <a:prstGeom prst="rect">
            <a:avLst/>
          </a:prstGeom>
        </xdr:spPr>
      </xdr:pic>
      <xdr:pic>
        <xdr:nvPicPr>
          <xdr:cNvPr id="2741" name="Pokemon_132_Droite">
            <a:extLst>
              <a:ext uri="{FF2B5EF4-FFF2-40B4-BE49-F238E27FC236}">
                <a16:creationId xmlns:a16="http://schemas.microsoft.com/office/drawing/2014/main" id="{00000000-0008-0000-0300-0000B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5"/>
          <a:stretch>
            <a:fillRect/>
          </a:stretch>
        </xdr:blipFill>
        <xdr:spPr>
          <a:xfrm>
            <a:off x="129891321" y="1097280"/>
            <a:ext cx="917986" cy="932330"/>
          </a:xfrm>
          <a:prstGeom prst="rect">
            <a:avLst/>
          </a:prstGeom>
        </xdr:spPr>
      </xdr:pic>
      <xdr:pic>
        <xdr:nvPicPr>
          <xdr:cNvPr id="2742" name="Pokemon_133_Droite">
            <a:extLst>
              <a:ext uri="{FF2B5EF4-FFF2-40B4-BE49-F238E27FC236}">
                <a16:creationId xmlns:a16="http://schemas.microsoft.com/office/drawing/2014/main" id="{00000000-0008-0000-0300-0000B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6"/>
          <a:stretch>
            <a:fillRect/>
          </a:stretch>
        </xdr:blipFill>
        <xdr:spPr>
          <a:xfrm>
            <a:off x="130809305" y="1097280"/>
            <a:ext cx="917986" cy="932330"/>
          </a:xfrm>
          <a:prstGeom prst="rect">
            <a:avLst/>
          </a:prstGeom>
        </xdr:spPr>
      </xdr:pic>
      <xdr:pic>
        <xdr:nvPicPr>
          <xdr:cNvPr id="2743" name="Pokemon_134_Droite">
            <a:extLst>
              <a:ext uri="{FF2B5EF4-FFF2-40B4-BE49-F238E27FC236}">
                <a16:creationId xmlns:a16="http://schemas.microsoft.com/office/drawing/2014/main" id="{00000000-0008-0000-0300-0000B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7"/>
          <a:stretch>
            <a:fillRect/>
          </a:stretch>
        </xdr:blipFill>
        <xdr:spPr>
          <a:xfrm>
            <a:off x="131727290" y="1097280"/>
            <a:ext cx="917986" cy="932330"/>
          </a:xfrm>
          <a:prstGeom prst="rect">
            <a:avLst/>
          </a:prstGeom>
        </xdr:spPr>
      </xdr:pic>
      <xdr:pic>
        <xdr:nvPicPr>
          <xdr:cNvPr id="2744" name="Pokemon_135_Droite">
            <a:extLst>
              <a:ext uri="{FF2B5EF4-FFF2-40B4-BE49-F238E27FC236}">
                <a16:creationId xmlns:a16="http://schemas.microsoft.com/office/drawing/2014/main" id="{00000000-0008-0000-0300-0000B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8"/>
          <a:stretch>
            <a:fillRect/>
          </a:stretch>
        </xdr:blipFill>
        <xdr:spPr>
          <a:xfrm>
            <a:off x="132645274" y="1097280"/>
            <a:ext cx="917986" cy="932330"/>
          </a:xfrm>
          <a:prstGeom prst="rect">
            <a:avLst/>
          </a:prstGeom>
        </xdr:spPr>
      </xdr:pic>
      <xdr:pic>
        <xdr:nvPicPr>
          <xdr:cNvPr id="2745" name="Pokemon_136_Droite">
            <a:extLst>
              <a:ext uri="{FF2B5EF4-FFF2-40B4-BE49-F238E27FC236}">
                <a16:creationId xmlns:a16="http://schemas.microsoft.com/office/drawing/2014/main" id="{00000000-0008-0000-0300-0000B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9"/>
          <a:stretch>
            <a:fillRect/>
          </a:stretch>
        </xdr:blipFill>
        <xdr:spPr>
          <a:xfrm>
            <a:off x="133563258" y="1097280"/>
            <a:ext cx="917986" cy="932330"/>
          </a:xfrm>
          <a:prstGeom prst="rect">
            <a:avLst/>
          </a:prstGeom>
        </xdr:spPr>
      </xdr:pic>
      <xdr:pic>
        <xdr:nvPicPr>
          <xdr:cNvPr id="2746" name="Pokemon_137_Droite">
            <a:extLst>
              <a:ext uri="{FF2B5EF4-FFF2-40B4-BE49-F238E27FC236}">
                <a16:creationId xmlns:a16="http://schemas.microsoft.com/office/drawing/2014/main" id="{00000000-0008-0000-0300-0000B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0"/>
          <a:stretch>
            <a:fillRect/>
          </a:stretch>
        </xdr:blipFill>
        <xdr:spPr>
          <a:xfrm>
            <a:off x="134481243" y="1097280"/>
            <a:ext cx="917986" cy="932330"/>
          </a:xfrm>
          <a:prstGeom prst="rect">
            <a:avLst/>
          </a:prstGeom>
        </xdr:spPr>
      </xdr:pic>
      <xdr:pic>
        <xdr:nvPicPr>
          <xdr:cNvPr id="2747" name="Pokemon_138_Droite">
            <a:extLst>
              <a:ext uri="{FF2B5EF4-FFF2-40B4-BE49-F238E27FC236}">
                <a16:creationId xmlns:a16="http://schemas.microsoft.com/office/drawing/2014/main" id="{00000000-0008-0000-0300-0000B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1"/>
          <a:stretch>
            <a:fillRect/>
          </a:stretch>
        </xdr:blipFill>
        <xdr:spPr>
          <a:xfrm>
            <a:off x="135399227" y="1097280"/>
            <a:ext cx="917986" cy="932330"/>
          </a:xfrm>
          <a:prstGeom prst="rect">
            <a:avLst/>
          </a:prstGeom>
        </xdr:spPr>
      </xdr:pic>
      <xdr:pic>
        <xdr:nvPicPr>
          <xdr:cNvPr id="2748" name="Pokemon_139_Droite">
            <a:extLst>
              <a:ext uri="{FF2B5EF4-FFF2-40B4-BE49-F238E27FC236}">
                <a16:creationId xmlns:a16="http://schemas.microsoft.com/office/drawing/2014/main" id="{00000000-0008-0000-0300-0000B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2"/>
          <a:stretch>
            <a:fillRect/>
          </a:stretch>
        </xdr:blipFill>
        <xdr:spPr>
          <a:xfrm>
            <a:off x="136317211" y="1097280"/>
            <a:ext cx="917986" cy="932330"/>
          </a:xfrm>
          <a:prstGeom prst="rect">
            <a:avLst/>
          </a:prstGeom>
        </xdr:spPr>
      </xdr:pic>
      <xdr:pic>
        <xdr:nvPicPr>
          <xdr:cNvPr id="2749" name="Pokemon_140_Droite">
            <a:extLst>
              <a:ext uri="{FF2B5EF4-FFF2-40B4-BE49-F238E27FC236}">
                <a16:creationId xmlns:a16="http://schemas.microsoft.com/office/drawing/2014/main" id="{00000000-0008-0000-0300-0000B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3"/>
          <a:stretch>
            <a:fillRect/>
          </a:stretch>
        </xdr:blipFill>
        <xdr:spPr>
          <a:xfrm>
            <a:off x="137235195" y="1097280"/>
            <a:ext cx="917986" cy="932330"/>
          </a:xfrm>
          <a:prstGeom prst="rect">
            <a:avLst/>
          </a:prstGeom>
        </xdr:spPr>
      </xdr:pic>
      <xdr:pic>
        <xdr:nvPicPr>
          <xdr:cNvPr id="2750" name="Pokemon_141_Droite">
            <a:extLst>
              <a:ext uri="{FF2B5EF4-FFF2-40B4-BE49-F238E27FC236}">
                <a16:creationId xmlns:a16="http://schemas.microsoft.com/office/drawing/2014/main" id="{00000000-0008-0000-0300-0000B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4"/>
          <a:stretch>
            <a:fillRect/>
          </a:stretch>
        </xdr:blipFill>
        <xdr:spPr>
          <a:xfrm>
            <a:off x="138153180" y="1097280"/>
            <a:ext cx="917986" cy="932330"/>
          </a:xfrm>
          <a:prstGeom prst="rect">
            <a:avLst/>
          </a:prstGeom>
        </xdr:spPr>
      </xdr:pic>
      <xdr:pic>
        <xdr:nvPicPr>
          <xdr:cNvPr id="2751" name="Pokemon_142_Droite">
            <a:extLst>
              <a:ext uri="{FF2B5EF4-FFF2-40B4-BE49-F238E27FC236}">
                <a16:creationId xmlns:a16="http://schemas.microsoft.com/office/drawing/2014/main" id="{00000000-0008-0000-0300-0000B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5"/>
          <a:stretch>
            <a:fillRect/>
          </a:stretch>
        </xdr:blipFill>
        <xdr:spPr>
          <a:xfrm>
            <a:off x="139071164" y="1097280"/>
            <a:ext cx="917986" cy="932330"/>
          </a:xfrm>
          <a:prstGeom prst="rect">
            <a:avLst/>
          </a:prstGeom>
        </xdr:spPr>
      </xdr:pic>
      <xdr:pic>
        <xdr:nvPicPr>
          <xdr:cNvPr id="2752" name="Pokemon_143_Droite">
            <a:extLst>
              <a:ext uri="{FF2B5EF4-FFF2-40B4-BE49-F238E27FC236}">
                <a16:creationId xmlns:a16="http://schemas.microsoft.com/office/drawing/2014/main" id="{00000000-0008-0000-0300-0000C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6"/>
          <a:stretch>
            <a:fillRect/>
          </a:stretch>
        </xdr:blipFill>
        <xdr:spPr>
          <a:xfrm>
            <a:off x="139989148" y="1097280"/>
            <a:ext cx="917986" cy="932330"/>
          </a:xfrm>
          <a:prstGeom prst="rect">
            <a:avLst/>
          </a:prstGeom>
        </xdr:spPr>
      </xdr:pic>
      <xdr:pic>
        <xdr:nvPicPr>
          <xdr:cNvPr id="2753" name="Pokemon_144_Droite">
            <a:extLst>
              <a:ext uri="{FF2B5EF4-FFF2-40B4-BE49-F238E27FC236}">
                <a16:creationId xmlns:a16="http://schemas.microsoft.com/office/drawing/2014/main" id="{00000000-0008-0000-0300-0000C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7"/>
          <a:stretch>
            <a:fillRect/>
          </a:stretch>
        </xdr:blipFill>
        <xdr:spPr>
          <a:xfrm>
            <a:off x="140907133" y="1097280"/>
            <a:ext cx="917986" cy="932330"/>
          </a:xfrm>
          <a:prstGeom prst="rect">
            <a:avLst/>
          </a:prstGeom>
        </xdr:spPr>
      </xdr:pic>
      <xdr:pic>
        <xdr:nvPicPr>
          <xdr:cNvPr id="2754" name="Pokemon_145_Droite">
            <a:extLst>
              <a:ext uri="{FF2B5EF4-FFF2-40B4-BE49-F238E27FC236}">
                <a16:creationId xmlns:a16="http://schemas.microsoft.com/office/drawing/2014/main" id="{00000000-0008-0000-0300-0000C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8"/>
          <a:stretch>
            <a:fillRect/>
          </a:stretch>
        </xdr:blipFill>
        <xdr:spPr>
          <a:xfrm>
            <a:off x="141825117" y="1097280"/>
            <a:ext cx="917986" cy="932330"/>
          </a:xfrm>
          <a:prstGeom prst="rect">
            <a:avLst/>
          </a:prstGeom>
        </xdr:spPr>
      </xdr:pic>
      <xdr:pic>
        <xdr:nvPicPr>
          <xdr:cNvPr id="2755" name="Pokemon_146_Droite">
            <a:extLst>
              <a:ext uri="{FF2B5EF4-FFF2-40B4-BE49-F238E27FC236}">
                <a16:creationId xmlns:a16="http://schemas.microsoft.com/office/drawing/2014/main" id="{00000000-0008-0000-0300-0000C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9"/>
          <a:stretch>
            <a:fillRect/>
          </a:stretch>
        </xdr:blipFill>
        <xdr:spPr>
          <a:xfrm>
            <a:off x="142743101" y="1097280"/>
            <a:ext cx="917986" cy="932330"/>
          </a:xfrm>
          <a:prstGeom prst="rect">
            <a:avLst/>
          </a:prstGeom>
        </xdr:spPr>
      </xdr:pic>
      <xdr:pic>
        <xdr:nvPicPr>
          <xdr:cNvPr id="2756" name="Pokemon_147_Droite">
            <a:extLst>
              <a:ext uri="{FF2B5EF4-FFF2-40B4-BE49-F238E27FC236}">
                <a16:creationId xmlns:a16="http://schemas.microsoft.com/office/drawing/2014/main" id="{00000000-0008-0000-0300-0000C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0"/>
          <a:stretch>
            <a:fillRect/>
          </a:stretch>
        </xdr:blipFill>
        <xdr:spPr>
          <a:xfrm>
            <a:off x="143661085" y="1097280"/>
            <a:ext cx="917986" cy="932330"/>
          </a:xfrm>
          <a:prstGeom prst="rect">
            <a:avLst/>
          </a:prstGeom>
        </xdr:spPr>
      </xdr:pic>
      <xdr:pic>
        <xdr:nvPicPr>
          <xdr:cNvPr id="2757" name="Pokemon_148_Droite">
            <a:extLst>
              <a:ext uri="{FF2B5EF4-FFF2-40B4-BE49-F238E27FC236}">
                <a16:creationId xmlns:a16="http://schemas.microsoft.com/office/drawing/2014/main" id="{00000000-0008-0000-0300-0000C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1"/>
          <a:stretch>
            <a:fillRect/>
          </a:stretch>
        </xdr:blipFill>
        <xdr:spPr>
          <a:xfrm>
            <a:off x="144579070" y="1097280"/>
            <a:ext cx="917986" cy="932330"/>
          </a:xfrm>
          <a:prstGeom prst="rect">
            <a:avLst/>
          </a:prstGeom>
        </xdr:spPr>
      </xdr:pic>
      <xdr:pic>
        <xdr:nvPicPr>
          <xdr:cNvPr id="2758" name="Pokemon_149_Droite">
            <a:extLst>
              <a:ext uri="{FF2B5EF4-FFF2-40B4-BE49-F238E27FC236}">
                <a16:creationId xmlns:a16="http://schemas.microsoft.com/office/drawing/2014/main" id="{00000000-0008-0000-0300-0000C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2"/>
          <a:stretch>
            <a:fillRect/>
          </a:stretch>
        </xdr:blipFill>
        <xdr:spPr>
          <a:xfrm>
            <a:off x="145497054" y="1097280"/>
            <a:ext cx="917986" cy="932330"/>
          </a:xfrm>
          <a:prstGeom prst="rect">
            <a:avLst/>
          </a:prstGeom>
        </xdr:spPr>
      </xdr:pic>
      <xdr:pic>
        <xdr:nvPicPr>
          <xdr:cNvPr id="2759" name="Pokemon_150_Droite">
            <a:extLst>
              <a:ext uri="{FF2B5EF4-FFF2-40B4-BE49-F238E27FC236}">
                <a16:creationId xmlns:a16="http://schemas.microsoft.com/office/drawing/2014/main" id="{00000000-0008-0000-0300-0000C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3"/>
          <a:stretch>
            <a:fillRect/>
          </a:stretch>
        </xdr:blipFill>
        <xdr:spPr>
          <a:xfrm>
            <a:off x="146415038" y="1097280"/>
            <a:ext cx="917986" cy="932330"/>
          </a:xfrm>
          <a:prstGeom prst="rect">
            <a:avLst/>
          </a:prstGeom>
        </xdr:spPr>
      </xdr:pic>
      <xdr:pic>
        <xdr:nvPicPr>
          <xdr:cNvPr id="2760" name="Pokemon_151_Droite">
            <a:extLst>
              <a:ext uri="{FF2B5EF4-FFF2-40B4-BE49-F238E27FC236}">
                <a16:creationId xmlns:a16="http://schemas.microsoft.com/office/drawing/2014/main" id="{00000000-0008-0000-0300-0000C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4"/>
          <a:stretch>
            <a:fillRect/>
          </a:stretch>
        </xdr:blipFill>
        <xdr:spPr>
          <a:xfrm>
            <a:off x="147333022" y="1097280"/>
            <a:ext cx="917986" cy="932330"/>
          </a:xfrm>
          <a:prstGeom prst="rect">
            <a:avLst/>
          </a:prstGeom>
        </xdr:spPr>
      </xdr:pic>
      <xdr:pic>
        <xdr:nvPicPr>
          <xdr:cNvPr id="2761" name="Pokemon_152_Droite">
            <a:extLst>
              <a:ext uri="{FF2B5EF4-FFF2-40B4-BE49-F238E27FC236}">
                <a16:creationId xmlns:a16="http://schemas.microsoft.com/office/drawing/2014/main" id="{00000000-0008-0000-0300-0000C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5"/>
          <a:stretch>
            <a:fillRect/>
          </a:stretch>
        </xdr:blipFill>
        <xdr:spPr>
          <a:xfrm>
            <a:off x="148251007" y="1097280"/>
            <a:ext cx="917986" cy="932330"/>
          </a:xfrm>
          <a:prstGeom prst="rect">
            <a:avLst/>
          </a:prstGeom>
        </xdr:spPr>
      </xdr:pic>
      <xdr:pic>
        <xdr:nvPicPr>
          <xdr:cNvPr id="2762" name="Pokemon_153_Droite">
            <a:extLst>
              <a:ext uri="{FF2B5EF4-FFF2-40B4-BE49-F238E27FC236}">
                <a16:creationId xmlns:a16="http://schemas.microsoft.com/office/drawing/2014/main" id="{00000000-0008-0000-0300-0000C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6"/>
          <a:stretch>
            <a:fillRect/>
          </a:stretch>
        </xdr:blipFill>
        <xdr:spPr>
          <a:xfrm>
            <a:off x="149168991" y="1097280"/>
            <a:ext cx="917986" cy="932330"/>
          </a:xfrm>
          <a:prstGeom prst="rect">
            <a:avLst/>
          </a:prstGeom>
        </xdr:spPr>
      </xdr:pic>
      <xdr:pic>
        <xdr:nvPicPr>
          <xdr:cNvPr id="2763" name="Pokemon_154_Droite">
            <a:extLst>
              <a:ext uri="{FF2B5EF4-FFF2-40B4-BE49-F238E27FC236}">
                <a16:creationId xmlns:a16="http://schemas.microsoft.com/office/drawing/2014/main" id="{00000000-0008-0000-0300-0000C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7"/>
          <a:stretch>
            <a:fillRect/>
          </a:stretch>
        </xdr:blipFill>
        <xdr:spPr>
          <a:xfrm>
            <a:off x="150086975" y="1097280"/>
            <a:ext cx="917986" cy="932330"/>
          </a:xfrm>
          <a:prstGeom prst="rect">
            <a:avLst/>
          </a:prstGeom>
        </xdr:spPr>
      </xdr:pic>
      <xdr:pic>
        <xdr:nvPicPr>
          <xdr:cNvPr id="2764" name="Pokemon_155_Droite">
            <a:extLst>
              <a:ext uri="{FF2B5EF4-FFF2-40B4-BE49-F238E27FC236}">
                <a16:creationId xmlns:a16="http://schemas.microsoft.com/office/drawing/2014/main" id="{00000000-0008-0000-0300-0000C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8"/>
          <a:stretch>
            <a:fillRect/>
          </a:stretch>
        </xdr:blipFill>
        <xdr:spPr>
          <a:xfrm>
            <a:off x="151004960" y="1097280"/>
            <a:ext cx="917986" cy="932330"/>
          </a:xfrm>
          <a:prstGeom prst="rect">
            <a:avLst/>
          </a:prstGeom>
        </xdr:spPr>
      </xdr:pic>
      <xdr:pic>
        <xdr:nvPicPr>
          <xdr:cNvPr id="2765" name="Pokemon_156_Droite">
            <a:extLst>
              <a:ext uri="{FF2B5EF4-FFF2-40B4-BE49-F238E27FC236}">
                <a16:creationId xmlns:a16="http://schemas.microsoft.com/office/drawing/2014/main" id="{00000000-0008-0000-0300-0000C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9"/>
          <a:stretch>
            <a:fillRect/>
          </a:stretch>
        </xdr:blipFill>
        <xdr:spPr>
          <a:xfrm>
            <a:off x="151922944" y="1097280"/>
            <a:ext cx="917986" cy="932330"/>
          </a:xfrm>
          <a:prstGeom prst="rect">
            <a:avLst/>
          </a:prstGeom>
        </xdr:spPr>
      </xdr:pic>
      <xdr:pic>
        <xdr:nvPicPr>
          <xdr:cNvPr id="2766" name="Pokemon_157_Droite">
            <a:extLst>
              <a:ext uri="{FF2B5EF4-FFF2-40B4-BE49-F238E27FC236}">
                <a16:creationId xmlns:a16="http://schemas.microsoft.com/office/drawing/2014/main" id="{00000000-0008-0000-0300-0000C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0"/>
          <a:stretch>
            <a:fillRect/>
          </a:stretch>
        </xdr:blipFill>
        <xdr:spPr>
          <a:xfrm>
            <a:off x="152840928" y="1097280"/>
            <a:ext cx="917986" cy="932330"/>
          </a:xfrm>
          <a:prstGeom prst="rect">
            <a:avLst/>
          </a:prstGeom>
        </xdr:spPr>
      </xdr:pic>
      <xdr:pic>
        <xdr:nvPicPr>
          <xdr:cNvPr id="2767" name="Pokemon_158_Droite">
            <a:extLst>
              <a:ext uri="{FF2B5EF4-FFF2-40B4-BE49-F238E27FC236}">
                <a16:creationId xmlns:a16="http://schemas.microsoft.com/office/drawing/2014/main" id="{00000000-0008-0000-0300-0000C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1"/>
          <a:stretch>
            <a:fillRect/>
          </a:stretch>
        </xdr:blipFill>
        <xdr:spPr>
          <a:xfrm>
            <a:off x="153758912" y="1097280"/>
            <a:ext cx="917986" cy="932330"/>
          </a:xfrm>
          <a:prstGeom prst="rect">
            <a:avLst/>
          </a:prstGeom>
        </xdr:spPr>
      </xdr:pic>
      <xdr:pic>
        <xdr:nvPicPr>
          <xdr:cNvPr id="2768" name="Pokemon_159_Droite">
            <a:extLst>
              <a:ext uri="{FF2B5EF4-FFF2-40B4-BE49-F238E27FC236}">
                <a16:creationId xmlns:a16="http://schemas.microsoft.com/office/drawing/2014/main" id="{00000000-0008-0000-0300-0000D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2"/>
          <a:stretch>
            <a:fillRect/>
          </a:stretch>
        </xdr:blipFill>
        <xdr:spPr>
          <a:xfrm>
            <a:off x="154676897" y="1097280"/>
            <a:ext cx="917986" cy="932330"/>
          </a:xfrm>
          <a:prstGeom prst="rect">
            <a:avLst/>
          </a:prstGeom>
        </xdr:spPr>
      </xdr:pic>
      <xdr:pic>
        <xdr:nvPicPr>
          <xdr:cNvPr id="2769" name="Pokemon_160_Droite">
            <a:extLst>
              <a:ext uri="{FF2B5EF4-FFF2-40B4-BE49-F238E27FC236}">
                <a16:creationId xmlns:a16="http://schemas.microsoft.com/office/drawing/2014/main" id="{00000000-0008-0000-0300-0000D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3"/>
          <a:stretch>
            <a:fillRect/>
          </a:stretch>
        </xdr:blipFill>
        <xdr:spPr>
          <a:xfrm>
            <a:off x="155594881" y="1097280"/>
            <a:ext cx="917986" cy="932330"/>
          </a:xfrm>
          <a:prstGeom prst="rect">
            <a:avLst/>
          </a:prstGeom>
        </xdr:spPr>
      </xdr:pic>
      <xdr:pic>
        <xdr:nvPicPr>
          <xdr:cNvPr id="2770" name="Pokemon_161_Droite">
            <a:extLst>
              <a:ext uri="{FF2B5EF4-FFF2-40B4-BE49-F238E27FC236}">
                <a16:creationId xmlns:a16="http://schemas.microsoft.com/office/drawing/2014/main" id="{00000000-0008-0000-0300-0000D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4"/>
          <a:stretch>
            <a:fillRect/>
          </a:stretch>
        </xdr:blipFill>
        <xdr:spPr>
          <a:xfrm>
            <a:off x="156512865" y="1097280"/>
            <a:ext cx="917986" cy="932330"/>
          </a:xfrm>
          <a:prstGeom prst="rect">
            <a:avLst/>
          </a:prstGeom>
        </xdr:spPr>
      </xdr:pic>
      <xdr:pic>
        <xdr:nvPicPr>
          <xdr:cNvPr id="2771" name="Pokemon_162_Droite">
            <a:extLst>
              <a:ext uri="{FF2B5EF4-FFF2-40B4-BE49-F238E27FC236}">
                <a16:creationId xmlns:a16="http://schemas.microsoft.com/office/drawing/2014/main" id="{00000000-0008-0000-0300-0000D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5"/>
          <a:stretch>
            <a:fillRect/>
          </a:stretch>
        </xdr:blipFill>
        <xdr:spPr>
          <a:xfrm>
            <a:off x="157430850" y="1097280"/>
            <a:ext cx="917986" cy="932330"/>
          </a:xfrm>
          <a:prstGeom prst="rect">
            <a:avLst/>
          </a:prstGeom>
        </xdr:spPr>
      </xdr:pic>
      <xdr:pic>
        <xdr:nvPicPr>
          <xdr:cNvPr id="2772" name="Pokemon_163_Droite">
            <a:extLst>
              <a:ext uri="{FF2B5EF4-FFF2-40B4-BE49-F238E27FC236}">
                <a16:creationId xmlns:a16="http://schemas.microsoft.com/office/drawing/2014/main" id="{00000000-0008-0000-0300-0000D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6"/>
          <a:stretch>
            <a:fillRect/>
          </a:stretch>
        </xdr:blipFill>
        <xdr:spPr>
          <a:xfrm>
            <a:off x="158348834" y="1097280"/>
            <a:ext cx="917986" cy="932330"/>
          </a:xfrm>
          <a:prstGeom prst="rect">
            <a:avLst/>
          </a:prstGeom>
        </xdr:spPr>
      </xdr:pic>
      <xdr:pic>
        <xdr:nvPicPr>
          <xdr:cNvPr id="2773" name="Pokemon_164_Droite">
            <a:extLst>
              <a:ext uri="{FF2B5EF4-FFF2-40B4-BE49-F238E27FC236}">
                <a16:creationId xmlns:a16="http://schemas.microsoft.com/office/drawing/2014/main" id="{00000000-0008-0000-0300-0000D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7"/>
          <a:stretch>
            <a:fillRect/>
          </a:stretch>
        </xdr:blipFill>
        <xdr:spPr>
          <a:xfrm>
            <a:off x="159266818" y="1097280"/>
            <a:ext cx="917986" cy="932330"/>
          </a:xfrm>
          <a:prstGeom prst="rect">
            <a:avLst/>
          </a:prstGeom>
        </xdr:spPr>
      </xdr:pic>
      <xdr:pic>
        <xdr:nvPicPr>
          <xdr:cNvPr id="2774" name="Pokemon_165_Droite">
            <a:extLst>
              <a:ext uri="{FF2B5EF4-FFF2-40B4-BE49-F238E27FC236}">
                <a16:creationId xmlns:a16="http://schemas.microsoft.com/office/drawing/2014/main" id="{00000000-0008-0000-0300-0000D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8"/>
          <a:stretch>
            <a:fillRect/>
          </a:stretch>
        </xdr:blipFill>
        <xdr:spPr>
          <a:xfrm>
            <a:off x="160184802" y="1097280"/>
            <a:ext cx="917986" cy="932330"/>
          </a:xfrm>
          <a:prstGeom prst="rect">
            <a:avLst/>
          </a:prstGeom>
        </xdr:spPr>
      </xdr:pic>
      <xdr:pic>
        <xdr:nvPicPr>
          <xdr:cNvPr id="2775" name="Pokemon_166_Droite">
            <a:extLst>
              <a:ext uri="{FF2B5EF4-FFF2-40B4-BE49-F238E27FC236}">
                <a16:creationId xmlns:a16="http://schemas.microsoft.com/office/drawing/2014/main" id="{00000000-0008-0000-0300-0000D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9"/>
          <a:stretch>
            <a:fillRect/>
          </a:stretch>
        </xdr:blipFill>
        <xdr:spPr>
          <a:xfrm>
            <a:off x="161102787" y="1097280"/>
            <a:ext cx="917986" cy="932330"/>
          </a:xfrm>
          <a:prstGeom prst="rect">
            <a:avLst/>
          </a:prstGeom>
        </xdr:spPr>
      </xdr:pic>
      <xdr:pic>
        <xdr:nvPicPr>
          <xdr:cNvPr id="2776" name="Pokemon_167_Droite">
            <a:extLst>
              <a:ext uri="{FF2B5EF4-FFF2-40B4-BE49-F238E27FC236}">
                <a16:creationId xmlns:a16="http://schemas.microsoft.com/office/drawing/2014/main" id="{00000000-0008-0000-0300-0000D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0"/>
          <a:stretch>
            <a:fillRect/>
          </a:stretch>
        </xdr:blipFill>
        <xdr:spPr>
          <a:xfrm>
            <a:off x="162020771" y="1097280"/>
            <a:ext cx="917986" cy="932330"/>
          </a:xfrm>
          <a:prstGeom prst="rect">
            <a:avLst/>
          </a:prstGeom>
        </xdr:spPr>
      </xdr:pic>
      <xdr:pic>
        <xdr:nvPicPr>
          <xdr:cNvPr id="2777" name="Pokemon_168_Droite">
            <a:extLst>
              <a:ext uri="{FF2B5EF4-FFF2-40B4-BE49-F238E27FC236}">
                <a16:creationId xmlns:a16="http://schemas.microsoft.com/office/drawing/2014/main" id="{00000000-0008-0000-0300-0000D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1"/>
          <a:stretch>
            <a:fillRect/>
          </a:stretch>
        </xdr:blipFill>
        <xdr:spPr>
          <a:xfrm>
            <a:off x="162938755" y="1097280"/>
            <a:ext cx="917986" cy="932330"/>
          </a:xfrm>
          <a:prstGeom prst="rect">
            <a:avLst/>
          </a:prstGeom>
        </xdr:spPr>
      </xdr:pic>
      <xdr:pic>
        <xdr:nvPicPr>
          <xdr:cNvPr id="2778" name="Pokemon_169_Droite">
            <a:extLst>
              <a:ext uri="{FF2B5EF4-FFF2-40B4-BE49-F238E27FC236}">
                <a16:creationId xmlns:a16="http://schemas.microsoft.com/office/drawing/2014/main" id="{00000000-0008-0000-0300-0000D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2"/>
          <a:stretch>
            <a:fillRect/>
          </a:stretch>
        </xdr:blipFill>
        <xdr:spPr>
          <a:xfrm>
            <a:off x="163856739" y="1097280"/>
            <a:ext cx="917986" cy="932330"/>
          </a:xfrm>
          <a:prstGeom prst="rect">
            <a:avLst/>
          </a:prstGeom>
        </xdr:spPr>
      </xdr:pic>
      <xdr:pic>
        <xdr:nvPicPr>
          <xdr:cNvPr id="2779" name="Pokemon_170_Droite">
            <a:extLst>
              <a:ext uri="{FF2B5EF4-FFF2-40B4-BE49-F238E27FC236}">
                <a16:creationId xmlns:a16="http://schemas.microsoft.com/office/drawing/2014/main" id="{00000000-0008-0000-0300-0000D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3"/>
          <a:stretch>
            <a:fillRect/>
          </a:stretch>
        </xdr:blipFill>
        <xdr:spPr>
          <a:xfrm>
            <a:off x="164774724" y="1097280"/>
            <a:ext cx="917986" cy="932330"/>
          </a:xfrm>
          <a:prstGeom prst="rect">
            <a:avLst/>
          </a:prstGeom>
        </xdr:spPr>
      </xdr:pic>
      <xdr:pic>
        <xdr:nvPicPr>
          <xdr:cNvPr id="2780" name="Pokemon_171_Droite">
            <a:extLst>
              <a:ext uri="{FF2B5EF4-FFF2-40B4-BE49-F238E27FC236}">
                <a16:creationId xmlns:a16="http://schemas.microsoft.com/office/drawing/2014/main" id="{00000000-0008-0000-0300-0000D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4"/>
          <a:stretch>
            <a:fillRect/>
          </a:stretch>
        </xdr:blipFill>
        <xdr:spPr>
          <a:xfrm>
            <a:off x="165692708" y="1097280"/>
            <a:ext cx="917986" cy="932330"/>
          </a:xfrm>
          <a:prstGeom prst="rect">
            <a:avLst/>
          </a:prstGeom>
        </xdr:spPr>
      </xdr:pic>
      <xdr:pic>
        <xdr:nvPicPr>
          <xdr:cNvPr id="2781" name="Pokemon_172_Droite">
            <a:extLst>
              <a:ext uri="{FF2B5EF4-FFF2-40B4-BE49-F238E27FC236}">
                <a16:creationId xmlns:a16="http://schemas.microsoft.com/office/drawing/2014/main" id="{00000000-0008-0000-0300-0000D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5"/>
          <a:stretch>
            <a:fillRect/>
          </a:stretch>
        </xdr:blipFill>
        <xdr:spPr>
          <a:xfrm>
            <a:off x="166610692" y="1097280"/>
            <a:ext cx="917986" cy="932330"/>
          </a:xfrm>
          <a:prstGeom prst="rect">
            <a:avLst/>
          </a:prstGeom>
        </xdr:spPr>
      </xdr:pic>
      <xdr:pic>
        <xdr:nvPicPr>
          <xdr:cNvPr id="2782" name="Pokemon_173_Droite">
            <a:extLst>
              <a:ext uri="{FF2B5EF4-FFF2-40B4-BE49-F238E27FC236}">
                <a16:creationId xmlns:a16="http://schemas.microsoft.com/office/drawing/2014/main" id="{00000000-0008-0000-0300-0000D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6"/>
          <a:stretch>
            <a:fillRect/>
          </a:stretch>
        </xdr:blipFill>
        <xdr:spPr>
          <a:xfrm>
            <a:off x="167528677" y="1097280"/>
            <a:ext cx="917986" cy="932330"/>
          </a:xfrm>
          <a:prstGeom prst="rect">
            <a:avLst/>
          </a:prstGeom>
        </xdr:spPr>
      </xdr:pic>
      <xdr:pic>
        <xdr:nvPicPr>
          <xdr:cNvPr id="2783" name="Pokemon_174_Droite">
            <a:extLst>
              <a:ext uri="{FF2B5EF4-FFF2-40B4-BE49-F238E27FC236}">
                <a16:creationId xmlns:a16="http://schemas.microsoft.com/office/drawing/2014/main" id="{00000000-0008-0000-0300-0000D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7"/>
          <a:stretch>
            <a:fillRect/>
          </a:stretch>
        </xdr:blipFill>
        <xdr:spPr>
          <a:xfrm>
            <a:off x="168446661" y="1097280"/>
            <a:ext cx="917986" cy="932330"/>
          </a:xfrm>
          <a:prstGeom prst="rect">
            <a:avLst/>
          </a:prstGeom>
        </xdr:spPr>
      </xdr:pic>
      <xdr:pic>
        <xdr:nvPicPr>
          <xdr:cNvPr id="2784" name="Pokemon_175_Droite">
            <a:extLst>
              <a:ext uri="{FF2B5EF4-FFF2-40B4-BE49-F238E27FC236}">
                <a16:creationId xmlns:a16="http://schemas.microsoft.com/office/drawing/2014/main" id="{00000000-0008-0000-0300-0000E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8"/>
          <a:stretch>
            <a:fillRect/>
          </a:stretch>
        </xdr:blipFill>
        <xdr:spPr>
          <a:xfrm>
            <a:off x="169364645" y="1097280"/>
            <a:ext cx="917986" cy="932330"/>
          </a:xfrm>
          <a:prstGeom prst="rect">
            <a:avLst/>
          </a:prstGeom>
        </xdr:spPr>
      </xdr:pic>
      <xdr:pic>
        <xdr:nvPicPr>
          <xdr:cNvPr id="2785" name="Pokemon_176_Droite">
            <a:extLst>
              <a:ext uri="{FF2B5EF4-FFF2-40B4-BE49-F238E27FC236}">
                <a16:creationId xmlns:a16="http://schemas.microsoft.com/office/drawing/2014/main" id="{00000000-0008-0000-0300-0000E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9"/>
          <a:stretch>
            <a:fillRect/>
          </a:stretch>
        </xdr:blipFill>
        <xdr:spPr>
          <a:xfrm>
            <a:off x="170282629" y="1097280"/>
            <a:ext cx="917986" cy="932330"/>
          </a:xfrm>
          <a:prstGeom prst="rect">
            <a:avLst/>
          </a:prstGeom>
        </xdr:spPr>
      </xdr:pic>
      <xdr:pic>
        <xdr:nvPicPr>
          <xdr:cNvPr id="2786" name="Pokemon_177_Droite">
            <a:extLst>
              <a:ext uri="{FF2B5EF4-FFF2-40B4-BE49-F238E27FC236}">
                <a16:creationId xmlns:a16="http://schemas.microsoft.com/office/drawing/2014/main" id="{00000000-0008-0000-0300-0000E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0"/>
          <a:stretch>
            <a:fillRect/>
          </a:stretch>
        </xdr:blipFill>
        <xdr:spPr>
          <a:xfrm>
            <a:off x="171200614" y="1097280"/>
            <a:ext cx="917986" cy="932330"/>
          </a:xfrm>
          <a:prstGeom prst="rect">
            <a:avLst/>
          </a:prstGeom>
        </xdr:spPr>
      </xdr:pic>
      <xdr:pic>
        <xdr:nvPicPr>
          <xdr:cNvPr id="2787" name="Pokemon_178_Droite">
            <a:extLst>
              <a:ext uri="{FF2B5EF4-FFF2-40B4-BE49-F238E27FC236}">
                <a16:creationId xmlns:a16="http://schemas.microsoft.com/office/drawing/2014/main" id="{00000000-0008-0000-0300-0000E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1"/>
          <a:stretch>
            <a:fillRect/>
          </a:stretch>
        </xdr:blipFill>
        <xdr:spPr>
          <a:xfrm>
            <a:off x="172118598" y="1097280"/>
            <a:ext cx="917986" cy="932330"/>
          </a:xfrm>
          <a:prstGeom prst="rect">
            <a:avLst/>
          </a:prstGeom>
        </xdr:spPr>
      </xdr:pic>
      <xdr:pic>
        <xdr:nvPicPr>
          <xdr:cNvPr id="2788" name="Pokemon_179_Droite">
            <a:extLst>
              <a:ext uri="{FF2B5EF4-FFF2-40B4-BE49-F238E27FC236}">
                <a16:creationId xmlns:a16="http://schemas.microsoft.com/office/drawing/2014/main" id="{00000000-0008-0000-0300-0000E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2"/>
          <a:stretch>
            <a:fillRect/>
          </a:stretch>
        </xdr:blipFill>
        <xdr:spPr>
          <a:xfrm>
            <a:off x="173036582" y="1097280"/>
            <a:ext cx="917986" cy="932330"/>
          </a:xfrm>
          <a:prstGeom prst="rect">
            <a:avLst/>
          </a:prstGeom>
        </xdr:spPr>
      </xdr:pic>
      <xdr:pic>
        <xdr:nvPicPr>
          <xdr:cNvPr id="2789" name="Pokemon_180_Droite">
            <a:extLst>
              <a:ext uri="{FF2B5EF4-FFF2-40B4-BE49-F238E27FC236}">
                <a16:creationId xmlns:a16="http://schemas.microsoft.com/office/drawing/2014/main" id="{00000000-0008-0000-0300-0000E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3"/>
          <a:stretch>
            <a:fillRect/>
          </a:stretch>
        </xdr:blipFill>
        <xdr:spPr>
          <a:xfrm>
            <a:off x="173954554" y="1097280"/>
            <a:ext cx="917986" cy="932330"/>
          </a:xfrm>
          <a:prstGeom prst="rect">
            <a:avLst/>
          </a:prstGeom>
        </xdr:spPr>
      </xdr:pic>
      <xdr:pic>
        <xdr:nvPicPr>
          <xdr:cNvPr id="2790" name="Pokemon_181_Droite">
            <a:extLst>
              <a:ext uri="{FF2B5EF4-FFF2-40B4-BE49-F238E27FC236}">
                <a16:creationId xmlns:a16="http://schemas.microsoft.com/office/drawing/2014/main" id="{00000000-0008-0000-0300-0000E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4"/>
          <a:stretch>
            <a:fillRect/>
          </a:stretch>
        </xdr:blipFill>
        <xdr:spPr>
          <a:xfrm>
            <a:off x="174872538" y="1097280"/>
            <a:ext cx="917986" cy="932330"/>
          </a:xfrm>
          <a:prstGeom prst="rect">
            <a:avLst/>
          </a:prstGeom>
        </xdr:spPr>
      </xdr:pic>
      <xdr:pic>
        <xdr:nvPicPr>
          <xdr:cNvPr id="2791" name="Pokemon_182_Droite">
            <a:extLst>
              <a:ext uri="{FF2B5EF4-FFF2-40B4-BE49-F238E27FC236}">
                <a16:creationId xmlns:a16="http://schemas.microsoft.com/office/drawing/2014/main" id="{00000000-0008-0000-0300-0000E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5"/>
          <a:stretch>
            <a:fillRect/>
          </a:stretch>
        </xdr:blipFill>
        <xdr:spPr>
          <a:xfrm>
            <a:off x="175790523" y="1097280"/>
            <a:ext cx="917986" cy="932330"/>
          </a:xfrm>
          <a:prstGeom prst="rect">
            <a:avLst/>
          </a:prstGeom>
        </xdr:spPr>
      </xdr:pic>
      <xdr:pic>
        <xdr:nvPicPr>
          <xdr:cNvPr id="2792" name="Pokemon_183_Droite">
            <a:extLst>
              <a:ext uri="{FF2B5EF4-FFF2-40B4-BE49-F238E27FC236}">
                <a16:creationId xmlns:a16="http://schemas.microsoft.com/office/drawing/2014/main" id="{00000000-0008-0000-0300-0000E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6"/>
          <a:stretch>
            <a:fillRect/>
          </a:stretch>
        </xdr:blipFill>
        <xdr:spPr>
          <a:xfrm>
            <a:off x="176708507" y="1097280"/>
            <a:ext cx="917986" cy="932330"/>
          </a:xfrm>
          <a:prstGeom prst="rect">
            <a:avLst/>
          </a:prstGeom>
        </xdr:spPr>
      </xdr:pic>
      <xdr:pic>
        <xdr:nvPicPr>
          <xdr:cNvPr id="2793" name="Pokemon_184_Droite">
            <a:extLst>
              <a:ext uri="{FF2B5EF4-FFF2-40B4-BE49-F238E27FC236}">
                <a16:creationId xmlns:a16="http://schemas.microsoft.com/office/drawing/2014/main" id="{00000000-0008-0000-0300-0000E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7"/>
          <a:stretch>
            <a:fillRect/>
          </a:stretch>
        </xdr:blipFill>
        <xdr:spPr>
          <a:xfrm>
            <a:off x="177626491" y="1097280"/>
            <a:ext cx="917986" cy="932330"/>
          </a:xfrm>
          <a:prstGeom prst="rect">
            <a:avLst/>
          </a:prstGeom>
        </xdr:spPr>
      </xdr:pic>
      <xdr:pic>
        <xdr:nvPicPr>
          <xdr:cNvPr id="2794" name="Pokemon_185_Droite">
            <a:extLst>
              <a:ext uri="{FF2B5EF4-FFF2-40B4-BE49-F238E27FC236}">
                <a16:creationId xmlns:a16="http://schemas.microsoft.com/office/drawing/2014/main" id="{00000000-0008-0000-0300-0000E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8"/>
          <a:stretch>
            <a:fillRect/>
          </a:stretch>
        </xdr:blipFill>
        <xdr:spPr>
          <a:xfrm>
            <a:off x="178544475" y="1097280"/>
            <a:ext cx="917986" cy="932330"/>
          </a:xfrm>
          <a:prstGeom prst="rect">
            <a:avLst/>
          </a:prstGeom>
        </xdr:spPr>
      </xdr:pic>
      <xdr:pic>
        <xdr:nvPicPr>
          <xdr:cNvPr id="2795" name="Pokemon_186_Droite">
            <a:extLst>
              <a:ext uri="{FF2B5EF4-FFF2-40B4-BE49-F238E27FC236}">
                <a16:creationId xmlns:a16="http://schemas.microsoft.com/office/drawing/2014/main" id="{00000000-0008-0000-0300-0000E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9"/>
          <a:stretch>
            <a:fillRect/>
          </a:stretch>
        </xdr:blipFill>
        <xdr:spPr>
          <a:xfrm>
            <a:off x="179462460" y="1097280"/>
            <a:ext cx="917986" cy="932330"/>
          </a:xfrm>
          <a:prstGeom prst="rect">
            <a:avLst/>
          </a:prstGeom>
        </xdr:spPr>
      </xdr:pic>
      <xdr:pic>
        <xdr:nvPicPr>
          <xdr:cNvPr id="2796" name="Pokemon_187_Droite">
            <a:extLst>
              <a:ext uri="{FF2B5EF4-FFF2-40B4-BE49-F238E27FC236}">
                <a16:creationId xmlns:a16="http://schemas.microsoft.com/office/drawing/2014/main" id="{00000000-0008-0000-0300-0000E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0"/>
          <a:stretch>
            <a:fillRect/>
          </a:stretch>
        </xdr:blipFill>
        <xdr:spPr>
          <a:xfrm>
            <a:off x="180380444" y="1097280"/>
            <a:ext cx="917986" cy="932330"/>
          </a:xfrm>
          <a:prstGeom prst="rect">
            <a:avLst/>
          </a:prstGeom>
        </xdr:spPr>
      </xdr:pic>
      <xdr:pic>
        <xdr:nvPicPr>
          <xdr:cNvPr id="2797" name="Pokemon_188_Droite">
            <a:extLst>
              <a:ext uri="{FF2B5EF4-FFF2-40B4-BE49-F238E27FC236}">
                <a16:creationId xmlns:a16="http://schemas.microsoft.com/office/drawing/2014/main" id="{00000000-0008-0000-0300-0000E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1"/>
          <a:stretch>
            <a:fillRect/>
          </a:stretch>
        </xdr:blipFill>
        <xdr:spPr>
          <a:xfrm>
            <a:off x="181298428" y="1097280"/>
            <a:ext cx="917986" cy="932330"/>
          </a:xfrm>
          <a:prstGeom prst="rect">
            <a:avLst/>
          </a:prstGeom>
        </xdr:spPr>
      </xdr:pic>
      <xdr:pic>
        <xdr:nvPicPr>
          <xdr:cNvPr id="2798" name="Pokemon_189_Droite">
            <a:extLst>
              <a:ext uri="{FF2B5EF4-FFF2-40B4-BE49-F238E27FC236}">
                <a16:creationId xmlns:a16="http://schemas.microsoft.com/office/drawing/2014/main" id="{00000000-0008-0000-0300-0000E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2"/>
          <a:stretch>
            <a:fillRect/>
          </a:stretch>
        </xdr:blipFill>
        <xdr:spPr>
          <a:xfrm>
            <a:off x="182216413" y="1097280"/>
            <a:ext cx="917986" cy="932330"/>
          </a:xfrm>
          <a:prstGeom prst="rect">
            <a:avLst/>
          </a:prstGeom>
        </xdr:spPr>
      </xdr:pic>
      <xdr:pic>
        <xdr:nvPicPr>
          <xdr:cNvPr id="2799" name="Pokemon_190_Droite">
            <a:extLst>
              <a:ext uri="{FF2B5EF4-FFF2-40B4-BE49-F238E27FC236}">
                <a16:creationId xmlns:a16="http://schemas.microsoft.com/office/drawing/2014/main" id="{00000000-0008-0000-0300-0000E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3"/>
          <a:stretch>
            <a:fillRect/>
          </a:stretch>
        </xdr:blipFill>
        <xdr:spPr>
          <a:xfrm>
            <a:off x="183134397" y="1097280"/>
            <a:ext cx="917986" cy="932330"/>
          </a:xfrm>
          <a:prstGeom prst="rect">
            <a:avLst/>
          </a:prstGeom>
        </xdr:spPr>
      </xdr:pic>
      <xdr:pic>
        <xdr:nvPicPr>
          <xdr:cNvPr id="2800" name="Pokemon_191_Droite">
            <a:extLst>
              <a:ext uri="{FF2B5EF4-FFF2-40B4-BE49-F238E27FC236}">
                <a16:creationId xmlns:a16="http://schemas.microsoft.com/office/drawing/2014/main" id="{00000000-0008-0000-0300-0000F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4"/>
          <a:stretch>
            <a:fillRect/>
          </a:stretch>
        </xdr:blipFill>
        <xdr:spPr>
          <a:xfrm>
            <a:off x="184052381" y="1097280"/>
            <a:ext cx="917986" cy="932330"/>
          </a:xfrm>
          <a:prstGeom prst="rect">
            <a:avLst/>
          </a:prstGeom>
        </xdr:spPr>
      </xdr:pic>
      <xdr:pic>
        <xdr:nvPicPr>
          <xdr:cNvPr id="2801" name="Pokemon_192_Droite">
            <a:extLst>
              <a:ext uri="{FF2B5EF4-FFF2-40B4-BE49-F238E27FC236}">
                <a16:creationId xmlns:a16="http://schemas.microsoft.com/office/drawing/2014/main" id="{00000000-0008-0000-0300-0000F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5"/>
          <a:stretch>
            <a:fillRect/>
          </a:stretch>
        </xdr:blipFill>
        <xdr:spPr>
          <a:xfrm>
            <a:off x="184970365" y="1097280"/>
            <a:ext cx="917986" cy="932330"/>
          </a:xfrm>
          <a:prstGeom prst="rect">
            <a:avLst/>
          </a:prstGeom>
        </xdr:spPr>
      </xdr:pic>
      <xdr:pic>
        <xdr:nvPicPr>
          <xdr:cNvPr id="2802" name="Pokemon_193_Droite">
            <a:extLst>
              <a:ext uri="{FF2B5EF4-FFF2-40B4-BE49-F238E27FC236}">
                <a16:creationId xmlns:a16="http://schemas.microsoft.com/office/drawing/2014/main" id="{00000000-0008-0000-0300-0000F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6"/>
          <a:stretch>
            <a:fillRect/>
          </a:stretch>
        </xdr:blipFill>
        <xdr:spPr>
          <a:xfrm>
            <a:off x="185888350" y="1097280"/>
            <a:ext cx="917986" cy="932330"/>
          </a:xfrm>
          <a:prstGeom prst="rect">
            <a:avLst/>
          </a:prstGeom>
        </xdr:spPr>
      </xdr:pic>
      <xdr:pic>
        <xdr:nvPicPr>
          <xdr:cNvPr id="2803" name="Pokemon_194_Droite">
            <a:extLst>
              <a:ext uri="{FF2B5EF4-FFF2-40B4-BE49-F238E27FC236}">
                <a16:creationId xmlns:a16="http://schemas.microsoft.com/office/drawing/2014/main" id="{00000000-0008-0000-0300-0000F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7"/>
          <a:stretch>
            <a:fillRect/>
          </a:stretch>
        </xdr:blipFill>
        <xdr:spPr>
          <a:xfrm>
            <a:off x="186806334" y="1097280"/>
            <a:ext cx="917986" cy="932330"/>
          </a:xfrm>
          <a:prstGeom prst="rect">
            <a:avLst/>
          </a:prstGeom>
        </xdr:spPr>
      </xdr:pic>
      <xdr:pic>
        <xdr:nvPicPr>
          <xdr:cNvPr id="2804" name="Pokemon_195_Droite">
            <a:extLst>
              <a:ext uri="{FF2B5EF4-FFF2-40B4-BE49-F238E27FC236}">
                <a16:creationId xmlns:a16="http://schemas.microsoft.com/office/drawing/2014/main" id="{00000000-0008-0000-0300-0000F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8"/>
          <a:stretch>
            <a:fillRect/>
          </a:stretch>
        </xdr:blipFill>
        <xdr:spPr>
          <a:xfrm>
            <a:off x="187724318" y="1097280"/>
            <a:ext cx="917986" cy="932330"/>
          </a:xfrm>
          <a:prstGeom prst="rect">
            <a:avLst/>
          </a:prstGeom>
        </xdr:spPr>
      </xdr:pic>
      <xdr:pic>
        <xdr:nvPicPr>
          <xdr:cNvPr id="2805" name="Pokemon_196_Droite">
            <a:extLst>
              <a:ext uri="{FF2B5EF4-FFF2-40B4-BE49-F238E27FC236}">
                <a16:creationId xmlns:a16="http://schemas.microsoft.com/office/drawing/2014/main" id="{00000000-0008-0000-0300-0000F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9"/>
          <a:stretch>
            <a:fillRect/>
          </a:stretch>
        </xdr:blipFill>
        <xdr:spPr>
          <a:xfrm>
            <a:off x="188642303" y="1097280"/>
            <a:ext cx="917986" cy="932330"/>
          </a:xfrm>
          <a:prstGeom prst="rect">
            <a:avLst/>
          </a:prstGeom>
        </xdr:spPr>
      </xdr:pic>
      <xdr:pic>
        <xdr:nvPicPr>
          <xdr:cNvPr id="2806" name="Pokemon_197_Droite">
            <a:extLst>
              <a:ext uri="{FF2B5EF4-FFF2-40B4-BE49-F238E27FC236}">
                <a16:creationId xmlns:a16="http://schemas.microsoft.com/office/drawing/2014/main" id="{00000000-0008-0000-0300-0000F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0"/>
          <a:stretch>
            <a:fillRect/>
          </a:stretch>
        </xdr:blipFill>
        <xdr:spPr>
          <a:xfrm>
            <a:off x="189560287" y="1097280"/>
            <a:ext cx="917986" cy="932330"/>
          </a:xfrm>
          <a:prstGeom prst="rect">
            <a:avLst/>
          </a:prstGeom>
        </xdr:spPr>
      </xdr:pic>
      <xdr:pic>
        <xdr:nvPicPr>
          <xdr:cNvPr id="2807" name="Pokemon_198_Droite">
            <a:extLst>
              <a:ext uri="{FF2B5EF4-FFF2-40B4-BE49-F238E27FC236}">
                <a16:creationId xmlns:a16="http://schemas.microsoft.com/office/drawing/2014/main" id="{00000000-0008-0000-0300-0000F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1"/>
          <a:stretch>
            <a:fillRect/>
          </a:stretch>
        </xdr:blipFill>
        <xdr:spPr>
          <a:xfrm>
            <a:off x="190478271" y="1097280"/>
            <a:ext cx="917986" cy="932330"/>
          </a:xfrm>
          <a:prstGeom prst="rect">
            <a:avLst/>
          </a:prstGeom>
        </xdr:spPr>
      </xdr:pic>
      <xdr:pic>
        <xdr:nvPicPr>
          <xdr:cNvPr id="2808" name="Pokemon_199_Droite">
            <a:extLst>
              <a:ext uri="{FF2B5EF4-FFF2-40B4-BE49-F238E27FC236}">
                <a16:creationId xmlns:a16="http://schemas.microsoft.com/office/drawing/2014/main" id="{00000000-0008-0000-0300-0000F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2"/>
          <a:stretch>
            <a:fillRect/>
          </a:stretch>
        </xdr:blipFill>
        <xdr:spPr>
          <a:xfrm>
            <a:off x="191396255" y="1097280"/>
            <a:ext cx="917986" cy="932330"/>
          </a:xfrm>
          <a:prstGeom prst="rect">
            <a:avLst/>
          </a:prstGeom>
        </xdr:spPr>
      </xdr:pic>
      <xdr:pic>
        <xdr:nvPicPr>
          <xdr:cNvPr id="2809" name="Pokemon_200_Droite">
            <a:extLst>
              <a:ext uri="{FF2B5EF4-FFF2-40B4-BE49-F238E27FC236}">
                <a16:creationId xmlns:a16="http://schemas.microsoft.com/office/drawing/2014/main" id="{00000000-0008-0000-0300-0000F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3"/>
          <a:stretch>
            <a:fillRect/>
          </a:stretch>
        </xdr:blipFill>
        <xdr:spPr>
          <a:xfrm>
            <a:off x="192314240" y="1097280"/>
            <a:ext cx="917986" cy="932330"/>
          </a:xfrm>
          <a:prstGeom prst="rect">
            <a:avLst/>
          </a:prstGeom>
        </xdr:spPr>
      </xdr:pic>
      <xdr:pic>
        <xdr:nvPicPr>
          <xdr:cNvPr id="2810" name="Pokemon_201_Droite">
            <a:extLst>
              <a:ext uri="{FF2B5EF4-FFF2-40B4-BE49-F238E27FC236}">
                <a16:creationId xmlns:a16="http://schemas.microsoft.com/office/drawing/2014/main" id="{00000000-0008-0000-0300-0000F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4"/>
          <a:stretch>
            <a:fillRect/>
          </a:stretch>
        </xdr:blipFill>
        <xdr:spPr>
          <a:xfrm>
            <a:off x="193232224" y="1097280"/>
            <a:ext cx="917986" cy="932330"/>
          </a:xfrm>
          <a:prstGeom prst="rect">
            <a:avLst/>
          </a:prstGeom>
        </xdr:spPr>
      </xdr:pic>
      <xdr:pic>
        <xdr:nvPicPr>
          <xdr:cNvPr id="2811" name="Pokemon_202_Droite">
            <a:extLst>
              <a:ext uri="{FF2B5EF4-FFF2-40B4-BE49-F238E27FC236}">
                <a16:creationId xmlns:a16="http://schemas.microsoft.com/office/drawing/2014/main" id="{00000000-0008-0000-0300-0000F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5"/>
          <a:stretch>
            <a:fillRect/>
          </a:stretch>
        </xdr:blipFill>
        <xdr:spPr>
          <a:xfrm>
            <a:off x="194150208" y="1097280"/>
            <a:ext cx="917986" cy="932330"/>
          </a:xfrm>
          <a:prstGeom prst="rect">
            <a:avLst/>
          </a:prstGeom>
        </xdr:spPr>
      </xdr:pic>
      <xdr:pic>
        <xdr:nvPicPr>
          <xdr:cNvPr id="2812" name="Pokemon_203_Droite">
            <a:extLst>
              <a:ext uri="{FF2B5EF4-FFF2-40B4-BE49-F238E27FC236}">
                <a16:creationId xmlns:a16="http://schemas.microsoft.com/office/drawing/2014/main" id="{00000000-0008-0000-0300-0000F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6"/>
          <a:stretch>
            <a:fillRect/>
          </a:stretch>
        </xdr:blipFill>
        <xdr:spPr>
          <a:xfrm>
            <a:off x="195068192" y="1097280"/>
            <a:ext cx="917986" cy="932330"/>
          </a:xfrm>
          <a:prstGeom prst="rect">
            <a:avLst/>
          </a:prstGeom>
        </xdr:spPr>
      </xdr:pic>
      <xdr:pic>
        <xdr:nvPicPr>
          <xdr:cNvPr id="2813" name="Pokemon_204_Droite">
            <a:extLst>
              <a:ext uri="{FF2B5EF4-FFF2-40B4-BE49-F238E27FC236}">
                <a16:creationId xmlns:a16="http://schemas.microsoft.com/office/drawing/2014/main" id="{00000000-0008-0000-0300-0000F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7"/>
          <a:stretch>
            <a:fillRect/>
          </a:stretch>
        </xdr:blipFill>
        <xdr:spPr>
          <a:xfrm>
            <a:off x="195986177" y="1097280"/>
            <a:ext cx="917986" cy="932330"/>
          </a:xfrm>
          <a:prstGeom prst="rect">
            <a:avLst/>
          </a:prstGeom>
        </xdr:spPr>
      </xdr:pic>
      <xdr:pic>
        <xdr:nvPicPr>
          <xdr:cNvPr id="2814" name="Pokemon_205_Droite">
            <a:extLst>
              <a:ext uri="{FF2B5EF4-FFF2-40B4-BE49-F238E27FC236}">
                <a16:creationId xmlns:a16="http://schemas.microsoft.com/office/drawing/2014/main" id="{00000000-0008-0000-0300-0000F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8"/>
          <a:stretch>
            <a:fillRect/>
          </a:stretch>
        </xdr:blipFill>
        <xdr:spPr>
          <a:xfrm>
            <a:off x="196904161" y="1097280"/>
            <a:ext cx="917986" cy="932330"/>
          </a:xfrm>
          <a:prstGeom prst="rect">
            <a:avLst/>
          </a:prstGeom>
        </xdr:spPr>
      </xdr:pic>
      <xdr:pic>
        <xdr:nvPicPr>
          <xdr:cNvPr id="2815" name="Pokemon_206_Droite">
            <a:extLst>
              <a:ext uri="{FF2B5EF4-FFF2-40B4-BE49-F238E27FC236}">
                <a16:creationId xmlns:a16="http://schemas.microsoft.com/office/drawing/2014/main" id="{00000000-0008-0000-0300-0000F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9"/>
          <a:stretch>
            <a:fillRect/>
          </a:stretch>
        </xdr:blipFill>
        <xdr:spPr>
          <a:xfrm>
            <a:off x="197822145" y="1097280"/>
            <a:ext cx="917986" cy="932330"/>
          </a:xfrm>
          <a:prstGeom prst="rect">
            <a:avLst/>
          </a:prstGeom>
        </xdr:spPr>
      </xdr:pic>
      <xdr:pic>
        <xdr:nvPicPr>
          <xdr:cNvPr id="2816" name="Pokemon_207_Droite">
            <a:extLst>
              <a:ext uri="{FF2B5EF4-FFF2-40B4-BE49-F238E27FC236}">
                <a16:creationId xmlns:a16="http://schemas.microsoft.com/office/drawing/2014/main" id="{00000000-0008-0000-0300-00000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0"/>
          <a:stretch>
            <a:fillRect/>
          </a:stretch>
        </xdr:blipFill>
        <xdr:spPr>
          <a:xfrm>
            <a:off x="198740130" y="1097280"/>
            <a:ext cx="917986" cy="932330"/>
          </a:xfrm>
          <a:prstGeom prst="rect">
            <a:avLst/>
          </a:prstGeom>
        </xdr:spPr>
      </xdr:pic>
      <xdr:pic>
        <xdr:nvPicPr>
          <xdr:cNvPr id="2817" name="Pokemon_208_Droite">
            <a:extLst>
              <a:ext uri="{FF2B5EF4-FFF2-40B4-BE49-F238E27FC236}">
                <a16:creationId xmlns:a16="http://schemas.microsoft.com/office/drawing/2014/main" id="{00000000-0008-0000-0300-00000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1"/>
          <a:stretch>
            <a:fillRect/>
          </a:stretch>
        </xdr:blipFill>
        <xdr:spPr>
          <a:xfrm>
            <a:off x="199658114" y="1097280"/>
            <a:ext cx="917986" cy="932330"/>
          </a:xfrm>
          <a:prstGeom prst="rect">
            <a:avLst/>
          </a:prstGeom>
        </xdr:spPr>
      </xdr:pic>
      <xdr:pic>
        <xdr:nvPicPr>
          <xdr:cNvPr id="2818" name="Pokemon_209_Droite">
            <a:extLst>
              <a:ext uri="{FF2B5EF4-FFF2-40B4-BE49-F238E27FC236}">
                <a16:creationId xmlns:a16="http://schemas.microsoft.com/office/drawing/2014/main" id="{00000000-0008-0000-0300-00000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2"/>
          <a:stretch>
            <a:fillRect/>
          </a:stretch>
        </xdr:blipFill>
        <xdr:spPr>
          <a:xfrm>
            <a:off x="200576098" y="1097280"/>
            <a:ext cx="917986" cy="932330"/>
          </a:xfrm>
          <a:prstGeom prst="rect">
            <a:avLst/>
          </a:prstGeom>
        </xdr:spPr>
      </xdr:pic>
      <xdr:pic>
        <xdr:nvPicPr>
          <xdr:cNvPr id="2819" name="Pokemon_210_Droite">
            <a:extLst>
              <a:ext uri="{FF2B5EF4-FFF2-40B4-BE49-F238E27FC236}">
                <a16:creationId xmlns:a16="http://schemas.microsoft.com/office/drawing/2014/main" id="{00000000-0008-0000-0300-00000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3"/>
          <a:stretch>
            <a:fillRect/>
          </a:stretch>
        </xdr:blipFill>
        <xdr:spPr>
          <a:xfrm>
            <a:off x="201494082" y="1097280"/>
            <a:ext cx="917986" cy="932330"/>
          </a:xfrm>
          <a:prstGeom prst="rect">
            <a:avLst/>
          </a:prstGeom>
        </xdr:spPr>
      </xdr:pic>
      <xdr:pic>
        <xdr:nvPicPr>
          <xdr:cNvPr id="2820" name="Pokemon_211_Droite">
            <a:extLst>
              <a:ext uri="{FF2B5EF4-FFF2-40B4-BE49-F238E27FC236}">
                <a16:creationId xmlns:a16="http://schemas.microsoft.com/office/drawing/2014/main" id="{00000000-0008-0000-0300-00000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4"/>
          <a:stretch>
            <a:fillRect/>
          </a:stretch>
        </xdr:blipFill>
        <xdr:spPr>
          <a:xfrm>
            <a:off x="202412067" y="1097280"/>
            <a:ext cx="917986" cy="932330"/>
          </a:xfrm>
          <a:prstGeom prst="rect">
            <a:avLst/>
          </a:prstGeom>
        </xdr:spPr>
      </xdr:pic>
      <xdr:pic>
        <xdr:nvPicPr>
          <xdr:cNvPr id="2821" name="Pokemon_212_Droite">
            <a:extLst>
              <a:ext uri="{FF2B5EF4-FFF2-40B4-BE49-F238E27FC236}">
                <a16:creationId xmlns:a16="http://schemas.microsoft.com/office/drawing/2014/main" id="{00000000-0008-0000-0300-00000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5"/>
          <a:stretch>
            <a:fillRect/>
          </a:stretch>
        </xdr:blipFill>
        <xdr:spPr>
          <a:xfrm>
            <a:off x="203330051" y="1097280"/>
            <a:ext cx="917986" cy="932330"/>
          </a:xfrm>
          <a:prstGeom prst="rect">
            <a:avLst/>
          </a:prstGeom>
        </xdr:spPr>
      </xdr:pic>
      <xdr:pic>
        <xdr:nvPicPr>
          <xdr:cNvPr id="2822" name="Pokemon_213_Droite">
            <a:extLst>
              <a:ext uri="{FF2B5EF4-FFF2-40B4-BE49-F238E27FC236}">
                <a16:creationId xmlns:a16="http://schemas.microsoft.com/office/drawing/2014/main" id="{00000000-0008-0000-0300-00000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6"/>
          <a:stretch>
            <a:fillRect/>
          </a:stretch>
        </xdr:blipFill>
        <xdr:spPr>
          <a:xfrm>
            <a:off x="204248035" y="1097280"/>
            <a:ext cx="917986" cy="932330"/>
          </a:xfrm>
          <a:prstGeom prst="rect">
            <a:avLst/>
          </a:prstGeom>
        </xdr:spPr>
      </xdr:pic>
      <xdr:pic>
        <xdr:nvPicPr>
          <xdr:cNvPr id="2823" name="Pokemon_214_Droite">
            <a:extLst>
              <a:ext uri="{FF2B5EF4-FFF2-40B4-BE49-F238E27FC236}">
                <a16:creationId xmlns:a16="http://schemas.microsoft.com/office/drawing/2014/main" id="{00000000-0008-0000-0300-00000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7"/>
          <a:stretch>
            <a:fillRect/>
          </a:stretch>
        </xdr:blipFill>
        <xdr:spPr>
          <a:xfrm>
            <a:off x="205166020" y="1097280"/>
            <a:ext cx="917986" cy="932330"/>
          </a:xfrm>
          <a:prstGeom prst="rect">
            <a:avLst/>
          </a:prstGeom>
        </xdr:spPr>
      </xdr:pic>
      <xdr:pic>
        <xdr:nvPicPr>
          <xdr:cNvPr id="2824" name="Pokemon_215_Droite">
            <a:extLst>
              <a:ext uri="{FF2B5EF4-FFF2-40B4-BE49-F238E27FC236}">
                <a16:creationId xmlns:a16="http://schemas.microsoft.com/office/drawing/2014/main" id="{00000000-0008-0000-0300-00000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8"/>
          <a:stretch>
            <a:fillRect/>
          </a:stretch>
        </xdr:blipFill>
        <xdr:spPr>
          <a:xfrm>
            <a:off x="206084004" y="1097280"/>
            <a:ext cx="917986" cy="932330"/>
          </a:xfrm>
          <a:prstGeom prst="rect">
            <a:avLst/>
          </a:prstGeom>
        </xdr:spPr>
      </xdr:pic>
      <xdr:pic>
        <xdr:nvPicPr>
          <xdr:cNvPr id="2825" name="Pokemon_216_Droite">
            <a:extLst>
              <a:ext uri="{FF2B5EF4-FFF2-40B4-BE49-F238E27FC236}">
                <a16:creationId xmlns:a16="http://schemas.microsoft.com/office/drawing/2014/main" id="{00000000-0008-0000-0300-00000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9"/>
          <a:stretch>
            <a:fillRect/>
          </a:stretch>
        </xdr:blipFill>
        <xdr:spPr>
          <a:xfrm>
            <a:off x="207001988" y="1097280"/>
            <a:ext cx="917986" cy="932330"/>
          </a:xfrm>
          <a:prstGeom prst="rect">
            <a:avLst/>
          </a:prstGeom>
        </xdr:spPr>
      </xdr:pic>
      <xdr:pic>
        <xdr:nvPicPr>
          <xdr:cNvPr id="2826" name="Pokemon_217_Droite">
            <a:extLst>
              <a:ext uri="{FF2B5EF4-FFF2-40B4-BE49-F238E27FC236}">
                <a16:creationId xmlns:a16="http://schemas.microsoft.com/office/drawing/2014/main" id="{00000000-0008-0000-0300-00000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0"/>
          <a:stretch>
            <a:fillRect/>
          </a:stretch>
        </xdr:blipFill>
        <xdr:spPr>
          <a:xfrm>
            <a:off x="207919972" y="1097280"/>
            <a:ext cx="917986" cy="932330"/>
          </a:xfrm>
          <a:prstGeom prst="rect">
            <a:avLst/>
          </a:prstGeom>
        </xdr:spPr>
      </xdr:pic>
      <xdr:pic>
        <xdr:nvPicPr>
          <xdr:cNvPr id="2827" name="Pokemon_218_Droite">
            <a:extLst>
              <a:ext uri="{FF2B5EF4-FFF2-40B4-BE49-F238E27FC236}">
                <a16:creationId xmlns:a16="http://schemas.microsoft.com/office/drawing/2014/main" id="{00000000-0008-0000-0300-00000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1"/>
          <a:stretch>
            <a:fillRect/>
          </a:stretch>
        </xdr:blipFill>
        <xdr:spPr>
          <a:xfrm>
            <a:off x="208837957" y="1097280"/>
            <a:ext cx="917986" cy="932330"/>
          </a:xfrm>
          <a:prstGeom prst="rect">
            <a:avLst/>
          </a:prstGeom>
        </xdr:spPr>
      </xdr:pic>
      <xdr:pic>
        <xdr:nvPicPr>
          <xdr:cNvPr id="2828" name="Pokemon_219_Droite">
            <a:extLst>
              <a:ext uri="{FF2B5EF4-FFF2-40B4-BE49-F238E27FC236}">
                <a16:creationId xmlns:a16="http://schemas.microsoft.com/office/drawing/2014/main" id="{00000000-0008-0000-0300-00000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2"/>
          <a:stretch>
            <a:fillRect/>
          </a:stretch>
        </xdr:blipFill>
        <xdr:spPr>
          <a:xfrm>
            <a:off x="209755953" y="1097280"/>
            <a:ext cx="917986" cy="932330"/>
          </a:xfrm>
          <a:prstGeom prst="rect">
            <a:avLst/>
          </a:prstGeom>
        </xdr:spPr>
      </xdr:pic>
      <xdr:pic>
        <xdr:nvPicPr>
          <xdr:cNvPr id="2829" name="Pokemon_220_Droite">
            <a:extLst>
              <a:ext uri="{FF2B5EF4-FFF2-40B4-BE49-F238E27FC236}">
                <a16:creationId xmlns:a16="http://schemas.microsoft.com/office/drawing/2014/main" id="{00000000-0008-0000-0300-00000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3"/>
          <a:stretch>
            <a:fillRect/>
          </a:stretch>
        </xdr:blipFill>
        <xdr:spPr>
          <a:xfrm>
            <a:off x="210673950" y="1097280"/>
            <a:ext cx="917986" cy="932330"/>
          </a:xfrm>
          <a:prstGeom prst="rect">
            <a:avLst/>
          </a:prstGeom>
        </xdr:spPr>
      </xdr:pic>
      <xdr:pic>
        <xdr:nvPicPr>
          <xdr:cNvPr id="2830" name="Pokemon_221_Droite">
            <a:extLst>
              <a:ext uri="{FF2B5EF4-FFF2-40B4-BE49-F238E27FC236}">
                <a16:creationId xmlns:a16="http://schemas.microsoft.com/office/drawing/2014/main" id="{00000000-0008-0000-0300-00000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4"/>
          <a:stretch>
            <a:fillRect/>
          </a:stretch>
        </xdr:blipFill>
        <xdr:spPr>
          <a:xfrm>
            <a:off x="211591947" y="1097280"/>
            <a:ext cx="917986" cy="932330"/>
          </a:xfrm>
          <a:prstGeom prst="rect">
            <a:avLst/>
          </a:prstGeom>
        </xdr:spPr>
      </xdr:pic>
      <xdr:pic>
        <xdr:nvPicPr>
          <xdr:cNvPr id="2831" name="Pokemon_222_Droite">
            <a:extLst>
              <a:ext uri="{FF2B5EF4-FFF2-40B4-BE49-F238E27FC236}">
                <a16:creationId xmlns:a16="http://schemas.microsoft.com/office/drawing/2014/main" id="{00000000-0008-0000-0300-00000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5"/>
          <a:stretch>
            <a:fillRect/>
          </a:stretch>
        </xdr:blipFill>
        <xdr:spPr>
          <a:xfrm>
            <a:off x="212509943" y="1097280"/>
            <a:ext cx="917986" cy="932330"/>
          </a:xfrm>
          <a:prstGeom prst="rect">
            <a:avLst/>
          </a:prstGeom>
        </xdr:spPr>
      </xdr:pic>
      <xdr:pic>
        <xdr:nvPicPr>
          <xdr:cNvPr id="2832" name="Pokemon_223_Droite">
            <a:extLst>
              <a:ext uri="{FF2B5EF4-FFF2-40B4-BE49-F238E27FC236}">
                <a16:creationId xmlns:a16="http://schemas.microsoft.com/office/drawing/2014/main" id="{00000000-0008-0000-0300-00001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6"/>
          <a:stretch>
            <a:fillRect/>
          </a:stretch>
        </xdr:blipFill>
        <xdr:spPr>
          <a:xfrm>
            <a:off x="213427940" y="1097280"/>
            <a:ext cx="917986" cy="932330"/>
          </a:xfrm>
          <a:prstGeom prst="rect">
            <a:avLst/>
          </a:prstGeom>
        </xdr:spPr>
      </xdr:pic>
      <xdr:pic>
        <xdr:nvPicPr>
          <xdr:cNvPr id="2833" name="Pokemon_224_Droite">
            <a:extLst>
              <a:ext uri="{FF2B5EF4-FFF2-40B4-BE49-F238E27FC236}">
                <a16:creationId xmlns:a16="http://schemas.microsoft.com/office/drawing/2014/main" id="{00000000-0008-0000-0300-00001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7"/>
          <a:stretch>
            <a:fillRect/>
          </a:stretch>
        </xdr:blipFill>
        <xdr:spPr>
          <a:xfrm>
            <a:off x="214345937" y="1097280"/>
            <a:ext cx="917986" cy="932330"/>
          </a:xfrm>
          <a:prstGeom prst="rect">
            <a:avLst/>
          </a:prstGeom>
        </xdr:spPr>
      </xdr:pic>
      <xdr:pic>
        <xdr:nvPicPr>
          <xdr:cNvPr id="2834" name="Pokemon_225_Droite">
            <a:extLst>
              <a:ext uri="{FF2B5EF4-FFF2-40B4-BE49-F238E27FC236}">
                <a16:creationId xmlns:a16="http://schemas.microsoft.com/office/drawing/2014/main" id="{00000000-0008-0000-0300-00001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8"/>
          <a:stretch>
            <a:fillRect/>
          </a:stretch>
        </xdr:blipFill>
        <xdr:spPr>
          <a:xfrm>
            <a:off x="215263933" y="1097280"/>
            <a:ext cx="917986" cy="932330"/>
          </a:xfrm>
          <a:prstGeom prst="rect">
            <a:avLst/>
          </a:prstGeom>
        </xdr:spPr>
      </xdr:pic>
      <xdr:pic>
        <xdr:nvPicPr>
          <xdr:cNvPr id="2835" name="Pokemon_226_Droite">
            <a:extLst>
              <a:ext uri="{FF2B5EF4-FFF2-40B4-BE49-F238E27FC236}">
                <a16:creationId xmlns:a16="http://schemas.microsoft.com/office/drawing/2014/main" id="{00000000-0008-0000-0300-00001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9"/>
          <a:stretch>
            <a:fillRect/>
          </a:stretch>
        </xdr:blipFill>
        <xdr:spPr>
          <a:xfrm>
            <a:off x="216181930" y="1097280"/>
            <a:ext cx="917986" cy="932330"/>
          </a:xfrm>
          <a:prstGeom prst="rect">
            <a:avLst/>
          </a:prstGeom>
        </xdr:spPr>
      </xdr:pic>
      <xdr:pic>
        <xdr:nvPicPr>
          <xdr:cNvPr id="2836" name="Pokemon_227_Droite">
            <a:extLst>
              <a:ext uri="{FF2B5EF4-FFF2-40B4-BE49-F238E27FC236}">
                <a16:creationId xmlns:a16="http://schemas.microsoft.com/office/drawing/2014/main" id="{00000000-0008-0000-0300-00001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0"/>
          <a:stretch>
            <a:fillRect/>
          </a:stretch>
        </xdr:blipFill>
        <xdr:spPr>
          <a:xfrm>
            <a:off x="217099927" y="1097280"/>
            <a:ext cx="917986" cy="932330"/>
          </a:xfrm>
          <a:prstGeom prst="rect">
            <a:avLst/>
          </a:prstGeom>
        </xdr:spPr>
      </xdr:pic>
      <xdr:pic>
        <xdr:nvPicPr>
          <xdr:cNvPr id="2837" name="Pokemon_228_Droite">
            <a:extLst>
              <a:ext uri="{FF2B5EF4-FFF2-40B4-BE49-F238E27FC236}">
                <a16:creationId xmlns:a16="http://schemas.microsoft.com/office/drawing/2014/main" id="{00000000-0008-0000-0300-00001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1"/>
          <a:stretch>
            <a:fillRect/>
          </a:stretch>
        </xdr:blipFill>
        <xdr:spPr>
          <a:xfrm>
            <a:off x="218017923" y="1097280"/>
            <a:ext cx="917986" cy="932330"/>
          </a:xfrm>
          <a:prstGeom prst="rect">
            <a:avLst/>
          </a:prstGeom>
        </xdr:spPr>
      </xdr:pic>
      <xdr:pic>
        <xdr:nvPicPr>
          <xdr:cNvPr id="2838" name="Pokemon_229_Droite">
            <a:extLst>
              <a:ext uri="{FF2B5EF4-FFF2-40B4-BE49-F238E27FC236}">
                <a16:creationId xmlns:a16="http://schemas.microsoft.com/office/drawing/2014/main" id="{00000000-0008-0000-0300-00001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2"/>
          <a:stretch>
            <a:fillRect/>
          </a:stretch>
        </xdr:blipFill>
        <xdr:spPr>
          <a:xfrm>
            <a:off x="218935920" y="1097280"/>
            <a:ext cx="917986" cy="932330"/>
          </a:xfrm>
          <a:prstGeom prst="rect">
            <a:avLst/>
          </a:prstGeom>
        </xdr:spPr>
      </xdr:pic>
      <xdr:pic>
        <xdr:nvPicPr>
          <xdr:cNvPr id="2839" name="Pokemon_230_Droite">
            <a:extLst>
              <a:ext uri="{FF2B5EF4-FFF2-40B4-BE49-F238E27FC236}">
                <a16:creationId xmlns:a16="http://schemas.microsoft.com/office/drawing/2014/main" id="{00000000-0008-0000-0300-00001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3"/>
          <a:stretch>
            <a:fillRect/>
          </a:stretch>
        </xdr:blipFill>
        <xdr:spPr>
          <a:xfrm>
            <a:off x="219853917" y="1097280"/>
            <a:ext cx="917986" cy="932330"/>
          </a:xfrm>
          <a:prstGeom prst="rect">
            <a:avLst/>
          </a:prstGeom>
        </xdr:spPr>
      </xdr:pic>
      <xdr:pic>
        <xdr:nvPicPr>
          <xdr:cNvPr id="2840" name="Pokemon_231_Droite">
            <a:extLst>
              <a:ext uri="{FF2B5EF4-FFF2-40B4-BE49-F238E27FC236}">
                <a16:creationId xmlns:a16="http://schemas.microsoft.com/office/drawing/2014/main" id="{00000000-0008-0000-0300-00001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4"/>
          <a:stretch>
            <a:fillRect/>
          </a:stretch>
        </xdr:blipFill>
        <xdr:spPr>
          <a:xfrm>
            <a:off x="220771913" y="1097280"/>
            <a:ext cx="917986" cy="932330"/>
          </a:xfrm>
          <a:prstGeom prst="rect">
            <a:avLst/>
          </a:prstGeom>
        </xdr:spPr>
      </xdr:pic>
      <xdr:pic>
        <xdr:nvPicPr>
          <xdr:cNvPr id="2841" name="Pokemon_232_Droite">
            <a:extLst>
              <a:ext uri="{FF2B5EF4-FFF2-40B4-BE49-F238E27FC236}">
                <a16:creationId xmlns:a16="http://schemas.microsoft.com/office/drawing/2014/main" id="{00000000-0008-0000-0300-00001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5"/>
          <a:stretch>
            <a:fillRect/>
          </a:stretch>
        </xdr:blipFill>
        <xdr:spPr>
          <a:xfrm>
            <a:off x="221689910" y="1097280"/>
            <a:ext cx="917986" cy="932330"/>
          </a:xfrm>
          <a:prstGeom prst="rect">
            <a:avLst/>
          </a:prstGeom>
        </xdr:spPr>
      </xdr:pic>
      <xdr:pic>
        <xdr:nvPicPr>
          <xdr:cNvPr id="2842" name="Pokemon_233_Droite">
            <a:extLst>
              <a:ext uri="{FF2B5EF4-FFF2-40B4-BE49-F238E27FC236}">
                <a16:creationId xmlns:a16="http://schemas.microsoft.com/office/drawing/2014/main" id="{00000000-0008-0000-0300-00001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6"/>
          <a:stretch>
            <a:fillRect/>
          </a:stretch>
        </xdr:blipFill>
        <xdr:spPr>
          <a:xfrm>
            <a:off x="222607907" y="1097280"/>
            <a:ext cx="917986" cy="932330"/>
          </a:xfrm>
          <a:prstGeom prst="rect">
            <a:avLst/>
          </a:prstGeom>
        </xdr:spPr>
      </xdr:pic>
      <xdr:pic>
        <xdr:nvPicPr>
          <xdr:cNvPr id="2843" name="Pokemon_234_Droite">
            <a:extLst>
              <a:ext uri="{FF2B5EF4-FFF2-40B4-BE49-F238E27FC236}">
                <a16:creationId xmlns:a16="http://schemas.microsoft.com/office/drawing/2014/main" id="{00000000-0008-0000-0300-00001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7"/>
          <a:stretch>
            <a:fillRect/>
          </a:stretch>
        </xdr:blipFill>
        <xdr:spPr>
          <a:xfrm>
            <a:off x="223525904" y="1097280"/>
            <a:ext cx="917986" cy="932330"/>
          </a:xfrm>
          <a:prstGeom prst="rect">
            <a:avLst/>
          </a:prstGeom>
        </xdr:spPr>
      </xdr:pic>
      <xdr:pic>
        <xdr:nvPicPr>
          <xdr:cNvPr id="2844" name="Pokemon_235_Droite">
            <a:extLst>
              <a:ext uri="{FF2B5EF4-FFF2-40B4-BE49-F238E27FC236}">
                <a16:creationId xmlns:a16="http://schemas.microsoft.com/office/drawing/2014/main" id="{00000000-0008-0000-0300-00001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8"/>
          <a:stretch>
            <a:fillRect/>
          </a:stretch>
        </xdr:blipFill>
        <xdr:spPr>
          <a:xfrm>
            <a:off x="224443900" y="1097280"/>
            <a:ext cx="917986" cy="932330"/>
          </a:xfrm>
          <a:prstGeom prst="rect">
            <a:avLst/>
          </a:prstGeom>
        </xdr:spPr>
      </xdr:pic>
      <xdr:pic>
        <xdr:nvPicPr>
          <xdr:cNvPr id="2845" name="Pokemon_236_Droite">
            <a:extLst>
              <a:ext uri="{FF2B5EF4-FFF2-40B4-BE49-F238E27FC236}">
                <a16:creationId xmlns:a16="http://schemas.microsoft.com/office/drawing/2014/main" id="{00000000-0008-0000-0300-00001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9"/>
          <a:stretch>
            <a:fillRect/>
          </a:stretch>
        </xdr:blipFill>
        <xdr:spPr>
          <a:xfrm>
            <a:off x="225361897" y="1097280"/>
            <a:ext cx="917986" cy="932330"/>
          </a:xfrm>
          <a:prstGeom prst="rect">
            <a:avLst/>
          </a:prstGeom>
        </xdr:spPr>
      </xdr:pic>
      <xdr:pic>
        <xdr:nvPicPr>
          <xdr:cNvPr id="2846" name="Pokemon_237_Droite">
            <a:extLst>
              <a:ext uri="{FF2B5EF4-FFF2-40B4-BE49-F238E27FC236}">
                <a16:creationId xmlns:a16="http://schemas.microsoft.com/office/drawing/2014/main" id="{00000000-0008-0000-0300-00001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0"/>
          <a:stretch>
            <a:fillRect/>
          </a:stretch>
        </xdr:blipFill>
        <xdr:spPr>
          <a:xfrm>
            <a:off x="226279894" y="1097280"/>
            <a:ext cx="917986" cy="932330"/>
          </a:xfrm>
          <a:prstGeom prst="rect">
            <a:avLst/>
          </a:prstGeom>
        </xdr:spPr>
      </xdr:pic>
      <xdr:pic>
        <xdr:nvPicPr>
          <xdr:cNvPr id="2847" name="Pokemon_238_Droite">
            <a:extLst>
              <a:ext uri="{FF2B5EF4-FFF2-40B4-BE49-F238E27FC236}">
                <a16:creationId xmlns:a16="http://schemas.microsoft.com/office/drawing/2014/main" id="{00000000-0008-0000-0300-00001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1"/>
          <a:stretch>
            <a:fillRect/>
          </a:stretch>
        </xdr:blipFill>
        <xdr:spPr>
          <a:xfrm>
            <a:off x="227197890" y="1097280"/>
            <a:ext cx="917986" cy="932330"/>
          </a:xfrm>
          <a:prstGeom prst="rect">
            <a:avLst/>
          </a:prstGeom>
        </xdr:spPr>
      </xdr:pic>
      <xdr:pic>
        <xdr:nvPicPr>
          <xdr:cNvPr id="2848" name="Pokemon_239_Droite">
            <a:extLst>
              <a:ext uri="{FF2B5EF4-FFF2-40B4-BE49-F238E27FC236}">
                <a16:creationId xmlns:a16="http://schemas.microsoft.com/office/drawing/2014/main" id="{00000000-0008-0000-0300-00002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2"/>
          <a:stretch>
            <a:fillRect/>
          </a:stretch>
        </xdr:blipFill>
        <xdr:spPr>
          <a:xfrm>
            <a:off x="228115887" y="1097280"/>
            <a:ext cx="917986" cy="932330"/>
          </a:xfrm>
          <a:prstGeom prst="rect">
            <a:avLst/>
          </a:prstGeom>
        </xdr:spPr>
      </xdr:pic>
      <xdr:pic>
        <xdr:nvPicPr>
          <xdr:cNvPr id="2849" name="Pokemon_240_Droite">
            <a:extLst>
              <a:ext uri="{FF2B5EF4-FFF2-40B4-BE49-F238E27FC236}">
                <a16:creationId xmlns:a16="http://schemas.microsoft.com/office/drawing/2014/main" id="{00000000-0008-0000-0300-00002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3"/>
          <a:stretch>
            <a:fillRect/>
          </a:stretch>
        </xdr:blipFill>
        <xdr:spPr>
          <a:xfrm>
            <a:off x="229033884" y="1097280"/>
            <a:ext cx="917986" cy="932330"/>
          </a:xfrm>
          <a:prstGeom prst="rect">
            <a:avLst/>
          </a:prstGeom>
        </xdr:spPr>
      </xdr:pic>
      <xdr:pic>
        <xdr:nvPicPr>
          <xdr:cNvPr id="2850" name="Pokemon_241_Droite">
            <a:extLst>
              <a:ext uri="{FF2B5EF4-FFF2-40B4-BE49-F238E27FC236}">
                <a16:creationId xmlns:a16="http://schemas.microsoft.com/office/drawing/2014/main" id="{00000000-0008-0000-0300-00002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4"/>
          <a:stretch>
            <a:fillRect/>
          </a:stretch>
        </xdr:blipFill>
        <xdr:spPr>
          <a:xfrm>
            <a:off x="229951880" y="1097280"/>
            <a:ext cx="917986" cy="932330"/>
          </a:xfrm>
          <a:prstGeom prst="rect">
            <a:avLst/>
          </a:prstGeom>
        </xdr:spPr>
      </xdr:pic>
      <xdr:pic>
        <xdr:nvPicPr>
          <xdr:cNvPr id="2851" name="Pokemon_242_Droite">
            <a:extLst>
              <a:ext uri="{FF2B5EF4-FFF2-40B4-BE49-F238E27FC236}">
                <a16:creationId xmlns:a16="http://schemas.microsoft.com/office/drawing/2014/main" id="{00000000-0008-0000-0300-00002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5"/>
          <a:stretch>
            <a:fillRect/>
          </a:stretch>
        </xdr:blipFill>
        <xdr:spPr>
          <a:xfrm>
            <a:off x="230869877" y="1097280"/>
            <a:ext cx="917986" cy="932330"/>
          </a:xfrm>
          <a:prstGeom prst="rect">
            <a:avLst/>
          </a:prstGeom>
        </xdr:spPr>
      </xdr:pic>
      <xdr:pic>
        <xdr:nvPicPr>
          <xdr:cNvPr id="2852" name="Pokemon_243_Droite">
            <a:extLst>
              <a:ext uri="{FF2B5EF4-FFF2-40B4-BE49-F238E27FC236}">
                <a16:creationId xmlns:a16="http://schemas.microsoft.com/office/drawing/2014/main" id="{00000000-0008-0000-0300-00002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6"/>
          <a:stretch>
            <a:fillRect/>
          </a:stretch>
        </xdr:blipFill>
        <xdr:spPr>
          <a:xfrm>
            <a:off x="231787874" y="1097280"/>
            <a:ext cx="917986" cy="932330"/>
          </a:xfrm>
          <a:prstGeom prst="rect">
            <a:avLst/>
          </a:prstGeom>
        </xdr:spPr>
      </xdr:pic>
      <xdr:pic>
        <xdr:nvPicPr>
          <xdr:cNvPr id="2853" name="Pokemon_244_Droite">
            <a:extLst>
              <a:ext uri="{FF2B5EF4-FFF2-40B4-BE49-F238E27FC236}">
                <a16:creationId xmlns:a16="http://schemas.microsoft.com/office/drawing/2014/main" id="{00000000-0008-0000-0300-00002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7"/>
          <a:stretch>
            <a:fillRect/>
          </a:stretch>
        </xdr:blipFill>
        <xdr:spPr>
          <a:xfrm>
            <a:off x="232705870" y="1097280"/>
            <a:ext cx="917986" cy="932330"/>
          </a:xfrm>
          <a:prstGeom prst="rect">
            <a:avLst/>
          </a:prstGeom>
        </xdr:spPr>
      </xdr:pic>
      <xdr:pic>
        <xdr:nvPicPr>
          <xdr:cNvPr id="2854" name="Pokemon_245_Droite">
            <a:extLst>
              <a:ext uri="{FF2B5EF4-FFF2-40B4-BE49-F238E27FC236}">
                <a16:creationId xmlns:a16="http://schemas.microsoft.com/office/drawing/2014/main" id="{00000000-0008-0000-0300-00002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8"/>
          <a:stretch>
            <a:fillRect/>
          </a:stretch>
        </xdr:blipFill>
        <xdr:spPr>
          <a:xfrm>
            <a:off x="233623867" y="1097280"/>
            <a:ext cx="917986" cy="932330"/>
          </a:xfrm>
          <a:prstGeom prst="rect">
            <a:avLst/>
          </a:prstGeom>
        </xdr:spPr>
      </xdr:pic>
      <xdr:pic>
        <xdr:nvPicPr>
          <xdr:cNvPr id="2855" name="Pokemon_246_Droite">
            <a:extLst>
              <a:ext uri="{FF2B5EF4-FFF2-40B4-BE49-F238E27FC236}">
                <a16:creationId xmlns:a16="http://schemas.microsoft.com/office/drawing/2014/main" id="{00000000-0008-0000-0300-00002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9"/>
          <a:stretch>
            <a:fillRect/>
          </a:stretch>
        </xdr:blipFill>
        <xdr:spPr>
          <a:xfrm>
            <a:off x="234541864" y="1097280"/>
            <a:ext cx="917986" cy="932330"/>
          </a:xfrm>
          <a:prstGeom prst="rect">
            <a:avLst/>
          </a:prstGeom>
        </xdr:spPr>
      </xdr:pic>
      <xdr:pic>
        <xdr:nvPicPr>
          <xdr:cNvPr id="2856" name="Pokemon_247_Droite">
            <a:extLst>
              <a:ext uri="{FF2B5EF4-FFF2-40B4-BE49-F238E27FC236}">
                <a16:creationId xmlns:a16="http://schemas.microsoft.com/office/drawing/2014/main" id="{00000000-0008-0000-0300-00002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0"/>
          <a:stretch>
            <a:fillRect/>
          </a:stretch>
        </xdr:blipFill>
        <xdr:spPr>
          <a:xfrm>
            <a:off x="235459860" y="1097280"/>
            <a:ext cx="917986" cy="932330"/>
          </a:xfrm>
          <a:prstGeom prst="rect">
            <a:avLst/>
          </a:prstGeom>
        </xdr:spPr>
      </xdr:pic>
      <xdr:pic>
        <xdr:nvPicPr>
          <xdr:cNvPr id="2857" name="Pokemon_248_Droite">
            <a:extLst>
              <a:ext uri="{FF2B5EF4-FFF2-40B4-BE49-F238E27FC236}">
                <a16:creationId xmlns:a16="http://schemas.microsoft.com/office/drawing/2014/main" id="{00000000-0008-0000-0300-00002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1"/>
          <a:stretch>
            <a:fillRect/>
          </a:stretch>
        </xdr:blipFill>
        <xdr:spPr>
          <a:xfrm>
            <a:off x="236377857" y="1097280"/>
            <a:ext cx="917986" cy="932330"/>
          </a:xfrm>
          <a:prstGeom prst="rect">
            <a:avLst/>
          </a:prstGeom>
        </xdr:spPr>
      </xdr:pic>
      <xdr:pic>
        <xdr:nvPicPr>
          <xdr:cNvPr id="2858" name="Pokemon_249_Droite">
            <a:extLst>
              <a:ext uri="{FF2B5EF4-FFF2-40B4-BE49-F238E27FC236}">
                <a16:creationId xmlns:a16="http://schemas.microsoft.com/office/drawing/2014/main" id="{00000000-0008-0000-0300-00002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2"/>
          <a:stretch>
            <a:fillRect/>
          </a:stretch>
        </xdr:blipFill>
        <xdr:spPr>
          <a:xfrm>
            <a:off x="237295854" y="1097280"/>
            <a:ext cx="917986" cy="932330"/>
          </a:xfrm>
          <a:prstGeom prst="rect">
            <a:avLst/>
          </a:prstGeom>
        </xdr:spPr>
      </xdr:pic>
      <xdr:pic>
        <xdr:nvPicPr>
          <xdr:cNvPr id="2859" name="Pokemon_250_Droite">
            <a:extLst>
              <a:ext uri="{FF2B5EF4-FFF2-40B4-BE49-F238E27FC236}">
                <a16:creationId xmlns:a16="http://schemas.microsoft.com/office/drawing/2014/main" id="{00000000-0008-0000-0300-00002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3"/>
          <a:stretch>
            <a:fillRect/>
          </a:stretch>
        </xdr:blipFill>
        <xdr:spPr>
          <a:xfrm>
            <a:off x="238213850" y="1097280"/>
            <a:ext cx="917986" cy="932330"/>
          </a:xfrm>
          <a:prstGeom prst="rect">
            <a:avLst/>
          </a:prstGeom>
        </xdr:spPr>
      </xdr:pic>
      <xdr:pic>
        <xdr:nvPicPr>
          <xdr:cNvPr id="2860" name="Pokemon_251_Droite">
            <a:extLst>
              <a:ext uri="{FF2B5EF4-FFF2-40B4-BE49-F238E27FC236}">
                <a16:creationId xmlns:a16="http://schemas.microsoft.com/office/drawing/2014/main" id="{00000000-0008-0000-0300-00002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4"/>
          <a:stretch>
            <a:fillRect/>
          </a:stretch>
        </xdr:blipFill>
        <xdr:spPr>
          <a:xfrm>
            <a:off x="239131847" y="1097280"/>
            <a:ext cx="917986" cy="932330"/>
          </a:xfrm>
          <a:prstGeom prst="rect">
            <a:avLst/>
          </a:prstGeom>
        </xdr:spPr>
      </xdr:pic>
      <xdr:pic>
        <xdr:nvPicPr>
          <xdr:cNvPr id="2861" name="Pokemon_252_Droite">
            <a:extLst>
              <a:ext uri="{FF2B5EF4-FFF2-40B4-BE49-F238E27FC236}">
                <a16:creationId xmlns:a16="http://schemas.microsoft.com/office/drawing/2014/main" id="{00000000-0008-0000-0300-00002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5"/>
          <a:stretch>
            <a:fillRect/>
          </a:stretch>
        </xdr:blipFill>
        <xdr:spPr>
          <a:xfrm>
            <a:off x="240049844" y="1097280"/>
            <a:ext cx="917986" cy="932330"/>
          </a:xfrm>
          <a:prstGeom prst="rect">
            <a:avLst/>
          </a:prstGeom>
        </xdr:spPr>
      </xdr:pic>
      <xdr:pic>
        <xdr:nvPicPr>
          <xdr:cNvPr id="2862" name="Pokemon_253_Droite">
            <a:extLst>
              <a:ext uri="{FF2B5EF4-FFF2-40B4-BE49-F238E27FC236}">
                <a16:creationId xmlns:a16="http://schemas.microsoft.com/office/drawing/2014/main" id="{00000000-0008-0000-0300-00002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6"/>
          <a:stretch>
            <a:fillRect/>
          </a:stretch>
        </xdr:blipFill>
        <xdr:spPr>
          <a:xfrm>
            <a:off x="240967840" y="1097280"/>
            <a:ext cx="917986" cy="932330"/>
          </a:xfrm>
          <a:prstGeom prst="rect">
            <a:avLst/>
          </a:prstGeom>
        </xdr:spPr>
      </xdr:pic>
      <xdr:pic>
        <xdr:nvPicPr>
          <xdr:cNvPr id="2863" name="Pokemon_254_Droite">
            <a:extLst>
              <a:ext uri="{FF2B5EF4-FFF2-40B4-BE49-F238E27FC236}">
                <a16:creationId xmlns:a16="http://schemas.microsoft.com/office/drawing/2014/main" id="{00000000-0008-0000-0300-00002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7"/>
          <a:stretch>
            <a:fillRect/>
          </a:stretch>
        </xdr:blipFill>
        <xdr:spPr>
          <a:xfrm>
            <a:off x="241885837" y="1097280"/>
            <a:ext cx="917986" cy="932330"/>
          </a:xfrm>
          <a:prstGeom prst="rect">
            <a:avLst/>
          </a:prstGeom>
        </xdr:spPr>
      </xdr:pic>
      <xdr:pic>
        <xdr:nvPicPr>
          <xdr:cNvPr id="2864" name="Pokemon_255_Droite">
            <a:extLst>
              <a:ext uri="{FF2B5EF4-FFF2-40B4-BE49-F238E27FC236}">
                <a16:creationId xmlns:a16="http://schemas.microsoft.com/office/drawing/2014/main" id="{00000000-0008-0000-0300-00003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8"/>
          <a:stretch>
            <a:fillRect/>
          </a:stretch>
        </xdr:blipFill>
        <xdr:spPr>
          <a:xfrm>
            <a:off x="242803834" y="1097280"/>
            <a:ext cx="917986" cy="932330"/>
          </a:xfrm>
          <a:prstGeom prst="rect">
            <a:avLst/>
          </a:prstGeom>
        </xdr:spPr>
      </xdr:pic>
      <xdr:pic>
        <xdr:nvPicPr>
          <xdr:cNvPr id="2865" name="Pokemon_256_Droite">
            <a:extLst>
              <a:ext uri="{FF2B5EF4-FFF2-40B4-BE49-F238E27FC236}">
                <a16:creationId xmlns:a16="http://schemas.microsoft.com/office/drawing/2014/main" id="{00000000-0008-0000-0300-00003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9"/>
          <a:stretch>
            <a:fillRect/>
          </a:stretch>
        </xdr:blipFill>
        <xdr:spPr>
          <a:xfrm>
            <a:off x="243721830" y="1097280"/>
            <a:ext cx="917986" cy="932330"/>
          </a:xfrm>
          <a:prstGeom prst="rect">
            <a:avLst/>
          </a:prstGeom>
        </xdr:spPr>
      </xdr:pic>
      <xdr:pic>
        <xdr:nvPicPr>
          <xdr:cNvPr id="2866" name="Pokemon_257_Droite">
            <a:extLst>
              <a:ext uri="{FF2B5EF4-FFF2-40B4-BE49-F238E27FC236}">
                <a16:creationId xmlns:a16="http://schemas.microsoft.com/office/drawing/2014/main" id="{00000000-0008-0000-0300-00003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0"/>
          <a:stretch>
            <a:fillRect/>
          </a:stretch>
        </xdr:blipFill>
        <xdr:spPr>
          <a:xfrm>
            <a:off x="244639827" y="1097280"/>
            <a:ext cx="917986" cy="932330"/>
          </a:xfrm>
          <a:prstGeom prst="rect">
            <a:avLst/>
          </a:prstGeom>
        </xdr:spPr>
      </xdr:pic>
      <xdr:pic>
        <xdr:nvPicPr>
          <xdr:cNvPr id="2867" name="Pokemon_258_Droite">
            <a:extLst>
              <a:ext uri="{FF2B5EF4-FFF2-40B4-BE49-F238E27FC236}">
                <a16:creationId xmlns:a16="http://schemas.microsoft.com/office/drawing/2014/main" id="{00000000-0008-0000-0300-00003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1"/>
          <a:stretch>
            <a:fillRect/>
          </a:stretch>
        </xdr:blipFill>
        <xdr:spPr>
          <a:xfrm>
            <a:off x="245557824" y="1097280"/>
            <a:ext cx="917986" cy="932330"/>
          </a:xfrm>
          <a:prstGeom prst="rect">
            <a:avLst/>
          </a:prstGeom>
        </xdr:spPr>
      </xdr:pic>
      <xdr:pic>
        <xdr:nvPicPr>
          <xdr:cNvPr id="2868" name="Pokemon_259_Droite">
            <a:extLst>
              <a:ext uri="{FF2B5EF4-FFF2-40B4-BE49-F238E27FC236}">
                <a16:creationId xmlns:a16="http://schemas.microsoft.com/office/drawing/2014/main" id="{00000000-0008-0000-0300-00003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2"/>
          <a:stretch>
            <a:fillRect/>
          </a:stretch>
        </xdr:blipFill>
        <xdr:spPr>
          <a:xfrm>
            <a:off x="246475821" y="1097280"/>
            <a:ext cx="917986" cy="932330"/>
          </a:xfrm>
          <a:prstGeom prst="rect">
            <a:avLst/>
          </a:prstGeom>
        </xdr:spPr>
      </xdr:pic>
      <xdr:pic>
        <xdr:nvPicPr>
          <xdr:cNvPr id="2869" name="Pokemon_260_Droite">
            <a:extLst>
              <a:ext uri="{FF2B5EF4-FFF2-40B4-BE49-F238E27FC236}">
                <a16:creationId xmlns:a16="http://schemas.microsoft.com/office/drawing/2014/main" id="{00000000-0008-0000-0300-00003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3"/>
          <a:stretch>
            <a:fillRect/>
          </a:stretch>
        </xdr:blipFill>
        <xdr:spPr>
          <a:xfrm>
            <a:off x="247393817" y="1097280"/>
            <a:ext cx="917986" cy="932330"/>
          </a:xfrm>
          <a:prstGeom prst="rect">
            <a:avLst/>
          </a:prstGeom>
        </xdr:spPr>
      </xdr:pic>
      <xdr:pic>
        <xdr:nvPicPr>
          <xdr:cNvPr id="2870" name="Pokemon_261_Droite">
            <a:extLst>
              <a:ext uri="{FF2B5EF4-FFF2-40B4-BE49-F238E27FC236}">
                <a16:creationId xmlns:a16="http://schemas.microsoft.com/office/drawing/2014/main" id="{00000000-0008-0000-0300-00003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4"/>
          <a:stretch>
            <a:fillRect/>
          </a:stretch>
        </xdr:blipFill>
        <xdr:spPr>
          <a:xfrm>
            <a:off x="248311814" y="1097280"/>
            <a:ext cx="917986" cy="932330"/>
          </a:xfrm>
          <a:prstGeom prst="rect">
            <a:avLst/>
          </a:prstGeom>
        </xdr:spPr>
      </xdr:pic>
      <xdr:pic>
        <xdr:nvPicPr>
          <xdr:cNvPr id="2871" name="Pokemon_262_Droite">
            <a:extLst>
              <a:ext uri="{FF2B5EF4-FFF2-40B4-BE49-F238E27FC236}">
                <a16:creationId xmlns:a16="http://schemas.microsoft.com/office/drawing/2014/main" id="{00000000-0008-0000-0300-00003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5"/>
          <a:stretch>
            <a:fillRect/>
          </a:stretch>
        </xdr:blipFill>
        <xdr:spPr>
          <a:xfrm>
            <a:off x="249229811" y="1097280"/>
            <a:ext cx="917986" cy="932330"/>
          </a:xfrm>
          <a:prstGeom prst="rect">
            <a:avLst/>
          </a:prstGeom>
        </xdr:spPr>
      </xdr:pic>
      <xdr:pic>
        <xdr:nvPicPr>
          <xdr:cNvPr id="2872" name="Pokemon_263_Droite">
            <a:extLst>
              <a:ext uri="{FF2B5EF4-FFF2-40B4-BE49-F238E27FC236}">
                <a16:creationId xmlns:a16="http://schemas.microsoft.com/office/drawing/2014/main" id="{00000000-0008-0000-0300-00003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6"/>
          <a:stretch>
            <a:fillRect/>
          </a:stretch>
        </xdr:blipFill>
        <xdr:spPr>
          <a:xfrm>
            <a:off x="250147807" y="1097280"/>
            <a:ext cx="917986" cy="932330"/>
          </a:xfrm>
          <a:prstGeom prst="rect">
            <a:avLst/>
          </a:prstGeom>
        </xdr:spPr>
      </xdr:pic>
      <xdr:pic>
        <xdr:nvPicPr>
          <xdr:cNvPr id="2873" name="Pokemon_264_Droite">
            <a:extLst>
              <a:ext uri="{FF2B5EF4-FFF2-40B4-BE49-F238E27FC236}">
                <a16:creationId xmlns:a16="http://schemas.microsoft.com/office/drawing/2014/main" id="{00000000-0008-0000-0300-00003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7"/>
          <a:stretch>
            <a:fillRect/>
          </a:stretch>
        </xdr:blipFill>
        <xdr:spPr>
          <a:xfrm>
            <a:off x="251065804" y="1097280"/>
            <a:ext cx="917986" cy="932330"/>
          </a:xfrm>
          <a:prstGeom prst="rect">
            <a:avLst/>
          </a:prstGeom>
        </xdr:spPr>
      </xdr:pic>
      <xdr:pic>
        <xdr:nvPicPr>
          <xdr:cNvPr id="2874" name="Pokemon_265_Droite">
            <a:extLst>
              <a:ext uri="{FF2B5EF4-FFF2-40B4-BE49-F238E27FC236}">
                <a16:creationId xmlns:a16="http://schemas.microsoft.com/office/drawing/2014/main" id="{00000000-0008-0000-0300-00003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8"/>
          <a:stretch>
            <a:fillRect/>
          </a:stretch>
        </xdr:blipFill>
        <xdr:spPr>
          <a:xfrm>
            <a:off x="251983801" y="1097280"/>
            <a:ext cx="917986" cy="932330"/>
          </a:xfrm>
          <a:prstGeom prst="rect">
            <a:avLst/>
          </a:prstGeom>
        </xdr:spPr>
      </xdr:pic>
      <xdr:pic>
        <xdr:nvPicPr>
          <xdr:cNvPr id="2875" name="Pokemon_266_Droite">
            <a:extLst>
              <a:ext uri="{FF2B5EF4-FFF2-40B4-BE49-F238E27FC236}">
                <a16:creationId xmlns:a16="http://schemas.microsoft.com/office/drawing/2014/main" id="{00000000-0008-0000-0300-00003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9"/>
          <a:stretch>
            <a:fillRect/>
          </a:stretch>
        </xdr:blipFill>
        <xdr:spPr>
          <a:xfrm>
            <a:off x="252901797" y="1097280"/>
            <a:ext cx="917986" cy="932330"/>
          </a:xfrm>
          <a:prstGeom prst="rect">
            <a:avLst/>
          </a:prstGeom>
        </xdr:spPr>
      </xdr:pic>
      <xdr:pic>
        <xdr:nvPicPr>
          <xdr:cNvPr id="2876" name="Pokemon_267_Droite">
            <a:extLst>
              <a:ext uri="{FF2B5EF4-FFF2-40B4-BE49-F238E27FC236}">
                <a16:creationId xmlns:a16="http://schemas.microsoft.com/office/drawing/2014/main" id="{00000000-0008-0000-0300-00003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0"/>
          <a:stretch>
            <a:fillRect/>
          </a:stretch>
        </xdr:blipFill>
        <xdr:spPr>
          <a:xfrm>
            <a:off x="253819794" y="1097280"/>
            <a:ext cx="917986" cy="932330"/>
          </a:xfrm>
          <a:prstGeom prst="rect">
            <a:avLst/>
          </a:prstGeom>
        </xdr:spPr>
      </xdr:pic>
      <xdr:pic>
        <xdr:nvPicPr>
          <xdr:cNvPr id="2877" name="Pokemon_268_Droite">
            <a:extLst>
              <a:ext uri="{FF2B5EF4-FFF2-40B4-BE49-F238E27FC236}">
                <a16:creationId xmlns:a16="http://schemas.microsoft.com/office/drawing/2014/main" id="{00000000-0008-0000-0300-00003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1"/>
          <a:stretch>
            <a:fillRect/>
          </a:stretch>
        </xdr:blipFill>
        <xdr:spPr>
          <a:xfrm>
            <a:off x="254737791" y="1097280"/>
            <a:ext cx="917986" cy="932330"/>
          </a:xfrm>
          <a:prstGeom prst="rect">
            <a:avLst/>
          </a:prstGeom>
        </xdr:spPr>
      </xdr:pic>
      <xdr:pic>
        <xdr:nvPicPr>
          <xdr:cNvPr id="2878" name="Pokemon_269_Droite">
            <a:extLst>
              <a:ext uri="{FF2B5EF4-FFF2-40B4-BE49-F238E27FC236}">
                <a16:creationId xmlns:a16="http://schemas.microsoft.com/office/drawing/2014/main" id="{00000000-0008-0000-0300-00003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2"/>
          <a:stretch>
            <a:fillRect/>
          </a:stretch>
        </xdr:blipFill>
        <xdr:spPr>
          <a:xfrm>
            <a:off x="255655787" y="1097280"/>
            <a:ext cx="917986" cy="932330"/>
          </a:xfrm>
          <a:prstGeom prst="rect">
            <a:avLst/>
          </a:prstGeom>
        </xdr:spPr>
      </xdr:pic>
      <xdr:pic>
        <xdr:nvPicPr>
          <xdr:cNvPr id="2879" name="Pokemon_270_Droite">
            <a:extLst>
              <a:ext uri="{FF2B5EF4-FFF2-40B4-BE49-F238E27FC236}">
                <a16:creationId xmlns:a16="http://schemas.microsoft.com/office/drawing/2014/main" id="{00000000-0008-0000-0300-00003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3"/>
          <a:stretch>
            <a:fillRect/>
          </a:stretch>
        </xdr:blipFill>
        <xdr:spPr>
          <a:xfrm>
            <a:off x="256573784" y="1097280"/>
            <a:ext cx="917986" cy="932330"/>
          </a:xfrm>
          <a:prstGeom prst="rect">
            <a:avLst/>
          </a:prstGeom>
        </xdr:spPr>
      </xdr:pic>
      <xdr:pic>
        <xdr:nvPicPr>
          <xdr:cNvPr id="2880" name="Pokemon_271_Droite">
            <a:extLst>
              <a:ext uri="{FF2B5EF4-FFF2-40B4-BE49-F238E27FC236}">
                <a16:creationId xmlns:a16="http://schemas.microsoft.com/office/drawing/2014/main" id="{00000000-0008-0000-0300-00004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4"/>
          <a:stretch>
            <a:fillRect/>
          </a:stretch>
        </xdr:blipFill>
        <xdr:spPr>
          <a:xfrm>
            <a:off x="257491781" y="1097280"/>
            <a:ext cx="917986" cy="932330"/>
          </a:xfrm>
          <a:prstGeom prst="rect">
            <a:avLst/>
          </a:prstGeom>
        </xdr:spPr>
      </xdr:pic>
      <xdr:pic>
        <xdr:nvPicPr>
          <xdr:cNvPr id="2881" name="Pokemon_272_Droite">
            <a:extLst>
              <a:ext uri="{FF2B5EF4-FFF2-40B4-BE49-F238E27FC236}">
                <a16:creationId xmlns:a16="http://schemas.microsoft.com/office/drawing/2014/main" id="{00000000-0008-0000-0300-00004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5"/>
          <a:stretch>
            <a:fillRect/>
          </a:stretch>
        </xdr:blipFill>
        <xdr:spPr>
          <a:xfrm>
            <a:off x="258409777" y="1097280"/>
            <a:ext cx="917986" cy="932330"/>
          </a:xfrm>
          <a:prstGeom prst="rect">
            <a:avLst/>
          </a:prstGeom>
        </xdr:spPr>
      </xdr:pic>
      <xdr:pic>
        <xdr:nvPicPr>
          <xdr:cNvPr id="2882" name="Pokemon_273_Droite">
            <a:extLst>
              <a:ext uri="{FF2B5EF4-FFF2-40B4-BE49-F238E27FC236}">
                <a16:creationId xmlns:a16="http://schemas.microsoft.com/office/drawing/2014/main" id="{00000000-0008-0000-0300-00004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6"/>
          <a:stretch>
            <a:fillRect/>
          </a:stretch>
        </xdr:blipFill>
        <xdr:spPr>
          <a:xfrm>
            <a:off x="259327774" y="1097280"/>
            <a:ext cx="917986" cy="932330"/>
          </a:xfrm>
          <a:prstGeom prst="rect">
            <a:avLst/>
          </a:prstGeom>
        </xdr:spPr>
      </xdr:pic>
      <xdr:pic>
        <xdr:nvPicPr>
          <xdr:cNvPr id="2883" name="Pokemon_274_Droite">
            <a:extLst>
              <a:ext uri="{FF2B5EF4-FFF2-40B4-BE49-F238E27FC236}">
                <a16:creationId xmlns:a16="http://schemas.microsoft.com/office/drawing/2014/main" id="{00000000-0008-0000-0300-00004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7"/>
          <a:stretch>
            <a:fillRect/>
          </a:stretch>
        </xdr:blipFill>
        <xdr:spPr>
          <a:xfrm>
            <a:off x="260245771" y="1097280"/>
            <a:ext cx="917986" cy="932330"/>
          </a:xfrm>
          <a:prstGeom prst="rect">
            <a:avLst/>
          </a:prstGeom>
        </xdr:spPr>
      </xdr:pic>
      <xdr:pic>
        <xdr:nvPicPr>
          <xdr:cNvPr id="2884" name="Pokemon_275_Droite">
            <a:extLst>
              <a:ext uri="{FF2B5EF4-FFF2-40B4-BE49-F238E27FC236}">
                <a16:creationId xmlns:a16="http://schemas.microsoft.com/office/drawing/2014/main" id="{00000000-0008-0000-0300-00004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8"/>
          <a:stretch>
            <a:fillRect/>
          </a:stretch>
        </xdr:blipFill>
        <xdr:spPr>
          <a:xfrm>
            <a:off x="261163767" y="1097280"/>
            <a:ext cx="917986" cy="932330"/>
          </a:xfrm>
          <a:prstGeom prst="rect">
            <a:avLst/>
          </a:prstGeom>
        </xdr:spPr>
      </xdr:pic>
      <xdr:pic>
        <xdr:nvPicPr>
          <xdr:cNvPr id="2885" name="Pokemon_276_Droite">
            <a:extLst>
              <a:ext uri="{FF2B5EF4-FFF2-40B4-BE49-F238E27FC236}">
                <a16:creationId xmlns:a16="http://schemas.microsoft.com/office/drawing/2014/main" id="{00000000-0008-0000-0300-00004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9"/>
          <a:stretch>
            <a:fillRect/>
          </a:stretch>
        </xdr:blipFill>
        <xdr:spPr>
          <a:xfrm>
            <a:off x="262081764" y="1097280"/>
            <a:ext cx="917986" cy="932330"/>
          </a:xfrm>
          <a:prstGeom prst="rect">
            <a:avLst/>
          </a:prstGeom>
        </xdr:spPr>
      </xdr:pic>
      <xdr:pic>
        <xdr:nvPicPr>
          <xdr:cNvPr id="2886" name="Pokemon_277_Droite">
            <a:extLst>
              <a:ext uri="{FF2B5EF4-FFF2-40B4-BE49-F238E27FC236}">
                <a16:creationId xmlns:a16="http://schemas.microsoft.com/office/drawing/2014/main" id="{00000000-0008-0000-0300-00004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0"/>
          <a:stretch>
            <a:fillRect/>
          </a:stretch>
        </xdr:blipFill>
        <xdr:spPr>
          <a:xfrm>
            <a:off x="262999761" y="1097280"/>
            <a:ext cx="917986" cy="932330"/>
          </a:xfrm>
          <a:prstGeom prst="rect">
            <a:avLst/>
          </a:prstGeom>
        </xdr:spPr>
      </xdr:pic>
      <xdr:pic>
        <xdr:nvPicPr>
          <xdr:cNvPr id="2887" name="Pokemon_278_Droite">
            <a:extLst>
              <a:ext uri="{FF2B5EF4-FFF2-40B4-BE49-F238E27FC236}">
                <a16:creationId xmlns:a16="http://schemas.microsoft.com/office/drawing/2014/main" id="{00000000-0008-0000-0300-00004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1"/>
          <a:stretch>
            <a:fillRect/>
          </a:stretch>
        </xdr:blipFill>
        <xdr:spPr>
          <a:xfrm>
            <a:off x="263917757" y="1097280"/>
            <a:ext cx="917986" cy="932330"/>
          </a:xfrm>
          <a:prstGeom prst="rect">
            <a:avLst/>
          </a:prstGeom>
        </xdr:spPr>
      </xdr:pic>
      <xdr:pic>
        <xdr:nvPicPr>
          <xdr:cNvPr id="2888" name="Pokemon_279_Droite">
            <a:extLst>
              <a:ext uri="{FF2B5EF4-FFF2-40B4-BE49-F238E27FC236}">
                <a16:creationId xmlns:a16="http://schemas.microsoft.com/office/drawing/2014/main" id="{00000000-0008-0000-0300-00004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2"/>
          <a:stretch>
            <a:fillRect/>
          </a:stretch>
        </xdr:blipFill>
        <xdr:spPr>
          <a:xfrm>
            <a:off x="264835754" y="1097280"/>
            <a:ext cx="917986" cy="932330"/>
          </a:xfrm>
          <a:prstGeom prst="rect">
            <a:avLst/>
          </a:prstGeom>
        </xdr:spPr>
      </xdr:pic>
      <xdr:pic>
        <xdr:nvPicPr>
          <xdr:cNvPr id="2889" name="Pokemon_280_Droite">
            <a:extLst>
              <a:ext uri="{FF2B5EF4-FFF2-40B4-BE49-F238E27FC236}">
                <a16:creationId xmlns:a16="http://schemas.microsoft.com/office/drawing/2014/main" id="{00000000-0008-0000-0300-00004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3"/>
          <a:stretch>
            <a:fillRect/>
          </a:stretch>
        </xdr:blipFill>
        <xdr:spPr>
          <a:xfrm>
            <a:off x="265753751" y="1097280"/>
            <a:ext cx="917986" cy="932330"/>
          </a:xfrm>
          <a:prstGeom prst="rect">
            <a:avLst/>
          </a:prstGeom>
        </xdr:spPr>
      </xdr:pic>
      <xdr:pic>
        <xdr:nvPicPr>
          <xdr:cNvPr id="2890" name="Pokemon_281_Droite">
            <a:extLst>
              <a:ext uri="{FF2B5EF4-FFF2-40B4-BE49-F238E27FC236}">
                <a16:creationId xmlns:a16="http://schemas.microsoft.com/office/drawing/2014/main" id="{00000000-0008-0000-0300-00004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4"/>
          <a:stretch>
            <a:fillRect/>
          </a:stretch>
        </xdr:blipFill>
        <xdr:spPr>
          <a:xfrm>
            <a:off x="266671747" y="1097280"/>
            <a:ext cx="917986" cy="932330"/>
          </a:xfrm>
          <a:prstGeom prst="rect">
            <a:avLst/>
          </a:prstGeom>
        </xdr:spPr>
      </xdr:pic>
      <xdr:pic>
        <xdr:nvPicPr>
          <xdr:cNvPr id="2891" name="Pokemon_282_Droite">
            <a:extLst>
              <a:ext uri="{FF2B5EF4-FFF2-40B4-BE49-F238E27FC236}">
                <a16:creationId xmlns:a16="http://schemas.microsoft.com/office/drawing/2014/main" id="{00000000-0008-0000-0300-00004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5"/>
          <a:stretch>
            <a:fillRect/>
          </a:stretch>
        </xdr:blipFill>
        <xdr:spPr>
          <a:xfrm>
            <a:off x="267589744" y="1097280"/>
            <a:ext cx="917986" cy="932330"/>
          </a:xfrm>
          <a:prstGeom prst="rect">
            <a:avLst/>
          </a:prstGeom>
        </xdr:spPr>
      </xdr:pic>
      <xdr:pic>
        <xdr:nvPicPr>
          <xdr:cNvPr id="2892" name="Pokemon_283_Droite">
            <a:extLst>
              <a:ext uri="{FF2B5EF4-FFF2-40B4-BE49-F238E27FC236}">
                <a16:creationId xmlns:a16="http://schemas.microsoft.com/office/drawing/2014/main" id="{00000000-0008-0000-0300-00004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6"/>
          <a:stretch>
            <a:fillRect/>
          </a:stretch>
        </xdr:blipFill>
        <xdr:spPr>
          <a:xfrm>
            <a:off x="268507741" y="1097280"/>
            <a:ext cx="917986" cy="932330"/>
          </a:xfrm>
          <a:prstGeom prst="rect">
            <a:avLst/>
          </a:prstGeom>
        </xdr:spPr>
      </xdr:pic>
      <xdr:pic>
        <xdr:nvPicPr>
          <xdr:cNvPr id="2893" name="Pokemon_284_Droite">
            <a:extLst>
              <a:ext uri="{FF2B5EF4-FFF2-40B4-BE49-F238E27FC236}">
                <a16:creationId xmlns:a16="http://schemas.microsoft.com/office/drawing/2014/main" id="{00000000-0008-0000-0300-00004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7"/>
          <a:stretch>
            <a:fillRect/>
          </a:stretch>
        </xdr:blipFill>
        <xdr:spPr>
          <a:xfrm>
            <a:off x="269425738" y="1097280"/>
            <a:ext cx="917986" cy="932330"/>
          </a:xfrm>
          <a:prstGeom prst="rect">
            <a:avLst/>
          </a:prstGeom>
        </xdr:spPr>
      </xdr:pic>
      <xdr:pic>
        <xdr:nvPicPr>
          <xdr:cNvPr id="2894" name="Pokemon_285_Droite">
            <a:extLst>
              <a:ext uri="{FF2B5EF4-FFF2-40B4-BE49-F238E27FC236}">
                <a16:creationId xmlns:a16="http://schemas.microsoft.com/office/drawing/2014/main" id="{00000000-0008-0000-0300-00004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8"/>
          <a:stretch>
            <a:fillRect/>
          </a:stretch>
        </xdr:blipFill>
        <xdr:spPr>
          <a:xfrm>
            <a:off x="270343734" y="1097280"/>
            <a:ext cx="917986" cy="932330"/>
          </a:xfrm>
          <a:prstGeom prst="rect">
            <a:avLst/>
          </a:prstGeom>
        </xdr:spPr>
      </xdr:pic>
      <xdr:pic>
        <xdr:nvPicPr>
          <xdr:cNvPr id="2895" name="Pokemon_286_Droite">
            <a:extLst>
              <a:ext uri="{FF2B5EF4-FFF2-40B4-BE49-F238E27FC236}">
                <a16:creationId xmlns:a16="http://schemas.microsoft.com/office/drawing/2014/main" id="{00000000-0008-0000-0300-00004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9"/>
          <a:stretch>
            <a:fillRect/>
          </a:stretch>
        </xdr:blipFill>
        <xdr:spPr>
          <a:xfrm>
            <a:off x="271261731" y="1097280"/>
            <a:ext cx="917986" cy="932330"/>
          </a:xfrm>
          <a:prstGeom prst="rect">
            <a:avLst/>
          </a:prstGeom>
        </xdr:spPr>
      </xdr:pic>
      <xdr:pic>
        <xdr:nvPicPr>
          <xdr:cNvPr id="2896" name="Pokemon_287_Droite">
            <a:extLst>
              <a:ext uri="{FF2B5EF4-FFF2-40B4-BE49-F238E27FC236}">
                <a16:creationId xmlns:a16="http://schemas.microsoft.com/office/drawing/2014/main" id="{00000000-0008-0000-0300-00005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0"/>
          <a:stretch>
            <a:fillRect/>
          </a:stretch>
        </xdr:blipFill>
        <xdr:spPr>
          <a:xfrm>
            <a:off x="272179728" y="1097280"/>
            <a:ext cx="917986" cy="932330"/>
          </a:xfrm>
          <a:prstGeom prst="rect">
            <a:avLst/>
          </a:prstGeom>
        </xdr:spPr>
      </xdr:pic>
      <xdr:pic>
        <xdr:nvPicPr>
          <xdr:cNvPr id="2897" name="Pokemon_288_Droite">
            <a:extLst>
              <a:ext uri="{FF2B5EF4-FFF2-40B4-BE49-F238E27FC236}">
                <a16:creationId xmlns:a16="http://schemas.microsoft.com/office/drawing/2014/main" id="{00000000-0008-0000-0300-00005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1"/>
          <a:stretch>
            <a:fillRect/>
          </a:stretch>
        </xdr:blipFill>
        <xdr:spPr>
          <a:xfrm>
            <a:off x="273097699" y="1097280"/>
            <a:ext cx="917986" cy="932330"/>
          </a:xfrm>
          <a:prstGeom prst="rect">
            <a:avLst/>
          </a:prstGeom>
        </xdr:spPr>
      </xdr:pic>
      <xdr:pic>
        <xdr:nvPicPr>
          <xdr:cNvPr id="2898" name="Pokemon_289_Droite">
            <a:extLst>
              <a:ext uri="{FF2B5EF4-FFF2-40B4-BE49-F238E27FC236}">
                <a16:creationId xmlns:a16="http://schemas.microsoft.com/office/drawing/2014/main" id="{00000000-0008-0000-0300-00005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2"/>
          <a:stretch>
            <a:fillRect/>
          </a:stretch>
        </xdr:blipFill>
        <xdr:spPr>
          <a:xfrm>
            <a:off x="274015696" y="1097280"/>
            <a:ext cx="917986" cy="932330"/>
          </a:xfrm>
          <a:prstGeom prst="rect">
            <a:avLst/>
          </a:prstGeom>
        </xdr:spPr>
      </xdr:pic>
      <xdr:pic>
        <xdr:nvPicPr>
          <xdr:cNvPr id="2899" name="Pokemon_290_Droite">
            <a:extLst>
              <a:ext uri="{FF2B5EF4-FFF2-40B4-BE49-F238E27FC236}">
                <a16:creationId xmlns:a16="http://schemas.microsoft.com/office/drawing/2014/main" id="{00000000-0008-0000-0300-00005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3"/>
          <a:stretch>
            <a:fillRect/>
          </a:stretch>
        </xdr:blipFill>
        <xdr:spPr>
          <a:xfrm>
            <a:off x="274933668" y="1097280"/>
            <a:ext cx="917986" cy="932330"/>
          </a:xfrm>
          <a:prstGeom prst="rect">
            <a:avLst/>
          </a:prstGeom>
        </xdr:spPr>
      </xdr:pic>
      <xdr:pic>
        <xdr:nvPicPr>
          <xdr:cNvPr id="2900" name="Pokemon_291_Droite">
            <a:extLst>
              <a:ext uri="{FF2B5EF4-FFF2-40B4-BE49-F238E27FC236}">
                <a16:creationId xmlns:a16="http://schemas.microsoft.com/office/drawing/2014/main" id="{00000000-0008-0000-0300-00005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4"/>
          <a:stretch>
            <a:fillRect/>
          </a:stretch>
        </xdr:blipFill>
        <xdr:spPr>
          <a:xfrm>
            <a:off x="275851665" y="1097280"/>
            <a:ext cx="917986" cy="932330"/>
          </a:xfrm>
          <a:prstGeom prst="rect">
            <a:avLst/>
          </a:prstGeom>
        </xdr:spPr>
      </xdr:pic>
      <xdr:pic>
        <xdr:nvPicPr>
          <xdr:cNvPr id="2901" name="Pokemon_292_Droite">
            <a:extLst>
              <a:ext uri="{FF2B5EF4-FFF2-40B4-BE49-F238E27FC236}">
                <a16:creationId xmlns:a16="http://schemas.microsoft.com/office/drawing/2014/main" id="{00000000-0008-0000-0300-00005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5"/>
          <a:stretch>
            <a:fillRect/>
          </a:stretch>
        </xdr:blipFill>
        <xdr:spPr>
          <a:xfrm>
            <a:off x="276769686" y="1097280"/>
            <a:ext cx="917986" cy="932330"/>
          </a:xfrm>
          <a:prstGeom prst="rect">
            <a:avLst/>
          </a:prstGeom>
        </xdr:spPr>
      </xdr:pic>
      <xdr:pic>
        <xdr:nvPicPr>
          <xdr:cNvPr id="2902" name="Pokemon_293_Droite">
            <a:extLst>
              <a:ext uri="{FF2B5EF4-FFF2-40B4-BE49-F238E27FC236}">
                <a16:creationId xmlns:a16="http://schemas.microsoft.com/office/drawing/2014/main" id="{00000000-0008-0000-0300-00005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6"/>
          <a:stretch>
            <a:fillRect/>
          </a:stretch>
        </xdr:blipFill>
        <xdr:spPr>
          <a:xfrm>
            <a:off x="277687683" y="1097280"/>
            <a:ext cx="917986" cy="932330"/>
          </a:xfrm>
          <a:prstGeom prst="rect">
            <a:avLst/>
          </a:prstGeom>
        </xdr:spPr>
      </xdr:pic>
      <xdr:pic>
        <xdr:nvPicPr>
          <xdr:cNvPr id="2903" name="Pokemon_294_Droite">
            <a:extLst>
              <a:ext uri="{FF2B5EF4-FFF2-40B4-BE49-F238E27FC236}">
                <a16:creationId xmlns:a16="http://schemas.microsoft.com/office/drawing/2014/main" id="{00000000-0008-0000-0300-00005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7"/>
          <a:stretch>
            <a:fillRect/>
          </a:stretch>
        </xdr:blipFill>
        <xdr:spPr>
          <a:xfrm>
            <a:off x="278605679" y="1097280"/>
            <a:ext cx="917986" cy="932330"/>
          </a:xfrm>
          <a:prstGeom prst="rect">
            <a:avLst/>
          </a:prstGeom>
        </xdr:spPr>
      </xdr:pic>
      <xdr:pic>
        <xdr:nvPicPr>
          <xdr:cNvPr id="2904" name="Pokemon_295_Droite">
            <a:extLst>
              <a:ext uri="{FF2B5EF4-FFF2-40B4-BE49-F238E27FC236}">
                <a16:creationId xmlns:a16="http://schemas.microsoft.com/office/drawing/2014/main" id="{00000000-0008-0000-0300-00005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8"/>
          <a:stretch>
            <a:fillRect/>
          </a:stretch>
        </xdr:blipFill>
        <xdr:spPr>
          <a:xfrm>
            <a:off x="279523651" y="1097280"/>
            <a:ext cx="917986" cy="932330"/>
          </a:xfrm>
          <a:prstGeom prst="rect">
            <a:avLst/>
          </a:prstGeom>
        </xdr:spPr>
      </xdr:pic>
      <xdr:pic>
        <xdr:nvPicPr>
          <xdr:cNvPr id="2905" name="Pokemon_296_Droite">
            <a:extLst>
              <a:ext uri="{FF2B5EF4-FFF2-40B4-BE49-F238E27FC236}">
                <a16:creationId xmlns:a16="http://schemas.microsoft.com/office/drawing/2014/main" id="{00000000-0008-0000-0300-00005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9"/>
          <a:stretch>
            <a:fillRect/>
          </a:stretch>
        </xdr:blipFill>
        <xdr:spPr>
          <a:xfrm>
            <a:off x="280441648" y="1097280"/>
            <a:ext cx="917986" cy="932330"/>
          </a:xfrm>
          <a:prstGeom prst="rect">
            <a:avLst/>
          </a:prstGeom>
        </xdr:spPr>
      </xdr:pic>
      <xdr:pic>
        <xdr:nvPicPr>
          <xdr:cNvPr id="2906" name="Pokemon_297_Droite">
            <a:extLst>
              <a:ext uri="{FF2B5EF4-FFF2-40B4-BE49-F238E27FC236}">
                <a16:creationId xmlns:a16="http://schemas.microsoft.com/office/drawing/2014/main" id="{00000000-0008-0000-0300-00005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0"/>
          <a:stretch>
            <a:fillRect/>
          </a:stretch>
        </xdr:blipFill>
        <xdr:spPr>
          <a:xfrm>
            <a:off x="281359670" y="1097280"/>
            <a:ext cx="917986" cy="932330"/>
          </a:xfrm>
          <a:prstGeom prst="rect">
            <a:avLst/>
          </a:prstGeom>
        </xdr:spPr>
      </xdr:pic>
      <xdr:pic>
        <xdr:nvPicPr>
          <xdr:cNvPr id="2907" name="Pokemon_298_Droite">
            <a:extLst>
              <a:ext uri="{FF2B5EF4-FFF2-40B4-BE49-F238E27FC236}">
                <a16:creationId xmlns:a16="http://schemas.microsoft.com/office/drawing/2014/main" id="{00000000-0008-0000-0300-00005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1"/>
          <a:stretch>
            <a:fillRect/>
          </a:stretch>
        </xdr:blipFill>
        <xdr:spPr>
          <a:xfrm>
            <a:off x="282277666" y="1097280"/>
            <a:ext cx="917986" cy="932330"/>
          </a:xfrm>
          <a:prstGeom prst="rect">
            <a:avLst/>
          </a:prstGeom>
        </xdr:spPr>
      </xdr:pic>
      <xdr:pic>
        <xdr:nvPicPr>
          <xdr:cNvPr id="2908" name="Pokemon_299_Droite">
            <a:extLst>
              <a:ext uri="{FF2B5EF4-FFF2-40B4-BE49-F238E27FC236}">
                <a16:creationId xmlns:a16="http://schemas.microsoft.com/office/drawing/2014/main" id="{00000000-0008-0000-0300-00005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2"/>
          <a:stretch>
            <a:fillRect/>
          </a:stretch>
        </xdr:blipFill>
        <xdr:spPr>
          <a:xfrm>
            <a:off x="283195663" y="1097280"/>
            <a:ext cx="917986" cy="932330"/>
          </a:xfrm>
          <a:prstGeom prst="rect">
            <a:avLst/>
          </a:prstGeom>
        </xdr:spPr>
      </xdr:pic>
      <xdr:pic>
        <xdr:nvPicPr>
          <xdr:cNvPr id="2909" name="Pokemon_300_Droite">
            <a:extLst>
              <a:ext uri="{FF2B5EF4-FFF2-40B4-BE49-F238E27FC236}">
                <a16:creationId xmlns:a16="http://schemas.microsoft.com/office/drawing/2014/main" id="{00000000-0008-0000-0300-00005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3"/>
          <a:stretch>
            <a:fillRect/>
          </a:stretch>
        </xdr:blipFill>
        <xdr:spPr>
          <a:xfrm>
            <a:off x="284113635" y="1097280"/>
            <a:ext cx="917986" cy="932330"/>
          </a:xfrm>
          <a:prstGeom prst="rect">
            <a:avLst/>
          </a:prstGeom>
        </xdr:spPr>
      </xdr:pic>
      <xdr:pic>
        <xdr:nvPicPr>
          <xdr:cNvPr id="2910" name="Pokemon_301_Droite">
            <a:extLst>
              <a:ext uri="{FF2B5EF4-FFF2-40B4-BE49-F238E27FC236}">
                <a16:creationId xmlns:a16="http://schemas.microsoft.com/office/drawing/2014/main" id="{00000000-0008-0000-0300-00005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4"/>
          <a:stretch>
            <a:fillRect/>
          </a:stretch>
        </xdr:blipFill>
        <xdr:spPr>
          <a:xfrm>
            <a:off x="285031631" y="1097280"/>
            <a:ext cx="917986" cy="932330"/>
          </a:xfrm>
          <a:prstGeom prst="rect">
            <a:avLst/>
          </a:prstGeom>
        </xdr:spPr>
      </xdr:pic>
      <xdr:pic>
        <xdr:nvPicPr>
          <xdr:cNvPr id="2911" name="Pokemon_302_Droite">
            <a:extLst>
              <a:ext uri="{FF2B5EF4-FFF2-40B4-BE49-F238E27FC236}">
                <a16:creationId xmlns:a16="http://schemas.microsoft.com/office/drawing/2014/main" id="{00000000-0008-0000-0300-00005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5"/>
          <a:stretch>
            <a:fillRect/>
          </a:stretch>
        </xdr:blipFill>
        <xdr:spPr>
          <a:xfrm>
            <a:off x="285949603" y="1097280"/>
            <a:ext cx="917986" cy="932330"/>
          </a:xfrm>
          <a:prstGeom prst="rect">
            <a:avLst/>
          </a:prstGeom>
        </xdr:spPr>
      </xdr:pic>
      <xdr:pic>
        <xdr:nvPicPr>
          <xdr:cNvPr id="2912" name="Pokemon_303_Droite">
            <a:extLst>
              <a:ext uri="{FF2B5EF4-FFF2-40B4-BE49-F238E27FC236}">
                <a16:creationId xmlns:a16="http://schemas.microsoft.com/office/drawing/2014/main" id="{00000000-0008-0000-0300-00006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6"/>
          <a:stretch>
            <a:fillRect/>
          </a:stretch>
        </xdr:blipFill>
        <xdr:spPr>
          <a:xfrm>
            <a:off x="286867600" y="1097280"/>
            <a:ext cx="917986" cy="932330"/>
          </a:xfrm>
          <a:prstGeom prst="rect">
            <a:avLst/>
          </a:prstGeom>
        </xdr:spPr>
      </xdr:pic>
      <xdr:pic>
        <xdr:nvPicPr>
          <xdr:cNvPr id="2913" name="Pokemon_304_Droite">
            <a:extLst>
              <a:ext uri="{FF2B5EF4-FFF2-40B4-BE49-F238E27FC236}">
                <a16:creationId xmlns:a16="http://schemas.microsoft.com/office/drawing/2014/main" id="{00000000-0008-0000-0300-00006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7"/>
          <a:stretch>
            <a:fillRect/>
          </a:stretch>
        </xdr:blipFill>
        <xdr:spPr>
          <a:xfrm>
            <a:off x="287785572" y="1097280"/>
            <a:ext cx="917986" cy="932330"/>
          </a:xfrm>
          <a:prstGeom prst="rect">
            <a:avLst/>
          </a:prstGeom>
        </xdr:spPr>
      </xdr:pic>
      <xdr:pic>
        <xdr:nvPicPr>
          <xdr:cNvPr id="2914" name="Pokemon_305_Droite">
            <a:extLst>
              <a:ext uri="{FF2B5EF4-FFF2-40B4-BE49-F238E27FC236}">
                <a16:creationId xmlns:a16="http://schemas.microsoft.com/office/drawing/2014/main" id="{00000000-0008-0000-0300-00006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8"/>
          <a:stretch>
            <a:fillRect/>
          </a:stretch>
        </xdr:blipFill>
        <xdr:spPr>
          <a:xfrm>
            <a:off x="288703569" y="1097280"/>
            <a:ext cx="917986" cy="932330"/>
          </a:xfrm>
          <a:prstGeom prst="rect">
            <a:avLst/>
          </a:prstGeom>
        </xdr:spPr>
      </xdr:pic>
      <xdr:pic>
        <xdr:nvPicPr>
          <xdr:cNvPr id="2915" name="Pokemon_306_Droite">
            <a:extLst>
              <a:ext uri="{FF2B5EF4-FFF2-40B4-BE49-F238E27FC236}">
                <a16:creationId xmlns:a16="http://schemas.microsoft.com/office/drawing/2014/main" id="{00000000-0008-0000-0300-00006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9"/>
          <a:stretch>
            <a:fillRect/>
          </a:stretch>
        </xdr:blipFill>
        <xdr:spPr>
          <a:xfrm>
            <a:off x="289621590" y="1097280"/>
            <a:ext cx="917986" cy="932330"/>
          </a:xfrm>
          <a:prstGeom prst="rect">
            <a:avLst/>
          </a:prstGeom>
        </xdr:spPr>
      </xdr:pic>
      <xdr:pic>
        <xdr:nvPicPr>
          <xdr:cNvPr id="2916" name="Pokemon_307_Droite">
            <a:extLst>
              <a:ext uri="{FF2B5EF4-FFF2-40B4-BE49-F238E27FC236}">
                <a16:creationId xmlns:a16="http://schemas.microsoft.com/office/drawing/2014/main" id="{00000000-0008-0000-0300-00006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0"/>
          <a:stretch>
            <a:fillRect/>
          </a:stretch>
        </xdr:blipFill>
        <xdr:spPr>
          <a:xfrm>
            <a:off x="290539587" y="1097280"/>
            <a:ext cx="917986" cy="932330"/>
          </a:xfrm>
          <a:prstGeom prst="rect">
            <a:avLst/>
          </a:prstGeom>
        </xdr:spPr>
      </xdr:pic>
      <xdr:pic>
        <xdr:nvPicPr>
          <xdr:cNvPr id="2917" name="Pokemon_308_Droite">
            <a:extLst>
              <a:ext uri="{FF2B5EF4-FFF2-40B4-BE49-F238E27FC236}">
                <a16:creationId xmlns:a16="http://schemas.microsoft.com/office/drawing/2014/main" id="{00000000-0008-0000-0300-00006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1"/>
          <a:stretch>
            <a:fillRect/>
          </a:stretch>
        </xdr:blipFill>
        <xdr:spPr>
          <a:xfrm>
            <a:off x="291457583" y="1097280"/>
            <a:ext cx="917986" cy="932330"/>
          </a:xfrm>
          <a:prstGeom prst="rect">
            <a:avLst/>
          </a:prstGeom>
        </xdr:spPr>
      </xdr:pic>
      <xdr:pic>
        <xdr:nvPicPr>
          <xdr:cNvPr id="2918" name="Pokemon_309_Droite">
            <a:extLst>
              <a:ext uri="{FF2B5EF4-FFF2-40B4-BE49-F238E27FC236}">
                <a16:creationId xmlns:a16="http://schemas.microsoft.com/office/drawing/2014/main" id="{00000000-0008-0000-0300-00006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2"/>
          <a:stretch>
            <a:fillRect/>
          </a:stretch>
        </xdr:blipFill>
        <xdr:spPr>
          <a:xfrm>
            <a:off x="292375555" y="1097280"/>
            <a:ext cx="917986" cy="932330"/>
          </a:xfrm>
          <a:prstGeom prst="rect">
            <a:avLst/>
          </a:prstGeom>
        </xdr:spPr>
      </xdr:pic>
      <xdr:pic>
        <xdr:nvPicPr>
          <xdr:cNvPr id="2919" name="Pokemon_310_Droite">
            <a:extLst>
              <a:ext uri="{FF2B5EF4-FFF2-40B4-BE49-F238E27FC236}">
                <a16:creationId xmlns:a16="http://schemas.microsoft.com/office/drawing/2014/main" id="{00000000-0008-0000-0300-00006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3"/>
          <a:stretch>
            <a:fillRect/>
          </a:stretch>
        </xdr:blipFill>
        <xdr:spPr>
          <a:xfrm>
            <a:off x="293293552" y="1097280"/>
            <a:ext cx="917986" cy="932330"/>
          </a:xfrm>
          <a:prstGeom prst="rect">
            <a:avLst/>
          </a:prstGeom>
        </xdr:spPr>
      </xdr:pic>
      <xdr:pic>
        <xdr:nvPicPr>
          <xdr:cNvPr id="2920" name="Pokemon_311_Droite">
            <a:extLst>
              <a:ext uri="{FF2B5EF4-FFF2-40B4-BE49-F238E27FC236}">
                <a16:creationId xmlns:a16="http://schemas.microsoft.com/office/drawing/2014/main" id="{00000000-0008-0000-0300-00006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4"/>
          <a:stretch>
            <a:fillRect/>
          </a:stretch>
        </xdr:blipFill>
        <xdr:spPr>
          <a:xfrm>
            <a:off x="294211573" y="1097280"/>
            <a:ext cx="917986" cy="932330"/>
          </a:xfrm>
          <a:prstGeom prst="rect">
            <a:avLst/>
          </a:prstGeom>
        </xdr:spPr>
      </xdr:pic>
      <xdr:pic>
        <xdr:nvPicPr>
          <xdr:cNvPr id="2921" name="Pokemon_312_Droite">
            <a:extLst>
              <a:ext uri="{FF2B5EF4-FFF2-40B4-BE49-F238E27FC236}">
                <a16:creationId xmlns:a16="http://schemas.microsoft.com/office/drawing/2014/main" id="{00000000-0008-0000-0300-00006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5"/>
          <a:stretch>
            <a:fillRect/>
          </a:stretch>
        </xdr:blipFill>
        <xdr:spPr>
          <a:xfrm>
            <a:off x="295129570" y="1097280"/>
            <a:ext cx="917986" cy="932330"/>
          </a:xfrm>
          <a:prstGeom prst="rect">
            <a:avLst/>
          </a:prstGeom>
        </xdr:spPr>
      </xdr:pic>
      <xdr:pic>
        <xdr:nvPicPr>
          <xdr:cNvPr id="2922" name="Pokemon_313_Droite">
            <a:extLst>
              <a:ext uri="{FF2B5EF4-FFF2-40B4-BE49-F238E27FC236}">
                <a16:creationId xmlns:a16="http://schemas.microsoft.com/office/drawing/2014/main" id="{00000000-0008-0000-0300-00006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6"/>
          <a:stretch>
            <a:fillRect/>
          </a:stretch>
        </xdr:blipFill>
        <xdr:spPr>
          <a:xfrm>
            <a:off x="296047567" y="1097280"/>
            <a:ext cx="917986" cy="932330"/>
          </a:xfrm>
          <a:prstGeom prst="rect">
            <a:avLst/>
          </a:prstGeom>
        </xdr:spPr>
      </xdr:pic>
      <xdr:pic>
        <xdr:nvPicPr>
          <xdr:cNvPr id="2923" name="Pokemon_314_Droite">
            <a:extLst>
              <a:ext uri="{FF2B5EF4-FFF2-40B4-BE49-F238E27FC236}">
                <a16:creationId xmlns:a16="http://schemas.microsoft.com/office/drawing/2014/main" id="{00000000-0008-0000-0300-00006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7"/>
          <a:stretch>
            <a:fillRect/>
          </a:stretch>
        </xdr:blipFill>
        <xdr:spPr>
          <a:xfrm>
            <a:off x="296965539" y="1097280"/>
            <a:ext cx="917986" cy="932330"/>
          </a:xfrm>
          <a:prstGeom prst="rect">
            <a:avLst/>
          </a:prstGeom>
        </xdr:spPr>
      </xdr:pic>
      <xdr:pic>
        <xdr:nvPicPr>
          <xdr:cNvPr id="2924" name="Pokemon_315_Droite">
            <a:extLst>
              <a:ext uri="{FF2B5EF4-FFF2-40B4-BE49-F238E27FC236}">
                <a16:creationId xmlns:a16="http://schemas.microsoft.com/office/drawing/2014/main" id="{00000000-0008-0000-0300-00006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8"/>
          <a:stretch>
            <a:fillRect/>
          </a:stretch>
        </xdr:blipFill>
        <xdr:spPr>
          <a:xfrm>
            <a:off x="297883535" y="1097280"/>
            <a:ext cx="917986" cy="932330"/>
          </a:xfrm>
          <a:prstGeom prst="rect">
            <a:avLst/>
          </a:prstGeom>
        </xdr:spPr>
      </xdr:pic>
      <xdr:pic>
        <xdr:nvPicPr>
          <xdr:cNvPr id="2925" name="Pokemon_316_Droite">
            <a:extLst>
              <a:ext uri="{FF2B5EF4-FFF2-40B4-BE49-F238E27FC236}">
                <a16:creationId xmlns:a16="http://schemas.microsoft.com/office/drawing/2014/main" id="{00000000-0008-0000-0300-00006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9"/>
          <a:stretch>
            <a:fillRect/>
          </a:stretch>
        </xdr:blipFill>
        <xdr:spPr>
          <a:xfrm>
            <a:off x="298801507" y="1097280"/>
            <a:ext cx="917986" cy="932330"/>
          </a:xfrm>
          <a:prstGeom prst="rect">
            <a:avLst/>
          </a:prstGeom>
        </xdr:spPr>
      </xdr:pic>
      <xdr:pic>
        <xdr:nvPicPr>
          <xdr:cNvPr id="2926" name="Pokemon_317_Droite">
            <a:extLst>
              <a:ext uri="{FF2B5EF4-FFF2-40B4-BE49-F238E27FC236}">
                <a16:creationId xmlns:a16="http://schemas.microsoft.com/office/drawing/2014/main" id="{00000000-0008-0000-0300-00006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0"/>
          <a:stretch>
            <a:fillRect/>
          </a:stretch>
        </xdr:blipFill>
        <xdr:spPr>
          <a:xfrm>
            <a:off x="299719504" y="1097280"/>
            <a:ext cx="917986" cy="932330"/>
          </a:xfrm>
          <a:prstGeom prst="rect">
            <a:avLst/>
          </a:prstGeom>
        </xdr:spPr>
      </xdr:pic>
      <xdr:pic>
        <xdr:nvPicPr>
          <xdr:cNvPr id="2927" name="Pokemon_318_Droite">
            <a:extLst>
              <a:ext uri="{FF2B5EF4-FFF2-40B4-BE49-F238E27FC236}">
                <a16:creationId xmlns:a16="http://schemas.microsoft.com/office/drawing/2014/main" id="{00000000-0008-0000-0300-00006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1"/>
          <a:stretch>
            <a:fillRect/>
          </a:stretch>
        </xdr:blipFill>
        <xdr:spPr>
          <a:xfrm>
            <a:off x="300637476" y="1097280"/>
            <a:ext cx="917986" cy="932330"/>
          </a:xfrm>
          <a:prstGeom prst="rect">
            <a:avLst/>
          </a:prstGeom>
        </xdr:spPr>
      </xdr:pic>
      <xdr:pic>
        <xdr:nvPicPr>
          <xdr:cNvPr id="2928" name="Pokemon_319_Droite">
            <a:extLst>
              <a:ext uri="{FF2B5EF4-FFF2-40B4-BE49-F238E27FC236}">
                <a16:creationId xmlns:a16="http://schemas.microsoft.com/office/drawing/2014/main" id="{00000000-0008-0000-0300-00007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2"/>
          <a:stretch>
            <a:fillRect/>
          </a:stretch>
        </xdr:blipFill>
        <xdr:spPr>
          <a:xfrm>
            <a:off x="301555472" y="1097280"/>
            <a:ext cx="917986" cy="932330"/>
          </a:xfrm>
          <a:prstGeom prst="rect">
            <a:avLst/>
          </a:prstGeom>
        </xdr:spPr>
      </xdr:pic>
      <xdr:pic>
        <xdr:nvPicPr>
          <xdr:cNvPr id="2929" name="Pokemon_320_Droite">
            <a:extLst>
              <a:ext uri="{FF2B5EF4-FFF2-40B4-BE49-F238E27FC236}">
                <a16:creationId xmlns:a16="http://schemas.microsoft.com/office/drawing/2014/main" id="{00000000-0008-0000-0300-00007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3"/>
          <a:stretch>
            <a:fillRect/>
          </a:stretch>
        </xdr:blipFill>
        <xdr:spPr>
          <a:xfrm>
            <a:off x="302473444" y="1097280"/>
            <a:ext cx="917986" cy="932330"/>
          </a:xfrm>
          <a:prstGeom prst="rect">
            <a:avLst/>
          </a:prstGeom>
        </xdr:spPr>
      </xdr:pic>
      <xdr:pic>
        <xdr:nvPicPr>
          <xdr:cNvPr id="2930" name="Pokemon_321_Droite">
            <a:extLst>
              <a:ext uri="{FF2B5EF4-FFF2-40B4-BE49-F238E27FC236}">
                <a16:creationId xmlns:a16="http://schemas.microsoft.com/office/drawing/2014/main" id="{00000000-0008-0000-0300-00007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4"/>
          <a:stretch>
            <a:fillRect/>
          </a:stretch>
        </xdr:blipFill>
        <xdr:spPr>
          <a:xfrm>
            <a:off x="303391441" y="1097280"/>
            <a:ext cx="917986" cy="932330"/>
          </a:xfrm>
          <a:prstGeom prst="rect">
            <a:avLst/>
          </a:prstGeom>
        </xdr:spPr>
      </xdr:pic>
      <xdr:pic>
        <xdr:nvPicPr>
          <xdr:cNvPr id="2931" name="Pokemon_322_Droite">
            <a:extLst>
              <a:ext uri="{FF2B5EF4-FFF2-40B4-BE49-F238E27FC236}">
                <a16:creationId xmlns:a16="http://schemas.microsoft.com/office/drawing/2014/main" id="{00000000-0008-0000-0300-00007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5"/>
          <a:stretch>
            <a:fillRect/>
          </a:stretch>
        </xdr:blipFill>
        <xdr:spPr>
          <a:xfrm>
            <a:off x="304309463" y="1097280"/>
            <a:ext cx="917986" cy="932330"/>
          </a:xfrm>
          <a:prstGeom prst="rect">
            <a:avLst/>
          </a:prstGeom>
        </xdr:spPr>
      </xdr:pic>
      <xdr:pic>
        <xdr:nvPicPr>
          <xdr:cNvPr id="2932" name="Pokemon_323_Droite">
            <a:extLst>
              <a:ext uri="{FF2B5EF4-FFF2-40B4-BE49-F238E27FC236}">
                <a16:creationId xmlns:a16="http://schemas.microsoft.com/office/drawing/2014/main" id="{00000000-0008-0000-0300-00007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6"/>
          <a:stretch>
            <a:fillRect/>
          </a:stretch>
        </xdr:blipFill>
        <xdr:spPr>
          <a:xfrm>
            <a:off x="305227459" y="1097280"/>
            <a:ext cx="917986" cy="932330"/>
          </a:xfrm>
          <a:prstGeom prst="rect">
            <a:avLst/>
          </a:prstGeom>
        </xdr:spPr>
      </xdr:pic>
      <xdr:pic>
        <xdr:nvPicPr>
          <xdr:cNvPr id="2933" name="Pokemon_324_Droite">
            <a:extLst>
              <a:ext uri="{FF2B5EF4-FFF2-40B4-BE49-F238E27FC236}">
                <a16:creationId xmlns:a16="http://schemas.microsoft.com/office/drawing/2014/main" id="{00000000-0008-0000-0300-00007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7"/>
          <a:stretch>
            <a:fillRect/>
          </a:stretch>
        </xdr:blipFill>
        <xdr:spPr>
          <a:xfrm>
            <a:off x="306145456" y="1097280"/>
            <a:ext cx="917986" cy="932330"/>
          </a:xfrm>
          <a:prstGeom prst="rect">
            <a:avLst/>
          </a:prstGeom>
        </xdr:spPr>
      </xdr:pic>
      <xdr:pic>
        <xdr:nvPicPr>
          <xdr:cNvPr id="2934" name="Pokemon_325_Droite">
            <a:extLst>
              <a:ext uri="{FF2B5EF4-FFF2-40B4-BE49-F238E27FC236}">
                <a16:creationId xmlns:a16="http://schemas.microsoft.com/office/drawing/2014/main" id="{00000000-0008-0000-0300-00007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8"/>
          <a:stretch>
            <a:fillRect/>
          </a:stretch>
        </xdr:blipFill>
        <xdr:spPr>
          <a:xfrm>
            <a:off x="307063477" y="1097280"/>
            <a:ext cx="917986" cy="932330"/>
          </a:xfrm>
          <a:prstGeom prst="rect">
            <a:avLst/>
          </a:prstGeom>
        </xdr:spPr>
      </xdr:pic>
      <xdr:pic>
        <xdr:nvPicPr>
          <xdr:cNvPr id="2935" name="Pokemon_326_Droite">
            <a:extLst>
              <a:ext uri="{FF2B5EF4-FFF2-40B4-BE49-F238E27FC236}">
                <a16:creationId xmlns:a16="http://schemas.microsoft.com/office/drawing/2014/main" id="{00000000-0008-0000-0300-00007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9"/>
          <a:stretch>
            <a:fillRect/>
          </a:stretch>
        </xdr:blipFill>
        <xdr:spPr>
          <a:xfrm>
            <a:off x="307981474" y="1097280"/>
            <a:ext cx="917986" cy="932330"/>
          </a:xfrm>
          <a:prstGeom prst="rect">
            <a:avLst/>
          </a:prstGeom>
        </xdr:spPr>
      </xdr:pic>
      <xdr:pic>
        <xdr:nvPicPr>
          <xdr:cNvPr id="2936" name="Pokemon_327_Droite">
            <a:extLst>
              <a:ext uri="{FF2B5EF4-FFF2-40B4-BE49-F238E27FC236}">
                <a16:creationId xmlns:a16="http://schemas.microsoft.com/office/drawing/2014/main" id="{00000000-0008-0000-0300-00007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0"/>
          <a:stretch>
            <a:fillRect/>
          </a:stretch>
        </xdr:blipFill>
        <xdr:spPr>
          <a:xfrm>
            <a:off x="308899471" y="1097280"/>
            <a:ext cx="917986" cy="932330"/>
          </a:xfrm>
          <a:prstGeom prst="rect">
            <a:avLst/>
          </a:prstGeom>
        </xdr:spPr>
      </xdr:pic>
      <xdr:pic>
        <xdr:nvPicPr>
          <xdr:cNvPr id="2937" name="Pokemon_328_Droite">
            <a:extLst>
              <a:ext uri="{FF2B5EF4-FFF2-40B4-BE49-F238E27FC236}">
                <a16:creationId xmlns:a16="http://schemas.microsoft.com/office/drawing/2014/main" id="{00000000-0008-0000-0300-00007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1"/>
          <a:stretch>
            <a:fillRect/>
          </a:stretch>
        </xdr:blipFill>
        <xdr:spPr>
          <a:xfrm>
            <a:off x="309817443" y="1097280"/>
            <a:ext cx="917986" cy="932330"/>
          </a:xfrm>
          <a:prstGeom prst="rect">
            <a:avLst/>
          </a:prstGeom>
        </xdr:spPr>
      </xdr:pic>
      <xdr:pic>
        <xdr:nvPicPr>
          <xdr:cNvPr id="2938" name="Pokemon_329_Droite">
            <a:extLst>
              <a:ext uri="{FF2B5EF4-FFF2-40B4-BE49-F238E27FC236}">
                <a16:creationId xmlns:a16="http://schemas.microsoft.com/office/drawing/2014/main" id="{00000000-0008-0000-0300-00007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2"/>
          <a:stretch>
            <a:fillRect/>
          </a:stretch>
        </xdr:blipFill>
        <xdr:spPr>
          <a:xfrm>
            <a:off x="310735439" y="1097280"/>
            <a:ext cx="917986" cy="932330"/>
          </a:xfrm>
          <a:prstGeom prst="rect">
            <a:avLst/>
          </a:prstGeom>
        </xdr:spPr>
      </xdr:pic>
      <xdr:pic>
        <xdr:nvPicPr>
          <xdr:cNvPr id="2939" name="Pokemon_330_Droite">
            <a:extLst>
              <a:ext uri="{FF2B5EF4-FFF2-40B4-BE49-F238E27FC236}">
                <a16:creationId xmlns:a16="http://schemas.microsoft.com/office/drawing/2014/main" id="{00000000-0008-0000-0300-00007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3"/>
          <a:stretch>
            <a:fillRect/>
          </a:stretch>
        </xdr:blipFill>
        <xdr:spPr>
          <a:xfrm>
            <a:off x="311653411" y="1097280"/>
            <a:ext cx="917986" cy="932330"/>
          </a:xfrm>
          <a:prstGeom prst="rect">
            <a:avLst/>
          </a:prstGeom>
        </xdr:spPr>
      </xdr:pic>
      <xdr:pic>
        <xdr:nvPicPr>
          <xdr:cNvPr id="2940" name="Pokemon_331_Droite">
            <a:extLst>
              <a:ext uri="{FF2B5EF4-FFF2-40B4-BE49-F238E27FC236}">
                <a16:creationId xmlns:a16="http://schemas.microsoft.com/office/drawing/2014/main" id="{00000000-0008-0000-0300-00007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4"/>
          <a:stretch>
            <a:fillRect/>
          </a:stretch>
        </xdr:blipFill>
        <xdr:spPr>
          <a:xfrm>
            <a:off x="312571408" y="1097280"/>
            <a:ext cx="917986" cy="932330"/>
          </a:xfrm>
          <a:prstGeom prst="rect">
            <a:avLst/>
          </a:prstGeom>
        </xdr:spPr>
      </xdr:pic>
      <xdr:pic>
        <xdr:nvPicPr>
          <xdr:cNvPr id="2941" name="Pokemon_332_Droite">
            <a:extLst>
              <a:ext uri="{FF2B5EF4-FFF2-40B4-BE49-F238E27FC236}">
                <a16:creationId xmlns:a16="http://schemas.microsoft.com/office/drawing/2014/main" id="{00000000-0008-0000-0300-00007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5"/>
          <a:stretch>
            <a:fillRect/>
          </a:stretch>
        </xdr:blipFill>
        <xdr:spPr>
          <a:xfrm>
            <a:off x="313489380" y="1097280"/>
            <a:ext cx="917986" cy="932330"/>
          </a:xfrm>
          <a:prstGeom prst="rect">
            <a:avLst/>
          </a:prstGeom>
        </xdr:spPr>
      </xdr:pic>
      <xdr:pic>
        <xdr:nvPicPr>
          <xdr:cNvPr id="2942" name="Pokemon_333_Droite">
            <a:extLst>
              <a:ext uri="{FF2B5EF4-FFF2-40B4-BE49-F238E27FC236}">
                <a16:creationId xmlns:a16="http://schemas.microsoft.com/office/drawing/2014/main" id="{00000000-0008-0000-0300-00007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6"/>
          <a:stretch>
            <a:fillRect/>
          </a:stretch>
        </xdr:blipFill>
        <xdr:spPr>
          <a:xfrm>
            <a:off x="314407376" y="1097280"/>
            <a:ext cx="917986" cy="932330"/>
          </a:xfrm>
          <a:prstGeom prst="rect">
            <a:avLst/>
          </a:prstGeom>
        </xdr:spPr>
      </xdr:pic>
      <xdr:pic>
        <xdr:nvPicPr>
          <xdr:cNvPr id="2943" name="Pokemon_334_Droite">
            <a:extLst>
              <a:ext uri="{FF2B5EF4-FFF2-40B4-BE49-F238E27FC236}">
                <a16:creationId xmlns:a16="http://schemas.microsoft.com/office/drawing/2014/main" id="{00000000-0008-0000-0300-00007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7"/>
          <a:stretch>
            <a:fillRect/>
          </a:stretch>
        </xdr:blipFill>
        <xdr:spPr>
          <a:xfrm>
            <a:off x="315325348" y="1097280"/>
            <a:ext cx="917986" cy="932330"/>
          </a:xfrm>
          <a:prstGeom prst="rect">
            <a:avLst/>
          </a:prstGeom>
        </xdr:spPr>
      </xdr:pic>
      <xdr:pic>
        <xdr:nvPicPr>
          <xdr:cNvPr id="2944" name="Pokemon_335_Droite">
            <a:extLst>
              <a:ext uri="{FF2B5EF4-FFF2-40B4-BE49-F238E27FC236}">
                <a16:creationId xmlns:a16="http://schemas.microsoft.com/office/drawing/2014/main" id="{00000000-0008-0000-0300-00008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8"/>
          <a:stretch>
            <a:fillRect/>
          </a:stretch>
        </xdr:blipFill>
        <xdr:spPr>
          <a:xfrm>
            <a:off x="316243345" y="1097280"/>
            <a:ext cx="917986" cy="932330"/>
          </a:xfrm>
          <a:prstGeom prst="rect">
            <a:avLst/>
          </a:prstGeom>
        </xdr:spPr>
      </xdr:pic>
      <xdr:pic>
        <xdr:nvPicPr>
          <xdr:cNvPr id="2945" name="Pokemon_336_Droite">
            <a:extLst>
              <a:ext uri="{FF2B5EF4-FFF2-40B4-BE49-F238E27FC236}">
                <a16:creationId xmlns:a16="http://schemas.microsoft.com/office/drawing/2014/main" id="{00000000-0008-0000-0300-00008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9"/>
          <a:stretch>
            <a:fillRect/>
          </a:stretch>
        </xdr:blipFill>
        <xdr:spPr>
          <a:xfrm>
            <a:off x="317161366" y="1097280"/>
            <a:ext cx="917986" cy="932330"/>
          </a:xfrm>
          <a:prstGeom prst="rect">
            <a:avLst/>
          </a:prstGeom>
        </xdr:spPr>
      </xdr:pic>
      <xdr:pic>
        <xdr:nvPicPr>
          <xdr:cNvPr id="2946" name="Pokemon_337_Droite">
            <a:extLst>
              <a:ext uri="{FF2B5EF4-FFF2-40B4-BE49-F238E27FC236}">
                <a16:creationId xmlns:a16="http://schemas.microsoft.com/office/drawing/2014/main" id="{00000000-0008-0000-0300-00008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0"/>
          <a:stretch>
            <a:fillRect/>
          </a:stretch>
        </xdr:blipFill>
        <xdr:spPr>
          <a:xfrm>
            <a:off x="318079363" y="1097280"/>
            <a:ext cx="917986" cy="932330"/>
          </a:xfrm>
          <a:prstGeom prst="rect">
            <a:avLst/>
          </a:prstGeom>
        </xdr:spPr>
      </xdr:pic>
      <xdr:pic>
        <xdr:nvPicPr>
          <xdr:cNvPr id="2947" name="Pokemon_338_Droite">
            <a:extLst>
              <a:ext uri="{FF2B5EF4-FFF2-40B4-BE49-F238E27FC236}">
                <a16:creationId xmlns:a16="http://schemas.microsoft.com/office/drawing/2014/main" id="{00000000-0008-0000-0300-00008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1"/>
          <a:stretch>
            <a:fillRect/>
          </a:stretch>
        </xdr:blipFill>
        <xdr:spPr>
          <a:xfrm>
            <a:off x="318997360" y="1097280"/>
            <a:ext cx="917986" cy="932330"/>
          </a:xfrm>
          <a:prstGeom prst="rect">
            <a:avLst/>
          </a:prstGeom>
        </xdr:spPr>
      </xdr:pic>
      <xdr:pic>
        <xdr:nvPicPr>
          <xdr:cNvPr id="2948" name="Pokemon_339_Droite">
            <a:extLst>
              <a:ext uri="{FF2B5EF4-FFF2-40B4-BE49-F238E27FC236}">
                <a16:creationId xmlns:a16="http://schemas.microsoft.com/office/drawing/2014/main" id="{00000000-0008-0000-0300-00008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2"/>
          <a:stretch>
            <a:fillRect/>
          </a:stretch>
        </xdr:blipFill>
        <xdr:spPr>
          <a:xfrm>
            <a:off x="319915381" y="1097280"/>
            <a:ext cx="917986" cy="932330"/>
          </a:xfrm>
          <a:prstGeom prst="rect">
            <a:avLst/>
          </a:prstGeom>
        </xdr:spPr>
      </xdr:pic>
      <xdr:pic>
        <xdr:nvPicPr>
          <xdr:cNvPr id="2949" name="Pokemon_340_Droite">
            <a:extLst>
              <a:ext uri="{FF2B5EF4-FFF2-40B4-BE49-F238E27FC236}">
                <a16:creationId xmlns:a16="http://schemas.microsoft.com/office/drawing/2014/main" id="{00000000-0008-0000-0300-00008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3"/>
          <a:stretch>
            <a:fillRect/>
          </a:stretch>
        </xdr:blipFill>
        <xdr:spPr>
          <a:xfrm>
            <a:off x="320833378" y="1097280"/>
            <a:ext cx="917986" cy="932330"/>
          </a:xfrm>
          <a:prstGeom prst="rect">
            <a:avLst/>
          </a:prstGeom>
        </xdr:spPr>
      </xdr:pic>
      <xdr:pic>
        <xdr:nvPicPr>
          <xdr:cNvPr id="2950" name="Pokemon_341_Droite">
            <a:extLst>
              <a:ext uri="{FF2B5EF4-FFF2-40B4-BE49-F238E27FC236}">
                <a16:creationId xmlns:a16="http://schemas.microsoft.com/office/drawing/2014/main" id="{00000000-0008-0000-0300-00008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4"/>
          <a:stretch>
            <a:fillRect/>
          </a:stretch>
        </xdr:blipFill>
        <xdr:spPr>
          <a:xfrm>
            <a:off x="321751375" y="1097280"/>
            <a:ext cx="917986" cy="932330"/>
          </a:xfrm>
          <a:prstGeom prst="rect">
            <a:avLst/>
          </a:prstGeom>
        </xdr:spPr>
      </xdr:pic>
      <xdr:pic>
        <xdr:nvPicPr>
          <xdr:cNvPr id="2951" name="Pokemon_342_Droite">
            <a:extLst>
              <a:ext uri="{FF2B5EF4-FFF2-40B4-BE49-F238E27FC236}">
                <a16:creationId xmlns:a16="http://schemas.microsoft.com/office/drawing/2014/main" id="{00000000-0008-0000-0300-00008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5"/>
          <a:stretch>
            <a:fillRect/>
          </a:stretch>
        </xdr:blipFill>
        <xdr:spPr>
          <a:xfrm>
            <a:off x="322669346" y="1097280"/>
            <a:ext cx="917986" cy="932330"/>
          </a:xfrm>
          <a:prstGeom prst="rect">
            <a:avLst/>
          </a:prstGeom>
        </xdr:spPr>
      </xdr:pic>
      <xdr:pic>
        <xdr:nvPicPr>
          <xdr:cNvPr id="2952" name="Pokemon_343_Droite">
            <a:extLst>
              <a:ext uri="{FF2B5EF4-FFF2-40B4-BE49-F238E27FC236}">
                <a16:creationId xmlns:a16="http://schemas.microsoft.com/office/drawing/2014/main" id="{00000000-0008-0000-0300-00008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6"/>
          <a:stretch>
            <a:fillRect/>
          </a:stretch>
        </xdr:blipFill>
        <xdr:spPr>
          <a:xfrm>
            <a:off x="323587343" y="1097280"/>
            <a:ext cx="917986" cy="932330"/>
          </a:xfrm>
          <a:prstGeom prst="rect">
            <a:avLst/>
          </a:prstGeom>
        </xdr:spPr>
      </xdr:pic>
      <xdr:pic>
        <xdr:nvPicPr>
          <xdr:cNvPr id="2953" name="Pokemon_344_Droite">
            <a:extLst>
              <a:ext uri="{FF2B5EF4-FFF2-40B4-BE49-F238E27FC236}">
                <a16:creationId xmlns:a16="http://schemas.microsoft.com/office/drawing/2014/main" id="{00000000-0008-0000-0300-00008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7"/>
          <a:stretch>
            <a:fillRect/>
          </a:stretch>
        </xdr:blipFill>
        <xdr:spPr>
          <a:xfrm>
            <a:off x="324505315" y="1097280"/>
            <a:ext cx="917986" cy="932330"/>
          </a:xfrm>
          <a:prstGeom prst="rect">
            <a:avLst/>
          </a:prstGeom>
        </xdr:spPr>
      </xdr:pic>
      <xdr:pic>
        <xdr:nvPicPr>
          <xdr:cNvPr id="2954" name="Pokemon_345_Droite">
            <a:extLst>
              <a:ext uri="{FF2B5EF4-FFF2-40B4-BE49-F238E27FC236}">
                <a16:creationId xmlns:a16="http://schemas.microsoft.com/office/drawing/2014/main" id="{00000000-0008-0000-0300-00008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8"/>
          <a:stretch>
            <a:fillRect/>
          </a:stretch>
        </xdr:blipFill>
        <xdr:spPr>
          <a:xfrm>
            <a:off x="325423312" y="1097280"/>
            <a:ext cx="917986" cy="932330"/>
          </a:xfrm>
          <a:prstGeom prst="rect">
            <a:avLst/>
          </a:prstGeom>
        </xdr:spPr>
      </xdr:pic>
      <xdr:pic>
        <xdr:nvPicPr>
          <xdr:cNvPr id="2955" name="Pokemon_346_Droite">
            <a:extLst>
              <a:ext uri="{FF2B5EF4-FFF2-40B4-BE49-F238E27FC236}">
                <a16:creationId xmlns:a16="http://schemas.microsoft.com/office/drawing/2014/main" id="{00000000-0008-0000-0300-00008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9"/>
          <a:stretch>
            <a:fillRect/>
          </a:stretch>
        </xdr:blipFill>
        <xdr:spPr>
          <a:xfrm>
            <a:off x="326341284" y="1097280"/>
            <a:ext cx="917986" cy="932330"/>
          </a:xfrm>
          <a:prstGeom prst="rect">
            <a:avLst/>
          </a:prstGeom>
        </xdr:spPr>
      </xdr:pic>
      <xdr:pic>
        <xdr:nvPicPr>
          <xdr:cNvPr id="2956" name="Pokemon_347_Droite">
            <a:extLst>
              <a:ext uri="{FF2B5EF4-FFF2-40B4-BE49-F238E27FC236}">
                <a16:creationId xmlns:a16="http://schemas.microsoft.com/office/drawing/2014/main" id="{00000000-0008-0000-0300-00008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0"/>
          <a:stretch>
            <a:fillRect/>
          </a:stretch>
        </xdr:blipFill>
        <xdr:spPr>
          <a:xfrm>
            <a:off x="327259280" y="1097280"/>
            <a:ext cx="917986" cy="932330"/>
          </a:xfrm>
          <a:prstGeom prst="rect">
            <a:avLst/>
          </a:prstGeom>
        </xdr:spPr>
      </xdr:pic>
      <xdr:pic>
        <xdr:nvPicPr>
          <xdr:cNvPr id="2957" name="Pokemon_348_Droite">
            <a:extLst>
              <a:ext uri="{FF2B5EF4-FFF2-40B4-BE49-F238E27FC236}">
                <a16:creationId xmlns:a16="http://schemas.microsoft.com/office/drawing/2014/main" id="{00000000-0008-0000-0300-00008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1"/>
          <a:stretch>
            <a:fillRect/>
          </a:stretch>
        </xdr:blipFill>
        <xdr:spPr>
          <a:xfrm>
            <a:off x="328177252" y="1097280"/>
            <a:ext cx="917986" cy="932330"/>
          </a:xfrm>
          <a:prstGeom prst="rect">
            <a:avLst/>
          </a:prstGeom>
        </xdr:spPr>
      </xdr:pic>
      <xdr:pic>
        <xdr:nvPicPr>
          <xdr:cNvPr id="2958" name="Pokemon_349_Droite">
            <a:extLst>
              <a:ext uri="{FF2B5EF4-FFF2-40B4-BE49-F238E27FC236}">
                <a16:creationId xmlns:a16="http://schemas.microsoft.com/office/drawing/2014/main" id="{00000000-0008-0000-0300-00008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2"/>
          <a:stretch>
            <a:fillRect/>
          </a:stretch>
        </xdr:blipFill>
        <xdr:spPr>
          <a:xfrm>
            <a:off x="329095249" y="1097280"/>
            <a:ext cx="917986" cy="932330"/>
          </a:xfrm>
          <a:prstGeom prst="rect">
            <a:avLst/>
          </a:prstGeom>
        </xdr:spPr>
      </xdr:pic>
      <xdr:pic>
        <xdr:nvPicPr>
          <xdr:cNvPr id="2959" name="Pokemon_350_Droite">
            <a:extLst>
              <a:ext uri="{FF2B5EF4-FFF2-40B4-BE49-F238E27FC236}">
                <a16:creationId xmlns:a16="http://schemas.microsoft.com/office/drawing/2014/main" id="{00000000-0008-0000-0300-00008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3"/>
          <a:stretch>
            <a:fillRect/>
          </a:stretch>
        </xdr:blipFill>
        <xdr:spPr>
          <a:xfrm>
            <a:off x="330013270" y="1097280"/>
            <a:ext cx="917986" cy="932330"/>
          </a:xfrm>
          <a:prstGeom prst="rect">
            <a:avLst/>
          </a:prstGeom>
        </xdr:spPr>
      </xdr:pic>
      <xdr:pic>
        <xdr:nvPicPr>
          <xdr:cNvPr id="2960" name="Pokemon_351_Droite">
            <a:extLst>
              <a:ext uri="{FF2B5EF4-FFF2-40B4-BE49-F238E27FC236}">
                <a16:creationId xmlns:a16="http://schemas.microsoft.com/office/drawing/2014/main" id="{00000000-0008-0000-0300-00009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4"/>
          <a:stretch>
            <a:fillRect/>
          </a:stretch>
        </xdr:blipFill>
        <xdr:spPr>
          <a:xfrm>
            <a:off x="330931267" y="1097280"/>
            <a:ext cx="917986" cy="932330"/>
          </a:xfrm>
          <a:prstGeom prst="rect">
            <a:avLst/>
          </a:prstGeom>
        </xdr:spPr>
      </xdr:pic>
      <xdr:pic>
        <xdr:nvPicPr>
          <xdr:cNvPr id="2961" name="Pokemon_352_Droite">
            <a:extLst>
              <a:ext uri="{FF2B5EF4-FFF2-40B4-BE49-F238E27FC236}">
                <a16:creationId xmlns:a16="http://schemas.microsoft.com/office/drawing/2014/main" id="{00000000-0008-0000-0300-00009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5"/>
          <a:stretch>
            <a:fillRect/>
          </a:stretch>
        </xdr:blipFill>
        <xdr:spPr>
          <a:xfrm>
            <a:off x="331849264" y="1097280"/>
            <a:ext cx="917986" cy="932330"/>
          </a:xfrm>
          <a:prstGeom prst="rect">
            <a:avLst/>
          </a:prstGeom>
        </xdr:spPr>
      </xdr:pic>
      <xdr:pic>
        <xdr:nvPicPr>
          <xdr:cNvPr id="2962" name="Pokemon_353_Droite">
            <a:extLst>
              <a:ext uri="{FF2B5EF4-FFF2-40B4-BE49-F238E27FC236}">
                <a16:creationId xmlns:a16="http://schemas.microsoft.com/office/drawing/2014/main" id="{00000000-0008-0000-0300-00009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6"/>
          <a:stretch>
            <a:fillRect/>
          </a:stretch>
        </xdr:blipFill>
        <xdr:spPr>
          <a:xfrm>
            <a:off x="332767285" y="1097280"/>
            <a:ext cx="917986" cy="932330"/>
          </a:xfrm>
          <a:prstGeom prst="rect">
            <a:avLst/>
          </a:prstGeom>
        </xdr:spPr>
      </xdr:pic>
      <xdr:pic>
        <xdr:nvPicPr>
          <xdr:cNvPr id="2963" name="Pokemon_354_Droite">
            <a:extLst>
              <a:ext uri="{FF2B5EF4-FFF2-40B4-BE49-F238E27FC236}">
                <a16:creationId xmlns:a16="http://schemas.microsoft.com/office/drawing/2014/main" id="{00000000-0008-0000-0300-00009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7"/>
          <a:stretch>
            <a:fillRect/>
          </a:stretch>
        </xdr:blipFill>
        <xdr:spPr>
          <a:xfrm>
            <a:off x="333685282" y="1097280"/>
            <a:ext cx="917986" cy="932330"/>
          </a:xfrm>
          <a:prstGeom prst="rect">
            <a:avLst/>
          </a:prstGeom>
        </xdr:spPr>
      </xdr:pic>
      <xdr:pic>
        <xdr:nvPicPr>
          <xdr:cNvPr id="2964" name="Pokemon_355_Droite">
            <a:extLst>
              <a:ext uri="{FF2B5EF4-FFF2-40B4-BE49-F238E27FC236}">
                <a16:creationId xmlns:a16="http://schemas.microsoft.com/office/drawing/2014/main" id="{00000000-0008-0000-0300-00009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8"/>
          <a:stretch>
            <a:fillRect/>
          </a:stretch>
        </xdr:blipFill>
        <xdr:spPr>
          <a:xfrm>
            <a:off x="334603279" y="1097280"/>
            <a:ext cx="917986" cy="932330"/>
          </a:xfrm>
          <a:prstGeom prst="rect">
            <a:avLst/>
          </a:prstGeom>
        </xdr:spPr>
      </xdr:pic>
      <xdr:pic>
        <xdr:nvPicPr>
          <xdr:cNvPr id="2965" name="Pokemon_356_Droite">
            <a:extLst>
              <a:ext uri="{FF2B5EF4-FFF2-40B4-BE49-F238E27FC236}">
                <a16:creationId xmlns:a16="http://schemas.microsoft.com/office/drawing/2014/main" id="{00000000-0008-0000-0300-00009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9"/>
          <a:stretch>
            <a:fillRect/>
          </a:stretch>
        </xdr:blipFill>
        <xdr:spPr>
          <a:xfrm>
            <a:off x="335521250" y="1097280"/>
            <a:ext cx="917986" cy="932330"/>
          </a:xfrm>
          <a:prstGeom prst="rect">
            <a:avLst/>
          </a:prstGeom>
        </xdr:spPr>
      </xdr:pic>
      <xdr:pic>
        <xdr:nvPicPr>
          <xdr:cNvPr id="2966" name="Pokemon_357_Droite">
            <a:extLst>
              <a:ext uri="{FF2B5EF4-FFF2-40B4-BE49-F238E27FC236}">
                <a16:creationId xmlns:a16="http://schemas.microsoft.com/office/drawing/2014/main" id="{00000000-0008-0000-0300-00009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0"/>
          <a:stretch>
            <a:fillRect/>
          </a:stretch>
        </xdr:blipFill>
        <xdr:spPr>
          <a:xfrm>
            <a:off x="336439247" y="1097280"/>
            <a:ext cx="917986" cy="932330"/>
          </a:xfrm>
          <a:prstGeom prst="rect">
            <a:avLst/>
          </a:prstGeom>
        </xdr:spPr>
      </xdr:pic>
      <xdr:pic>
        <xdr:nvPicPr>
          <xdr:cNvPr id="2967" name="Pokemon_358_Droite">
            <a:extLst>
              <a:ext uri="{FF2B5EF4-FFF2-40B4-BE49-F238E27FC236}">
                <a16:creationId xmlns:a16="http://schemas.microsoft.com/office/drawing/2014/main" id="{00000000-0008-0000-0300-00009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1"/>
          <a:stretch>
            <a:fillRect/>
          </a:stretch>
        </xdr:blipFill>
        <xdr:spPr>
          <a:xfrm>
            <a:off x="337357219" y="1097280"/>
            <a:ext cx="917986" cy="932330"/>
          </a:xfrm>
          <a:prstGeom prst="rect">
            <a:avLst/>
          </a:prstGeom>
        </xdr:spPr>
      </xdr:pic>
      <xdr:pic>
        <xdr:nvPicPr>
          <xdr:cNvPr id="2968" name="Pokemon_359_Droite">
            <a:extLst>
              <a:ext uri="{FF2B5EF4-FFF2-40B4-BE49-F238E27FC236}">
                <a16:creationId xmlns:a16="http://schemas.microsoft.com/office/drawing/2014/main" id="{00000000-0008-0000-0300-00009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2"/>
          <a:stretch>
            <a:fillRect/>
          </a:stretch>
        </xdr:blipFill>
        <xdr:spPr>
          <a:xfrm>
            <a:off x="338275216" y="1097280"/>
            <a:ext cx="917986" cy="932330"/>
          </a:xfrm>
          <a:prstGeom prst="rect">
            <a:avLst/>
          </a:prstGeom>
        </xdr:spPr>
      </xdr:pic>
      <xdr:pic>
        <xdr:nvPicPr>
          <xdr:cNvPr id="2969" name="Pokemon_360_Droite">
            <a:extLst>
              <a:ext uri="{FF2B5EF4-FFF2-40B4-BE49-F238E27FC236}">
                <a16:creationId xmlns:a16="http://schemas.microsoft.com/office/drawing/2014/main" id="{00000000-0008-0000-0300-00009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3"/>
          <a:stretch>
            <a:fillRect/>
          </a:stretch>
        </xdr:blipFill>
        <xdr:spPr>
          <a:xfrm>
            <a:off x="339193188" y="1097280"/>
            <a:ext cx="917986" cy="932330"/>
          </a:xfrm>
          <a:prstGeom prst="rect">
            <a:avLst/>
          </a:prstGeom>
        </xdr:spPr>
      </xdr:pic>
      <xdr:pic>
        <xdr:nvPicPr>
          <xdr:cNvPr id="2970" name="Pokemon_361_Droite">
            <a:extLst>
              <a:ext uri="{FF2B5EF4-FFF2-40B4-BE49-F238E27FC236}">
                <a16:creationId xmlns:a16="http://schemas.microsoft.com/office/drawing/2014/main" id="{00000000-0008-0000-0300-00009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4"/>
          <a:stretch>
            <a:fillRect/>
          </a:stretch>
        </xdr:blipFill>
        <xdr:spPr>
          <a:xfrm>
            <a:off x="340111184" y="1097280"/>
            <a:ext cx="917986" cy="932330"/>
          </a:xfrm>
          <a:prstGeom prst="rect">
            <a:avLst/>
          </a:prstGeom>
        </xdr:spPr>
      </xdr:pic>
      <xdr:pic>
        <xdr:nvPicPr>
          <xdr:cNvPr id="2971" name="Pokemon_362_Droite">
            <a:extLst>
              <a:ext uri="{FF2B5EF4-FFF2-40B4-BE49-F238E27FC236}">
                <a16:creationId xmlns:a16="http://schemas.microsoft.com/office/drawing/2014/main" id="{00000000-0008-0000-0300-00009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5"/>
          <a:stretch>
            <a:fillRect/>
          </a:stretch>
        </xdr:blipFill>
        <xdr:spPr>
          <a:xfrm>
            <a:off x="341029156" y="1097280"/>
            <a:ext cx="917986" cy="932330"/>
          </a:xfrm>
          <a:prstGeom prst="rect">
            <a:avLst/>
          </a:prstGeom>
        </xdr:spPr>
      </xdr:pic>
      <xdr:pic>
        <xdr:nvPicPr>
          <xdr:cNvPr id="2972" name="Pokemon_363_Droite">
            <a:extLst>
              <a:ext uri="{FF2B5EF4-FFF2-40B4-BE49-F238E27FC236}">
                <a16:creationId xmlns:a16="http://schemas.microsoft.com/office/drawing/2014/main" id="{00000000-0008-0000-0300-00009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6"/>
          <a:stretch>
            <a:fillRect/>
          </a:stretch>
        </xdr:blipFill>
        <xdr:spPr>
          <a:xfrm>
            <a:off x="341947153" y="1097280"/>
            <a:ext cx="917986" cy="932330"/>
          </a:xfrm>
          <a:prstGeom prst="rect">
            <a:avLst/>
          </a:prstGeom>
        </xdr:spPr>
      </xdr:pic>
      <xdr:pic>
        <xdr:nvPicPr>
          <xdr:cNvPr id="2973" name="Pokemon_364_Droite">
            <a:extLst>
              <a:ext uri="{FF2B5EF4-FFF2-40B4-BE49-F238E27FC236}">
                <a16:creationId xmlns:a16="http://schemas.microsoft.com/office/drawing/2014/main" id="{00000000-0008-0000-0300-00009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7"/>
          <a:stretch>
            <a:fillRect/>
          </a:stretch>
        </xdr:blipFill>
        <xdr:spPr>
          <a:xfrm>
            <a:off x="342865174" y="1097280"/>
            <a:ext cx="917986" cy="932330"/>
          </a:xfrm>
          <a:prstGeom prst="rect">
            <a:avLst/>
          </a:prstGeom>
        </xdr:spPr>
      </xdr:pic>
      <xdr:pic>
        <xdr:nvPicPr>
          <xdr:cNvPr id="2974" name="Pokemon_365_Droite">
            <a:extLst>
              <a:ext uri="{FF2B5EF4-FFF2-40B4-BE49-F238E27FC236}">
                <a16:creationId xmlns:a16="http://schemas.microsoft.com/office/drawing/2014/main" id="{00000000-0008-0000-0300-00009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8"/>
          <a:stretch>
            <a:fillRect/>
          </a:stretch>
        </xdr:blipFill>
        <xdr:spPr>
          <a:xfrm>
            <a:off x="343783171" y="1097280"/>
            <a:ext cx="917986" cy="932330"/>
          </a:xfrm>
          <a:prstGeom prst="rect">
            <a:avLst/>
          </a:prstGeom>
        </xdr:spPr>
      </xdr:pic>
      <xdr:pic>
        <xdr:nvPicPr>
          <xdr:cNvPr id="2975" name="Pokemon_366_Droite">
            <a:extLst>
              <a:ext uri="{FF2B5EF4-FFF2-40B4-BE49-F238E27FC236}">
                <a16:creationId xmlns:a16="http://schemas.microsoft.com/office/drawing/2014/main" id="{00000000-0008-0000-0300-00009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9"/>
          <a:stretch>
            <a:fillRect/>
          </a:stretch>
        </xdr:blipFill>
        <xdr:spPr>
          <a:xfrm>
            <a:off x="344701168" y="1097280"/>
            <a:ext cx="917986" cy="932330"/>
          </a:xfrm>
          <a:prstGeom prst="rect">
            <a:avLst/>
          </a:prstGeom>
        </xdr:spPr>
      </xdr:pic>
      <xdr:pic>
        <xdr:nvPicPr>
          <xdr:cNvPr id="2976" name="Pokemon_367_Droite">
            <a:extLst>
              <a:ext uri="{FF2B5EF4-FFF2-40B4-BE49-F238E27FC236}">
                <a16:creationId xmlns:a16="http://schemas.microsoft.com/office/drawing/2014/main" id="{00000000-0008-0000-0300-0000A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0"/>
          <a:stretch>
            <a:fillRect/>
          </a:stretch>
        </xdr:blipFill>
        <xdr:spPr>
          <a:xfrm>
            <a:off x="345619189" y="1097280"/>
            <a:ext cx="917986" cy="932330"/>
          </a:xfrm>
          <a:prstGeom prst="rect">
            <a:avLst/>
          </a:prstGeom>
        </xdr:spPr>
      </xdr:pic>
      <xdr:pic>
        <xdr:nvPicPr>
          <xdr:cNvPr id="2977" name="Pokemon_368_Droite">
            <a:extLst>
              <a:ext uri="{FF2B5EF4-FFF2-40B4-BE49-F238E27FC236}">
                <a16:creationId xmlns:a16="http://schemas.microsoft.com/office/drawing/2014/main" id="{00000000-0008-0000-0300-0000A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1"/>
          <a:stretch>
            <a:fillRect/>
          </a:stretch>
        </xdr:blipFill>
        <xdr:spPr>
          <a:xfrm>
            <a:off x="346537186" y="1097280"/>
            <a:ext cx="917986" cy="932330"/>
          </a:xfrm>
          <a:prstGeom prst="rect">
            <a:avLst/>
          </a:prstGeom>
        </xdr:spPr>
      </xdr:pic>
      <xdr:pic>
        <xdr:nvPicPr>
          <xdr:cNvPr id="2978" name="Pokemon_369_Droite">
            <a:extLst>
              <a:ext uri="{FF2B5EF4-FFF2-40B4-BE49-F238E27FC236}">
                <a16:creationId xmlns:a16="http://schemas.microsoft.com/office/drawing/2014/main" id="{00000000-0008-0000-0300-0000A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2"/>
          <a:stretch>
            <a:fillRect/>
          </a:stretch>
        </xdr:blipFill>
        <xdr:spPr>
          <a:xfrm>
            <a:off x="347455182" y="1097280"/>
            <a:ext cx="917986" cy="932330"/>
          </a:xfrm>
          <a:prstGeom prst="rect">
            <a:avLst/>
          </a:prstGeom>
        </xdr:spPr>
      </xdr:pic>
      <xdr:pic>
        <xdr:nvPicPr>
          <xdr:cNvPr id="2979" name="Pokemon_370_Droite">
            <a:extLst>
              <a:ext uri="{FF2B5EF4-FFF2-40B4-BE49-F238E27FC236}">
                <a16:creationId xmlns:a16="http://schemas.microsoft.com/office/drawing/2014/main" id="{00000000-0008-0000-0300-0000A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3"/>
          <a:stretch>
            <a:fillRect/>
          </a:stretch>
        </xdr:blipFill>
        <xdr:spPr>
          <a:xfrm>
            <a:off x="348373154" y="1097280"/>
            <a:ext cx="917986" cy="932330"/>
          </a:xfrm>
          <a:prstGeom prst="rect">
            <a:avLst/>
          </a:prstGeom>
        </xdr:spPr>
      </xdr:pic>
      <xdr:pic>
        <xdr:nvPicPr>
          <xdr:cNvPr id="2980" name="Pokemon_371_Droite">
            <a:extLst>
              <a:ext uri="{FF2B5EF4-FFF2-40B4-BE49-F238E27FC236}">
                <a16:creationId xmlns:a16="http://schemas.microsoft.com/office/drawing/2014/main" id="{00000000-0008-0000-0300-0000A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4"/>
          <a:stretch>
            <a:fillRect/>
          </a:stretch>
        </xdr:blipFill>
        <xdr:spPr>
          <a:xfrm>
            <a:off x="349291151" y="1097280"/>
            <a:ext cx="917986" cy="932330"/>
          </a:xfrm>
          <a:prstGeom prst="rect">
            <a:avLst/>
          </a:prstGeom>
        </xdr:spPr>
      </xdr:pic>
      <xdr:pic>
        <xdr:nvPicPr>
          <xdr:cNvPr id="2981" name="Pokemon_372_Droite">
            <a:extLst>
              <a:ext uri="{FF2B5EF4-FFF2-40B4-BE49-F238E27FC236}">
                <a16:creationId xmlns:a16="http://schemas.microsoft.com/office/drawing/2014/main" id="{00000000-0008-0000-0300-0000A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5"/>
          <a:stretch>
            <a:fillRect/>
          </a:stretch>
        </xdr:blipFill>
        <xdr:spPr>
          <a:xfrm>
            <a:off x="350209123" y="1097280"/>
            <a:ext cx="917986" cy="932330"/>
          </a:xfrm>
          <a:prstGeom prst="rect">
            <a:avLst/>
          </a:prstGeom>
        </xdr:spPr>
      </xdr:pic>
      <xdr:pic>
        <xdr:nvPicPr>
          <xdr:cNvPr id="2982" name="Pokemon_373_Droite">
            <a:extLst>
              <a:ext uri="{FF2B5EF4-FFF2-40B4-BE49-F238E27FC236}">
                <a16:creationId xmlns:a16="http://schemas.microsoft.com/office/drawing/2014/main" id="{00000000-0008-0000-0300-0000A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6"/>
          <a:stretch>
            <a:fillRect/>
          </a:stretch>
        </xdr:blipFill>
        <xdr:spPr>
          <a:xfrm>
            <a:off x="351127120" y="1097280"/>
            <a:ext cx="917986" cy="932330"/>
          </a:xfrm>
          <a:prstGeom prst="rect">
            <a:avLst/>
          </a:prstGeom>
        </xdr:spPr>
      </xdr:pic>
      <xdr:pic>
        <xdr:nvPicPr>
          <xdr:cNvPr id="2983" name="Pokemon_374_Droite">
            <a:extLst>
              <a:ext uri="{FF2B5EF4-FFF2-40B4-BE49-F238E27FC236}">
                <a16:creationId xmlns:a16="http://schemas.microsoft.com/office/drawing/2014/main" id="{00000000-0008-0000-0300-0000A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7"/>
          <a:stretch>
            <a:fillRect/>
          </a:stretch>
        </xdr:blipFill>
        <xdr:spPr>
          <a:xfrm>
            <a:off x="352045091" y="1097280"/>
            <a:ext cx="917986" cy="932330"/>
          </a:xfrm>
          <a:prstGeom prst="rect">
            <a:avLst/>
          </a:prstGeom>
        </xdr:spPr>
      </xdr:pic>
      <xdr:pic>
        <xdr:nvPicPr>
          <xdr:cNvPr id="2984" name="Pokemon_375_Droite">
            <a:extLst>
              <a:ext uri="{FF2B5EF4-FFF2-40B4-BE49-F238E27FC236}">
                <a16:creationId xmlns:a16="http://schemas.microsoft.com/office/drawing/2014/main" id="{00000000-0008-0000-0300-0000A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8"/>
          <a:stretch>
            <a:fillRect/>
          </a:stretch>
        </xdr:blipFill>
        <xdr:spPr>
          <a:xfrm>
            <a:off x="352963088" y="1097280"/>
            <a:ext cx="917986" cy="932330"/>
          </a:xfrm>
          <a:prstGeom prst="rect">
            <a:avLst/>
          </a:prstGeom>
        </xdr:spPr>
      </xdr:pic>
      <xdr:pic>
        <xdr:nvPicPr>
          <xdr:cNvPr id="2985" name="Pokemon_376_Droite">
            <a:extLst>
              <a:ext uri="{FF2B5EF4-FFF2-40B4-BE49-F238E27FC236}">
                <a16:creationId xmlns:a16="http://schemas.microsoft.com/office/drawing/2014/main" id="{00000000-0008-0000-0300-0000A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9"/>
          <a:stretch>
            <a:fillRect/>
          </a:stretch>
        </xdr:blipFill>
        <xdr:spPr>
          <a:xfrm>
            <a:off x="353881060" y="1097280"/>
            <a:ext cx="917986" cy="932330"/>
          </a:xfrm>
          <a:prstGeom prst="rect">
            <a:avLst/>
          </a:prstGeom>
        </xdr:spPr>
      </xdr:pic>
      <xdr:pic>
        <xdr:nvPicPr>
          <xdr:cNvPr id="2986" name="Pokemon_377_Droite">
            <a:extLst>
              <a:ext uri="{FF2B5EF4-FFF2-40B4-BE49-F238E27FC236}">
                <a16:creationId xmlns:a16="http://schemas.microsoft.com/office/drawing/2014/main" id="{00000000-0008-0000-0300-0000A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0"/>
          <a:stretch>
            <a:fillRect/>
          </a:stretch>
        </xdr:blipFill>
        <xdr:spPr>
          <a:xfrm>
            <a:off x="354799057" y="1097280"/>
            <a:ext cx="917986" cy="932330"/>
          </a:xfrm>
          <a:prstGeom prst="rect">
            <a:avLst/>
          </a:prstGeom>
        </xdr:spPr>
      </xdr:pic>
      <xdr:pic>
        <xdr:nvPicPr>
          <xdr:cNvPr id="2987" name="Pokemon_378_Droite">
            <a:extLst>
              <a:ext uri="{FF2B5EF4-FFF2-40B4-BE49-F238E27FC236}">
                <a16:creationId xmlns:a16="http://schemas.microsoft.com/office/drawing/2014/main" id="{00000000-0008-0000-0300-0000A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1"/>
          <a:stretch>
            <a:fillRect/>
          </a:stretch>
        </xdr:blipFill>
        <xdr:spPr>
          <a:xfrm>
            <a:off x="355717078" y="1097280"/>
            <a:ext cx="917986" cy="932330"/>
          </a:xfrm>
          <a:prstGeom prst="rect">
            <a:avLst/>
          </a:prstGeom>
        </xdr:spPr>
      </xdr:pic>
      <xdr:pic>
        <xdr:nvPicPr>
          <xdr:cNvPr id="2988" name="Pokemon_379_Droite">
            <a:extLst>
              <a:ext uri="{FF2B5EF4-FFF2-40B4-BE49-F238E27FC236}">
                <a16:creationId xmlns:a16="http://schemas.microsoft.com/office/drawing/2014/main" id="{00000000-0008-0000-0300-0000A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2"/>
          <a:stretch>
            <a:fillRect/>
          </a:stretch>
        </xdr:blipFill>
        <xdr:spPr>
          <a:xfrm>
            <a:off x="356635075" y="1097280"/>
            <a:ext cx="917986" cy="932330"/>
          </a:xfrm>
          <a:prstGeom prst="rect">
            <a:avLst/>
          </a:prstGeom>
        </xdr:spPr>
      </xdr:pic>
      <xdr:pic>
        <xdr:nvPicPr>
          <xdr:cNvPr id="2989" name="Pokemon_380_Droite">
            <a:extLst>
              <a:ext uri="{FF2B5EF4-FFF2-40B4-BE49-F238E27FC236}">
                <a16:creationId xmlns:a16="http://schemas.microsoft.com/office/drawing/2014/main" id="{00000000-0008-0000-0300-0000A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3"/>
          <a:stretch>
            <a:fillRect/>
          </a:stretch>
        </xdr:blipFill>
        <xdr:spPr>
          <a:xfrm>
            <a:off x="357553071" y="1097280"/>
            <a:ext cx="917986" cy="932330"/>
          </a:xfrm>
          <a:prstGeom prst="rect">
            <a:avLst/>
          </a:prstGeom>
        </xdr:spPr>
      </xdr:pic>
      <xdr:pic>
        <xdr:nvPicPr>
          <xdr:cNvPr id="2990" name="Pokemon_381_Droite">
            <a:extLst>
              <a:ext uri="{FF2B5EF4-FFF2-40B4-BE49-F238E27FC236}">
                <a16:creationId xmlns:a16="http://schemas.microsoft.com/office/drawing/2014/main" id="{00000000-0008-0000-0300-0000A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4"/>
          <a:stretch>
            <a:fillRect/>
          </a:stretch>
        </xdr:blipFill>
        <xdr:spPr>
          <a:xfrm>
            <a:off x="358471043" y="1097280"/>
            <a:ext cx="917986" cy="932330"/>
          </a:xfrm>
          <a:prstGeom prst="rect">
            <a:avLst/>
          </a:prstGeom>
        </xdr:spPr>
      </xdr:pic>
      <xdr:pic>
        <xdr:nvPicPr>
          <xdr:cNvPr id="2991" name="Pokemon_382_Droite">
            <a:extLst>
              <a:ext uri="{FF2B5EF4-FFF2-40B4-BE49-F238E27FC236}">
                <a16:creationId xmlns:a16="http://schemas.microsoft.com/office/drawing/2014/main" id="{00000000-0008-0000-0300-0000A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5"/>
          <a:stretch>
            <a:fillRect/>
          </a:stretch>
        </xdr:blipFill>
        <xdr:spPr>
          <a:xfrm>
            <a:off x="359389040" y="1097280"/>
            <a:ext cx="917986" cy="932330"/>
          </a:xfrm>
          <a:prstGeom prst="rect">
            <a:avLst/>
          </a:prstGeom>
        </xdr:spPr>
      </xdr:pic>
      <xdr:pic>
        <xdr:nvPicPr>
          <xdr:cNvPr id="2992" name="Pokemon_383_Droite">
            <a:extLst>
              <a:ext uri="{FF2B5EF4-FFF2-40B4-BE49-F238E27FC236}">
                <a16:creationId xmlns:a16="http://schemas.microsoft.com/office/drawing/2014/main" id="{00000000-0008-0000-0300-0000B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6"/>
          <a:stretch>
            <a:fillRect/>
          </a:stretch>
        </xdr:blipFill>
        <xdr:spPr>
          <a:xfrm>
            <a:off x="360307062" y="1097280"/>
            <a:ext cx="917986" cy="932330"/>
          </a:xfrm>
          <a:prstGeom prst="rect">
            <a:avLst/>
          </a:prstGeom>
        </xdr:spPr>
      </xdr:pic>
      <xdr:pic>
        <xdr:nvPicPr>
          <xdr:cNvPr id="2993" name="Pokemon_384_Droite">
            <a:extLst>
              <a:ext uri="{FF2B5EF4-FFF2-40B4-BE49-F238E27FC236}">
                <a16:creationId xmlns:a16="http://schemas.microsoft.com/office/drawing/2014/main" id="{00000000-0008-0000-0300-0000B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7"/>
          <a:stretch>
            <a:fillRect/>
          </a:stretch>
        </xdr:blipFill>
        <xdr:spPr>
          <a:xfrm>
            <a:off x="361225058" y="1097280"/>
            <a:ext cx="917986" cy="932330"/>
          </a:xfrm>
          <a:prstGeom prst="rect">
            <a:avLst/>
          </a:prstGeom>
        </xdr:spPr>
      </xdr:pic>
      <xdr:pic>
        <xdr:nvPicPr>
          <xdr:cNvPr id="2994" name="Pokemon_385_Droite">
            <a:extLst>
              <a:ext uri="{FF2B5EF4-FFF2-40B4-BE49-F238E27FC236}">
                <a16:creationId xmlns:a16="http://schemas.microsoft.com/office/drawing/2014/main" id="{00000000-0008-0000-0300-0000B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8"/>
          <a:stretch>
            <a:fillRect/>
          </a:stretch>
        </xdr:blipFill>
        <xdr:spPr>
          <a:xfrm>
            <a:off x="362143055" y="1097280"/>
            <a:ext cx="917986" cy="932330"/>
          </a:xfrm>
          <a:prstGeom prst="rect">
            <a:avLst/>
          </a:prstGeom>
        </xdr:spPr>
      </xdr:pic>
      <xdr:pic>
        <xdr:nvPicPr>
          <xdr:cNvPr id="2995" name="Pokemon_386_Droite">
            <a:extLst>
              <a:ext uri="{FF2B5EF4-FFF2-40B4-BE49-F238E27FC236}">
                <a16:creationId xmlns:a16="http://schemas.microsoft.com/office/drawing/2014/main" id="{00000000-0008-0000-0300-0000B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9"/>
          <a:stretch>
            <a:fillRect/>
          </a:stretch>
        </xdr:blipFill>
        <xdr:spPr>
          <a:xfrm>
            <a:off x="363061027" y="1097280"/>
            <a:ext cx="917986" cy="932330"/>
          </a:xfrm>
          <a:prstGeom prst="rect">
            <a:avLst/>
          </a:prstGeom>
        </xdr:spPr>
      </xdr:pic>
      <xdr:pic>
        <xdr:nvPicPr>
          <xdr:cNvPr id="2996" name="Pokemon_387_Droite">
            <a:extLst>
              <a:ext uri="{FF2B5EF4-FFF2-40B4-BE49-F238E27FC236}">
                <a16:creationId xmlns:a16="http://schemas.microsoft.com/office/drawing/2014/main" id="{00000000-0008-0000-0300-0000B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0"/>
          <a:stretch>
            <a:fillRect/>
          </a:stretch>
        </xdr:blipFill>
        <xdr:spPr>
          <a:xfrm>
            <a:off x="363979023" y="1097280"/>
            <a:ext cx="917986" cy="932330"/>
          </a:xfrm>
          <a:prstGeom prst="rect">
            <a:avLst/>
          </a:prstGeom>
        </xdr:spPr>
      </xdr:pic>
      <xdr:pic>
        <xdr:nvPicPr>
          <xdr:cNvPr id="2997" name="Pokemon_388_Droite">
            <a:extLst>
              <a:ext uri="{FF2B5EF4-FFF2-40B4-BE49-F238E27FC236}">
                <a16:creationId xmlns:a16="http://schemas.microsoft.com/office/drawing/2014/main" id="{00000000-0008-0000-0300-0000B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1"/>
          <a:stretch>
            <a:fillRect/>
          </a:stretch>
        </xdr:blipFill>
        <xdr:spPr>
          <a:xfrm>
            <a:off x="364896995" y="1097280"/>
            <a:ext cx="917986" cy="932330"/>
          </a:xfrm>
          <a:prstGeom prst="rect">
            <a:avLst/>
          </a:prstGeom>
        </xdr:spPr>
      </xdr:pic>
      <xdr:pic>
        <xdr:nvPicPr>
          <xdr:cNvPr id="2998" name="Pokemon_389_Droite">
            <a:extLst>
              <a:ext uri="{FF2B5EF4-FFF2-40B4-BE49-F238E27FC236}">
                <a16:creationId xmlns:a16="http://schemas.microsoft.com/office/drawing/2014/main" id="{00000000-0008-0000-0300-0000B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2"/>
          <a:stretch>
            <a:fillRect/>
          </a:stretch>
        </xdr:blipFill>
        <xdr:spPr>
          <a:xfrm>
            <a:off x="365814992" y="1097280"/>
            <a:ext cx="917986" cy="932330"/>
          </a:xfrm>
          <a:prstGeom prst="rect">
            <a:avLst/>
          </a:prstGeom>
        </xdr:spPr>
      </xdr:pic>
      <xdr:pic>
        <xdr:nvPicPr>
          <xdr:cNvPr id="2999" name="Pokemon_390_Droite">
            <a:extLst>
              <a:ext uri="{FF2B5EF4-FFF2-40B4-BE49-F238E27FC236}">
                <a16:creationId xmlns:a16="http://schemas.microsoft.com/office/drawing/2014/main" id="{00000000-0008-0000-0300-0000B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3"/>
          <a:stretch>
            <a:fillRect/>
          </a:stretch>
        </xdr:blipFill>
        <xdr:spPr>
          <a:xfrm>
            <a:off x="366732964" y="1097280"/>
            <a:ext cx="917986" cy="932330"/>
          </a:xfrm>
          <a:prstGeom prst="rect">
            <a:avLst/>
          </a:prstGeom>
        </xdr:spPr>
      </xdr:pic>
      <xdr:pic>
        <xdr:nvPicPr>
          <xdr:cNvPr id="3000" name="Pokemon_391_Droite">
            <a:extLst>
              <a:ext uri="{FF2B5EF4-FFF2-40B4-BE49-F238E27FC236}">
                <a16:creationId xmlns:a16="http://schemas.microsoft.com/office/drawing/2014/main" id="{00000000-0008-0000-0300-0000B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4"/>
          <a:stretch>
            <a:fillRect/>
          </a:stretch>
        </xdr:blipFill>
        <xdr:spPr>
          <a:xfrm>
            <a:off x="367650961" y="1097280"/>
            <a:ext cx="917986" cy="932330"/>
          </a:xfrm>
          <a:prstGeom prst="rect">
            <a:avLst/>
          </a:prstGeom>
        </xdr:spPr>
      </xdr:pic>
      <xdr:pic>
        <xdr:nvPicPr>
          <xdr:cNvPr id="3001" name="Pokemon_392_Droite">
            <a:extLst>
              <a:ext uri="{FF2B5EF4-FFF2-40B4-BE49-F238E27FC236}">
                <a16:creationId xmlns:a16="http://schemas.microsoft.com/office/drawing/2014/main" id="{00000000-0008-0000-0300-0000B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5"/>
          <a:stretch>
            <a:fillRect/>
          </a:stretch>
        </xdr:blipFill>
        <xdr:spPr>
          <a:xfrm>
            <a:off x="368568982" y="1097280"/>
            <a:ext cx="917986" cy="932330"/>
          </a:xfrm>
          <a:prstGeom prst="rect">
            <a:avLst/>
          </a:prstGeom>
        </xdr:spPr>
      </xdr:pic>
      <xdr:pic>
        <xdr:nvPicPr>
          <xdr:cNvPr id="3002" name="Pokemon_393_Droite">
            <a:extLst>
              <a:ext uri="{FF2B5EF4-FFF2-40B4-BE49-F238E27FC236}">
                <a16:creationId xmlns:a16="http://schemas.microsoft.com/office/drawing/2014/main" id="{00000000-0008-0000-0300-0000B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6"/>
          <a:stretch>
            <a:fillRect/>
          </a:stretch>
        </xdr:blipFill>
        <xdr:spPr>
          <a:xfrm>
            <a:off x="369486979" y="1097280"/>
            <a:ext cx="917986" cy="932330"/>
          </a:xfrm>
          <a:prstGeom prst="rect">
            <a:avLst/>
          </a:prstGeom>
        </xdr:spPr>
      </xdr:pic>
      <xdr:pic>
        <xdr:nvPicPr>
          <xdr:cNvPr id="3003" name="Pokemon_394_Droite">
            <a:extLst>
              <a:ext uri="{FF2B5EF4-FFF2-40B4-BE49-F238E27FC236}">
                <a16:creationId xmlns:a16="http://schemas.microsoft.com/office/drawing/2014/main" id="{00000000-0008-0000-0300-0000B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7"/>
          <a:stretch>
            <a:fillRect/>
          </a:stretch>
        </xdr:blipFill>
        <xdr:spPr>
          <a:xfrm>
            <a:off x="370404975" y="1097280"/>
            <a:ext cx="917986" cy="932330"/>
          </a:xfrm>
          <a:prstGeom prst="rect">
            <a:avLst/>
          </a:prstGeom>
        </xdr:spPr>
      </xdr:pic>
      <xdr:pic>
        <xdr:nvPicPr>
          <xdr:cNvPr id="3004" name="Pokemon_395_Droite">
            <a:extLst>
              <a:ext uri="{FF2B5EF4-FFF2-40B4-BE49-F238E27FC236}">
                <a16:creationId xmlns:a16="http://schemas.microsoft.com/office/drawing/2014/main" id="{00000000-0008-0000-0300-0000B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8"/>
          <a:stretch>
            <a:fillRect/>
          </a:stretch>
        </xdr:blipFill>
        <xdr:spPr>
          <a:xfrm>
            <a:off x="371322947" y="1097280"/>
            <a:ext cx="917986" cy="932330"/>
          </a:xfrm>
          <a:prstGeom prst="rect">
            <a:avLst/>
          </a:prstGeom>
        </xdr:spPr>
      </xdr:pic>
      <xdr:pic>
        <xdr:nvPicPr>
          <xdr:cNvPr id="3005" name="Pokemon_396_Droite">
            <a:extLst>
              <a:ext uri="{FF2B5EF4-FFF2-40B4-BE49-F238E27FC236}">
                <a16:creationId xmlns:a16="http://schemas.microsoft.com/office/drawing/2014/main" id="{00000000-0008-0000-0300-0000B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9"/>
          <a:stretch>
            <a:fillRect/>
          </a:stretch>
        </xdr:blipFill>
        <xdr:spPr>
          <a:xfrm>
            <a:off x="372240944" y="1097280"/>
            <a:ext cx="917986" cy="932330"/>
          </a:xfrm>
          <a:prstGeom prst="rect">
            <a:avLst/>
          </a:prstGeom>
        </xdr:spPr>
      </xdr:pic>
      <xdr:pic>
        <xdr:nvPicPr>
          <xdr:cNvPr id="3006" name="Pokemon_397_Droite">
            <a:extLst>
              <a:ext uri="{FF2B5EF4-FFF2-40B4-BE49-F238E27FC236}">
                <a16:creationId xmlns:a16="http://schemas.microsoft.com/office/drawing/2014/main" id="{00000000-0008-0000-0300-0000B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0"/>
          <a:stretch>
            <a:fillRect/>
          </a:stretch>
        </xdr:blipFill>
        <xdr:spPr>
          <a:xfrm>
            <a:off x="373158965" y="1097280"/>
            <a:ext cx="917986" cy="932330"/>
          </a:xfrm>
          <a:prstGeom prst="rect">
            <a:avLst/>
          </a:prstGeom>
        </xdr:spPr>
      </xdr:pic>
      <xdr:pic>
        <xdr:nvPicPr>
          <xdr:cNvPr id="3007" name="Pokemon_398_Droite">
            <a:extLst>
              <a:ext uri="{FF2B5EF4-FFF2-40B4-BE49-F238E27FC236}">
                <a16:creationId xmlns:a16="http://schemas.microsoft.com/office/drawing/2014/main" id="{00000000-0008-0000-0300-0000B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1"/>
          <a:stretch>
            <a:fillRect/>
          </a:stretch>
        </xdr:blipFill>
        <xdr:spPr>
          <a:xfrm>
            <a:off x="374076962" y="1097280"/>
            <a:ext cx="917986" cy="932330"/>
          </a:xfrm>
          <a:prstGeom prst="rect">
            <a:avLst/>
          </a:prstGeom>
        </xdr:spPr>
      </xdr:pic>
      <xdr:pic>
        <xdr:nvPicPr>
          <xdr:cNvPr id="3008" name="Pokemon_399_Droite">
            <a:extLst>
              <a:ext uri="{FF2B5EF4-FFF2-40B4-BE49-F238E27FC236}">
                <a16:creationId xmlns:a16="http://schemas.microsoft.com/office/drawing/2014/main" id="{00000000-0008-0000-0300-0000C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2"/>
          <a:stretch>
            <a:fillRect/>
          </a:stretch>
        </xdr:blipFill>
        <xdr:spPr>
          <a:xfrm>
            <a:off x="374994959" y="1097280"/>
            <a:ext cx="917986" cy="932330"/>
          </a:xfrm>
          <a:prstGeom prst="rect">
            <a:avLst/>
          </a:prstGeom>
        </xdr:spPr>
      </xdr:pic>
      <xdr:pic>
        <xdr:nvPicPr>
          <xdr:cNvPr id="3009" name="Pokemon_400_Droite">
            <a:extLst>
              <a:ext uri="{FF2B5EF4-FFF2-40B4-BE49-F238E27FC236}">
                <a16:creationId xmlns:a16="http://schemas.microsoft.com/office/drawing/2014/main" id="{00000000-0008-0000-0300-0000C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3"/>
          <a:stretch>
            <a:fillRect/>
          </a:stretch>
        </xdr:blipFill>
        <xdr:spPr>
          <a:xfrm>
            <a:off x="375912931" y="1097280"/>
            <a:ext cx="917986" cy="932330"/>
          </a:xfrm>
          <a:prstGeom prst="rect">
            <a:avLst/>
          </a:prstGeom>
        </xdr:spPr>
      </xdr:pic>
      <xdr:pic>
        <xdr:nvPicPr>
          <xdr:cNvPr id="3010" name="Pokemon_401_Droite">
            <a:extLst>
              <a:ext uri="{FF2B5EF4-FFF2-40B4-BE49-F238E27FC236}">
                <a16:creationId xmlns:a16="http://schemas.microsoft.com/office/drawing/2014/main" id="{00000000-0008-0000-0300-0000C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4"/>
          <a:stretch>
            <a:fillRect/>
          </a:stretch>
        </xdr:blipFill>
        <xdr:spPr>
          <a:xfrm>
            <a:off x="376830927" y="1097280"/>
            <a:ext cx="917986" cy="932330"/>
          </a:xfrm>
          <a:prstGeom prst="rect">
            <a:avLst/>
          </a:prstGeom>
        </xdr:spPr>
      </xdr:pic>
      <xdr:pic>
        <xdr:nvPicPr>
          <xdr:cNvPr id="3011" name="Pokemon_402_Droite">
            <a:extLst>
              <a:ext uri="{FF2B5EF4-FFF2-40B4-BE49-F238E27FC236}">
                <a16:creationId xmlns:a16="http://schemas.microsoft.com/office/drawing/2014/main" id="{00000000-0008-0000-0300-0000C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5"/>
          <a:stretch>
            <a:fillRect/>
          </a:stretch>
        </xdr:blipFill>
        <xdr:spPr>
          <a:xfrm>
            <a:off x="377748899" y="1097280"/>
            <a:ext cx="917986" cy="932330"/>
          </a:xfrm>
          <a:prstGeom prst="rect">
            <a:avLst/>
          </a:prstGeom>
        </xdr:spPr>
      </xdr:pic>
      <xdr:pic>
        <xdr:nvPicPr>
          <xdr:cNvPr id="3012" name="Pokemon_403_Droite">
            <a:extLst>
              <a:ext uri="{FF2B5EF4-FFF2-40B4-BE49-F238E27FC236}">
                <a16:creationId xmlns:a16="http://schemas.microsoft.com/office/drawing/2014/main" id="{00000000-0008-0000-0300-0000C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6"/>
          <a:stretch>
            <a:fillRect/>
          </a:stretch>
        </xdr:blipFill>
        <xdr:spPr>
          <a:xfrm>
            <a:off x="378666896" y="1097280"/>
            <a:ext cx="917986" cy="932330"/>
          </a:xfrm>
          <a:prstGeom prst="rect">
            <a:avLst/>
          </a:prstGeom>
        </xdr:spPr>
      </xdr:pic>
      <xdr:pic>
        <xdr:nvPicPr>
          <xdr:cNvPr id="3013" name="Pokemon_404_Droite">
            <a:extLst>
              <a:ext uri="{FF2B5EF4-FFF2-40B4-BE49-F238E27FC236}">
                <a16:creationId xmlns:a16="http://schemas.microsoft.com/office/drawing/2014/main" id="{00000000-0008-0000-0300-0000C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7"/>
          <a:stretch>
            <a:fillRect/>
          </a:stretch>
        </xdr:blipFill>
        <xdr:spPr>
          <a:xfrm>
            <a:off x="379584868" y="1097280"/>
            <a:ext cx="917986" cy="932330"/>
          </a:xfrm>
          <a:prstGeom prst="rect">
            <a:avLst/>
          </a:prstGeom>
        </xdr:spPr>
      </xdr:pic>
      <xdr:pic>
        <xdr:nvPicPr>
          <xdr:cNvPr id="3014" name="Pokemon_405_Droite">
            <a:extLst>
              <a:ext uri="{FF2B5EF4-FFF2-40B4-BE49-F238E27FC236}">
                <a16:creationId xmlns:a16="http://schemas.microsoft.com/office/drawing/2014/main" id="{00000000-0008-0000-0300-0000C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8"/>
          <a:stretch>
            <a:fillRect/>
          </a:stretch>
        </xdr:blipFill>
        <xdr:spPr>
          <a:xfrm>
            <a:off x="380502864" y="1097280"/>
            <a:ext cx="917986" cy="932330"/>
          </a:xfrm>
          <a:prstGeom prst="rect">
            <a:avLst/>
          </a:prstGeom>
        </xdr:spPr>
      </xdr:pic>
      <xdr:pic>
        <xdr:nvPicPr>
          <xdr:cNvPr id="3015" name="Pokemon_406_Droite">
            <a:extLst>
              <a:ext uri="{FF2B5EF4-FFF2-40B4-BE49-F238E27FC236}">
                <a16:creationId xmlns:a16="http://schemas.microsoft.com/office/drawing/2014/main" id="{00000000-0008-0000-0300-0000C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9"/>
          <a:stretch>
            <a:fillRect/>
          </a:stretch>
        </xdr:blipFill>
        <xdr:spPr>
          <a:xfrm>
            <a:off x="381420836" y="1097280"/>
            <a:ext cx="917986" cy="932330"/>
          </a:xfrm>
          <a:prstGeom prst="rect">
            <a:avLst/>
          </a:prstGeom>
        </xdr:spPr>
      </xdr:pic>
      <xdr:pic>
        <xdr:nvPicPr>
          <xdr:cNvPr id="3016" name="Pokemon_407_Droite">
            <a:extLst>
              <a:ext uri="{FF2B5EF4-FFF2-40B4-BE49-F238E27FC236}">
                <a16:creationId xmlns:a16="http://schemas.microsoft.com/office/drawing/2014/main" id="{00000000-0008-0000-0300-0000C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0"/>
          <a:stretch>
            <a:fillRect/>
          </a:stretch>
        </xdr:blipFill>
        <xdr:spPr>
          <a:xfrm>
            <a:off x="382338833" y="1097280"/>
            <a:ext cx="917986" cy="932330"/>
          </a:xfrm>
          <a:prstGeom prst="rect">
            <a:avLst/>
          </a:prstGeom>
        </xdr:spPr>
      </xdr:pic>
      <xdr:pic>
        <xdr:nvPicPr>
          <xdr:cNvPr id="3017" name="Pokemon_408_Droite">
            <a:extLst>
              <a:ext uri="{FF2B5EF4-FFF2-40B4-BE49-F238E27FC236}">
                <a16:creationId xmlns:a16="http://schemas.microsoft.com/office/drawing/2014/main" id="{00000000-0008-0000-0300-0000C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1"/>
          <a:stretch>
            <a:fillRect/>
          </a:stretch>
        </xdr:blipFill>
        <xdr:spPr>
          <a:xfrm>
            <a:off x="383256854" y="1097280"/>
            <a:ext cx="917986" cy="932330"/>
          </a:xfrm>
          <a:prstGeom prst="rect">
            <a:avLst/>
          </a:prstGeom>
        </xdr:spPr>
      </xdr:pic>
      <xdr:pic>
        <xdr:nvPicPr>
          <xdr:cNvPr id="3018" name="Pokemon_409_Droite">
            <a:extLst>
              <a:ext uri="{FF2B5EF4-FFF2-40B4-BE49-F238E27FC236}">
                <a16:creationId xmlns:a16="http://schemas.microsoft.com/office/drawing/2014/main" id="{00000000-0008-0000-0300-0000C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2"/>
          <a:stretch>
            <a:fillRect/>
          </a:stretch>
        </xdr:blipFill>
        <xdr:spPr>
          <a:xfrm>
            <a:off x="384174851" y="1097280"/>
            <a:ext cx="917986" cy="932330"/>
          </a:xfrm>
          <a:prstGeom prst="rect">
            <a:avLst/>
          </a:prstGeom>
        </xdr:spPr>
      </xdr:pic>
      <xdr:pic>
        <xdr:nvPicPr>
          <xdr:cNvPr id="3019" name="Pokemon_410_Droite">
            <a:extLst>
              <a:ext uri="{FF2B5EF4-FFF2-40B4-BE49-F238E27FC236}">
                <a16:creationId xmlns:a16="http://schemas.microsoft.com/office/drawing/2014/main" id="{00000000-0008-0000-0300-0000C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3"/>
          <a:stretch>
            <a:fillRect/>
          </a:stretch>
        </xdr:blipFill>
        <xdr:spPr>
          <a:xfrm>
            <a:off x="385092848" y="1097280"/>
            <a:ext cx="917986" cy="932330"/>
          </a:xfrm>
          <a:prstGeom prst="rect">
            <a:avLst/>
          </a:prstGeom>
        </xdr:spPr>
      </xdr:pic>
      <xdr:pic>
        <xdr:nvPicPr>
          <xdr:cNvPr id="3020" name="Pokemon_411_Droite">
            <a:extLst>
              <a:ext uri="{FF2B5EF4-FFF2-40B4-BE49-F238E27FC236}">
                <a16:creationId xmlns:a16="http://schemas.microsoft.com/office/drawing/2014/main" id="{00000000-0008-0000-0300-0000C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4"/>
          <a:stretch>
            <a:fillRect/>
          </a:stretch>
        </xdr:blipFill>
        <xdr:spPr>
          <a:xfrm>
            <a:off x="386010869" y="1097280"/>
            <a:ext cx="917986" cy="932330"/>
          </a:xfrm>
          <a:prstGeom prst="rect">
            <a:avLst/>
          </a:prstGeom>
        </xdr:spPr>
      </xdr:pic>
      <xdr:pic>
        <xdr:nvPicPr>
          <xdr:cNvPr id="3021" name="Pokemon_412_Droite">
            <a:extLst>
              <a:ext uri="{FF2B5EF4-FFF2-40B4-BE49-F238E27FC236}">
                <a16:creationId xmlns:a16="http://schemas.microsoft.com/office/drawing/2014/main" id="{00000000-0008-0000-0300-0000C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5"/>
          <a:stretch>
            <a:fillRect/>
          </a:stretch>
        </xdr:blipFill>
        <xdr:spPr>
          <a:xfrm>
            <a:off x="386928866" y="1097280"/>
            <a:ext cx="917986" cy="932330"/>
          </a:xfrm>
          <a:prstGeom prst="rect">
            <a:avLst/>
          </a:prstGeom>
        </xdr:spPr>
      </xdr:pic>
      <xdr:pic>
        <xdr:nvPicPr>
          <xdr:cNvPr id="3022" name="Pokemon_413_Droite">
            <a:extLst>
              <a:ext uri="{FF2B5EF4-FFF2-40B4-BE49-F238E27FC236}">
                <a16:creationId xmlns:a16="http://schemas.microsoft.com/office/drawing/2014/main" id="{00000000-0008-0000-0300-0000C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6"/>
          <a:stretch>
            <a:fillRect/>
          </a:stretch>
        </xdr:blipFill>
        <xdr:spPr>
          <a:xfrm>
            <a:off x="387846863" y="1097280"/>
            <a:ext cx="917986" cy="932330"/>
          </a:xfrm>
          <a:prstGeom prst="rect">
            <a:avLst/>
          </a:prstGeom>
        </xdr:spPr>
      </xdr:pic>
      <xdr:pic>
        <xdr:nvPicPr>
          <xdr:cNvPr id="3023" name="Pokemon_414_Droite">
            <a:extLst>
              <a:ext uri="{FF2B5EF4-FFF2-40B4-BE49-F238E27FC236}">
                <a16:creationId xmlns:a16="http://schemas.microsoft.com/office/drawing/2014/main" id="{00000000-0008-0000-0300-0000C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7"/>
          <a:stretch>
            <a:fillRect/>
          </a:stretch>
        </xdr:blipFill>
        <xdr:spPr>
          <a:xfrm>
            <a:off x="388764835" y="1097280"/>
            <a:ext cx="917986" cy="932330"/>
          </a:xfrm>
          <a:prstGeom prst="rect">
            <a:avLst/>
          </a:prstGeom>
        </xdr:spPr>
      </xdr:pic>
      <xdr:pic>
        <xdr:nvPicPr>
          <xdr:cNvPr id="3024" name="Pokemon_415_Droite">
            <a:extLst>
              <a:ext uri="{FF2B5EF4-FFF2-40B4-BE49-F238E27FC236}">
                <a16:creationId xmlns:a16="http://schemas.microsoft.com/office/drawing/2014/main" id="{00000000-0008-0000-0300-0000D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8"/>
          <a:stretch>
            <a:fillRect/>
          </a:stretch>
        </xdr:blipFill>
        <xdr:spPr>
          <a:xfrm>
            <a:off x="389682831" y="1097280"/>
            <a:ext cx="917986" cy="932330"/>
          </a:xfrm>
          <a:prstGeom prst="rect">
            <a:avLst/>
          </a:prstGeom>
        </xdr:spPr>
      </xdr:pic>
      <xdr:pic>
        <xdr:nvPicPr>
          <xdr:cNvPr id="3025" name="Pokemon_416_Droite">
            <a:extLst>
              <a:ext uri="{FF2B5EF4-FFF2-40B4-BE49-F238E27FC236}">
                <a16:creationId xmlns:a16="http://schemas.microsoft.com/office/drawing/2014/main" id="{00000000-0008-0000-0300-0000D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9"/>
          <a:stretch>
            <a:fillRect/>
          </a:stretch>
        </xdr:blipFill>
        <xdr:spPr>
          <a:xfrm>
            <a:off x="390600803" y="1097280"/>
            <a:ext cx="917986" cy="932330"/>
          </a:xfrm>
          <a:prstGeom prst="rect">
            <a:avLst/>
          </a:prstGeom>
        </xdr:spPr>
      </xdr:pic>
      <xdr:pic>
        <xdr:nvPicPr>
          <xdr:cNvPr id="3026" name="Pokemon_417_Droite">
            <a:extLst>
              <a:ext uri="{FF2B5EF4-FFF2-40B4-BE49-F238E27FC236}">
                <a16:creationId xmlns:a16="http://schemas.microsoft.com/office/drawing/2014/main" id="{00000000-0008-0000-0300-0000D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0"/>
          <a:stretch>
            <a:fillRect/>
          </a:stretch>
        </xdr:blipFill>
        <xdr:spPr>
          <a:xfrm>
            <a:off x="391518800" y="1097280"/>
            <a:ext cx="917986" cy="932330"/>
          </a:xfrm>
          <a:prstGeom prst="rect">
            <a:avLst/>
          </a:prstGeom>
        </xdr:spPr>
      </xdr:pic>
      <xdr:pic>
        <xdr:nvPicPr>
          <xdr:cNvPr id="3027" name="Pokemon_418_Droite">
            <a:extLst>
              <a:ext uri="{FF2B5EF4-FFF2-40B4-BE49-F238E27FC236}">
                <a16:creationId xmlns:a16="http://schemas.microsoft.com/office/drawing/2014/main" id="{00000000-0008-0000-0300-0000D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1"/>
          <a:stretch>
            <a:fillRect/>
          </a:stretch>
        </xdr:blipFill>
        <xdr:spPr>
          <a:xfrm>
            <a:off x="392436772" y="1097280"/>
            <a:ext cx="917986" cy="932330"/>
          </a:xfrm>
          <a:prstGeom prst="rect">
            <a:avLst/>
          </a:prstGeom>
        </xdr:spPr>
      </xdr:pic>
      <xdr:pic>
        <xdr:nvPicPr>
          <xdr:cNvPr id="3028" name="Pokemon_419_Droite">
            <a:extLst>
              <a:ext uri="{FF2B5EF4-FFF2-40B4-BE49-F238E27FC236}">
                <a16:creationId xmlns:a16="http://schemas.microsoft.com/office/drawing/2014/main" id="{00000000-0008-0000-0300-0000D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2"/>
          <a:stretch>
            <a:fillRect/>
          </a:stretch>
        </xdr:blipFill>
        <xdr:spPr>
          <a:xfrm>
            <a:off x="393354768" y="1097280"/>
            <a:ext cx="917986" cy="932330"/>
          </a:xfrm>
          <a:prstGeom prst="rect">
            <a:avLst/>
          </a:prstGeom>
        </xdr:spPr>
      </xdr:pic>
      <xdr:pic>
        <xdr:nvPicPr>
          <xdr:cNvPr id="3029" name="Pokemon_420_Droite">
            <a:extLst>
              <a:ext uri="{FF2B5EF4-FFF2-40B4-BE49-F238E27FC236}">
                <a16:creationId xmlns:a16="http://schemas.microsoft.com/office/drawing/2014/main" id="{00000000-0008-0000-0300-0000D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3"/>
          <a:stretch>
            <a:fillRect/>
          </a:stretch>
        </xdr:blipFill>
        <xdr:spPr>
          <a:xfrm>
            <a:off x="394272740" y="1097280"/>
            <a:ext cx="917986" cy="932330"/>
          </a:xfrm>
          <a:prstGeom prst="rect">
            <a:avLst/>
          </a:prstGeom>
        </xdr:spPr>
      </xdr:pic>
      <xdr:pic>
        <xdr:nvPicPr>
          <xdr:cNvPr id="3030" name="Pokemon_421_Droite">
            <a:extLst>
              <a:ext uri="{FF2B5EF4-FFF2-40B4-BE49-F238E27FC236}">
                <a16:creationId xmlns:a16="http://schemas.microsoft.com/office/drawing/2014/main" id="{00000000-0008-0000-0300-0000D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4"/>
          <a:stretch>
            <a:fillRect/>
          </a:stretch>
        </xdr:blipFill>
        <xdr:spPr>
          <a:xfrm>
            <a:off x="395190737" y="1097280"/>
            <a:ext cx="917986" cy="932330"/>
          </a:xfrm>
          <a:prstGeom prst="rect">
            <a:avLst/>
          </a:prstGeom>
        </xdr:spPr>
      </xdr:pic>
      <xdr:pic>
        <xdr:nvPicPr>
          <xdr:cNvPr id="3031" name="Pokemon_422_Droite">
            <a:extLst>
              <a:ext uri="{FF2B5EF4-FFF2-40B4-BE49-F238E27FC236}">
                <a16:creationId xmlns:a16="http://schemas.microsoft.com/office/drawing/2014/main" id="{00000000-0008-0000-0300-0000D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5"/>
          <a:stretch>
            <a:fillRect/>
          </a:stretch>
        </xdr:blipFill>
        <xdr:spPr>
          <a:xfrm>
            <a:off x="396108758" y="1097280"/>
            <a:ext cx="917986" cy="932330"/>
          </a:xfrm>
          <a:prstGeom prst="rect">
            <a:avLst/>
          </a:prstGeom>
        </xdr:spPr>
      </xdr:pic>
      <xdr:pic>
        <xdr:nvPicPr>
          <xdr:cNvPr id="3032" name="Pokemon_423_Droite">
            <a:extLst>
              <a:ext uri="{FF2B5EF4-FFF2-40B4-BE49-F238E27FC236}">
                <a16:creationId xmlns:a16="http://schemas.microsoft.com/office/drawing/2014/main" id="{00000000-0008-0000-0300-0000D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6"/>
          <a:stretch>
            <a:fillRect/>
          </a:stretch>
        </xdr:blipFill>
        <xdr:spPr>
          <a:xfrm>
            <a:off x="397026755" y="1097280"/>
            <a:ext cx="917986" cy="932330"/>
          </a:xfrm>
          <a:prstGeom prst="rect">
            <a:avLst/>
          </a:prstGeom>
        </xdr:spPr>
      </xdr:pic>
      <xdr:pic>
        <xdr:nvPicPr>
          <xdr:cNvPr id="3033" name="Pokemon_424_Droite">
            <a:extLst>
              <a:ext uri="{FF2B5EF4-FFF2-40B4-BE49-F238E27FC236}">
                <a16:creationId xmlns:a16="http://schemas.microsoft.com/office/drawing/2014/main" id="{00000000-0008-0000-0300-0000D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7"/>
          <a:stretch>
            <a:fillRect/>
          </a:stretch>
        </xdr:blipFill>
        <xdr:spPr>
          <a:xfrm>
            <a:off x="397944752" y="1097280"/>
            <a:ext cx="917986" cy="932330"/>
          </a:xfrm>
          <a:prstGeom prst="rect">
            <a:avLst/>
          </a:prstGeom>
        </xdr:spPr>
      </xdr:pic>
      <xdr:pic>
        <xdr:nvPicPr>
          <xdr:cNvPr id="3034" name="Pokemon_425_Droite">
            <a:extLst>
              <a:ext uri="{FF2B5EF4-FFF2-40B4-BE49-F238E27FC236}">
                <a16:creationId xmlns:a16="http://schemas.microsoft.com/office/drawing/2014/main" id="{00000000-0008-0000-0300-0000D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8"/>
          <a:stretch>
            <a:fillRect/>
          </a:stretch>
        </xdr:blipFill>
        <xdr:spPr>
          <a:xfrm>
            <a:off x="398862773" y="1097280"/>
            <a:ext cx="917986" cy="932330"/>
          </a:xfrm>
          <a:prstGeom prst="rect">
            <a:avLst/>
          </a:prstGeom>
        </xdr:spPr>
      </xdr:pic>
      <xdr:pic>
        <xdr:nvPicPr>
          <xdr:cNvPr id="3035" name="Pokemon_426_Droite">
            <a:extLst>
              <a:ext uri="{FF2B5EF4-FFF2-40B4-BE49-F238E27FC236}">
                <a16:creationId xmlns:a16="http://schemas.microsoft.com/office/drawing/2014/main" id="{00000000-0008-0000-0300-0000D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9"/>
          <a:stretch>
            <a:fillRect/>
          </a:stretch>
        </xdr:blipFill>
        <xdr:spPr>
          <a:xfrm>
            <a:off x="399780770" y="1097280"/>
            <a:ext cx="917986" cy="932330"/>
          </a:xfrm>
          <a:prstGeom prst="rect">
            <a:avLst/>
          </a:prstGeom>
        </xdr:spPr>
      </xdr:pic>
      <xdr:pic>
        <xdr:nvPicPr>
          <xdr:cNvPr id="3036" name="Pokemon_427_Droite">
            <a:extLst>
              <a:ext uri="{FF2B5EF4-FFF2-40B4-BE49-F238E27FC236}">
                <a16:creationId xmlns:a16="http://schemas.microsoft.com/office/drawing/2014/main" id="{00000000-0008-0000-0300-0000D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0"/>
          <a:stretch>
            <a:fillRect/>
          </a:stretch>
        </xdr:blipFill>
        <xdr:spPr>
          <a:xfrm>
            <a:off x="400698767" y="1097280"/>
            <a:ext cx="917986" cy="932330"/>
          </a:xfrm>
          <a:prstGeom prst="rect">
            <a:avLst/>
          </a:prstGeom>
        </xdr:spPr>
      </xdr:pic>
      <xdr:pic>
        <xdr:nvPicPr>
          <xdr:cNvPr id="3037" name="Pokemon_428_Droite">
            <a:extLst>
              <a:ext uri="{FF2B5EF4-FFF2-40B4-BE49-F238E27FC236}">
                <a16:creationId xmlns:a16="http://schemas.microsoft.com/office/drawing/2014/main" id="{00000000-0008-0000-0300-0000D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1"/>
          <a:stretch>
            <a:fillRect/>
          </a:stretch>
        </xdr:blipFill>
        <xdr:spPr>
          <a:xfrm>
            <a:off x="401616738" y="1097280"/>
            <a:ext cx="917986" cy="932330"/>
          </a:xfrm>
          <a:prstGeom prst="rect">
            <a:avLst/>
          </a:prstGeom>
        </xdr:spPr>
      </xdr:pic>
      <xdr:pic>
        <xdr:nvPicPr>
          <xdr:cNvPr id="3038" name="Pokemon_429_Droite">
            <a:extLst>
              <a:ext uri="{FF2B5EF4-FFF2-40B4-BE49-F238E27FC236}">
                <a16:creationId xmlns:a16="http://schemas.microsoft.com/office/drawing/2014/main" id="{00000000-0008-0000-0300-0000D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2"/>
          <a:stretch>
            <a:fillRect/>
          </a:stretch>
        </xdr:blipFill>
        <xdr:spPr>
          <a:xfrm>
            <a:off x="402534735" y="1097280"/>
            <a:ext cx="917986" cy="932330"/>
          </a:xfrm>
          <a:prstGeom prst="rect">
            <a:avLst/>
          </a:prstGeom>
        </xdr:spPr>
      </xdr:pic>
      <xdr:pic>
        <xdr:nvPicPr>
          <xdr:cNvPr id="3039" name="Pokemon_430_Droite">
            <a:extLst>
              <a:ext uri="{FF2B5EF4-FFF2-40B4-BE49-F238E27FC236}">
                <a16:creationId xmlns:a16="http://schemas.microsoft.com/office/drawing/2014/main" id="{00000000-0008-0000-0300-0000D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3"/>
          <a:stretch>
            <a:fillRect/>
          </a:stretch>
        </xdr:blipFill>
        <xdr:spPr>
          <a:xfrm>
            <a:off x="403452707" y="1097280"/>
            <a:ext cx="917986" cy="932330"/>
          </a:xfrm>
          <a:prstGeom prst="rect">
            <a:avLst/>
          </a:prstGeom>
        </xdr:spPr>
      </xdr:pic>
      <xdr:pic>
        <xdr:nvPicPr>
          <xdr:cNvPr id="3040" name="Pokemon_431_Droite">
            <a:extLst>
              <a:ext uri="{FF2B5EF4-FFF2-40B4-BE49-F238E27FC236}">
                <a16:creationId xmlns:a16="http://schemas.microsoft.com/office/drawing/2014/main" id="{00000000-0008-0000-0300-0000E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4"/>
          <a:stretch>
            <a:fillRect/>
          </a:stretch>
        </xdr:blipFill>
        <xdr:spPr>
          <a:xfrm>
            <a:off x="404370704" y="1097280"/>
            <a:ext cx="917986" cy="932330"/>
          </a:xfrm>
          <a:prstGeom prst="rect">
            <a:avLst/>
          </a:prstGeom>
        </xdr:spPr>
      </xdr:pic>
      <xdr:pic>
        <xdr:nvPicPr>
          <xdr:cNvPr id="3041" name="Pokemon_432_Droite">
            <a:extLst>
              <a:ext uri="{FF2B5EF4-FFF2-40B4-BE49-F238E27FC236}">
                <a16:creationId xmlns:a16="http://schemas.microsoft.com/office/drawing/2014/main" id="{00000000-0008-0000-0300-0000E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5"/>
          <a:stretch>
            <a:fillRect/>
          </a:stretch>
        </xdr:blipFill>
        <xdr:spPr>
          <a:xfrm>
            <a:off x="405288676" y="1097280"/>
            <a:ext cx="917986" cy="932330"/>
          </a:xfrm>
          <a:prstGeom prst="rect">
            <a:avLst/>
          </a:prstGeom>
        </xdr:spPr>
      </xdr:pic>
      <xdr:pic>
        <xdr:nvPicPr>
          <xdr:cNvPr id="3042" name="Pokemon_433_Droite">
            <a:extLst>
              <a:ext uri="{FF2B5EF4-FFF2-40B4-BE49-F238E27FC236}">
                <a16:creationId xmlns:a16="http://schemas.microsoft.com/office/drawing/2014/main" id="{00000000-0008-0000-0300-0000E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6"/>
          <a:stretch>
            <a:fillRect/>
          </a:stretch>
        </xdr:blipFill>
        <xdr:spPr>
          <a:xfrm>
            <a:off x="406206672" y="1097280"/>
            <a:ext cx="917986" cy="932330"/>
          </a:xfrm>
          <a:prstGeom prst="rect">
            <a:avLst/>
          </a:prstGeom>
        </xdr:spPr>
      </xdr:pic>
      <xdr:pic>
        <xdr:nvPicPr>
          <xdr:cNvPr id="3043" name="Pokemon_434_Droite">
            <a:extLst>
              <a:ext uri="{FF2B5EF4-FFF2-40B4-BE49-F238E27FC236}">
                <a16:creationId xmlns:a16="http://schemas.microsoft.com/office/drawing/2014/main" id="{00000000-0008-0000-0300-0000E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7"/>
          <a:stretch>
            <a:fillRect/>
          </a:stretch>
        </xdr:blipFill>
        <xdr:spPr>
          <a:xfrm>
            <a:off x="407124644" y="1097280"/>
            <a:ext cx="917986" cy="932330"/>
          </a:xfrm>
          <a:prstGeom prst="rect">
            <a:avLst/>
          </a:prstGeom>
        </xdr:spPr>
      </xdr:pic>
      <xdr:pic>
        <xdr:nvPicPr>
          <xdr:cNvPr id="3044" name="Pokemon_435_Droite">
            <a:extLst>
              <a:ext uri="{FF2B5EF4-FFF2-40B4-BE49-F238E27FC236}">
                <a16:creationId xmlns:a16="http://schemas.microsoft.com/office/drawing/2014/main" id="{00000000-0008-0000-0300-0000E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8"/>
          <a:stretch>
            <a:fillRect/>
          </a:stretch>
        </xdr:blipFill>
        <xdr:spPr>
          <a:xfrm>
            <a:off x="408042641" y="1097280"/>
            <a:ext cx="917986" cy="932330"/>
          </a:xfrm>
          <a:prstGeom prst="rect">
            <a:avLst/>
          </a:prstGeom>
        </xdr:spPr>
      </xdr:pic>
      <xdr:pic>
        <xdr:nvPicPr>
          <xdr:cNvPr id="3045" name="Pokemon_436_Droite">
            <a:extLst>
              <a:ext uri="{FF2B5EF4-FFF2-40B4-BE49-F238E27FC236}">
                <a16:creationId xmlns:a16="http://schemas.microsoft.com/office/drawing/2014/main" id="{00000000-0008-0000-0300-0000E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9"/>
          <a:stretch>
            <a:fillRect/>
          </a:stretch>
        </xdr:blipFill>
        <xdr:spPr>
          <a:xfrm>
            <a:off x="408960662" y="1097280"/>
            <a:ext cx="917986" cy="932330"/>
          </a:xfrm>
          <a:prstGeom prst="rect">
            <a:avLst/>
          </a:prstGeom>
        </xdr:spPr>
      </xdr:pic>
      <xdr:pic>
        <xdr:nvPicPr>
          <xdr:cNvPr id="3046" name="Pokemon_437_Droite">
            <a:extLst>
              <a:ext uri="{FF2B5EF4-FFF2-40B4-BE49-F238E27FC236}">
                <a16:creationId xmlns:a16="http://schemas.microsoft.com/office/drawing/2014/main" id="{00000000-0008-0000-0300-0000E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0"/>
          <a:stretch>
            <a:fillRect/>
          </a:stretch>
        </xdr:blipFill>
        <xdr:spPr>
          <a:xfrm>
            <a:off x="409878659" y="1097280"/>
            <a:ext cx="917986" cy="932330"/>
          </a:xfrm>
          <a:prstGeom prst="rect">
            <a:avLst/>
          </a:prstGeom>
        </xdr:spPr>
      </xdr:pic>
      <xdr:pic>
        <xdr:nvPicPr>
          <xdr:cNvPr id="3047" name="Pokemon_438_Droite">
            <a:extLst>
              <a:ext uri="{FF2B5EF4-FFF2-40B4-BE49-F238E27FC236}">
                <a16:creationId xmlns:a16="http://schemas.microsoft.com/office/drawing/2014/main" id="{00000000-0008-0000-0300-0000E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1"/>
          <a:stretch>
            <a:fillRect/>
          </a:stretch>
        </xdr:blipFill>
        <xdr:spPr>
          <a:xfrm>
            <a:off x="410796656" y="1097280"/>
            <a:ext cx="917986" cy="932330"/>
          </a:xfrm>
          <a:prstGeom prst="rect">
            <a:avLst/>
          </a:prstGeom>
        </xdr:spPr>
      </xdr:pic>
      <xdr:pic>
        <xdr:nvPicPr>
          <xdr:cNvPr id="3048" name="Pokemon_439_Droite">
            <a:extLst>
              <a:ext uri="{FF2B5EF4-FFF2-40B4-BE49-F238E27FC236}">
                <a16:creationId xmlns:a16="http://schemas.microsoft.com/office/drawing/2014/main" id="{00000000-0008-0000-0300-0000E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2"/>
          <a:stretch>
            <a:fillRect/>
          </a:stretch>
        </xdr:blipFill>
        <xdr:spPr>
          <a:xfrm>
            <a:off x="411714677" y="1097280"/>
            <a:ext cx="917986" cy="932330"/>
          </a:xfrm>
          <a:prstGeom prst="rect">
            <a:avLst/>
          </a:prstGeom>
        </xdr:spPr>
      </xdr:pic>
      <xdr:pic>
        <xdr:nvPicPr>
          <xdr:cNvPr id="3049" name="Pokemon_440_Droite">
            <a:extLst>
              <a:ext uri="{FF2B5EF4-FFF2-40B4-BE49-F238E27FC236}">
                <a16:creationId xmlns:a16="http://schemas.microsoft.com/office/drawing/2014/main" id="{00000000-0008-0000-0300-0000E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3"/>
          <a:stretch>
            <a:fillRect/>
          </a:stretch>
        </xdr:blipFill>
        <xdr:spPr>
          <a:xfrm>
            <a:off x="412632674" y="1097280"/>
            <a:ext cx="917986" cy="932330"/>
          </a:xfrm>
          <a:prstGeom prst="rect">
            <a:avLst/>
          </a:prstGeom>
        </xdr:spPr>
      </xdr:pic>
      <xdr:pic>
        <xdr:nvPicPr>
          <xdr:cNvPr id="3050" name="Pokemon_441_Droite">
            <a:extLst>
              <a:ext uri="{FF2B5EF4-FFF2-40B4-BE49-F238E27FC236}">
                <a16:creationId xmlns:a16="http://schemas.microsoft.com/office/drawing/2014/main" id="{00000000-0008-0000-0300-0000E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4"/>
          <a:stretch>
            <a:fillRect/>
          </a:stretch>
        </xdr:blipFill>
        <xdr:spPr>
          <a:xfrm>
            <a:off x="413550671" y="1097280"/>
            <a:ext cx="917986" cy="932330"/>
          </a:xfrm>
          <a:prstGeom prst="rect">
            <a:avLst/>
          </a:prstGeom>
        </xdr:spPr>
      </xdr:pic>
      <xdr:pic>
        <xdr:nvPicPr>
          <xdr:cNvPr id="3051" name="Pokemon_442_Droite">
            <a:extLst>
              <a:ext uri="{FF2B5EF4-FFF2-40B4-BE49-F238E27FC236}">
                <a16:creationId xmlns:a16="http://schemas.microsoft.com/office/drawing/2014/main" id="{00000000-0008-0000-0300-0000E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5"/>
          <a:stretch>
            <a:fillRect/>
          </a:stretch>
        </xdr:blipFill>
        <xdr:spPr>
          <a:xfrm>
            <a:off x="414468642" y="1097280"/>
            <a:ext cx="917986" cy="932330"/>
          </a:xfrm>
          <a:prstGeom prst="rect">
            <a:avLst/>
          </a:prstGeom>
        </xdr:spPr>
      </xdr:pic>
      <xdr:pic>
        <xdr:nvPicPr>
          <xdr:cNvPr id="3052" name="Pokemon_443_Droite">
            <a:extLst>
              <a:ext uri="{FF2B5EF4-FFF2-40B4-BE49-F238E27FC236}">
                <a16:creationId xmlns:a16="http://schemas.microsoft.com/office/drawing/2014/main" id="{00000000-0008-0000-0300-0000E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6"/>
          <a:stretch>
            <a:fillRect/>
          </a:stretch>
        </xdr:blipFill>
        <xdr:spPr>
          <a:xfrm>
            <a:off x="415386639" y="1097280"/>
            <a:ext cx="917986" cy="932330"/>
          </a:xfrm>
          <a:prstGeom prst="rect">
            <a:avLst/>
          </a:prstGeom>
        </xdr:spPr>
      </xdr:pic>
      <xdr:pic>
        <xdr:nvPicPr>
          <xdr:cNvPr id="3053" name="Pokemon_444_Droite">
            <a:extLst>
              <a:ext uri="{FF2B5EF4-FFF2-40B4-BE49-F238E27FC236}">
                <a16:creationId xmlns:a16="http://schemas.microsoft.com/office/drawing/2014/main" id="{00000000-0008-0000-0300-0000E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7"/>
          <a:stretch>
            <a:fillRect/>
          </a:stretch>
        </xdr:blipFill>
        <xdr:spPr>
          <a:xfrm>
            <a:off x="416304611" y="1097280"/>
            <a:ext cx="917986" cy="932330"/>
          </a:xfrm>
          <a:prstGeom prst="rect">
            <a:avLst/>
          </a:prstGeom>
        </xdr:spPr>
      </xdr:pic>
      <xdr:pic>
        <xdr:nvPicPr>
          <xdr:cNvPr id="3054" name="Pokemon_445_Droite">
            <a:extLst>
              <a:ext uri="{FF2B5EF4-FFF2-40B4-BE49-F238E27FC236}">
                <a16:creationId xmlns:a16="http://schemas.microsoft.com/office/drawing/2014/main" id="{00000000-0008-0000-0300-0000E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8"/>
          <a:stretch>
            <a:fillRect/>
          </a:stretch>
        </xdr:blipFill>
        <xdr:spPr>
          <a:xfrm>
            <a:off x="417222583" y="1097280"/>
            <a:ext cx="917986" cy="932330"/>
          </a:xfrm>
          <a:prstGeom prst="rect">
            <a:avLst/>
          </a:prstGeom>
        </xdr:spPr>
      </xdr:pic>
      <xdr:pic>
        <xdr:nvPicPr>
          <xdr:cNvPr id="3055" name="Pokemon_446_Droite">
            <a:extLst>
              <a:ext uri="{FF2B5EF4-FFF2-40B4-BE49-F238E27FC236}">
                <a16:creationId xmlns:a16="http://schemas.microsoft.com/office/drawing/2014/main" id="{00000000-0008-0000-0300-0000E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9"/>
          <a:stretch>
            <a:fillRect/>
          </a:stretch>
        </xdr:blipFill>
        <xdr:spPr>
          <a:xfrm>
            <a:off x="418140555" y="1097280"/>
            <a:ext cx="917986" cy="932330"/>
          </a:xfrm>
          <a:prstGeom prst="rect">
            <a:avLst/>
          </a:prstGeom>
        </xdr:spPr>
      </xdr:pic>
      <xdr:pic>
        <xdr:nvPicPr>
          <xdr:cNvPr id="3056" name="Pokemon_447_Droite">
            <a:extLst>
              <a:ext uri="{FF2B5EF4-FFF2-40B4-BE49-F238E27FC236}">
                <a16:creationId xmlns:a16="http://schemas.microsoft.com/office/drawing/2014/main" id="{00000000-0008-0000-0300-0000F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0"/>
          <a:stretch>
            <a:fillRect/>
          </a:stretch>
        </xdr:blipFill>
        <xdr:spPr>
          <a:xfrm>
            <a:off x="419058527" y="1097280"/>
            <a:ext cx="917986" cy="932330"/>
          </a:xfrm>
          <a:prstGeom prst="rect">
            <a:avLst/>
          </a:prstGeom>
        </xdr:spPr>
      </xdr:pic>
      <xdr:pic>
        <xdr:nvPicPr>
          <xdr:cNvPr id="3057" name="Pokemon_448_Droite">
            <a:extLst>
              <a:ext uri="{FF2B5EF4-FFF2-40B4-BE49-F238E27FC236}">
                <a16:creationId xmlns:a16="http://schemas.microsoft.com/office/drawing/2014/main" id="{00000000-0008-0000-0300-0000F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1"/>
          <a:stretch>
            <a:fillRect/>
          </a:stretch>
        </xdr:blipFill>
        <xdr:spPr>
          <a:xfrm>
            <a:off x="419976498" y="1097280"/>
            <a:ext cx="917986" cy="932330"/>
          </a:xfrm>
          <a:prstGeom prst="rect">
            <a:avLst/>
          </a:prstGeom>
        </xdr:spPr>
      </xdr:pic>
      <xdr:pic>
        <xdr:nvPicPr>
          <xdr:cNvPr id="3058" name="Pokemon_449_Droite">
            <a:extLst>
              <a:ext uri="{FF2B5EF4-FFF2-40B4-BE49-F238E27FC236}">
                <a16:creationId xmlns:a16="http://schemas.microsoft.com/office/drawing/2014/main" id="{00000000-0008-0000-0300-0000F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2"/>
          <a:stretch>
            <a:fillRect/>
          </a:stretch>
        </xdr:blipFill>
        <xdr:spPr>
          <a:xfrm>
            <a:off x="420894470" y="1097280"/>
            <a:ext cx="917986" cy="932330"/>
          </a:xfrm>
          <a:prstGeom prst="rect">
            <a:avLst/>
          </a:prstGeom>
        </xdr:spPr>
      </xdr:pic>
      <xdr:pic>
        <xdr:nvPicPr>
          <xdr:cNvPr id="3059" name="Pokemon_450_Droite">
            <a:extLst>
              <a:ext uri="{FF2B5EF4-FFF2-40B4-BE49-F238E27FC236}">
                <a16:creationId xmlns:a16="http://schemas.microsoft.com/office/drawing/2014/main" id="{00000000-0008-0000-0300-0000F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3"/>
          <a:stretch>
            <a:fillRect/>
          </a:stretch>
        </xdr:blipFill>
        <xdr:spPr>
          <a:xfrm>
            <a:off x="421812442" y="1097280"/>
            <a:ext cx="917986" cy="932330"/>
          </a:xfrm>
          <a:prstGeom prst="rect">
            <a:avLst/>
          </a:prstGeom>
        </xdr:spPr>
      </xdr:pic>
      <xdr:pic>
        <xdr:nvPicPr>
          <xdr:cNvPr id="3060" name="Pokemon_451_Droite">
            <a:extLst>
              <a:ext uri="{FF2B5EF4-FFF2-40B4-BE49-F238E27FC236}">
                <a16:creationId xmlns:a16="http://schemas.microsoft.com/office/drawing/2014/main" id="{00000000-0008-0000-0300-0000F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4"/>
          <a:stretch>
            <a:fillRect/>
          </a:stretch>
        </xdr:blipFill>
        <xdr:spPr>
          <a:xfrm>
            <a:off x="422730414" y="1097280"/>
            <a:ext cx="917986" cy="932330"/>
          </a:xfrm>
          <a:prstGeom prst="rect">
            <a:avLst/>
          </a:prstGeom>
        </xdr:spPr>
      </xdr:pic>
      <xdr:pic>
        <xdr:nvPicPr>
          <xdr:cNvPr id="3061" name="Pokemon_452_Droite">
            <a:extLst>
              <a:ext uri="{FF2B5EF4-FFF2-40B4-BE49-F238E27FC236}">
                <a16:creationId xmlns:a16="http://schemas.microsoft.com/office/drawing/2014/main" id="{00000000-0008-0000-0300-0000F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5"/>
          <a:stretch>
            <a:fillRect/>
          </a:stretch>
        </xdr:blipFill>
        <xdr:spPr>
          <a:xfrm>
            <a:off x="423648386" y="1097280"/>
            <a:ext cx="917986" cy="932330"/>
          </a:xfrm>
          <a:prstGeom prst="rect">
            <a:avLst/>
          </a:prstGeom>
        </xdr:spPr>
      </xdr:pic>
      <xdr:pic>
        <xdr:nvPicPr>
          <xdr:cNvPr id="3062" name="Pokemon_453_Droite">
            <a:extLst>
              <a:ext uri="{FF2B5EF4-FFF2-40B4-BE49-F238E27FC236}">
                <a16:creationId xmlns:a16="http://schemas.microsoft.com/office/drawing/2014/main" id="{00000000-0008-0000-0300-0000F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6"/>
          <a:stretch>
            <a:fillRect/>
          </a:stretch>
        </xdr:blipFill>
        <xdr:spPr>
          <a:xfrm>
            <a:off x="424566358" y="1097280"/>
            <a:ext cx="917986" cy="932330"/>
          </a:xfrm>
          <a:prstGeom prst="rect">
            <a:avLst/>
          </a:prstGeom>
        </xdr:spPr>
      </xdr:pic>
      <xdr:pic>
        <xdr:nvPicPr>
          <xdr:cNvPr id="3063" name="Pokemon_454_Droite">
            <a:extLst>
              <a:ext uri="{FF2B5EF4-FFF2-40B4-BE49-F238E27FC236}">
                <a16:creationId xmlns:a16="http://schemas.microsoft.com/office/drawing/2014/main" id="{00000000-0008-0000-0300-0000F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7"/>
          <a:stretch>
            <a:fillRect/>
          </a:stretch>
        </xdr:blipFill>
        <xdr:spPr>
          <a:xfrm>
            <a:off x="425484330" y="1097280"/>
            <a:ext cx="917986" cy="932330"/>
          </a:xfrm>
          <a:prstGeom prst="rect">
            <a:avLst/>
          </a:prstGeom>
        </xdr:spPr>
      </xdr:pic>
      <xdr:pic>
        <xdr:nvPicPr>
          <xdr:cNvPr id="3064" name="Pokemon_455_Droite">
            <a:extLst>
              <a:ext uri="{FF2B5EF4-FFF2-40B4-BE49-F238E27FC236}">
                <a16:creationId xmlns:a16="http://schemas.microsoft.com/office/drawing/2014/main" id="{00000000-0008-0000-0300-0000F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8"/>
          <a:stretch>
            <a:fillRect/>
          </a:stretch>
        </xdr:blipFill>
        <xdr:spPr>
          <a:xfrm>
            <a:off x="426402302" y="1097280"/>
            <a:ext cx="917986" cy="932330"/>
          </a:xfrm>
          <a:prstGeom prst="rect">
            <a:avLst/>
          </a:prstGeom>
        </xdr:spPr>
      </xdr:pic>
      <xdr:pic>
        <xdr:nvPicPr>
          <xdr:cNvPr id="3065" name="Pokemon_456_Droite">
            <a:extLst>
              <a:ext uri="{FF2B5EF4-FFF2-40B4-BE49-F238E27FC236}">
                <a16:creationId xmlns:a16="http://schemas.microsoft.com/office/drawing/2014/main" id="{00000000-0008-0000-0300-0000F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9"/>
          <a:stretch>
            <a:fillRect/>
          </a:stretch>
        </xdr:blipFill>
        <xdr:spPr>
          <a:xfrm>
            <a:off x="427320273" y="1097280"/>
            <a:ext cx="917986" cy="932330"/>
          </a:xfrm>
          <a:prstGeom prst="rect">
            <a:avLst/>
          </a:prstGeom>
        </xdr:spPr>
      </xdr:pic>
      <xdr:pic>
        <xdr:nvPicPr>
          <xdr:cNvPr id="3066" name="Pokemon_457_Droite">
            <a:extLst>
              <a:ext uri="{FF2B5EF4-FFF2-40B4-BE49-F238E27FC236}">
                <a16:creationId xmlns:a16="http://schemas.microsoft.com/office/drawing/2014/main" id="{00000000-0008-0000-0300-0000F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0"/>
          <a:stretch>
            <a:fillRect/>
          </a:stretch>
        </xdr:blipFill>
        <xdr:spPr>
          <a:xfrm>
            <a:off x="428238245" y="1097280"/>
            <a:ext cx="917986" cy="932330"/>
          </a:xfrm>
          <a:prstGeom prst="rect">
            <a:avLst/>
          </a:prstGeom>
        </xdr:spPr>
      </xdr:pic>
      <xdr:pic>
        <xdr:nvPicPr>
          <xdr:cNvPr id="3067" name="Pokemon_458_Droite">
            <a:extLst>
              <a:ext uri="{FF2B5EF4-FFF2-40B4-BE49-F238E27FC236}">
                <a16:creationId xmlns:a16="http://schemas.microsoft.com/office/drawing/2014/main" id="{00000000-0008-0000-0300-0000F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1"/>
          <a:stretch>
            <a:fillRect/>
          </a:stretch>
        </xdr:blipFill>
        <xdr:spPr>
          <a:xfrm>
            <a:off x="429156217" y="1097280"/>
            <a:ext cx="917986" cy="932330"/>
          </a:xfrm>
          <a:prstGeom prst="rect">
            <a:avLst/>
          </a:prstGeom>
        </xdr:spPr>
      </xdr:pic>
      <xdr:pic>
        <xdr:nvPicPr>
          <xdr:cNvPr id="3068" name="Pokemon_459_Droite">
            <a:extLst>
              <a:ext uri="{FF2B5EF4-FFF2-40B4-BE49-F238E27FC236}">
                <a16:creationId xmlns:a16="http://schemas.microsoft.com/office/drawing/2014/main" id="{00000000-0008-0000-0300-0000F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2"/>
          <a:stretch>
            <a:fillRect/>
          </a:stretch>
        </xdr:blipFill>
        <xdr:spPr>
          <a:xfrm>
            <a:off x="430074189" y="1097280"/>
            <a:ext cx="917986" cy="932330"/>
          </a:xfrm>
          <a:prstGeom prst="rect">
            <a:avLst/>
          </a:prstGeom>
        </xdr:spPr>
      </xdr:pic>
      <xdr:pic>
        <xdr:nvPicPr>
          <xdr:cNvPr id="3069" name="Pokemon_460_Droite">
            <a:extLst>
              <a:ext uri="{FF2B5EF4-FFF2-40B4-BE49-F238E27FC236}">
                <a16:creationId xmlns:a16="http://schemas.microsoft.com/office/drawing/2014/main" id="{00000000-0008-0000-0300-0000F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3"/>
          <a:stretch>
            <a:fillRect/>
          </a:stretch>
        </xdr:blipFill>
        <xdr:spPr>
          <a:xfrm>
            <a:off x="430992161" y="1097280"/>
            <a:ext cx="917986" cy="932330"/>
          </a:xfrm>
          <a:prstGeom prst="rect">
            <a:avLst/>
          </a:prstGeom>
        </xdr:spPr>
      </xdr:pic>
      <xdr:pic>
        <xdr:nvPicPr>
          <xdr:cNvPr id="3070" name="Pokemon_461_Droite">
            <a:extLst>
              <a:ext uri="{FF2B5EF4-FFF2-40B4-BE49-F238E27FC236}">
                <a16:creationId xmlns:a16="http://schemas.microsoft.com/office/drawing/2014/main" id="{00000000-0008-0000-0300-0000F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4"/>
          <a:stretch>
            <a:fillRect/>
          </a:stretch>
        </xdr:blipFill>
        <xdr:spPr>
          <a:xfrm>
            <a:off x="431910133" y="1097280"/>
            <a:ext cx="917986" cy="932330"/>
          </a:xfrm>
          <a:prstGeom prst="rect">
            <a:avLst/>
          </a:prstGeom>
        </xdr:spPr>
      </xdr:pic>
      <xdr:pic>
        <xdr:nvPicPr>
          <xdr:cNvPr id="3071" name="Pokemon_462_Droite">
            <a:extLst>
              <a:ext uri="{FF2B5EF4-FFF2-40B4-BE49-F238E27FC236}">
                <a16:creationId xmlns:a16="http://schemas.microsoft.com/office/drawing/2014/main" id="{00000000-0008-0000-0300-0000F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5"/>
          <a:stretch>
            <a:fillRect/>
          </a:stretch>
        </xdr:blipFill>
        <xdr:spPr>
          <a:xfrm>
            <a:off x="432828105" y="1097280"/>
            <a:ext cx="917986" cy="932330"/>
          </a:xfrm>
          <a:prstGeom prst="rect">
            <a:avLst/>
          </a:prstGeom>
        </xdr:spPr>
      </xdr:pic>
      <xdr:pic>
        <xdr:nvPicPr>
          <xdr:cNvPr id="3072" name="Pokemon_463_Droite">
            <a:extLst>
              <a:ext uri="{FF2B5EF4-FFF2-40B4-BE49-F238E27FC236}">
                <a16:creationId xmlns:a16="http://schemas.microsoft.com/office/drawing/2014/main" id="{00000000-0008-0000-0300-00000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6"/>
          <a:stretch>
            <a:fillRect/>
          </a:stretch>
        </xdr:blipFill>
        <xdr:spPr>
          <a:xfrm>
            <a:off x="433746077" y="1097280"/>
            <a:ext cx="917986" cy="932330"/>
          </a:xfrm>
          <a:prstGeom prst="rect">
            <a:avLst/>
          </a:prstGeom>
        </xdr:spPr>
      </xdr:pic>
      <xdr:pic>
        <xdr:nvPicPr>
          <xdr:cNvPr id="3073" name="Pokemon_464_Droite">
            <a:extLst>
              <a:ext uri="{FF2B5EF4-FFF2-40B4-BE49-F238E27FC236}">
                <a16:creationId xmlns:a16="http://schemas.microsoft.com/office/drawing/2014/main" id="{00000000-0008-0000-0300-00000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7"/>
          <a:stretch>
            <a:fillRect/>
          </a:stretch>
        </xdr:blipFill>
        <xdr:spPr>
          <a:xfrm>
            <a:off x="434664048" y="1097280"/>
            <a:ext cx="917986" cy="932330"/>
          </a:xfrm>
          <a:prstGeom prst="rect">
            <a:avLst/>
          </a:prstGeom>
        </xdr:spPr>
      </xdr:pic>
      <xdr:pic>
        <xdr:nvPicPr>
          <xdr:cNvPr id="3074" name="Pokemon_465_Droite">
            <a:extLst>
              <a:ext uri="{FF2B5EF4-FFF2-40B4-BE49-F238E27FC236}">
                <a16:creationId xmlns:a16="http://schemas.microsoft.com/office/drawing/2014/main" id="{00000000-0008-0000-0300-00000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8"/>
          <a:stretch>
            <a:fillRect/>
          </a:stretch>
        </xdr:blipFill>
        <xdr:spPr>
          <a:xfrm>
            <a:off x="435582020" y="1097280"/>
            <a:ext cx="917986" cy="932330"/>
          </a:xfrm>
          <a:prstGeom prst="rect">
            <a:avLst/>
          </a:prstGeom>
        </xdr:spPr>
      </xdr:pic>
      <xdr:pic>
        <xdr:nvPicPr>
          <xdr:cNvPr id="3075" name="Pokemon_466_Droite">
            <a:extLst>
              <a:ext uri="{FF2B5EF4-FFF2-40B4-BE49-F238E27FC236}">
                <a16:creationId xmlns:a16="http://schemas.microsoft.com/office/drawing/2014/main" id="{00000000-0008-0000-0300-00000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9"/>
          <a:stretch>
            <a:fillRect/>
          </a:stretch>
        </xdr:blipFill>
        <xdr:spPr>
          <a:xfrm>
            <a:off x="436499992" y="1097280"/>
            <a:ext cx="917986" cy="932330"/>
          </a:xfrm>
          <a:prstGeom prst="rect">
            <a:avLst/>
          </a:prstGeom>
        </xdr:spPr>
      </xdr:pic>
      <xdr:pic>
        <xdr:nvPicPr>
          <xdr:cNvPr id="3076" name="Pokemon_467_Droite">
            <a:extLst>
              <a:ext uri="{FF2B5EF4-FFF2-40B4-BE49-F238E27FC236}">
                <a16:creationId xmlns:a16="http://schemas.microsoft.com/office/drawing/2014/main" id="{00000000-0008-0000-0300-00000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0"/>
          <a:stretch>
            <a:fillRect/>
          </a:stretch>
        </xdr:blipFill>
        <xdr:spPr>
          <a:xfrm>
            <a:off x="437417964" y="1097280"/>
            <a:ext cx="917986" cy="932330"/>
          </a:xfrm>
          <a:prstGeom prst="rect">
            <a:avLst/>
          </a:prstGeom>
        </xdr:spPr>
      </xdr:pic>
      <xdr:pic>
        <xdr:nvPicPr>
          <xdr:cNvPr id="3077" name="Pokemon_468_Droite">
            <a:extLst>
              <a:ext uri="{FF2B5EF4-FFF2-40B4-BE49-F238E27FC236}">
                <a16:creationId xmlns:a16="http://schemas.microsoft.com/office/drawing/2014/main" id="{00000000-0008-0000-0300-00000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1"/>
          <a:stretch>
            <a:fillRect/>
          </a:stretch>
        </xdr:blipFill>
        <xdr:spPr>
          <a:xfrm>
            <a:off x="438335936" y="1097280"/>
            <a:ext cx="917986" cy="932330"/>
          </a:xfrm>
          <a:prstGeom prst="rect">
            <a:avLst/>
          </a:prstGeom>
        </xdr:spPr>
      </xdr:pic>
      <xdr:pic>
        <xdr:nvPicPr>
          <xdr:cNvPr id="3078" name="Pokemon_469_Droite">
            <a:extLst>
              <a:ext uri="{FF2B5EF4-FFF2-40B4-BE49-F238E27FC236}">
                <a16:creationId xmlns:a16="http://schemas.microsoft.com/office/drawing/2014/main" id="{00000000-0008-0000-0300-00000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2"/>
          <a:stretch>
            <a:fillRect/>
          </a:stretch>
        </xdr:blipFill>
        <xdr:spPr>
          <a:xfrm>
            <a:off x="439253908" y="1097280"/>
            <a:ext cx="917986" cy="932330"/>
          </a:xfrm>
          <a:prstGeom prst="rect">
            <a:avLst/>
          </a:prstGeom>
        </xdr:spPr>
      </xdr:pic>
      <xdr:pic>
        <xdr:nvPicPr>
          <xdr:cNvPr id="3079" name="Pokemon_470_Droite">
            <a:extLst>
              <a:ext uri="{FF2B5EF4-FFF2-40B4-BE49-F238E27FC236}">
                <a16:creationId xmlns:a16="http://schemas.microsoft.com/office/drawing/2014/main" id="{00000000-0008-0000-0300-00000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3"/>
          <a:stretch>
            <a:fillRect/>
          </a:stretch>
        </xdr:blipFill>
        <xdr:spPr>
          <a:xfrm>
            <a:off x="440171880" y="1097280"/>
            <a:ext cx="917986" cy="932330"/>
          </a:xfrm>
          <a:prstGeom prst="rect">
            <a:avLst/>
          </a:prstGeom>
        </xdr:spPr>
      </xdr:pic>
      <xdr:pic>
        <xdr:nvPicPr>
          <xdr:cNvPr id="3080" name="Pokemon_471_Droite">
            <a:extLst>
              <a:ext uri="{FF2B5EF4-FFF2-40B4-BE49-F238E27FC236}">
                <a16:creationId xmlns:a16="http://schemas.microsoft.com/office/drawing/2014/main" id="{00000000-0008-0000-0300-00000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4"/>
          <a:stretch>
            <a:fillRect/>
          </a:stretch>
        </xdr:blipFill>
        <xdr:spPr>
          <a:xfrm>
            <a:off x="441089852" y="1097280"/>
            <a:ext cx="917986" cy="932330"/>
          </a:xfrm>
          <a:prstGeom prst="rect">
            <a:avLst/>
          </a:prstGeom>
        </xdr:spPr>
      </xdr:pic>
      <xdr:pic>
        <xdr:nvPicPr>
          <xdr:cNvPr id="3081" name="Pokemon_472_Droite">
            <a:extLst>
              <a:ext uri="{FF2B5EF4-FFF2-40B4-BE49-F238E27FC236}">
                <a16:creationId xmlns:a16="http://schemas.microsoft.com/office/drawing/2014/main" id="{00000000-0008-0000-0300-00000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5"/>
          <a:stretch>
            <a:fillRect/>
          </a:stretch>
        </xdr:blipFill>
        <xdr:spPr>
          <a:xfrm>
            <a:off x="442007823" y="1097280"/>
            <a:ext cx="917986" cy="932330"/>
          </a:xfrm>
          <a:prstGeom prst="rect">
            <a:avLst/>
          </a:prstGeom>
        </xdr:spPr>
      </xdr:pic>
      <xdr:pic>
        <xdr:nvPicPr>
          <xdr:cNvPr id="3082" name="Pokemon_473_Droite">
            <a:extLst>
              <a:ext uri="{FF2B5EF4-FFF2-40B4-BE49-F238E27FC236}">
                <a16:creationId xmlns:a16="http://schemas.microsoft.com/office/drawing/2014/main" id="{00000000-0008-0000-0300-00000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6"/>
          <a:stretch>
            <a:fillRect/>
          </a:stretch>
        </xdr:blipFill>
        <xdr:spPr>
          <a:xfrm>
            <a:off x="442925795" y="1097280"/>
            <a:ext cx="917986" cy="932330"/>
          </a:xfrm>
          <a:prstGeom prst="rect">
            <a:avLst/>
          </a:prstGeom>
        </xdr:spPr>
      </xdr:pic>
      <xdr:pic>
        <xdr:nvPicPr>
          <xdr:cNvPr id="3083" name="Pokemon_474_Droite">
            <a:extLst>
              <a:ext uri="{FF2B5EF4-FFF2-40B4-BE49-F238E27FC236}">
                <a16:creationId xmlns:a16="http://schemas.microsoft.com/office/drawing/2014/main" id="{00000000-0008-0000-0300-00000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7"/>
          <a:stretch>
            <a:fillRect/>
          </a:stretch>
        </xdr:blipFill>
        <xdr:spPr>
          <a:xfrm>
            <a:off x="443843767" y="1097280"/>
            <a:ext cx="917986" cy="932330"/>
          </a:xfrm>
          <a:prstGeom prst="rect">
            <a:avLst/>
          </a:prstGeom>
        </xdr:spPr>
      </xdr:pic>
      <xdr:pic>
        <xdr:nvPicPr>
          <xdr:cNvPr id="3084" name="Pokemon_475_Droite">
            <a:extLst>
              <a:ext uri="{FF2B5EF4-FFF2-40B4-BE49-F238E27FC236}">
                <a16:creationId xmlns:a16="http://schemas.microsoft.com/office/drawing/2014/main" id="{00000000-0008-0000-03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8"/>
          <a:stretch>
            <a:fillRect/>
          </a:stretch>
        </xdr:blipFill>
        <xdr:spPr>
          <a:xfrm>
            <a:off x="444761739" y="1097280"/>
            <a:ext cx="917986" cy="932330"/>
          </a:xfrm>
          <a:prstGeom prst="rect">
            <a:avLst/>
          </a:prstGeom>
        </xdr:spPr>
      </xdr:pic>
      <xdr:pic>
        <xdr:nvPicPr>
          <xdr:cNvPr id="3085" name="Pokemon_476_Droite">
            <a:extLst>
              <a:ext uri="{FF2B5EF4-FFF2-40B4-BE49-F238E27FC236}">
                <a16:creationId xmlns:a16="http://schemas.microsoft.com/office/drawing/2014/main" id="{00000000-0008-0000-0300-00000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9"/>
          <a:stretch>
            <a:fillRect/>
          </a:stretch>
        </xdr:blipFill>
        <xdr:spPr>
          <a:xfrm>
            <a:off x="445679711" y="1097280"/>
            <a:ext cx="917986" cy="932330"/>
          </a:xfrm>
          <a:prstGeom prst="rect">
            <a:avLst/>
          </a:prstGeom>
        </xdr:spPr>
      </xdr:pic>
      <xdr:pic>
        <xdr:nvPicPr>
          <xdr:cNvPr id="3086" name="Pokemon_477_Droite">
            <a:extLst>
              <a:ext uri="{FF2B5EF4-FFF2-40B4-BE49-F238E27FC236}">
                <a16:creationId xmlns:a16="http://schemas.microsoft.com/office/drawing/2014/main" id="{00000000-0008-0000-03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0"/>
          <a:stretch>
            <a:fillRect/>
          </a:stretch>
        </xdr:blipFill>
        <xdr:spPr>
          <a:xfrm>
            <a:off x="446597683" y="1097280"/>
            <a:ext cx="917986" cy="932330"/>
          </a:xfrm>
          <a:prstGeom prst="rect">
            <a:avLst/>
          </a:prstGeom>
        </xdr:spPr>
      </xdr:pic>
      <xdr:pic>
        <xdr:nvPicPr>
          <xdr:cNvPr id="3087" name="Pokemon_478_Droite">
            <a:extLst>
              <a:ext uri="{FF2B5EF4-FFF2-40B4-BE49-F238E27FC236}">
                <a16:creationId xmlns:a16="http://schemas.microsoft.com/office/drawing/2014/main" id="{00000000-0008-0000-0300-00000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1"/>
          <a:stretch>
            <a:fillRect/>
          </a:stretch>
        </xdr:blipFill>
        <xdr:spPr>
          <a:xfrm>
            <a:off x="447515655" y="1097280"/>
            <a:ext cx="917986" cy="932330"/>
          </a:xfrm>
          <a:prstGeom prst="rect">
            <a:avLst/>
          </a:prstGeom>
        </xdr:spPr>
      </xdr:pic>
      <xdr:pic>
        <xdr:nvPicPr>
          <xdr:cNvPr id="3088" name="Pokemon_479_Droite">
            <a:extLst>
              <a:ext uri="{FF2B5EF4-FFF2-40B4-BE49-F238E27FC236}">
                <a16:creationId xmlns:a16="http://schemas.microsoft.com/office/drawing/2014/main" id="{00000000-0008-0000-0300-00001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2"/>
          <a:stretch>
            <a:fillRect/>
          </a:stretch>
        </xdr:blipFill>
        <xdr:spPr>
          <a:xfrm>
            <a:off x="448433627" y="1097280"/>
            <a:ext cx="917986" cy="932330"/>
          </a:xfrm>
          <a:prstGeom prst="rect">
            <a:avLst/>
          </a:prstGeom>
        </xdr:spPr>
      </xdr:pic>
      <xdr:pic>
        <xdr:nvPicPr>
          <xdr:cNvPr id="3089" name="Pokemon_480_Droite">
            <a:extLst>
              <a:ext uri="{FF2B5EF4-FFF2-40B4-BE49-F238E27FC236}">
                <a16:creationId xmlns:a16="http://schemas.microsoft.com/office/drawing/2014/main" id="{00000000-0008-0000-03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3"/>
          <a:stretch>
            <a:fillRect/>
          </a:stretch>
        </xdr:blipFill>
        <xdr:spPr>
          <a:xfrm>
            <a:off x="449351598" y="1097280"/>
            <a:ext cx="917986" cy="932330"/>
          </a:xfrm>
          <a:prstGeom prst="rect">
            <a:avLst/>
          </a:prstGeom>
        </xdr:spPr>
      </xdr:pic>
      <xdr:pic>
        <xdr:nvPicPr>
          <xdr:cNvPr id="3090" name="Pokemon_481_Droite">
            <a:extLst>
              <a:ext uri="{FF2B5EF4-FFF2-40B4-BE49-F238E27FC236}">
                <a16:creationId xmlns:a16="http://schemas.microsoft.com/office/drawing/2014/main" id="{00000000-0008-0000-0300-00001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4"/>
          <a:stretch>
            <a:fillRect/>
          </a:stretch>
        </xdr:blipFill>
        <xdr:spPr>
          <a:xfrm>
            <a:off x="450269570" y="1097280"/>
            <a:ext cx="917986" cy="932330"/>
          </a:xfrm>
          <a:prstGeom prst="rect">
            <a:avLst/>
          </a:prstGeom>
        </xdr:spPr>
      </xdr:pic>
      <xdr:pic>
        <xdr:nvPicPr>
          <xdr:cNvPr id="3091" name="Pokemon_482_Droite">
            <a:extLst>
              <a:ext uri="{FF2B5EF4-FFF2-40B4-BE49-F238E27FC236}">
                <a16:creationId xmlns:a16="http://schemas.microsoft.com/office/drawing/2014/main" id="{00000000-0008-0000-03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5"/>
          <a:stretch>
            <a:fillRect/>
          </a:stretch>
        </xdr:blipFill>
        <xdr:spPr>
          <a:xfrm>
            <a:off x="451187542" y="1097280"/>
            <a:ext cx="917986" cy="932330"/>
          </a:xfrm>
          <a:prstGeom prst="rect">
            <a:avLst/>
          </a:prstGeom>
        </xdr:spPr>
      </xdr:pic>
      <xdr:pic>
        <xdr:nvPicPr>
          <xdr:cNvPr id="3092" name="Pokemon_483_Droite">
            <a:extLst>
              <a:ext uri="{FF2B5EF4-FFF2-40B4-BE49-F238E27FC236}">
                <a16:creationId xmlns:a16="http://schemas.microsoft.com/office/drawing/2014/main" id="{00000000-0008-0000-0300-00001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6"/>
          <a:stretch>
            <a:fillRect/>
          </a:stretch>
        </xdr:blipFill>
        <xdr:spPr>
          <a:xfrm>
            <a:off x="452105514" y="1097280"/>
            <a:ext cx="917986" cy="932330"/>
          </a:xfrm>
          <a:prstGeom prst="rect">
            <a:avLst/>
          </a:prstGeom>
        </xdr:spPr>
      </xdr:pic>
      <xdr:pic>
        <xdr:nvPicPr>
          <xdr:cNvPr id="3093" name="Pokemon_484_Droite">
            <a:extLst>
              <a:ext uri="{FF2B5EF4-FFF2-40B4-BE49-F238E27FC236}">
                <a16:creationId xmlns:a16="http://schemas.microsoft.com/office/drawing/2014/main" id="{00000000-0008-0000-0300-00001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7"/>
          <a:stretch>
            <a:fillRect/>
          </a:stretch>
        </xdr:blipFill>
        <xdr:spPr>
          <a:xfrm>
            <a:off x="453023486" y="1097280"/>
            <a:ext cx="917986" cy="932330"/>
          </a:xfrm>
          <a:prstGeom prst="rect">
            <a:avLst/>
          </a:prstGeom>
        </xdr:spPr>
      </xdr:pic>
      <xdr:pic>
        <xdr:nvPicPr>
          <xdr:cNvPr id="3094" name="Pokemon_485_Droite">
            <a:extLst>
              <a:ext uri="{FF2B5EF4-FFF2-40B4-BE49-F238E27FC236}">
                <a16:creationId xmlns:a16="http://schemas.microsoft.com/office/drawing/2014/main" id="{00000000-0008-0000-0300-00001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8"/>
          <a:stretch>
            <a:fillRect/>
          </a:stretch>
        </xdr:blipFill>
        <xdr:spPr>
          <a:xfrm>
            <a:off x="453941458" y="1097280"/>
            <a:ext cx="917986" cy="932330"/>
          </a:xfrm>
          <a:prstGeom prst="rect">
            <a:avLst/>
          </a:prstGeom>
        </xdr:spPr>
      </xdr:pic>
      <xdr:pic>
        <xdr:nvPicPr>
          <xdr:cNvPr id="3095" name="Pokemon_486_Droite">
            <a:extLst>
              <a:ext uri="{FF2B5EF4-FFF2-40B4-BE49-F238E27FC236}">
                <a16:creationId xmlns:a16="http://schemas.microsoft.com/office/drawing/2014/main" id="{00000000-0008-0000-0300-00001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9"/>
          <a:stretch>
            <a:fillRect/>
          </a:stretch>
        </xdr:blipFill>
        <xdr:spPr>
          <a:xfrm>
            <a:off x="454859430" y="1097280"/>
            <a:ext cx="917986" cy="932330"/>
          </a:xfrm>
          <a:prstGeom prst="rect">
            <a:avLst/>
          </a:prstGeom>
        </xdr:spPr>
      </xdr:pic>
      <xdr:pic>
        <xdr:nvPicPr>
          <xdr:cNvPr id="3096" name="Pokemon_487_Droite">
            <a:extLst>
              <a:ext uri="{FF2B5EF4-FFF2-40B4-BE49-F238E27FC236}">
                <a16:creationId xmlns:a16="http://schemas.microsoft.com/office/drawing/2014/main" id="{00000000-0008-0000-0300-00001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0"/>
          <a:stretch>
            <a:fillRect/>
          </a:stretch>
        </xdr:blipFill>
        <xdr:spPr>
          <a:xfrm>
            <a:off x="455777402" y="1097280"/>
            <a:ext cx="917986" cy="932330"/>
          </a:xfrm>
          <a:prstGeom prst="rect">
            <a:avLst/>
          </a:prstGeom>
        </xdr:spPr>
      </xdr:pic>
      <xdr:pic>
        <xdr:nvPicPr>
          <xdr:cNvPr id="3097" name="Pokemon_488_Droite">
            <a:extLst>
              <a:ext uri="{FF2B5EF4-FFF2-40B4-BE49-F238E27FC236}">
                <a16:creationId xmlns:a16="http://schemas.microsoft.com/office/drawing/2014/main" id="{00000000-0008-0000-0300-00001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1"/>
          <a:stretch>
            <a:fillRect/>
          </a:stretch>
        </xdr:blipFill>
        <xdr:spPr>
          <a:xfrm>
            <a:off x="456695373" y="1097280"/>
            <a:ext cx="917986" cy="932330"/>
          </a:xfrm>
          <a:prstGeom prst="rect">
            <a:avLst/>
          </a:prstGeom>
        </xdr:spPr>
      </xdr:pic>
      <xdr:pic>
        <xdr:nvPicPr>
          <xdr:cNvPr id="3098" name="Pokemon_489_Droite">
            <a:extLst>
              <a:ext uri="{FF2B5EF4-FFF2-40B4-BE49-F238E27FC236}">
                <a16:creationId xmlns:a16="http://schemas.microsoft.com/office/drawing/2014/main" id="{00000000-0008-0000-0300-00001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2"/>
          <a:stretch>
            <a:fillRect/>
          </a:stretch>
        </xdr:blipFill>
        <xdr:spPr>
          <a:xfrm>
            <a:off x="457613345" y="1097280"/>
            <a:ext cx="917986" cy="932330"/>
          </a:xfrm>
          <a:prstGeom prst="rect">
            <a:avLst/>
          </a:prstGeom>
        </xdr:spPr>
      </xdr:pic>
      <xdr:pic>
        <xdr:nvPicPr>
          <xdr:cNvPr id="3099" name="Pokemon_490_Droite">
            <a:extLst>
              <a:ext uri="{FF2B5EF4-FFF2-40B4-BE49-F238E27FC236}">
                <a16:creationId xmlns:a16="http://schemas.microsoft.com/office/drawing/2014/main" id="{00000000-0008-0000-0300-00001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3"/>
          <a:stretch>
            <a:fillRect/>
          </a:stretch>
        </xdr:blipFill>
        <xdr:spPr>
          <a:xfrm>
            <a:off x="458531317" y="1097280"/>
            <a:ext cx="917986" cy="932330"/>
          </a:xfrm>
          <a:prstGeom prst="rect">
            <a:avLst/>
          </a:prstGeom>
        </xdr:spPr>
      </xdr:pic>
      <xdr:pic>
        <xdr:nvPicPr>
          <xdr:cNvPr id="3100" name="Pokemon_491_Droite">
            <a:extLst>
              <a:ext uri="{FF2B5EF4-FFF2-40B4-BE49-F238E27FC236}">
                <a16:creationId xmlns:a16="http://schemas.microsoft.com/office/drawing/2014/main" id="{00000000-0008-0000-0300-00001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4"/>
          <a:stretch>
            <a:fillRect/>
          </a:stretch>
        </xdr:blipFill>
        <xdr:spPr>
          <a:xfrm>
            <a:off x="459449289" y="1097280"/>
            <a:ext cx="917986" cy="932330"/>
          </a:xfrm>
          <a:prstGeom prst="rect">
            <a:avLst/>
          </a:prstGeom>
        </xdr:spPr>
      </xdr:pic>
      <xdr:pic>
        <xdr:nvPicPr>
          <xdr:cNvPr id="3101" name="Pokemon_492_Droite">
            <a:extLst>
              <a:ext uri="{FF2B5EF4-FFF2-40B4-BE49-F238E27FC236}">
                <a16:creationId xmlns:a16="http://schemas.microsoft.com/office/drawing/2014/main" id="{00000000-0008-0000-0300-00001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5"/>
          <a:stretch>
            <a:fillRect/>
          </a:stretch>
        </xdr:blipFill>
        <xdr:spPr>
          <a:xfrm>
            <a:off x="460367261" y="1097280"/>
            <a:ext cx="917986" cy="932330"/>
          </a:xfrm>
          <a:prstGeom prst="rect">
            <a:avLst/>
          </a:prstGeom>
        </xdr:spPr>
      </xdr:pic>
      <xdr:pic>
        <xdr:nvPicPr>
          <xdr:cNvPr id="3102" name="Pokemon_493_Droite">
            <a:extLst>
              <a:ext uri="{FF2B5EF4-FFF2-40B4-BE49-F238E27FC236}">
                <a16:creationId xmlns:a16="http://schemas.microsoft.com/office/drawing/2014/main" id="{00000000-0008-0000-0300-00001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6"/>
          <a:stretch>
            <a:fillRect/>
          </a:stretch>
        </xdr:blipFill>
        <xdr:spPr>
          <a:xfrm>
            <a:off x="461285233" y="1097280"/>
            <a:ext cx="917986" cy="932330"/>
          </a:xfrm>
          <a:prstGeom prst="rect">
            <a:avLst/>
          </a:prstGeom>
        </xdr:spPr>
      </xdr:pic>
      <xdr:pic>
        <xdr:nvPicPr>
          <xdr:cNvPr id="3103" name="Pokemon_494_Droite">
            <a:extLst>
              <a:ext uri="{FF2B5EF4-FFF2-40B4-BE49-F238E27FC236}">
                <a16:creationId xmlns:a16="http://schemas.microsoft.com/office/drawing/2014/main" id="{00000000-0008-0000-0300-00001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7"/>
          <a:stretch>
            <a:fillRect/>
          </a:stretch>
        </xdr:blipFill>
        <xdr:spPr>
          <a:xfrm>
            <a:off x="462203205" y="1097280"/>
            <a:ext cx="917986" cy="932330"/>
          </a:xfrm>
          <a:prstGeom prst="rect">
            <a:avLst/>
          </a:prstGeom>
        </xdr:spPr>
      </xdr:pic>
      <xdr:pic>
        <xdr:nvPicPr>
          <xdr:cNvPr id="3104" name="Pokemon_495_Droite">
            <a:extLst>
              <a:ext uri="{FF2B5EF4-FFF2-40B4-BE49-F238E27FC236}">
                <a16:creationId xmlns:a16="http://schemas.microsoft.com/office/drawing/2014/main" id="{00000000-0008-0000-0300-00002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8"/>
          <a:stretch>
            <a:fillRect/>
          </a:stretch>
        </xdr:blipFill>
        <xdr:spPr>
          <a:xfrm>
            <a:off x="463121177" y="1097280"/>
            <a:ext cx="917986" cy="932330"/>
          </a:xfrm>
          <a:prstGeom prst="rect">
            <a:avLst/>
          </a:prstGeom>
        </xdr:spPr>
      </xdr:pic>
      <xdr:pic>
        <xdr:nvPicPr>
          <xdr:cNvPr id="3105" name="Pokemon_496_Droite">
            <a:extLst>
              <a:ext uri="{FF2B5EF4-FFF2-40B4-BE49-F238E27FC236}">
                <a16:creationId xmlns:a16="http://schemas.microsoft.com/office/drawing/2014/main" id="{00000000-0008-0000-0300-00002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9"/>
          <a:stretch>
            <a:fillRect/>
          </a:stretch>
        </xdr:blipFill>
        <xdr:spPr>
          <a:xfrm>
            <a:off x="464039148" y="1097280"/>
            <a:ext cx="917986" cy="932330"/>
          </a:xfrm>
          <a:prstGeom prst="rect">
            <a:avLst/>
          </a:prstGeom>
        </xdr:spPr>
      </xdr:pic>
      <xdr:pic>
        <xdr:nvPicPr>
          <xdr:cNvPr id="3106" name="Pokemon_497_Droite">
            <a:extLst>
              <a:ext uri="{FF2B5EF4-FFF2-40B4-BE49-F238E27FC236}">
                <a16:creationId xmlns:a16="http://schemas.microsoft.com/office/drawing/2014/main" id="{00000000-0008-0000-0300-00002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0"/>
          <a:stretch>
            <a:fillRect/>
          </a:stretch>
        </xdr:blipFill>
        <xdr:spPr>
          <a:xfrm>
            <a:off x="464957120" y="1097280"/>
            <a:ext cx="917986" cy="932330"/>
          </a:xfrm>
          <a:prstGeom prst="rect">
            <a:avLst/>
          </a:prstGeom>
        </xdr:spPr>
      </xdr:pic>
      <xdr:pic>
        <xdr:nvPicPr>
          <xdr:cNvPr id="3107" name="Pokemon_498_Droite">
            <a:extLst>
              <a:ext uri="{FF2B5EF4-FFF2-40B4-BE49-F238E27FC236}">
                <a16:creationId xmlns:a16="http://schemas.microsoft.com/office/drawing/2014/main" id="{00000000-0008-0000-0300-00002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1"/>
          <a:stretch>
            <a:fillRect/>
          </a:stretch>
        </xdr:blipFill>
        <xdr:spPr>
          <a:xfrm>
            <a:off x="465875092" y="1097280"/>
            <a:ext cx="917986" cy="932330"/>
          </a:xfrm>
          <a:prstGeom prst="rect">
            <a:avLst/>
          </a:prstGeom>
        </xdr:spPr>
      </xdr:pic>
      <xdr:pic>
        <xdr:nvPicPr>
          <xdr:cNvPr id="3108" name="Pokemon_499_Droite">
            <a:extLst>
              <a:ext uri="{FF2B5EF4-FFF2-40B4-BE49-F238E27FC236}">
                <a16:creationId xmlns:a16="http://schemas.microsoft.com/office/drawing/2014/main" id="{00000000-0008-0000-0300-00002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2"/>
          <a:stretch>
            <a:fillRect/>
          </a:stretch>
        </xdr:blipFill>
        <xdr:spPr>
          <a:xfrm>
            <a:off x="466793064" y="1097280"/>
            <a:ext cx="917986" cy="932330"/>
          </a:xfrm>
          <a:prstGeom prst="rect">
            <a:avLst/>
          </a:prstGeom>
        </xdr:spPr>
      </xdr:pic>
      <xdr:pic>
        <xdr:nvPicPr>
          <xdr:cNvPr id="3109" name="Pokemon_500_Droite">
            <a:extLst>
              <a:ext uri="{FF2B5EF4-FFF2-40B4-BE49-F238E27FC236}">
                <a16:creationId xmlns:a16="http://schemas.microsoft.com/office/drawing/2014/main" id="{00000000-0008-0000-03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3"/>
          <a:stretch>
            <a:fillRect/>
          </a:stretch>
        </xdr:blipFill>
        <xdr:spPr>
          <a:xfrm>
            <a:off x="467711036" y="1097280"/>
            <a:ext cx="917986" cy="932330"/>
          </a:xfrm>
          <a:prstGeom prst="rect">
            <a:avLst/>
          </a:prstGeom>
        </xdr:spPr>
      </xdr:pic>
      <xdr:pic>
        <xdr:nvPicPr>
          <xdr:cNvPr id="3110" name="Pokemon_501_Droite">
            <a:extLst>
              <a:ext uri="{FF2B5EF4-FFF2-40B4-BE49-F238E27FC236}">
                <a16:creationId xmlns:a16="http://schemas.microsoft.com/office/drawing/2014/main" id="{00000000-0008-0000-03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4"/>
          <a:stretch>
            <a:fillRect/>
          </a:stretch>
        </xdr:blipFill>
        <xdr:spPr>
          <a:xfrm>
            <a:off x="468629008" y="1097280"/>
            <a:ext cx="917986" cy="932330"/>
          </a:xfrm>
          <a:prstGeom prst="rect">
            <a:avLst/>
          </a:prstGeom>
        </xdr:spPr>
      </xdr:pic>
      <xdr:pic>
        <xdr:nvPicPr>
          <xdr:cNvPr id="3111" name="Pokemon_502_Droite">
            <a:extLst>
              <a:ext uri="{FF2B5EF4-FFF2-40B4-BE49-F238E27FC236}">
                <a16:creationId xmlns:a16="http://schemas.microsoft.com/office/drawing/2014/main" id="{00000000-0008-0000-0300-00002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5"/>
          <a:stretch>
            <a:fillRect/>
          </a:stretch>
        </xdr:blipFill>
        <xdr:spPr>
          <a:xfrm>
            <a:off x="469546980" y="1097280"/>
            <a:ext cx="917986" cy="932330"/>
          </a:xfrm>
          <a:prstGeom prst="rect">
            <a:avLst/>
          </a:prstGeom>
        </xdr:spPr>
      </xdr:pic>
      <xdr:pic>
        <xdr:nvPicPr>
          <xdr:cNvPr id="3112" name="Pokemon_503_Droite">
            <a:extLst>
              <a:ext uri="{FF2B5EF4-FFF2-40B4-BE49-F238E27FC236}">
                <a16:creationId xmlns:a16="http://schemas.microsoft.com/office/drawing/2014/main" id="{00000000-0008-0000-0300-00002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6"/>
          <a:stretch>
            <a:fillRect/>
          </a:stretch>
        </xdr:blipFill>
        <xdr:spPr>
          <a:xfrm>
            <a:off x="470464952" y="1097280"/>
            <a:ext cx="917986" cy="932330"/>
          </a:xfrm>
          <a:prstGeom prst="rect">
            <a:avLst/>
          </a:prstGeom>
        </xdr:spPr>
      </xdr:pic>
      <xdr:pic>
        <xdr:nvPicPr>
          <xdr:cNvPr id="3113" name="Pokemon_504_Droite">
            <a:extLst>
              <a:ext uri="{FF2B5EF4-FFF2-40B4-BE49-F238E27FC236}">
                <a16:creationId xmlns:a16="http://schemas.microsoft.com/office/drawing/2014/main" id="{00000000-0008-0000-0300-00002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7"/>
          <a:stretch>
            <a:fillRect/>
          </a:stretch>
        </xdr:blipFill>
        <xdr:spPr>
          <a:xfrm>
            <a:off x="471382923" y="1097280"/>
            <a:ext cx="917986" cy="932330"/>
          </a:xfrm>
          <a:prstGeom prst="rect">
            <a:avLst/>
          </a:prstGeom>
        </xdr:spPr>
      </xdr:pic>
      <xdr:pic>
        <xdr:nvPicPr>
          <xdr:cNvPr id="3114" name="Pokemon_505_Droite">
            <a:extLst>
              <a:ext uri="{FF2B5EF4-FFF2-40B4-BE49-F238E27FC236}">
                <a16:creationId xmlns:a16="http://schemas.microsoft.com/office/drawing/2014/main" id="{00000000-0008-0000-0300-00002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8"/>
          <a:stretch>
            <a:fillRect/>
          </a:stretch>
        </xdr:blipFill>
        <xdr:spPr>
          <a:xfrm>
            <a:off x="472300895" y="1097280"/>
            <a:ext cx="917986" cy="932330"/>
          </a:xfrm>
          <a:prstGeom prst="rect">
            <a:avLst/>
          </a:prstGeom>
        </xdr:spPr>
      </xdr:pic>
      <xdr:pic>
        <xdr:nvPicPr>
          <xdr:cNvPr id="3115" name="Pokemon_506_Droite">
            <a:extLst>
              <a:ext uri="{FF2B5EF4-FFF2-40B4-BE49-F238E27FC236}">
                <a16:creationId xmlns:a16="http://schemas.microsoft.com/office/drawing/2014/main" id="{00000000-0008-0000-0300-00002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9"/>
          <a:stretch>
            <a:fillRect/>
          </a:stretch>
        </xdr:blipFill>
        <xdr:spPr>
          <a:xfrm>
            <a:off x="473218867" y="1097280"/>
            <a:ext cx="917986" cy="932330"/>
          </a:xfrm>
          <a:prstGeom prst="rect">
            <a:avLst/>
          </a:prstGeom>
        </xdr:spPr>
      </xdr:pic>
      <xdr:pic>
        <xdr:nvPicPr>
          <xdr:cNvPr id="3116" name="Pokemon_507_Droite">
            <a:extLst>
              <a:ext uri="{FF2B5EF4-FFF2-40B4-BE49-F238E27FC236}">
                <a16:creationId xmlns:a16="http://schemas.microsoft.com/office/drawing/2014/main" id="{00000000-0008-0000-0300-00002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0"/>
          <a:stretch>
            <a:fillRect/>
          </a:stretch>
        </xdr:blipFill>
        <xdr:spPr>
          <a:xfrm>
            <a:off x="474136839" y="1097280"/>
            <a:ext cx="917986" cy="932330"/>
          </a:xfrm>
          <a:prstGeom prst="rect">
            <a:avLst/>
          </a:prstGeom>
        </xdr:spPr>
      </xdr:pic>
      <xdr:pic>
        <xdr:nvPicPr>
          <xdr:cNvPr id="3117" name="Pokemon_508_Droite">
            <a:extLst>
              <a:ext uri="{FF2B5EF4-FFF2-40B4-BE49-F238E27FC236}">
                <a16:creationId xmlns:a16="http://schemas.microsoft.com/office/drawing/2014/main" id="{00000000-0008-0000-0300-00002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1"/>
          <a:stretch>
            <a:fillRect/>
          </a:stretch>
        </xdr:blipFill>
        <xdr:spPr>
          <a:xfrm>
            <a:off x="475054811" y="1097280"/>
            <a:ext cx="917986" cy="932330"/>
          </a:xfrm>
          <a:prstGeom prst="rect">
            <a:avLst/>
          </a:prstGeom>
        </xdr:spPr>
      </xdr:pic>
      <xdr:pic>
        <xdr:nvPicPr>
          <xdr:cNvPr id="3118" name="Pokemon_509_Droite">
            <a:extLst>
              <a:ext uri="{FF2B5EF4-FFF2-40B4-BE49-F238E27FC236}">
                <a16:creationId xmlns:a16="http://schemas.microsoft.com/office/drawing/2014/main" id="{00000000-0008-0000-0300-00002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2"/>
          <a:stretch>
            <a:fillRect/>
          </a:stretch>
        </xdr:blipFill>
        <xdr:spPr>
          <a:xfrm>
            <a:off x="475972783" y="1097280"/>
            <a:ext cx="917986" cy="932330"/>
          </a:xfrm>
          <a:prstGeom prst="rect">
            <a:avLst/>
          </a:prstGeom>
        </xdr:spPr>
      </xdr:pic>
      <xdr:pic>
        <xdr:nvPicPr>
          <xdr:cNvPr id="3119" name="Pokemon_510_Droite">
            <a:extLst>
              <a:ext uri="{FF2B5EF4-FFF2-40B4-BE49-F238E27FC236}">
                <a16:creationId xmlns:a16="http://schemas.microsoft.com/office/drawing/2014/main" id="{00000000-0008-0000-0300-00002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3"/>
          <a:stretch>
            <a:fillRect/>
          </a:stretch>
        </xdr:blipFill>
        <xdr:spPr>
          <a:xfrm>
            <a:off x="476890755" y="1097280"/>
            <a:ext cx="917986" cy="932330"/>
          </a:xfrm>
          <a:prstGeom prst="rect">
            <a:avLst/>
          </a:prstGeom>
        </xdr:spPr>
      </xdr:pic>
      <xdr:pic>
        <xdr:nvPicPr>
          <xdr:cNvPr id="3120" name="Pokemon_511_Droite">
            <a:extLst>
              <a:ext uri="{FF2B5EF4-FFF2-40B4-BE49-F238E27FC236}">
                <a16:creationId xmlns:a16="http://schemas.microsoft.com/office/drawing/2014/main" id="{00000000-0008-0000-0300-00003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4"/>
          <a:stretch>
            <a:fillRect/>
          </a:stretch>
        </xdr:blipFill>
        <xdr:spPr>
          <a:xfrm>
            <a:off x="477808727" y="1097280"/>
            <a:ext cx="917986" cy="932330"/>
          </a:xfrm>
          <a:prstGeom prst="rect">
            <a:avLst/>
          </a:prstGeom>
        </xdr:spPr>
      </xdr:pic>
      <xdr:pic>
        <xdr:nvPicPr>
          <xdr:cNvPr id="3121" name="Pokemon_512_Droite">
            <a:extLst>
              <a:ext uri="{FF2B5EF4-FFF2-40B4-BE49-F238E27FC236}">
                <a16:creationId xmlns:a16="http://schemas.microsoft.com/office/drawing/2014/main" id="{00000000-0008-0000-0300-00003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5"/>
          <a:stretch>
            <a:fillRect/>
          </a:stretch>
        </xdr:blipFill>
        <xdr:spPr>
          <a:xfrm>
            <a:off x="478726698" y="1097280"/>
            <a:ext cx="917986" cy="932330"/>
          </a:xfrm>
          <a:prstGeom prst="rect">
            <a:avLst/>
          </a:prstGeom>
        </xdr:spPr>
      </xdr:pic>
      <xdr:pic>
        <xdr:nvPicPr>
          <xdr:cNvPr id="3122" name="Pokemon_513_Droite">
            <a:extLst>
              <a:ext uri="{FF2B5EF4-FFF2-40B4-BE49-F238E27FC236}">
                <a16:creationId xmlns:a16="http://schemas.microsoft.com/office/drawing/2014/main" id="{00000000-0008-0000-0300-00003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6"/>
          <a:stretch>
            <a:fillRect/>
          </a:stretch>
        </xdr:blipFill>
        <xdr:spPr>
          <a:xfrm>
            <a:off x="479644670" y="1097280"/>
            <a:ext cx="917986" cy="932330"/>
          </a:xfrm>
          <a:prstGeom prst="rect">
            <a:avLst/>
          </a:prstGeom>
        </xdr:spPr>
      </xdr:pic>
      <xdr:pic>
        <xdr:nvPicPr>
          <xdr:cNvPr id="3123" name="Pokemon_514_Droite">
            <a:extLst>
              <a:ext uri="{FF2B5EF4-FFF2-40B4-BE49-F238E27FC236}">
                <a16:creationId xmlns:a16="http://schemas.microsoft.com/office/drawing/2014/main" id="{00000000-0008-0000-0300-00003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7"/>
          <a:stretch>
            <a:fillRect/>
          </a:stretch>
        </xdr:blipFill>
        <xdr:spPr>
          <a:xfrm>
            <a:off x="480562642" y="1097280"/>
            <a:ext cx="917986" cy="932330"/>
          </a:xfrm>
          <a:prstGeom prst="rect">
            <a:avLst/>
          </a:prstGeom>
        </xdr:spPr>
      </xdr:pic>
      <xdr:pic>
        <xdr:nvPicPr>
          <xdr:cNvPr id="3124" name="Pokemon_515_Droite">
            <a:extLst>
              <a:ext uri="{FF2B5EF4-FFF2-40B4-BE49-F238E27FC236}">
                <a16:creationId xmlns:a16="http://schemas.microsoft.com/office/drawing/2014/main" id="{00000000-0008-0000-0300-00003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8"/>
          <a:stretch>
            <a:fillRect/>
          </a:stretch>
        </xdr:blipFill>
        <xdr:spPr>
          <a:xfrm>
            <a:off x="481480614" y="1097280"/>
            <a:ext cx="917986" cy="932330"/>
          </a:xfrm>
          <a:prstGeom prst="rect">
            <a:avLst/>
          </a:prstGeom>
        </xdr:spPr>
      </xdr:pic>
      <xdr:pic>
        <xdr:nvPicPr>
          <xdr:cNvPr id="3125" name="Pokemon_516_Droite">
            <a:extLst>
              <a:ext uri="{FF2B5EF4-FFF2-40B4-BE49-F238E27FC236}">
                <a16:creationId xmlns:a16="http://schemas.microsoft.com/office/drawing/2014/main" id="{00000000-0008-0000-0300-00003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9"/>
          <a:stretch>
            <a:fillRect/>
          </a:stretch>
        </xdr:blipFill>
        <xdr:spPr>
          <a:xfrm>
            <a:off x="482398586" y="1097280"/>
            <a:ext cx="917986" cy="932330"/>
          </a:xfrm>
          <a:prstGeom prst="rect">
            <a:avLst/>
          </a:prstGeom>
        </xdr:spPr>
      </xdr:pic>
      <xdr:pic>
        <xdr:nvPicPr>
          <xdr:cNvPr id="3126" name="Pokemon_517_Droite">
            <a:extLst>
              <a:ext uri="{FF2B5EF4-FFF2-40B4-BE49-F238E27FC236}">
                <a16:creationId xmlns:a16="http://schemas.microsoft.com/office/drawing/2014/main" id="{00000000-0008-0000-0300-00003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0"/>
          <a:stretch>
            <a:fillRect/>
          </a:stretch>
        </xdr:blipFill>
        <xdr:spPr>
          <a:xfrm>
            <a:off x="483316558" y="1097280"/>
            <a:ext cx="917986" cy="932330"/>
          </a:xfrm>
          <a:prstGeom prst="rect">
            <a:avLst/>
          </a:prstGeom>
        </xdr:spPr>
      </xdr:pic>
      <xdr:pic>
        <xdr:nvPicPr>
          <xdr:cNvPr id="3127" name="Pokemon_518_Droite">
            <a:extLst>
              <a:ext uri="{FF2B5EF4-FFF2-40B4-BE49-F238E27FC236}">
                <a16:creationId xmlns:a16="http://schemas.microsoft.com/office/drawing/2014/main" id="{00000000-0008-0000-0300-00003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1"/>
          <a:stretch>
            <a:fillRect/>
          </a:stretch>
        </xdr:blipFill>
        <xdr:spPr>
          <a:xfrm>
            <a:off x="484234530" y="1097280"/>
            <a:ext cx="917986" cy="932330"/>
          </a:xfrm>
          <a:prstGeom prst="rect">
            <a:avLst/>
          </a:prstGeom>
        </xdr:spPr>
      </xdr:pic>
      <xdr:pic>
        <xdr:nvPicPr>
          <xdr:cNvPr id="3128" name="Pokemon_519_Droite">
            <a:extLst>
              <a:ext uri="{FF2B5EF4-FFF2-40B4-BE49-F238E27FC236}">
                <a16:creationId xmlns:a16="http://schemas.microsoft.com/office/drawing/2014/main" id="{00000000-0008-0000-0300-00003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2"/>
          <a:stretch>
            <a:fillRect/>
          </a:stretch>
        </xdr:blipFill>
        <xdr:spPr>
          <a:xfrm>
            <a:off x="485152502" y="1097280"/>
            <a:ext cx="917986" cy="932330"/>
          </a:xfrm>
          <a:prstGeom prst="rect">
            <a:avLst/>
          </a:prstGeom>
        </xdr:spPr>
      </xdr:pic>
      <xdr:pic>
        <xdr:nvPicPr>
          <xdr:cNvPr id="3129" name="Pokemon_520_Droite">
            <a:extLst>
              <a:ext uri="{FF2B5EF4-FFF2-40B4-BE49-F238E27FC236}">
                <a16:creationId xmlns:a16="http://schemas.microsoft.com/office/drawing/2014/main" id="{00000000-0008-0000-0300-00003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3"/>
          <a:stretch>
            <a:fillRect/>
          </a:stretch>
        </xdr:blipFill>
        <xdr:spPr>
          <a:xfrm>
            <a:off x="486070473" y="1097280"/>
            <a:ext cx="917986" cy="932330"/>
          </a:xfrm>
          <a:prstGeom prst="rect">
            <a:avLst/>
          </a:prstGeom>
        </xdr:spPr>
      </xdr:pic>
      <xdr:pic>
        <xdr:nvPicPr>
          <xdr:cNvPr id="3130" name="Pokemon_521_Droite">
            <a:extLst>
              <a:ext uri="{FF2B5EF4-FFF2-40B4-BE49-F238E27FC236}">
                <a16:creationId xmlns:a16="http://schemas.microsoft.com/office/drawing/2014/main" id="{00000000-0008-0000-0300-00003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4"/>
          <a:stretch>
            <a:fillRect/>
          </a:stretch>
        </xdr:blipFill>
        <xdr:spPr>
          <a:xfrm>
            <a:off x="486988445" y="1097280"/>
            <a:ext cx="917986" cy="932330"/>
          </a:xfrm>
          <a:prstGeom prst="rect">
            <a:avLst/>
          </a:prstGeom>
        </xdr:spPr>
      </xdr:pic>
      <xdr:pic>
        <xdr:nvPicPr>
          <xdr:cNvPr id="3131" name="Pokemon_522_Droite">
            <a:extLst>
              <a:ext uri="{FF2B5EF4-FFF2-40B4-BE49-F238E27FC236}">
                <a16:creationId xmlns:a16="http://schemas.microsoft.com/office/drawing/2014/main" id="{00000000-0008-0000-0300-00003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5"/>
          <a:stretch>
            <a:fillRect/>
          </a:stretch>
        </xdr:blipFill>
        <xdr:spPr>
          <a:xfrm>
            <a:off x="487906417" y="1097280"/>
            <a:ext cx="917986" cy="932330"/>
          </a:xfrm>
          <a:prstGeom prst="rect">
            <a:avLst/>
          </a:prstGeom>
        </xdr:spPr>
      </xdr:pic>
      <xdr:pic>
        <xdr:nvPicPr>
          <xdr:cNvPr id="3132" name="Pokemon_523_Droite">
            <a:extLst>
              <a:ext uri="{FF2B5EF4-FFF2-40B4-BE49-F238E27FC236}">
                <a16:creationId xmlns:a16="http://schemas.microsoft.com/office/drawing/2014/main" id="{00000000-0008-0000-0300-00003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6"/>
          <a:stretch>
            <a:fillRect/>
          </a:stretch>
        </xdr:blipFill>
        <xdr:spPr>
          <a:xfrm>
            <a:off x="488824389" y="1097280"/>
            <a:ext cx="917986" cy="932330"/>
          </a:xfrm>
          <a:prstGeom prst="rect">
            <a:avLst/>
          </a:prstGeom>
        </xdr:spPr>
      </xdr:pic>
      <xdr:pic>
        <xdr:nvPicPr>
          <xdr:cNvPr id="3133" name="Pokemon_524_Droite">
            <a:extLst>
              <a:ext uri="{FF2B5EF4-FFF2-40B4-BE49-F238E27FC236}">
                <a16:creationId xmlns:a16="http://schemas.microsoft.com/office/drawing/2014/main" id="{00000000-0008-0000-0300-00003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7"/>
          <a:stretch>
            <a:fillRect/>
          </a:stretch>
        </xdr:blipFill>
        <xdr:spPr>
          <a:xfrm>
            <a:off x="489742361" y="1097280"/>
            <a:ext cx="917986" cy="932330"/>
          </a:xfrm>
          <a:prstGeom prst="rect">
            <a:avLst/>
          </a:prstGeom>
        </xdr:spPr>
      </xdr:pic>
      <xdr:pic>
        <xdr:nvPicPr>
          <xdr:cNvPr id="3134" name="Pokemon_525_Droite">
            <a:extLst>
              <a:ext uri="{FF2B5EF4-FFF2-40B4-BE49-F238E27FC236}">
                <a16:creationId xmlns:a16="http://schemas.microsoft.com/office/drawing/2014/main" id="{00000000-0008-0000-0300-00003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8"/>
          <a:stretch>
            <a:fillRect/>
          </a:stretch>
        </xdr:blipFill>
        <xdr:spPr>
          <a:xfrm>
            <a:off x="490660333" y="1097280"/>
            <a:ext cx="917986" cy="932330"/>
          </a:xfrm>
          <a:prstGeom prst="rect">
            <a:avLst/>
          </a:prstGeom>
        </xdr:spPr>
      </xdr:pic>
      <xdr:pic>
        <xdr:nvPicPr>
          <xdr:cNvPr id="3135" name="Pokemon_526_Droite">
            <a:extLst>
              <a:ext uri="{FF2B5EF4-FFF2-40B4-BE49-F238E27FC236}">
                <a16:creationId xmlns:a16="http://schemas.microsoft.com/office/drawing/2014/main" id="{00000000-0008-0000-0300-00003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9"/>
          <a:stretch>
            <a:fillRect/>
          </a:stretch>
        </xdr:blipFill>
        <xdr:spPr>
          <a:xfrm>
            <a:off x="491578305" y="1097280"/>
            <a:ext cx="917986" cy="932330"/>
          </a:xfrm>
          <a:prstGeom prst="rect">
            <a:avLst/>
          </a:prstGeom>
        </xdr:spPr>
      </xdr:pic>
      <xdr:pic>
        <xdr:nvPicPr>
          <xdr:cNvPr id="3136" name="Pokemon_527_Droite">
            <a:extLst>
              <a:ext uri="{FF2B5EF4-FFF2-40B4-BE49-F238E27FC236}">
                <a16:creationId xmlns:a16="http://schemas.microsoft.com/office/drawing/2014/main" id="{00000000-0008-0000-0300-00004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0"/>
          <a:stretch>
            <a:fillRect/>
          </a:stretch>
        </xdr:blipFill>
        <xdr:spPr>
          <a:xfrm>
            <a:off x="492496277" y="1097280"/>
            <a:ext cx="917986" cy="932330"/>
          </a:xfrm>
          <a:prstGeom prst="rect">
            <a:avLst/>
          </a:prstGeom>
        </xdr:spPr>
      </xdr:pic>
      <xdr:pic>
        <xdr:nvPicPr>
          <xdr:cNvPr id="3137" name="Pokemon_528_Droite">
            <a:extLst>
              <a:ext uri="{FF2B5EF4-FFF2-40B4-BE49-F238E27FC236}">
                <a16:creationId xmlns:a16="http://schemas.microsoft.com/office/drawing/2014/main" id="{00000000-0008-0000-0300-00004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1"/>
          <a:stretch>
            <a:fillRect/>
          </a:stretch>
        </xdr:blipFill>
        <xdr:spPr>
          <a:xfrm>
            <a:off x="493414248" y="1097280"/>
            <a:ext cx="917986" cy="932330"/>
          </a:xfrm>
          <a:prstGeom prst="rect">
            <a:avLst/>
          </a:prstGeom>
        </xdr:spPr>
      </xdr:pic>
      <xdr:pic>
        <xdr:nvPicPr>
          <xdr:cNvPr id="3138" name="Pokemon_529_Droite">
            <a:extLst>
              <a:ext uri="{FF2B5EF4-FFF2-40B4-BE49-F238E27FC236}">
                <a16:creationId xmlns:a16="http://schemas.microsoft.com/office/drawing/2014/main" id="{00000000-0008-0000-0300-00004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2"/>
          <a:stretch>
            <a:fillRect/>
          </a:stretch>
        </xdr:blipFill>
        <xdr:spPr>
          <a:xfrm>
            <a:off x="494332220" y="1097280"/>
            <a:ext cx="917986" cy="932330"/>
          </a:xfrm>
          <a:prstGeom prst="rect">
            <a:avLst/>
          </a:prstGeom>
        </xdr:spPr>
      </xdr:pic>
      <xdr:pic>
        <xdr:nvPicPr>
          <xdr:cNvPr id="3139" name="Pokemon_530_Droite">
            <a:extLst>
              <a:ext uri="{FF2B5EF4-FFF2-40B4-BE49-F238E27FC236}">
                <a16:creationId xmlns:a16="http://schemas.microsoft.com/office/drawing/2014/main" id="{00000000-0008-0000-0300-00004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3"/>
          <a:stretch>
            <a:fillRect/>
          </a:stretch>
        </xdr:blipFill>
        <xdr:spPr>
          <a:xfrm>
            <a:off x="495250192" y="1097280"/>
            <a:ext cx="917986" cy="932330"/>
          </a:xfrm>
          <a:prstGeom prst="rect">
            <a:avLst/>
          </a:prstGeom>
        </xdr:spPr>
      </xdr:pic>
      <xdr:pic>
        <xdr:nvPicPr>
          <xdr:cNvPr id="3140" name="Pokemon_531_Droite">
            <a:extLst>
              <a:ext uri="{FF2B5EF4-FFF2-40B4-BE49-F238E27FC236}">
                <a16:creationId xmlns:a16="http://schemas.microsoft.com/office/drawing/2014/main" id="{00000000-0008-0000-0300-00004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4"/>
          <a:stretch>
            <a:fillRect/>
          </a:stretch>
        </xdr:blipFill>
        <xdr:spPr>
          <a:xfrm>
            <a:off x="496168164" y="1097280"/>
            <a:ext cx="917986" cy="932330"/>
          </a:xfrm>
          <a:prstGeom prst="rect">
            <a:avLst/>
          </a:prstGeom>
        </xdr:spPr>
      </xdr:pic>
      <xdr:pic>
        <xdr:nvPicPr>
          <xdr:cNvPr id="3141" name="Pokemon_532_Droite">
            <a:extLst>
              <a:ext uri="{FF2B5EF4-FFF2-40B4-BE49-F238E27FC236}">
                <a16:creationId xmlns:a16="http://schemas.microsoft.com/office/drawing/2014/main" id="{00000000-0008-0000-0300-00004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5"/>
          <a:stretch>
            <a:fillRect/>
          </a:stretch>
        </xdr:blipFill>
        <xdr:spPr>
          <a:xfrm>
            <a:off x="497086136" y="1097280"/>
            <a:ext cx="917986" cy="932330"/>
          </a:xfrm>
          <a:prstGeom prst="rect">
            <a:avLst/>
          </a:prstGeom>
        </xdr:spPr>
      </xdr:pic>
      <xdr:pic>
        <xdr:nvPicPr>
          <xdr:cNvPr id="3142" name="Pokemon_533_Droite">
            <a:extLst>
              <a:ext uri="{FF2B5EF4-FFF2-40B4-BE49-F238E27FC236}">
                <a16:creationId xmlns:a16="http://schemas.microsoft.com/office/drawing/2014/main" id="{00000000-0008-0000-0300-00004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6"/>
          <a:stretch>
            <a:fillRect/>
          </a:stretch>
        </xdr:blipFill>
        <xdr:spPr>
          <a:xfrm>
            <a:off x="498004108" y="1097280"/>
            <a:ext cx="917986" cy="932330"/>
          </a:xfrm>
          <a:prstGeom prst="rect">
            <a:avLst/>
          </a:prstGeom>
        </xdr:spPr>
      </xdr:pic>
      <xdr:pic>
        <xdr:nvPicPr>
          <xdr:cNvPr id="3143" name="Pokemon_534_Droite">
            <a:extLst>
              <a:ext uri="{FF2B5EF4-FFF2-40B4-BE49-F238E27FC236}">
                <a16:creationId xmlns:a16="http://schemas.microsoft.com/office/drawing/2014/main" id="{00000000-0008-0000-0300-00004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7"/>
          <a:stretch>
            <a:fillRect/>
          </a:stretch>
        </xdr:blipFill>
        <xdr:spPr>
          <a:xfrm>
            <a:off x="498922080" y="1097280"/>
            <a:ext cx="917986" cy="932330"/>
          </a:xfrm>
          <a:prstGeom prst="rect">
            <a:avLst/>
          </a:prstGeom>
        </xdr:spPr>
      </xdr:pic>
      <xdr:pic>
        <xdr:nvPicPr>
          <xdr:cNvPr id="3144" name="Pokemon_535_Droite">
            <a:extLst>
              <a:ext uri="{FF2B5EF4-FFF2-40B4-BE49-F238E27FC236}">
                <a16:creationId xmlns:a16="http://schemas.microsoft.com/office/drawing/2014/main" id="{00000000-0008-0000-0300-00004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8"/>
          <a:stretch>
            <a:fillRect/>
          </a:stretch>
        </xdr:blipFill>
        <xdr:spPr>
          <a:xfrm>
            <a:off x="499840052" y="1097280"/>
            <a:ext cx="917986" cy="932330"/>
          </a:xfrm>
          <a:prstGeom prst="rect">
            <a:avLst/>
          </a:prstGeom>
        </xdr:spPr>
      </xdr:pic>
      <xdr:pic>
        <xdr:nvPicPr>
          <xdr:cNvPr id="3145" name="Pokemon_536_Droite">
            <a:extLst>
              <a:ext uri="{FF2B5EF4-FFF2-40B4-BE49-F238E27FC236}">
                <a16:creationId xmlns:a16="http://schemas.microsoft.com/office/drawing/2014/main" id="{00000000-0008-0000-0300-00004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9"/>
          <a:stretch>
            <a:fillRect/>
          </a:stretch>
        </xdr:blipFill>
        <xdr:spPr>
          <a:xfrm>
            <a:off x="500758023" y="1097280"/>
            <a:ext cx="917986" cy="932330"/>
          </a:xfrm>
          <a:prstGeom prst="rect">
            <a:avLst/>
          </a:prstGeom>
        </xdr:spPr>
      </xdr:pic>
      <xdr:pic>
        <xdr:nvPicPr>
          <xdr:cNvPr id="3146" name="Pokemon_537_Droite">
            <a:extLst>
              <a:ext uri="{FF2B5EF4-FFF2-40B4-BE49-F238E27FC236}">
                <a16:creationId xmlns:a16="http://schemas.microsoft.com/office/drawing/2014/main" id="{00000000-0008-0000-0300-00004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0"/>
          <a:stretch>
            <a:fillRect/>
          </a:stretch>
        </xdr:blipFill>
        <xdr:spPr>
          <a:xfrm>
            <a:off x="501675995" y="1097280"/>
            <a:ext cx="917986" cy="932330"/>
          </a:xfrm>
          <a:prstGeom prst="rect">
            <a:avLst/>
          </a:prstGeom>
        </xdr:spPr>
      </xdr:pic>
      <xdr:pic>
        <xdr:nvPicPr>
          <xdr:cNvPr id="3147" name="Pokemon_538_Droite">
            <a:extLst>
              <a:ext uri="{FF2B5EF4-FFF2-40B4-BE49-F238E27FC236}">
                <a16:creationId xmlns:a16="http://schemas.microsoft.com/office/drawing/2014/main" id="{00000000-0008-0000-0300-00004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1"/>
          <a:stretch>
            <a:fillRect/>
          </a:stretch>
        </xdr:blipFill>
        <xdr:spPr>
          <a:xfrm>
            <a:off x="502593967" y="1097280"/>
            <a:ext cx="917986" cy="932330"/>
          </a:xfrm>
          <a:prstGeom prst="rect">
            <a:avLst/>
          </a:prstGeom>
        </xdr:spPr>
      </xdr:pic>
      <xdr:pic>
        <xdr:nvPicPr>
          <xdr:cNvPr id="3148" name="Pokemon_539_Droite">
            <a:extLst>
              <a:ext uri="{FF2B5EF4-FFF2-40B4-BE49-F238E27FC236}">
                <a16:creationId xmlns:a16="http://schemas.microsoft.com/office/drawing/2014/main" id="{00000000-0008-0000-0300-00004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2"/>
          <a:stretch>
            <a:fillRect/>
          </a:stretch>
        </xdr:blipFill>
        <xdr:spPr>
          <a:xfrm>
            <a:off x="503511939" y="1097280"/>
            <a:ext cx="917986" cy="932330"/>
          </a:xfrm>
          <a:prstGeom prst="rect">
            <a:avLst/>
          </a:prstGeom>
        </xdr:spPr>
      </xdr:pic>
      <xdr:pic>
        <xdr:nvPicPr>
          <xdr:cNvPr id="3149" name="Pokemon_540_Droite">
            <a:extLst>
              <a:ext uri="{FF2B5EF4-FFF2-40B4-BE49-F238E27FC236}">
                <a16:creationId xmlns:a16="http://schemas.microsoft.com/office/drawing/2014/main" id="{00000000-0008-0000-0300-00004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3"/>
          <a:stretch>
            <a:fillRect/>
          </a:stretch>
        </xdr:blipFill>
        <xdr:spPr>
          <a:xfrm>
            <a:off x="504429911" y="1097280"/>
            <a:ext cx="917986" cy="932330"/>
          </a:xfrm>
          <a:prstGeom prst="rect">
            <a:avLst/>
          </a:prstGeom>
        </xdr:spPr>
      </xdr:pic>
      <xdr:pic>
        <xdr:nvPicPr>
          <xdr:cNvPr id="3150" name="Pokemon_541_Droite">
            <a:extLst>
              <a:ext uri="{FF2B5EF4-FFF2-40B4-BE49-F238E27FC236}">
                <a16:creationId xmlns:a16="http://schemas.microsoft.com/office/drawing/2014/main" id="{00000000-0008-0000-0300-00004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4"/>
          <a:stretch>
            <a:fillRect/>
          </a:stretch>
        </xdr:blipFill>
        <xdr:spPr>
          <a:xfrm>
            <a:off x="505347883" y="1097280"/>
            <a:ext cx="917986" cy="932330"/>
          </a:xfrm>
          <a:prstGeom prst="rect">
            <a:avLst/>
          </a:prstGeom>
        </xdr:spPr>
      </xdr:pic>
      <xdr:pic>
        <xdr:nvPicPr>
          <xdr:cNvPr id="3151" name="Pokemon_542_Droite">
            <a:extLst>
              <a:ext uri="{FF2B5EF4-FFF2-40B4-BE49-F238E27FC236}">
                <a16:creationId xmlns:a16="http://schemas.microsoft.com/office/drawing/2014/main" id="{00000000-0008-0000-0300-00004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5"/>
          <a:stretch>
            <a:fillRect/>
          </a:stretch>
        </xdr:blipFill>
        <xdr:spPr>
          <a:xfrm>
            <a:off x="506265855" y="1097280"/>
            <a:ext cx="917986" cy="932330"/>
          </a:xfrm>
          <a:prstGeom prst="rect">
            <a:avLst/>
          </a:prstGeom>
        </xdr:spPr>
      </xdr:pic>
      <xdr:pic>
        <xdr:nvPicPr>
          <xdr:cNvPr id="3152" name="Pokemon_543_Droite">
            <a:extLst>
              <a:ext uri="{FF2B5EF4-FFF2-40B4-BE49-F238E27FC236}">
                <a16:creationId xmlns:a16="http://schemas.microsoft.com/office/drawing/2014/main" id="{00000000-0008-0000-0300-00005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6"/>
          <a:stretch>
            <a:fillRect/>
          </a:stretch>
        </xdr:blipFill>
        <xdr:spPr>
          <a:xfrm>
            <a:off x="507183827" y="1097280"/>
            <a:ext cx="917986" cy="932330"/>
          </a:xfrm>
          <a:prstGeom prst="rect">
            <a:avLst/>
          </a:prstGeom>
        </xdr:spPr>
      </xdr:pic>
      <xdr:pic>
        <xdr:nvPicPr>
          <xdr:cNvPr id="3153" name="Pokemon_544_Droite">
            <a:extLst>
              <a:ext uri="{FF2B5EF4-FFF2-40B4-BE49-F238E27FC236}">
                <a16:creationId xmlns:a16="http://schemas.microsoft.com/office/drawing/2014/main" id="{00000000-0008-0000-0300-00005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7"/>
          <a:stretch>
            <a:fillRect/>
          </a:stretch>
        </xdr:blipFill>
        <xdr:spPr>
          <a:xfrm>
            <a:off x="508101798" y="1097280"/>
            <a:ext cx="917986" cy="932330"/>
          </a:xfrm>
          <a:prstGeom prst="rect">
            <a:avLst/>
          </a:prstGeom>
        </xdr:spPr>
      </xdr:pic>
      <xdr:pic>
        <xdr:nvPicPr>
          <xdr:cNvPr id="3154" name="Pokemon_545_Droite">
            <a:extLst>
              <a:ext uri="{FF2B5EF4-FFF2-40B4-BE49-F238E27FC236}">
                <a16:creationId xmlns:a16="http://schemas.microsoft.com/office/drawing/2014/main" id="{00000000-0008-0000-0300-00005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8"/>
          <a:stretch>
            <a:fillRect/>
          </a:stretch>
        </xdr:blipFill>
        <xdr:spPr>
          <a:xfrm>
            <a:off x="509019770" y="1097280"/>
            <a:ext cx="917986" cy="932330"/>
          </a:xfrm>
          <a:prstGeom prst="rect">
            <a:avLst/>
          </a:prstGeom>
        </xdr:spPr>
      </xdr:pic>
      <xdr:pic>
        <xdr:nvPicPr>
          <xdr:cNvPr id="3155" name="Pokemon_546_Droite">
            <a:extLst>
              <a:ext uri="{FF2B5EF4-FFF2-40B4-BE49-F238E27FC236}">
                <a16:creationId xmlns:a16="http://schemas.microsoft.com/office/drawing/2014/main" id="{00000000-0008-0000-0300-00005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9"/>
          <a:stretch>
            <a:fillRect/>
          </a:stretch>
        </xdr:blipFill>
        <xdr:spPr>
          <a:xfrm>
            <a:off x="509937742" y="1097280"/>
            <a:ext cx="917986" cy="932330"/>
          </a:xfrm>
          <a:prstGeom prst="rect">
            <a:avLst/>
          </a:prstGeom>
        </xdr:spPr>
      </xdr:pic>
      <xdr:pic>
        <xdr:nvPicPr>
          <xdr:cNvPr id="3156" name="Pokemon_547_Droite">
            <a:extLst>
              <a:ext uri="{FF2B5EF4-FFF2-40B4-BE49-F238E27FC236}">
                <a16:creationId xmlns:a16="http://schemas.microsoft.com/office/drawing/2014/main" id="{00000000-0008-0000-0300-00005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0"/>
          <a:stretch>
            <a:fillRect/>
          </a:stretch>
        </xdr:blipFill>
        <xdr:spPr>
          <a:xfrm>
            <a:off x="510855714" y="1097280"/>
            <a:ext cx="917986" cy="932330"/>
          </a:xfrm>
          <a:prstGeom prst="rect">
            <a:avLst/>
          </a:prstGeom>
        </xdr:spPr>
      </xdr:pic>
      <xdr:pic>
        <xdr:nvPicPr>
          <xdr:cNvPr id="3157" name="Pokemon_548_Droite">
            <a:extLst>
              <a:ext uri="{FF2B5EF4-FFF2-40B4-BE49-F238E27FC236}">
                <a16:creationId xmlns:a16="http://schemas.microsoft.com/office/drawing/2014/main" id="{00000000-0008-0000-0300-00005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1"/>
          <a:stretch>
            <a:fillRect/>
          </a:stretch>
        </xdr:blipFill>
        <xdr:spPr>
          <a:xfrm>
            <a:off x="511773686" y="1097280"/>
            <a:ext cx="917986" cy="932330"/>
          </a:xfrm>
          <a:prstGeom prst="rect">
            <a:avLst/>
          </a:prstGeom>
        </xdr:spPr>
      </xdr:pic>
      <xdr:pic>
        <xdr:nvPicPr>
          <xdr:cNvPr id="3158" name="Pokemon_549_Droite">
            <a:extLst>
              <a:ext uri="{FF2B5EF4-FFF2-40B4-BE49-F238E27FC236}">
                <a16:creationId xmlns:a16="http://schemas.microsoft.com/office/drawing/2014/main" id="{00000000-0008-0000-0300-00005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2"/>
          <a:stretch>
            <a:fillRect/>
          </a:stretch>
        </xdr:blipFill>
        <xdr:spPr>
          <a:xfrm>
            <a:off x="512691658" y="1097280"/>
            <a:ext cx="917986" cy="932330"/>
          </a:xfrm>
          <a:prstGeom prst="rect">
            <a:avLst/>
          </a:prstGeom>
        </xdr:spPr>
      </xdr:pic>
      <xdr:pic>
        <xdr:nvPicPr>
          <xdr:cNvPr id="3159" name="Pokemon_550_Droite">
            <a:extLst>
              <a:ext uri="{FF2B5EF4-FFF2-40B4-BE49-F238E27FC236}">
                <a16:creationId xmlns:a16="http://schemas.microsoft.com/office/drawing/2014/main" id="{00000000-0008-0000-0300-00005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3"/>
          <a:stretch>
            <a:fillRect/>
          </a:stretch>
        </xdr:blipFill>
        <xdr:spPr>
          <a:xfrm>
            <a:off x="513609630" y="1097280"/>
            <a:ext cx="917986" cy="932330"/>
          </a:xfrm>
          <a:prstGeom prst="rect">
            <a:avLst/>
          </a:prstGeom>
        </xdr:spPr>
      </xdr:pic>
      <xdr:pic>
        <xdr:nvPicPr>
          <xdr:cNvPr id="3160" name="Pokemon_551_Droite">
            <a:extLst>
              <a:ext uri="{FF2B5EF4-FFF2-40B4-BE49-F238E27FC236}">
                <a16:creationId xmlns:a16="http://schemas.microsoft.com/office/drawing/2014/main" id="{00000000-0008-0000-0300-00005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4"/>
          <a:stretch>
            <a:fillRect/>
          </a:stretch>
        </xdr:blipFill>
        <xdr:spPr>
          <a:xfrm>
            <a:off x="514527602" y="1097280"/>
            <a:ext cx="917986" cy="932330"/>
          </a:xfrm>
          <a:prstGeom prst="rect">
            <a:avLst/>
          </a:prstGeom>
        </xdr:spPr>
      </xdr:pic>
      <xdr:pic>
        <xdr:nvPicPr>
          <xdr:cNvPr id="3161" name="Pokemon_552_Droite">
            <a:extLst>
              <a:ext uri="{FF2B5EF4-FFF2-40B4-BE49-F238E27FC236}">
                <a16:creationId xmlns:a16="http://schemas.microsoft.com/office/drawing/2014/main" id="{00000000-0008-0000-0300-00005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5"/>
          <a:stretch>
            <a:fillRect/>
          </a:stretch>
        </xdr:blipFill>
        <xdr:spPr>
          <a:xfrm>
            <a:off x="515445573" y="1097280"/>
            <a:ext cx="917986" cy="932330"/>
          </a:xfrm>
          <a:prstGeom prst="rect">
            <a:avLst/>
          </a:prstGeom>
        </xdr:spPr>
      </xdr:pic>
      <xdr:pic>
        <xdr:nvPicPr>
          <xdr:cNvPr id="3162" name="Pokemon_553_Droite">
            <a:extLst>
              <a:ext uri="{FF2B5EF4-FFF2-40B4-BE49-F238E27FC236}">
                <a16:creationId xmlns:a16="http://schemas.microsoft.com/office/drawing/2014/main" id="{00000000-0008-0000-0300-00005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6"/>
          <a:stretch>
            <a:fillRect/>
          </a:stretch>
        </xdr:blipFill>
        <xdr:spPr>
          <a:xfrm>
            <a:off x="516363545" y="1097280"/>
            <a:ext cx="917986" cy="932330"/>
          </a:xfrm>
          <a:prstGeom prst="rect">
            <a:avLst/>
          </a:prstGeom>
        </xdr:spPr>
      </xdr:pic>
      <xdr:pic>
        <xdr:nvPicPr>
          <xdr:cNvPr id="3163" name="Pokemon_554_Droite">
            <a:extLst>
              <a:ext uri="{FF2B5EF4-FFF2-40B4-BE49-F238E27FC236}">
                <a16:creationId xmlns:a16="http://schemas.microsoft.com/office/drawing/2014/main" id="{00000000-0008-0000-03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7"/>
          <a:stretch>
            <a:fillRect/>
          </a:stretch>
        </xdr:blipFill>
        <xdr:spPr>
          <a:xfrm>
            <a:off x="517281517" y="1097280"/>
            <a:ext cx="917986" cy="932330"/>
          </a:xfrm>
          <a:prstGeom prst="rect">
            <a:avLst/>
          </a:prstGeom>
        </xdr:spPr>
      </xdr:pic>
      <xdr:pic>
        <xdr:nvPicPr>
          <xdr:cNvPr id="3164" name="Pokemon_555_Droite">
            <a:extLst>
              <a:ext uri="{FF2B5EF4-FFF2-40B4-BE49-F238E27FC236}">
                <a16:creationId xmlns:a16="http://schemas.microsoft.com/office/drawing/2014/main" id="{00000000-0008-0000-0300-00005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8"/>
          <a:stretch>
            <a:fillRect/>
          </a:stretch>
        </xdr:blipFill>
        <xdr:spPr>
          <a:xfrm>
            <a:off x="518199489" y="1097280"/>
            <a:ext cx="917986" cy="932330"/>
          </a:xfrm>
          <a:prstGeom prst="rect">
            <a:avLst/>
          </a:prstGeom>
        </xdr:spPr>
      </xdr:pic>
      <xdr:pic>
        <xdr:nvPicPr>
          <xdr:cNvPr id="3165" name="Pokemon_556_Droite">
            <a:extLst>
              <a:ext uri="{FF2B5EF4-FFF2-40B4-BE49-F238E27FC236}">
                <a16:creationId xmlns:a16="http://schemas.microsoft.com/office/drawing/2014/main" id="{00000000-0008-0000-0300-00005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9"/>
          <a:stretch>
            <a:fillRect/>
          </a:stretch>
        </xdr:blipFill>
        <xdr:spPr>
          <a:xfrm>
            <a:off x="519117461" y="1097280"/>
            <a:ext cx="917986" cy="932330"/>
          </a:xfrm>
          <a:prstGeom prst="rect">
            <a:avLst/>
          </a:prstGeom>
        </xdr:spPr>
      </xdr:pic>
      <xdr:pic>
        <xdr:nvPicPr>
          <xdr:cNvPr id="3166" name="Pokemon_557_Droite">
            <a:extLst>
              <a:ext uri="{FF2B5EF4-FFF2-40B4-BE49-F238E27FC236}">
                <a16:creationId xmlns:a16="http://schemas.microsoft.com/office/drawing/2014/main" id="{00000000-0008-0000-0300-00005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0"/>
          <a:stretch>
            <a:fillRect/>
          </a:stretch>
        </xdr:blipFill>
        <xdr:spPr>
          <a:xfrm>
            <a:off x="520035433" y="1097280"/>
            <a:ext cx="917986" cy="932330"/>
          </a:xfrm>
          <a:prstGeom prst="rect">
            <a:avLst/>
          </a:prstGeom>
        </xdr:spPr>
      </xdr:pic>
      <xdr:pic>
        <xdr:nvPicPr>
          <xdr:cNvPr id="3167" name="Pokemon_558_Droite">
            <a:extLst>
              <a:ext uri="{FF2B5EF4-FFF2-40B4-BE49-F238E27FC236}">
                <a16:creationId xmlns:a16="http://schemas.microsoft.com/office/drawing/2014/main" id="{00000000-0008-0000-0300-00005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1"/>
          <a:stretch>
            <a:fillRect/>
          </a:stretch>
        </xdr:blipFill>
        <xdr:spPr>
          <a:xfrm>
            <a:off x="520953405" y="1097280"/>
            <a:ext cx="917986" cy="932330"/>
          </a:xfrm>
          <a:prstGeom prst="rect">
            <a:avLst/>
          </a:prstGeom>
        </xdr:spPr>
      </xdr:pic>
      <xdr:pic>
        <xdr:nvPicPr>
          <xdr:cNvPr id="3168" name="Pokemon_559_Droite">
            <a:extLst>
              <a:ext uri="{FF2B5EF4-FFF2-40B4-BE49-F238E27FC236}">
                <a16:creationId xmlns:a16="http://schemas.microsoft.com/office/drawing/2014/main" id="{00000000-0008-0000-0300-00006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2"/>
          <a:stretch>
            <a:fillRect/>
          </a:stretch>
        </xdr:blipFill>
        <xdr:spPr>
          <a:xfrm>
            <a:off x="521871377" y="1097280"/>
            <a:ext cx="917986" cy="932330"/>
          </a:xfrm>
          <a:prstGeom prst="rect">
            <a:avLst/>
          </a:prstGeom>
        </xdr:spPr>
      </xdr:pic>
      <xdr:pic>
        <xdr:nvPicPr>
          <xdr:cNvPr id="3169" name="Pokemon_560_Droite">
            <a:extLst>
              <a:ext uri="{FF2B5EF4-FFF2-40B4-BE49-F238E27FC236}">
                <a16:creationId xmlns:a16="http://schemas.microsoft.com/office/drawing/2014/main" id="{00000000-0008-0000-0300-00006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3"/>
          <a:stretch>
            <a:fillRect/>
          </a:stretch>
        </xdr:blipFill>
        <xdr:spPr>
          <a:xfrm>
            <a:off x="522789348" y="1097280"/>
            <a:ext cx="917986" cy="932330"/>
          </a:xfrm>
          <a:prstGeom prst="rect">
            <a:avLst/>
          </a:prstGeom>
        </xdr:spPr>
      </xdr:pic>
      <xdr:pic>
        <xdr:nvPicPr>
          <xdr:cNvPr id="3170" name="Pokemon_561_Droite">
            <a:extLst>
              <a:ext uri="{FF2B5EF4-FFF2-40B4-BE49-F238E27FC236}">
                <a16:creationId xmlns:a16="http://schemas.microsoft.com/office/drawing/2014/main" id="{00000000-0008-0000-0300-00006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4"/>
          <a:stretch>
            <a:fillRect/>
          </a:stretch>
        </xdr:blipFill>
        <xdr:spPr>
          <a:xfrm>
            <a:off x="523707320" y="1097280"/>
            <a:ext cx="917986" cy="932330"/>
          </a:xfrm>
          <a:prstGeom prst="rect">
            <a:avLst/>
          </a:prstGeom>
        </xdr:spPr>
      </xdr:pic>
      <xdr:pic>
        <xdr:nvPicPr>
          <xdr:cNvPr id="3171" name="Pokemon_562_Droite">
            <a:extLst>
              <a:ext uri="{FF2B5EF4-FFF2-40B4-BE49-F238E27FC236}">
                <a16:creationId xmlns:a16="http://schemas.microsoft.com/office/drawing/2014/main" id="{00000000-0008-0000-0300-00006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5"/>
          <a:stretch>
            <a:fillRect/>
          </a:stretch>
        </xdr:blipFill>
        <xdr:spPr>
          <a:xfrm>
            <a:off x="524625292" y="1097280"/>
            <a:ext cx="917986" cy="932330"/>
          </a:xfrm>
          <a:prstGeom prst="rect">
            <a:avLst/>
          </a:prstGeom>
        </xdr:spPr>
      </xdr:pic>
      <xdr:pic>
        <xdr:nvPicPr>
          <xdr:cNvPr id="3172" name="Pokemon_563_Droite">
            <a:extLst>
              <a:ext uri="{FF2B5EF4-FFF2-40B4-BE49-F238E27FC236}">
                <a16:creationId xmlns:a16="http://schemas.microsoft.com/office/drawing/2014/main" id="{00000000-0008-0000-0300-00006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6"/>
          <a:stretch>
            <a:fillRect/>
          </a:stretch>
        </xdr:blipFill>
        <xdr:spPr>
          <a:xfrm>
            <a:off x="525543264" y="1097280"/>
            <a:ext cx="917986" cy="932330"/>
          </a:xfrm>
          <a:prstGeom prst="rect">
            <a:avLst/>
          </a:prstGeom>
        </xdr:spPr>
      </xdr:pic>
      <xdr:pic>
        <xdr:nvPicPr>
          <xdr:cNvPr id="3173" name="Pokemon_564_Droite">
            <a:extLst>
              <a:ext uri="{FF2B5EF4-FFF2-40B4-BE49-F238E27FC236}">
                <a16:creationId xmlns:a16="http://schemas.microsoft.com/office/drawing/2014/main" id="{00000000-0008-0000-0300-00006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7"/>
          <a:stretch>
            <a:fillRect/>
          </a:stretch>
        </xdr:blipFill>
        <xdr:spPr>
          <a:xfrm>
            <a:off x="526461236" y="1097280"/>
            <a:ext cx="917986" cy="932330"/>
          </a:xfrm>
          <a:prstGeom prst="rect">
            <a:avLst/>
          </a:prstGeom>
        </xdr:spPr>
      </xdr:pic>
      <xdr:pic>
        <xdr:nvPicPr>
          <xdr:cNvPr id="3174" name="Pokemon_565_Droite">
            <a:extLst>
              <a:ext uri="{FF2B5EF4-FFF2-40B4-BE49-F238E27FC236}">
                <a16:creationId xmlns:a16="http://schemas.microsoft.com/office/drawing/2014/main" id="{00000000-0008-0000-0300-00006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8"/>
          <a:stretch>
            <a:fillRect/>
          </a:stretch>
        </xdr:blipFill>
        <xdr:spPr>
          <a:xfrm>
            <a:off x="527379208" y="1097280"/>
            <a:ext cx="917986" cy="932330"/>
          </a:xfrm>
          <a:prstGeom prst="rect">
            <a:avLst/>
          </a:prstGeom>
        </xdr:spPr>
      </xdr:pic>
      <xdr:pic>
        <xdr:nvPicPr>
          <xdr:cNvPr id="3175" name="Pokemon_566_Droite">
            <a:extLst>
              <a:ext uri="{FF2B5EF4-FFF2-40B4-BE49-F238E27FC236}">
                <a16:creationId xmlns:a16="http://schemas.microsoft.com/office/drawing/2014/main" id="{00000000-0008-0000-0300-00006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9"/>
          <a:stretch>
            <a:fillRect/>
          </a:stretch>
        </xdr:blipFill>
        <xdr:spPr>
          <a:xfrm>
            <a:off x="528297180" y="1097280"/>
            <a:ext cx="917986" cy="932330"/>
          </a:xfrm>
          <a:prstGeom prst="rect">
            <a:avLst/>
          </a:prstGeom>
        </xdr:spPr>
      </xdr:pic>
      <xdr:pic>
        <xdr:nvPicPr>
          <xdr:cNvPr id="3176" name="Pokemon_567_Droite">
            <a:extLst>
              <a:ext uri="{FF2B5EF4-FFF2-40B4-BE49-F238E27FC236}">
                <a16:creationId xmlns:a16="http://schemas.microsoft.com/office/drawing/2014/main" id="{00000000-0008-0000-0300-00006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0"/>
          <a:stretch>
            <a:fillRect/>
          </a:stretch>
        </xdr:blipFill>
        <xdr:spPr>
          <a:xfrm>
            <a:off x="529215152" y="1097280"/>
            <a:ext cx="917986" cy="932330"/>
          </a:xfrm>
          <a:prstGeom prst="rect">
            <a:avLst/>
          </a:prstGeom>
        </xdr:spPr>
      </xdr:pic>
      <xdr:pic>
        <xdr:nvPicPr>
          <xdr:cNvPr id="3177" name="Pokemon_568_Droite">
            <a:extLst>
              <a:ext uri="{FF2B5EF4-FFF2-40B4-BE49-F238E27FC236}">
                <a16:creationId xmlns:a16="http://schemas.microsoft.com/office/drawing/2014/main" id="{00000000-0008-0000-0300-00006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1"/>
          <a:stretch>
            <a:fillRect/>
          </a:stretch>
        </xdr:blipFill>
        <xdr:spPr>
          <a:xfrm>
            <a:off x="530133123" y="1097280"/>
            <a:ext cx="917986" cy="932330"/>
          </a:xfrm>
          <a:prstGeom prst="rect">
            <a:avLst/>
          </a:prstGeom>
        </xdr:spPr>
      </xdr:pic>
      <xdr:pic>
        <xdr:nvPicPr>
          <xdr:cNvPr id="3178" name="Pokemon_569_Droite">
            <a:extLst>
              <a:ext uri="{FF2B5EF4-FFF2-40B4-BE49-F238E27FC236}">
                <a16:creationId xmlns:a16="http://schemas.microsoft.com/office/drawing/2014/main" id="{00000000-0008-0000-0300-00006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2"/>
          <a:stretch>
            <a:fillRect/>
          </a:stretch>
        </xdr:blipFill>
        <xdr:spPr>
          <a:xfrm>
            <a:off x="531051095" y="1097280"/>
            <a:ext cx="917986" cy="932330"/>
          </a:xfrm>
          <a:prstGeom prst="rect">
            <a:avLst/>
          </a:prstGeom>
        </xdr:spPr>
      </xdr:pic>
      <xdr:pic>
        <xdr:nvPicPr>
          <xdr:cNvPr id="3179" name="Pokemon_570_Droite">
            <a:extLst>
              <a:ext uri="{FF2B5EF4-FFF2-40B4-BE49-F238E27FC236}">
                <a16:creationId xmlns:a16="http://schemas.microsoft.com/office/drawing/2014/main" id="{00000000-0008-0000-0300-00006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3"/>
          <a:stretch>
            <a:fillRect/>
          </a:stretch>
        </xdr:blipFill>
        <xdr:spPr>
          <a:xfrm>
            <a:off x="531969067" y="1097280"/>
            <a:ext cx="917986" cy="932330"/>
          </a:xfrm>
          <a:prstGeom prst="rect">
            <a:avLst/>
          </a:prstGeom>
        </xdr:spPr>
      </xdr:pic>
      <xdr:pic>
        <xdr:nvPicPr>
          <xdr:cNvPr id="3180" name="Pokemon_571_Droite">
            <a:extLst>
              <a:ext uri="{FF2B5EF4-FFF2-40B4-BE49-F238E27FC236}">
                <a16:creationId xmlns:a16="http://schemas.microsoft.com/office/drawing/2014/main" id="{00000000-0008-0000-0300-00006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4"/>
          <a:stretch>
            <a:fillRect/>
          </a:stretch>
        </xdr:blipFill>
        <xdr:spPr>
          <a:xfrm>
            <a:off x="532887039" y="1097280"/>
            <a:ext cx="917986" cy="932330"/>
          </a:xfrm>
          <a:prstGeom prst="rect">
            <a:avLst/>
          </a:prstGeom>
        </xdr:spPr>
      </xdr:pic>
      <xdr:pic>
        <xdr:nvPicPr>
          <xdr:cNvPr id="3181" name="Pokemon_572_Droite">
            <a:extLst>
              <a:ext uri="{FF2B5EF4-FFF2-40B4-BE49-F238E27FC236}">
                <a16:creationId xmlns:a16="http://schemas.microsoft.com/office/drawing/2014/main" id="{00000000-0008-0000-0300-00006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5"/>
          <a:stretch>
            <a:fillRect/>
          </a:stretch>
        </xdr:blipFill>
        <xdr:spPr>
          <a:xfrm>
            <a:off x="533805011" y="1097280"/>
            <a:ext cx="917986" cy="932330"/>
          </a:xfrm>
          <a:prstGeom prst="rect">
            <a:avLst/>
          </a:prstGeom>
        </xdr:spPr>
      </xdr:pic>
      <xdr:pic>
        <xdr:nvPicPr>
          <xdr:cNvPr id="3182" name="Pokemon_573_Droite">
            <a:extLst>
              <a:ext uri="{FF2B5EF4-FFF2-40B4-BE49-F238E27FC236}">
                <a16:creationId xmlns:a16="http://schemas.microsoft.com/office/drawing/2014/main" id="{00000000-0008-0000-0300-00006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6"/>
          <a:stretch>
            <a:fillRect/>
          </a:stretch>
        </xdr:blipFill>
        <xdr:spPr>
          <a:xfrm>
            <a:off x="534722983" y="1097280"/>
            <a:ext cx="917986" cy="932330"/>
          </a:xfrm>
          <a:prstGeom prst="rect">
            <a:avLst/>
          </a:prstGeom>
        </xdr:spPr>
      </xdr:pic>
      <xdr:pic>
        <xdr:nvPicPr>
          <xdr:cNvPr id="3183" name="Pokemon_574_Droite">
            <a:extLst>
              <a:ext uri="{FF2B5EF4-FFF2-40B4-BE49-F238E27FC236}">
                <a16:creationId xmlns:a16="http://schemas.microsoft.com/office/drawing/2014/main" id="{00000000-0008-0000-0300-00006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7"/>
          <a:stretch>
            <a:fillRect/>
          </a:stretch>
        </xdr:blipFill>
        <xdr:spPr>
          <a:xfrm>
            <a:off x="535640955" y="1097280"/>
            <a:ext cx="917986" cy="932330"/>
          </a:xfrm>
          <a:prstGeom prst="rect">
            <a:avLst/>
          </a:prstGeom>
        </xdr:spPr>
      </xdr:pic>
      <xdr:pic>
        <xdr:nvPicPr>
          <xdr:cNvPr id="3184" name="Pokemon_575_Droite">
            <a:extLst>
              <a:ext uri="{FF2B5EF4-FFF2-40B4-BE49-F238E27FC236}">
                <a16:creationId xmlns:a16="http://schemas.microsoft.com/office/drawing/2014/main" id="{00000000-0008-0000-0300-00007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8"/>
          <a:stretch>
            <a:fillRect/>
          </a:stretch>
        </xdr:blipFill>
        <xdr:spPr>
          <a:xfrm>
            <a:off x="536558927" y="1097280"/>
            <a:ext cx="917986" cy="932330"/>
          </a:xfrm>
          <a:prstGeom prst="rect">
            <a:avLst/>
          </a:prstGeom>
        </xdr:spPr>
      </xdr:pic>
      <xdr:pic>
        <xdr:nvPicPr>
          <xdr:cNvPr id="3185" name="Pokemon_576_Droite">
            <a:extLst>
              <a:ext uri="{FF2B5EF4-FFF2-40B4-BE49-F238E27FC236}">
                <a16:creationId xmlns:a16="http://schemas.microsoft.com/office/drawing/2014/main" id="{00000000-0008-0000-0300-00007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9"/>
          <a:stretch>
            <a:fillRect/>
          </a:stretch>
        </xdr:blipFill>
        <xdr:spPr>
          <a:xfrm>
            <a:off x="537476898" y="1097280"/>
            <a:ext cx="917986" cy="932330"/>
          </a:xfrm>
          <a:prstGeom prst="rect">
            <a:avLst/>
          </a:prstGeom>
        </xdr:spPr>
      </xdr:pic>
      <xdr:pic>
        <xdr:nvPicPr>
          <xdr:cNvPr id="3186" name="Pokemon_577_Droite">
            <a:extLst>
              <a:ext uri="{FF2B5EF4-FFF2-40B4-BE49-F238E27FC236}">
                <a16:creationId xmlns:a16="http://schemas.microsoft.com/office/drawing/2014/main" id="{00000000-0008-0000-0300-00007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0"/>
          <a:stretch>
            <a:fillRect/>
          </a:stretch>
        </xdr:blipFill>
        <xdr:spPr>
          <a:xfrm>
            <a:off x="538394920" y="1097280"/>
            <a:ext cx="917986" cy="932330"/>
          </a:xfrm>
          <a:prstGeom prst="rect">
            <a:avLst/>
          </a:prstGeom>
        </xdr:spPr>
      </xdr:pic>
      <xdr:pic>
        <xdr:nvPicPr>
          <xdr:cNvPr id="3187" name="Pokemon_578_Droite">
            <a:extLst>
              <a:ext uri="{FF2B5EF4-FFF2-40B4-BE49-F238E27FC236}">
                <a16:creationId xmlns:a16="http://schemas.microsoft.com/office/drawing/2014/main" id="{00000000-0008-0000-0300-00007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1"/>
          <a:stretch>
            <a:fillRect/>
          </a:stretch>
        </xdr:blipFill>
        <xdr:spPr>
          <a:xfrm>
            <a:off x="539312892" y="1097280"/>
            <a:ext cx="917986" cy="932330"/>
          </a:xfrm>
          <a:prstGeom prst="rect">
            <a:avLst/>
          </a:prstGeom>
        </xdr:spPr>
      </xdr:pic>
      <xdr:pic>
        <xdr:nvPicPr>
          <xdr:cNvPr id="3188" name="Pokemon_579_Droite">
            <a:extLst>
              <a:ext uri="{FF2B5EF4-FFF2-40B4-BE49-F238E27FC236}">
                <a16:creationId xmlns:a16="http://schemas.microsoft.com/office/drawing/2014/main" id="{00000000-0008-0000-0300-00007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2"/>
          <a:stretch>
            <a:fillRect/>
          </a:stretch>
        </xdr:blipFill>
        <xdr:spPr>
          <a:xfrm>
            <a:off x="540230864" y="1097280"/>
            <a:ext cx="917986" cy="932330"/>
          </a:xfrm>
          <a:prstGeom prst="rect">
            <a:avLst/>
          </a:prstGeom>
        </xdr:spPr>
      </xdr:pic>
      <xdr:pic>
        <xdr:nvPicPr>
          <xdr:cNvPr id="3189" name="Pokemon_580_Droite">
            <a:extLst>
              <a:ext uri="{FF2B5EF4-FFF2-40B4-BE49-F238E27FC236}">
                <a16:creationId xmlns:a16="http://schemas.microsoft.com/office/drawing/2014/main" id="{00000000-0008-0000-0300-00007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3"/>
          <a:stretch>
            <a:fillRect/>
          </a:stretch>
        </xdr:blipFill>
        <xdr:spPr>
          <a:xfrm>
            <a:off x="541148836" y="1097280"/>
            <a:ext cx="917986" cy="932330"/>
          </a:xfrm>
          <a:prstGeom prst="rect">
            <a:avLst/>
          </a:prstGeom>
        </xdr:spPr>
      </xdr:pic>
      <xdr:pic>
        <xdr:nvPicPr>
          <xdr:cNvPr id="3190" name="Pokemon_581_Droite">
            <a:extLst>
              <a:ext uri="{FF2B5EF4-FFF2-40B4-BE49-F238E27FC236}">
                <a16:creationId xmlns:a16="http://schemas.microsoft.com/office/drawing/2014/main" id="{00000000-0008-0000-0300-00007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4"/>
          <a:stretch>
            <a:fillRect/>
          </a:stretch>
        </xdr:blipFill>
        <xdr:spPr>
          <a:xfrm>
            <a:off x="542066857" y="1097280"/>
            <a:ext cx="917986" cy="932330"/>
          </a:xfrm>
          <a:prstGeom prst="rect">
            <a:avLst/>
          </a:prstGeom>
        </xdr:spPr>
      </xdr:pic>
      <xdr:pic>
        <xdr:nvPicPr>
          <xdr:cNvPr id="3191" name="Pokemon_582_Droite">
            <a:extLst>
              <a:ext uri="{FF2B5EF4-FFF2-40B4-BE49-F238E27FC236}">
                <a16:creationId xmlns:a16="http://schemas.microsoft.com/office/drawing/2014/main" id="{00000000-0008-0000-0300-00007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5"/>
          <a:stretch>
            <a:fillRect/>
          </a:stretch>
        </xdr:blipFill>
        <xdr:spPr>
          <a:xfrm>
            <a:off x="542984829" y="1097280"/>
            <a:ext cx="917986" cy="932330"/>
          </a:xfrm>
          <a:prstGeom prst="rect">
            <a:avLst/>
          </a:prstGeom>
        </xdr:spPr>
      </xdr:pic>
      <xdr:pic>
        <xdr:nvPicPr>
          <xdr:cNvPr id="3192" name="Pokemon_583_Droite">
            <a:extLst>
              <a:ext uri="{FF2B5EF4-FFF2-40B4-BE49-F238E27FC236}">
                <a16:creationId xmlns:a16="http://schemas.microsoft.com/office/drawing/2014/main" id="{00000000-0008-0000-0300-00007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6"/>
          <a:stretch>
            <a:fillRect/>
          </a:stretch>
        </xdr:blipFill>
        <xdr:spPr>
          <a:xfrm>
            <a:off x="543902801" y="1097280"/>
            <a:ext cx="917986" cy="932330"/>
          </a:xfrm>
          <a:prstGeom prst="rect">
            <a:avLst/>
          </a:prstGeom>
        </xdr:spPr>
      </xdr:pic>
      <xdr:pic>
        <xdr:nvPicPr>
          <xdr:cNvPr id="3193" name="Pokemon_584_Droite">
            <a:extLst>
              <a:ext uri="{FF2B5EF4-FFF2-40B4-BE49-F238E27FC236}">
                <a16:creationId xmlns:a16="http://schemas.microsoft.com/office/drawing/2014/main" id="{00000000-0008-0000-0300-00007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7"/>
          <a:stretch>
            <a:fillRect/>
          </a:stretch>
        </xdr:blipFill>
        <xdr:spPr>
          <a:xfrm>
            <a:off x="544820773" y="1097280"/>
            <a:ext cx="917986" cy="932330"/>
          </a:xfrm>
          <a:prstGeom prst="rect">
            <a:avLst/>
          </a:prstGeom>
        </xdr:spPr>
      </xdr:pic>
      <xdr:pic>
        <xdr:nvPicPr>
          <xdr:cNvPr id="3194" name="Pokemon_585_Droite">
            <a:extLst>
              <a:ext uri="{FF2B5EF4-FFF2-40B4-BE49-F238E27FC236}">
                <a16:creationId xmlns:a16="http://schemas.microsoft.com/office/drawing/2014/main" id="{00000000-0008-0000-0300-00007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8"/>
          <a:stretch>
            <a:fillRect/>
          </a:stretch>
        </xdr:blipFill>
        <xdr:spPr>
          <a:xfrm>
            <a:off x="545738794" y="1097280"/>
            <a:ext cx="917986" cy="932330"/>
          </a:xfrm>
          <a:prstGeom prst="rect">
            <a:avLst/>
          </a:prstGeom>
        </xdr:spPr>
      </xdr:pic>
      <xdr:pic>
        <xdr:nvPicPr>
          <xdr:cNvPr id="3195" name="Pokemon_586_Droite">
            <a:extLst>
              <a:ext uri="{FF2B5EF4-FFF2-40B4-BE49-F238E27FC236}">
                <a16:creationId xmlns:a16="http://schemas.microsoft.com/office/drawing/2014/main" id="{00000000-0008-0000-0300-00007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9"/>
          <a:stretch>
            <a:fillRect/>
          </a:stretch>
        </xdr:blipFill>
        <xdr:spPr>
          <a:xfrm>
            <a:off x="546656766" y="1097280"/>
            <a:ext cx="917986" cy="932330"/>
          </a:xfrm>
          <a:prstGeom prst="rect">
            <a:avLst/>
          </a:prstGeom>
        </xdr:spPr>
      </xdr:pic>
      <xdr:pic>
        <xdr:nvPicPr>
          <xdr:cNvPr id="3196" name="Pokemon_587_Droite">
            <a:extLst>
              <a:ext uri="{FF2B5EF4-FFF2-40B4-BE49-F238E27FC236}">
                <a16:creationId xmlns:a16="http://schemas.microsoft.com/office/drawing/2014/main" id="{00000000-0008-0000-0300-00007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0"/>
          <a:stretch>
            <a:fillRect/>
          </a:stretch>
        </xdr:blipFill>
        <xdr:spPr>
          <a:xfrm>
            <a:off x="547574738" y="1097280"/>
            <a:ext cx="917986" cy="932330"/>
          </a:xfrm>
          <a:prstGeom prst="rect">
            <a:avLst/>
          </a:prstGeom>
        </xdr:spPr>
      </xdr:pic>
      <xdr:pic>
        <xdr:nvPicPr>
          <xdr:cNvPr id="3197" name="Pokemon_588_Droite">
            <a:extLst>
              <a:ext uri="{FF2B5EF4-FFF2-40B4-BE49-F238E27FC236}">
                <a16:creationId xmlns:a16="http://schemas.microsoft.com/office/drawing/2014/main" id="{00000000-0008-0000-0300-00007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1"/>
          <a:stretch>
            <a:fillRect/>
          </a:stretch>
        </xdr:blipFill>
        <xdr:spPr>
          <a:xfrm>
            <a:off x="548492710" y="1097280"/>
            <a:ext cx="917986" cy="932330"/>
          </a:xfrm>
          <a:prstGeom prst="rect">
            <a:avLst/>
          </a:prstGeom>
        </xdr:spPr>
      </xdr:pic>
      <xdr:pic>
        <xdr:nvPicPr>
          <xdr:cNvPr id="3198" name="Pokemon_589_Droite">
            <a:extLst>
              <a:ext uri="{FF2B5EF4-FFF2-40B4-BE49-F238E27FC236}">
                <a16:creationId xmlns:a16="http://schemas.microsoft.com/office/drawing/2014/main" id="{00000000-0008-0000-0300-00007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2"/>
          <a:stretch>
            <a:fillRect/>
          </a:stretch>
        </xdr:blipFill>
        <xdr:spPr>
          <a:xfrm>
            <a:off x="549410731" y="1097280"/>
            <a:ext cx="917986" cy="932330"/>
          </a:xfrm>
          <a:prstGeom prst="rect">
            <a:avLst/>
          </a:prstGeom>
        </xdr:spPr>
      </xdr:pic>
      <xdr:pic>
        <xdr:nvPicPr>
          <xdr:cNvPr id="3199" name="Pokemon_590_Droite">
            <a:extLst>
              <a:ext uri="{FF2B5EF4-FFF2-40B4-BE49-F238E27FC236}">
                <a16:creationId xmlns:a16="http://schemas.microsoft.com/office/drawing/2014/main" id="{00000000-0008-0000-0300-00007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3"/>
          <a:stretch>
            <a:fillRect/>
          </a:stretch>
        </xdr:blipFill>
        <xdr:spPr>
          <a:xfrm>
            <a:off x="550328703" y="1097280"/>
            <a:ext cx="917986" cy="932330"/>
          </a:xfrm>
          <a:prstGeom prst="rect">
            <a:avLst/>
          </a:prstGeom>
        </xdr:spPr>
      </xdr:pic>
      <xdr:pic>
        <xdr:nvPicPr>
          <xdr:cNvPr id="3200" name="Pokemon_591_Droite">
            <a:extLst>
              <a:ext uri="{FF2B5EF4-FFF2-40B4-BE49-F238E27FC236}">
                <a16:creationId xmlns:a16="http://schemas.microsoft.com/office/drawing/2014/main" id="{00000000-0008-0000-0300-00008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4"/>
          <a:stretch>
            <a:fillRect/>
          </a:stretch>
        </xdr:blipFill>
        <xdr:spPr>
          <a:xfrm>
            <a:off x="551246675" y="1097280"/>
            <a:ext cx="917986" cy="932330"/>
          </a:xfrm>
          <a:prstGeom prst="rect">
            <a:avLst/>
          </a:prstGeom>
        </xdr:spPr>
      </xdr:pic>
      <xdr:pic>
        <xdr:nvPicPr>
          <xdr:cNvPr id="3201" name="Pokemon_592_Droite">
            <a:extLst>
              <a:ext uri="{FF2B5EF4-FFF2-40B4-BE49-F238E27FC236}">
                <a16:creationId xmlns:a16="http://schemas.microsoft.com/office/drawing/2014/main" id="{00000000-0008-0000-0300-00008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5"/>
          <a:stretch>
            <a:fillRect/>
          </a:stretch>
        </xdr:blipFill>
        <xdr:spPr>
          <a:xfrm>
            <a:off x="552164647" y="1097280"/>
            <a:ext cx="917986" cy="932330"/>
          </a:xfrm>
          <a:prstGeom prst="rect">
            <a:avLst/>
          </a:prstGeom>
        </xdr:spPr>
      </xdr:pic>
      <xdr:pic>
        <xdr:nvPicPr>
          <xdr:cNvPr id="3202" name="Pokemon_593_Droite">
            <a:extLst>
              <a:ext uri="{FF2B5EF4-FFF2-40B4-BE49-F238E27FC236}">
                <a16:creationId xmlns:a16="http://schemas.microsoft.com/office/drawing/2014/main" id="{00000000-0008-0000-0300-00008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6"/>
          <a:stretch>
            <a:fillRect/>
          </a:stretch>
        </xdr:blipFill>
        <xdr:spPr>
          <a:xfrm>
            <a:off x="553082668" y="1097280"/>
            <a:ext cx="917986" cy="932330"/>
          </a:xfrm>
          <a:prstGeom prst="rect">
            <a:avLst/>
          </a:prstGeom>
        </xdr:spPr>
      </xdr:pic>
      <xdr:pic>
        <xdr:nvPicPr>
          <xdr:cNvPr id="3203" name="Pokemon_594_Droite">
            <a:extLst>
              <a:ext uri="{FF2B5EF4-FFF2-40B4-BE49-F238E27FC236}">
                <a16:creationId xmlns:a16="http://schemas.microsoft.com/office/drawing/2014/main" id="{00000000-0008-0000-0300-00008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7"/>
          <a:stretch>
            <a:fillRect/>
          </a:stretch>
        </xdr:blipFill>
        <xdr:spPr>
          <a:xfrm>
            <a:off x="554000640" y="1097280"/>
            <a:ext cx="917986" cy="932330"/>
          </a:xfrm>
          <a:prstGeom prst="rect">
            <a:avLst/>
          </a:prstGeom>
        </xdr:spPr>
      </xdr:pic>
      <xdr:pic>
        <xdr:nvPicPr>
          <xdr:cNvPr id="3204" name="Pokemon_595_Droite">
            <a:extLst>
              <a:ext uri="{FF2B5EF4-FFF2-40B4-BE49-F238E27FC236}">
                <a16:creationId xmlns:a16="http://schemas.microsoft.com/office/drawing/2014/main" id="{00000000-0008-0000-0300-00008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8"/>
          <a:stretch>
            <a:fillRect/>
          </a:stretch>
        </xdr:blipFill>
        <xdr:spPr>
          <a:xfrm>
            <a:off x="554918612" y="1097280"/>
            <a:ext cx="917986" cy="932330"/>
          </a:xfrm>
          <a:prstGeom prst="rect">
            <a:avLst/>
          </a:prstGeom>
        </xdr:spPr>
      </xdr:pic>
      <xdr:pic>
        <xdr:nvPicPr>
          <xdr:cNvPr id="3205" name="Pokemon_596_Droite">
            <a:extLst>
              <a:ext uri="{FF2B5EF4-FFF2-40B4-BE49-F238E27FC236}">
                <a16:creationId xmlns:a16="http://schemas.microsoft.com/office/drawing/2014/main" id="{00000000-0008-0000-0300-00008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9"/>
          <a:stretch>
            <a:fillRect/>
          </a:stretch>
        </xdr:blipFill>
        <xdr:spPr>
          <a:xfrm>
            <a:off x="555836584" y="1097280"/>
            <a:ext cx="917986" cy="932330"/>
          </a:xfrm>
          <a:prstGeom prst="rect">
            <a:avLst/>
          </a:prstGeom>
        </xdr:spPr>
      </xdr:pic>
      <xdr:pic>
        <xdr:nvPicPr>
          <xdr:cNvPr id="3206" name="Pokemon_597_Droite">
            <a:extLst>
              <a:ext uri="{FF2B5EF4-FFF2-40B4-BE49-F238E27FC236}">
                <a16:creationId xmlns:a16="http://schemas.microsoft.com/office/drawing/2014/main" id="{00000000-0008-0000-0300-00008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0"/>
          <a:stretch>
            <a:fillRect/>
          </a:stretch>
        </xdr:blipFill>
        <xdr:spPr>
          <a:xfrm>
            <a:off x="556754556" y="1097280"/>
            <a:ext cx="917986" cy="932330"/>
          </a:xfrm>
          <a:prstGeom prst="rect">
            <a:avLst/>
          </a:prstGeom>
        </xdr:spPr>
      </xdr:pic>
      <xdr:pic>
        <xdr:nvPicPr>
          <xdr:cNvPr id="3207" name="Pokemon_598_Droite">
            <a:extLst>
              <a:ext uri="{FF2B5EF4-FFF2-40B4-BE49-F238E27FC236}">
                <a16:creationId xmlns:a16="http://schemas.microsoft.com/office/drawing/2014/main" id="{00000000-0008-0000-0300-00008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1"/>
          <a:stretch>
            <a:fillRect/>
          </a:stretch>
        </xdr:blipFill>
        <xdr:spPr>
          <a:xfrm>
            <a:off x="557672528" y="1097280"/>
            <a:ext cx="917986" cy="932330"/>
          </a:xfrm>
          <a:prstGeom prst="rect">
            <a:avLst/>
          </a:prstGeom>
        </xdr:spPr>
      </xdr:pic>
      <xdr:pic>
        <xdr:nvPicPr>
          <xdr:cNvPr id="3208" name="Pokemon_599_Droite">
            <a:extLst>
              <a:ext uri="{FF2B5EF4-FFF2-40B4-BE49-F238E27FC236}">
                <a16:creationId xmlns:a16="http://schemas.microsoft.com/office/drawing/2014/main" id="{00000000-0008-0000-0300-00008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2"/>
          <a:stretch>
            <a:fillRect/>
          </a:stretch>
        </xdr:blipFill>
        <xdr:spPr>
          <a:xfrm>
            <a:off x="558590500" y="1097280"/>
            <a:ext cx="917986" cy="932330"/>
          </a:xfrm>
          <a:prstGeom prst="rect">
            <a:avLst/>
          </a:prstGeom>
        </xdr:spPr>
      </xdr:pic>
      <xdr:pic>
        <xdr:nvPicPr>
          <xdr:cNvPr id="3209" name="Pokemon_600_Droite">
            <a:extLst>
              <a:ext uri="{FF2B5EF4-FFF2-40B4-BE49-F238E27FC236}">
                <a16:creationId xmlns:a16="http://schemas.microsoft.com/office/drawing/2014/main" id="{00000000-0008-0000-0300-00008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3"/>
          <a:stretch>
            <a:fillRect/>
          </a:stretch>
        </xdr:blipFill>
        <xdr:spPr>
          <a:xfrm>
            <a:off x="559508521" y="1097280"/>
            <a:ext cx="917986" cy="932330"/>
          </a:xfrm>
          <a:prstGeom prst="rect">
            <a:avLst/>
          </a:prstGeom>
        </xdr:spPr>
      </xdr:pic>
      <xdr:pic>
        <xdr:nvPicPr>
          <xdr:cNvPr id="3210" name="Pokemon_601_Droite">
            <a:extLst>
              <a:ext uri="{FF2B5EF4-FFF2-40B4-BE49-F238E27FC236}">
                <a16:creationId xmlns:a16="http://schemas.microsoft.com/office/drawing/2014/main" id="{00000000-0008-0000-0300-00008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4"/>
          <a:stretch>
            <a:fillRect/>
          </a:stretch>
        </xdr:blipFill>
        <xdr:spPr>
          <a:xfrm>
            <a:off x="560426493" y="1097280"/>
            <a:ext cx="917986" cy="932330"/>
          </a:xfrm>
          <a:prstGeom prst="rect">
            <a:avLst/>
          </a:prstGeom>
        </xdr:spPr>
      </xdr:pic>
      <xdr:pic>
        <xdr:nvPicPr>
          <xdr:cNvPr id="3211" name="Pokemon_602_Droite">
            <a:extLst>
              <a:ext uri="{FF2B5EF4-FFF2-40B4-BE49-F238E27FC236}">
                <a16:creationId xmlns:a16="http://schemas.microsoft.com/office/drawing/2014/main" id="{00000000-0008-0000-0300-00008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5"/>
          <a:stretch>
            <a:fillRect/>
          </a:stretch>
        </xdr:blipFill>
        <xdr:spPr>
          <a:xfrm>
            <a:off x="561344465" y="1097280"/>
            <a:ext cx="917986" cy="932330"/>
          </a:xfrm>
          <a:prstGeom prst="rect">
            <a:avLst/>
          </a:prstGeom>
        </xdr:spPr>
      </xdr:pic>
      <xdr:pic>
        <xdr:nvPicPr>
          <xdr:cNvPr id="3212" name="Pokemon_603_Droite">
            <a:extLst>
              <a:ext uri="{FF2B5EF4-FFF2-40B4-BE49-F238E27FC236}">
                <a16:creationId xmlns:a16="http://schemas.microsoft.com/office/drawing/2014/main" id="{00000000-0008-0000-0300-00008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6"/>
          <a:stretch>
            <a:fillRect/>
          </a:stretch>
        </xdr:blipFill>
        <xdr:spPr>
          <a:xfrm>
            <a:off x="562262437" y="1097280"/>
            <a:ext cx="917986" cy="932330"/>
          </a:xfrm>
          <a:prstGeom prst="rect">
            <a:avLst/>
          </a:prstGeom>
        </xdr:spPr>
      </xdr:pic>
      <xdr:pic>
        <xdr:nvPicPr>
          <xdr:cNvPr id="3213" name="Pokemon_604_Droite">
            <a:extLst>
              <a:ext uri="{FF2B5EF4-FFF2-40B4-BE49-F238E27FC236}">
                <a16:creationId xmlns:a16="http://schemas.microsoft.com/office/drawing/2014/main" id="{00000000-0008-0000-0300-00008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7"/>
          <a:stretch>
            <a:fillRect/>
          </a:stretch>
        </xdr:blipFill>
        <xdr:spPr>
          <a:xfrm>
            <a:off x="563180458" y="1097280"/>
            <a:ext cx="917986" cy="932330"/>
          </a:xfrm>
          <a:prstGeom prst="rect">
            <a:avLst/>
          </a:prstGeom>
        </xdr:spPr>
      </xdr:pic>
      <xdr:pic>
        <xdr:nvPicPr>
          <xdr:cNvPr id="3214" name="Pokemon_605_Droite">
            <a:extLst>
              <a:ext uri="{FF2B5EF4-FFF2-40B4-BE49-F238E27FC236}">
                <a16:creationId xmlns:a16="http://schemas.microsoft.com/office/drawing/2014/main" id="{00000000-0008-0000-0300-00008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8"/>
          <a:stretch>
            <a:fillRect/>
          </a:stretch>
        </xdr:blipFill>
        <xdr:spPr>
          <a:xfrm>
            <a:off x="564098430" y="1097280"/>
            <a:ext cx="917986" cy="932330"/>
          </a:xfrm>
          <a:prstGeom prst="rect">
            <a:avLst/>
          </a:prstGeom>
        </xdr:spPr>
      </xdr:pic>
      <xdr:pic>
        <xdr:nvPicPr>
          <xdr:cNvPr id="3215" name="Pokemon_606_Droite">
            <a:extLst>
              <a:ext uri="{FF2B5EF4-FFF2-40B4-BE49-F238E27FC236}">
                <a16:creationId xmlns:a16="http://schemas.microsoft.com/office/drawing/2014/main" id="{00000000-0008-0000-0300-00008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9"/>
          <a:stretch>
            <a:fillRect/>
          </a:stretch>
        </xdr:blipFill>
        <xdr:spPr>
          <a:xfrm>
            <a:off x="565016402" y="1097280"/>
            <a:ext cx="917986" cy="932330"/>
          </a:xfrm>
          <a:prstGeom prst="rect">
            <a:avLst/>
          </a:prstGeom>
        </xdr:spPr>
      </xdr:pic>
      <xdr:pic>
        <xdr:nvPicPr>
          <xdr:cNvPr id="3216" name="Pokemon_607_Droite">
            <a:extLst>
              <a:ext uri="{FF2B5EF4-FFF2-40B4-BE49-F238E27FC236}">
                <a16:creationId xmlns:a16="http://schemas.microsoft.com/office/drawing/2014/main" id="{00000000-0008-0000-0300-00009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0"/>
          <a:stretch>
            <a:fillRect/>
          </a:stretch>
        </xdr:blipFill>
        <xdr:spPr>
          <a:xfrm>
            <a:off x="565934374" y="1097280"/>
            <a:ext cx="917986" cy="932330"/>
          </a:xfrm>
          <a:prstGeom prst="rect">
            <a:avLst/>
          </a:prstGeom>
        </xdr:spPr>
      </xdr:pic>
      <xdr:pic>
        <xdr:nvPicPr>
          <xdr:cNvPr id="3217" name="Pokemon_608_Droite">
            <a:extLst>
              <a:ext uri="{FF2B5EF4-FFF2-40B4-BE49-F238E27FC236}">
                <a16:creationId xmlns:a16="http://schemas.microsoft.com/office/drawing/2014/main" id="{00000000-0008-0000-0300-00009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1"/>
          <a:stretch>
            <a:fillRect/>
          </a:stretch>
        </xdr:blipFill>
        <xdr:spPr>
          <a:xfrm>
            <a:off x="566852395" y="1097280"/>
            <a:ext cx="917986" cy="932330"/>
          </a:xfrm>
          <a:prstGeom prst="rect">
            <a:avLst/>
          </a:prstGeom>
        </xdr:spPr>
      </xdr:pic>
      <xdr:pic>
        <xdr:nvPicPr>
          <xdr:cNvPr id="3218" name="Pokemon_609_Droite">
            <a:extLst>
              <a:ext uri="{FF2B5EF4-FFF2-40B4-BE49-F238E27FC236}">
                <a16:creationId xmlns:a16="http://schemas.microsoft.com/office/drawing/2014/main" id="{00000000-0008-0000-0300-00009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2"/>
          <a:stretch>
            <a:fillRect/>
          </a:stretch>
        </xdr:blipFill>
        <xdr:spPr>
          <a:xfrm>
            <a:off x="567770367" y="1097280"/>
            <a:ext cx="917986" cy="932330"/>
          </a:xfrm>
          <a:prstGeom prst="rect">
            <a:avLst/>
          </a:prstGeom>
        </xdr:spPr>
      </xdr:pic>
      <xdr:pic>
        <xdr:nvPicPr>
          <xdr:cNvPr id="3219" name="Pokemon_610_Droite">
            <a:extLst>
              <a:ext uri="{FF2B5EF4-FFF2-40B4-BE49-F238E27FC236}">
                <a16:creationId xmlns:a16="http://schemas.microsoft.com/office/drawing/2014/main" id="{00000000-0008-0000-0300-00009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3"/>
          <a:stretch>
            <a:fillRect/>
          </a:stretch>
        </xdr:blipFill>
        <xdr:spPr>
          <a:xfrm>
            <a:off x="568688339" y="1097280"/>
            <a:ext cx="917986" cy="932330"/>
          </a:xfrm>
          <a:prstGeom prst="rect">
            <a:avLst/>
          </a:prstGeom>
        </xdr:spPr>
      </xdr:pic>
      <xdr:pic>
        <xdr:nvPicPr>
          <xdr:cNvPr id="3220" name="Pokemon_611_Droite">
            <a:extLst>
              <a:ext uri="{FF2B5EF4-FFF2-40B4-BE49-F238E27FC236}">
                <a16:creationId xmlns:a16="http://schemas.microsoft.com/office/drawing/2014/main" id="{00000000-0008-0000-0300-00009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4"/>
          <a:stretch>
            <a:fillRect/>
          </a:stretch>
        </xdr:blipFill>
        <xdr:spPr>
          <a:xfrm>
            <a:off x="569606311" y="1097280"/>
            <a:ext cx="917986" cy="932330"/>
          </a:xfrm>
          <a:prstGeom prst="rect">
            <a:avLst/>
          </a:prstGeom>
        </xdr:spPr>
      </xdr:pic>
      <xdr:pic>
        <xdr:nvPicPr>
          <xdr:cNvPr id="3221" name="Pokemon_612_Droite">
            <a:extLst>
              <a:ext uri="{FF2B5EF4-FFF2-40B4-BE49-F238E27FC236}">
                <a16:creationId xmlns:a16="http://schemas.microsoft.com/office/drawing/2014/main" id="{00000000-0008-0000-0300-00009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5"/>
          <a:stretch>
            <a:fillRect/>
          </a:stretch>
        </xdr:blipFill>
        <xdr:spPr>
          <a:xfrm>
            <a:off x="570524332" y="1097280"/>
            <a:ext cx="917986" cy="932330"/>
          </a:xfrm>
          <a:prstGeom prst="rect">
            <a:avLst/>
          </a:prstGeom>
        </xdr:spPr>
      </xdr:pic>
      <xdr:pic>
        <xdr:nvPicPr>
          <xdr:cNvPr id="3222" name="Pokemon_613_Droite">
            <a:extLst>
              <a:ext uri="{FF2B5EF4-FFF2-40B4-BE49-F238E27FC236}">
                <a16:creationId xmlns:a16="http://schemas.microsoft.com/office/drawing/2014/main" id="{00000000-0008-0000-0300-00009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6"/>
          <a:stretch>
            <a:fillRect/>
          </a:stretch>
        </xdr:blipFill>
        <xdr:spPr>
          <a:xfrm>
            <a:off x="571442304" y="1097280"/>
            <a:ext cx="917986" cy="932330"/>
          </a:xfrm>
          <a:prstGeom prst="rect">
            <a:avLst/>
          </a:prstGeom>
        </xdr:spPr>
      </xdr:pic>
      <xdr:pic>
        <xdr:nvPicPr>
          <xdr:cNvPr id="3223" name="Pokemon_614_Droite">
            <a:extLst>
              <a:ext uri="{FF2B5EF4-FFF2-40B4-BE49-F238E27FC236}">
                <a16:creationId xmlns:a16="http://schemas.microsoft.com/office/drawing/2014/main" id="{00000000-0008-0000-0300-00009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7"/>
          <a:stretch>
            <a:fillRect/>
          </a:stretch>
        </xdr:blipFill>
        <xdr:spPr>
          <a:xfrm>
            <a:off x="572360276" y="1097280"/>
            <a:ext cx="917986" cy="932330"/>
          </a:xfrm>
          <a:prstGeom prst="rect">
            <a:avLst/>
          </a:prstGeom>
        </xdr:spPr>
      </xdr:pic>
      <xdr:pic>
        <xdr:nvPicPr>
          <xdr:cNvPr id="3224" name="Pokemon_615_Droite">
            <a:extLst>
              <a:ext uri="{FF2B5EF4-FFF2-40B4-BE49-F238E27FC236}">
                <a16:creationId xmlns:a16="http://schemas.microsoft.com/office/drawing/2014/main" id="{00000000-0008-0000-0300-00009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8"/>
          <a:stretch>
            <a:fillRect/>
          </a:stretch>
        </xdr:blipFill>
        <xdr:spPr>
          <a:xfrm>
            <a:off x="573278248" y="1097280"/>
            <a:ext cx="917986" cy="932330"/>
          </a:xfrm>
          <a:prstGeom prst="rect">
            <a:avLst/>
          </a:prstGeom>
        </xdr:spPr>
      </xdr:pic>
      <xdr:pic>
        <xdr:nvPicPr>
          <xdr:cNvPr id="3225" name="Pokemon_616_Droite">
            <a:extLst>
              <a:ext uri="{FF2B5EF4-FFF2-40B4-BE49-F238E27FC236}">
                <a16:creationId xmlns:a16="http://schemas.microsoft.com/office/drawing/2014/main" id="{00000000-0008-0000-0300-00009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9"/>
          <a:stretch>
            <a:fillRect/>
          </a:stretch>
        </xdr:blipFill>
        <xdr:spPr>
          <a:xfrm>
            <a:off x="574196220" y="1097280"/>
            <a:ext cx="917986" cy="932330"/>
          </a:xfrm>
          <a:prstGeom prst="rect">
            <a:avLst/>
          </a:prstGeom>
        </xdr:spPr>
      </xdr:pic>
      <xdr:pic>
        <xdr:nvPicPr>
          <xdr:cNvPr id="3226" name="Pokemon_617_Droite">
            <a:extLst>
              <a:ext uri="{FF2B5EF4-FFF2-40B4-BE49-F238E27FC236}">
                <a16:creationId xmlns:a16="http://schemas.microsoft.com/office/drawing/2014/main" id="{00000000-0008-0000-0300-00009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0"/>
          <a:stretch>
            <a:fillRect/>
          </a:stretch>
        </xdr:blipFill>
        <xdr:spPr>
          <a:xfrm>
            <a:off x="575114192" y="1097280"/>
            <a:ext cx="917986" cy="932330"/>
          </a:xfrm>
          <a:prstGeom prst="rect">
            <a:avLst/>
          </a:prstGeom>
        </xdr:spPr>
      </xdr:pic>
      <xdr:pic>
        <xdr:nvPicPr>
          <xdr:cNvPr id="3227" name="Pokemon_618_Droite">
            <a:extLst>
              <a:ext uri="{FF2B5EF4-FFF2-40B4-BE49-F238E27FC236}">
                <a16:creationId xmlns:a16="http://schemas.microsoft.com/office/drawing/2014/main" id="{00000000-0008-0000-0300-00009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1"/>
          <a:stretch>
            <a:fillRect/>
          </a:stretch>
        </xdr:blipFill>
        <xdr:spPr>
          <a:xfrm>
            <a:off x="576032164" y="1097280"/>
            <a:ext cx="917986" cy="932330"/>
          </a:xfrm>
          <a:prstGeom prst="rect">
            <a:avLst/>
          </a:prstGeom>
        </xdr:spPr>
      </xdr:pic>
      <xdr:pic>
        <xdr:nvPicPr>
          <xdr:cNvPr id="3228" name="Pokemon_619_Droite">
            <a:extLst>
              <a:ext uri="{FF2B5EF4-FFF2-40B4-BE49-F238E27FC236}">
                <a16:creationId xmlns:a16="http://schemas.microsoft.com/office/drawing/2014/main" id="{00000000-0008-0000-0300-00009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2"/>
          <a:stretch>
            <a:fillRect/>
          </a:stretch>
        </xdr:blipFill>
        <xdr:spPr>
          <a:xfrm>
            <a:off x="576950185" y="1097280"/>
            <a:ext cx="917986" cy="932330"/>
          </a:xfrm>
          <a:prstGeom prst="rect">
            <a:avLst/>
          </a:prstGeom>
        </xdr:spPr>
      </xdr:pic>
      <xdr:pic>
        <xdr:nvPicPr>
          <xdr:cNvPr id="3229" name="Pokemon_620_Droite">
            <a:extLst>
              <a:ext uri="{FF2B5EF4-FFF2-40B4-BE49-F238E27FC236}">
                <a16:creationId xmlns:a16="http://schemas.microsoft.com/office/drawing/2014/main" id="{00000000-0008-0000-0300-00009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3"/>
          <a:stretch>
            <a:fillRect/>
          </a:stretch>
        </xdr:blipFill>
        <xdr:spPr>
          <a:xfrm>
            <a:off x="577868157" y="1097280"/>
            <a:ext cx="917986" cy="932330"/>
          </a:xfrm>
          <a:prstGeom prst="rect">
            <a:avLst/>
          </a:prstGeom>
        </xdr:spPr>
      </xdr:pic>
      <xdr:pic>
        <xdr:nvPicPr>
          <xdr:cNvPr id="3230" name="Pokemon_621_Droite">
            <a:extLst>
              <a:ext uri="{FF2B5EF4-FFF2-40B4-BE49-F238E27FC236}">
                <a16:creationId xmlns:a16="http://schemas.microsoft.com/office/drawing/2014/main" id="{00000000-0008-0000-0300-00009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4"/>
          <a:stretch>
            <a:fillRect/>
          </a:stretch>
        </xdr:blipFill>
        <xdr:spPr>
          <a:xfrm>
            <a:off x="578786129" y="1097280"/>
            <a:ext cx="917986" cy="932330"/>
          </a:xfrm>
          <a:prstGeom prst="rect">
            <a:avLst/>
          </a:prstGeom>
        </xdr:spPr>
      </xdr:pic>
      <xdr:pic>
        <xdr:nvPicPr>
          <xdr:cNvPr id="3231" name="Pokemon_622_Droite">
            <a:extLst>
              <a:ext uri="{FF2B5EF4-FFF2-40B4-BE49-F238E27FC236}">
                <a16:creationId xmlns:a16="http://schemas.microsoft.com/office/drawing/2014/main" id="{00000000-0008-0000-0300-00009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5"/>
          <a:stretch>
            <a:fillRect/>
          </a:stretch>
        </xdr:blipFill>
        <xdr:spPr>
          <a:xfrm>
            <a:off x="579704101" y="1097280"/>
            <a:ext cx="917986" cy="932330"/>
          </a:xfrm>
          <a:prstGeom prst="rect">
            <a:avLst/>
          </a:prstGeom>
        </xdr:spPr>
      </xdr:pic>
      <xdr:pic>
        <xdr:nvPicPr>
          <xdr:cNvPr id="3232" name="Pokemon_623_Droite">
            <a:extLst>
              <a:ext uri="{FF2B5EF4-FFF2-40B4-BE49-F238E27FC236}">
                <a16:creationId xmlns:a16="http://schemas.microsoft.com/office/drawing/2014/main" id="{00000000-0008-0000-0300-0000A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6"/>
          <a:stretch>
            <a:fillRect/>
          </a:stretch>
        </xdr:blipFill>
        <xdr:spPr>
          <a:xfrm>
            <a:off x="580622122" y="1097280"/>
            <a:ext cx="917986" cy="932330"/>
          </a:xfrm>
          <a:prstGeom prst="rect">
            <a:avLst/>
          </a:prstGeom>
        </xdr:spPr>
      </xdr:pic>
      <xdr:pic>
        <xdr:nvPicPr>
          <xdr:cNvPr id="3233" name="Pokemon_624_Droite">
            <a:extLst>
              <a:ext uri="{FF2B5EF4-FFF2-40B4-BE49-F238E27FC236}">
                <a16:creationId xmlns:a16="http://schemas.microsoft.com/office/drawing/2014/main" id="{00000000-0008-0000-0300-0000A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7"/>
          <a:stretch>
            <a:fillRect/>
          </a:stretch>
        </xdr:blipFill>
        <xdr:spPr>
          <a:xfrm>
            <a:off x="581540094" y="1097280"/>
            <a:ext cx="917986" cy="932330"/>
          </a:xfrm>
          <a:prstGeom prst="rect">
            <a:avLst/>
          </a:prstGeom>
        </xdr:spPr>
      </xdr:pic>
      <xdr:pic>
        <xdr:nvPicPr>
          <xdr:cNvPr id="3234" name="Pokemon_625_Droite">
            <a:extLst>
              <a:ext uri="{FF2B5EF4-FFF2-40B4-BE49-F238E27FC236}">
                <a16:creationId xmlns:a16="http://schemas.microsoft.com/office/drawing/2014/main" id="{00000000-0008-0000-0300-0000A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8"/>
          <a:stretch>
            <a:fillRect/>
          </a:stretch>
        </xdr:blipFill>
        <xdr:spPr>
          <a:xfrm>
            <a:off x="582458066" y="1097280"/>
            <a:ext cx="917986" cy="932330"/>
          </a:xfrm>
          <a:prstGeom prst="rect">
            <a:avLst/>
          </a:prstGeom>
        </xdr:spPr>
      </xdr:pic>
      <xdr:pic>
        <xdr:nvPicPr>
          <xdr:cNvPr id="3235" name="Pokemon_626_Droite">
            <a:extLst>
              <a:ext uri="{FF2B5EF4-FFF2-40B4-BE49-F238E27FC236}">
                <a16:creationId xmlns:a16="http://schemas.microsoft.com/office/drawing/2014/main" id="{00000000-0008-0000-0300-0000A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9"/>
          <a:stretch>
            <a:fillRect/>
          </a:stretch>
        </xdr:blipFill>
        <xdr:spPr>
          <a:xfrm>
            <a:off x="583376038" y="1097280"/>
            <a:ext cx="917986" cy="932330"/>
          </a:xfrm>
          <a:prstGeom prst="rect">
            <a:avLst/>
          </a:prstGeom>
        </xdr:spPr>
      </xdr:pic>
      <xdr:pic>
        <xdr:nvPicPr>
          <xdr:cNvPr id="3236" name="Pokemon_627_Droite">
            <a:extLst>
              <a:ext uri="{FF2B5EF4-FFF2-40B4-BE49-F238E27FC236}">
                <a16:creationId xmlns:a16="http://schemas.microsoft.com/office/drawing/2014/main" id="{00000000-0008-0000-0300-0000A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0"/>
          <a:stretch>
            <a:fillRect/>
          </a:stretch>
        </xdr:blipFill>
        <xdr:spPr>
          <a:xfrm>
            <a:off x="584294059" y="1097280"/>
            <a:ext cx="917986" cy="932330"/>
          </a:xfrm>
          <a:prstGeom prst="rect">
            <a:avLst/>
          </a:prstGeom>
        </xdr:spPr>
      </xdr:pic>
      <xdr:pic>
        <xdr:nvPicPr>
          <xdr:cNvPr id="3237" name="Pokemon_628_Droite">
            <a:extLst>
              <a:ext uri="{FF2B5EF4-FFF2-40B4-BE49-F238E27FC236}">
                <a16:creationId xmlns:a16="http://schemas.microsoft.com/office/drawing/2014/main" id="{00000000-0008-0000-0300-0000A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1"/>
          <a:stretch>
            <a:fillRect/>
          </a:stretch>
        </xdr:blipFill>
        <xdr:spPr>
          <a:xfrm>
            <a:off x="585212031" y="1097280"/>
            <a:ext cx="917986" cy="932330"/>
          </a:xfrm>
          <a:prstGeom prst="rect">
            <a:avLst/>
          </a:prstGeom>
        </xdr:spPr>
      </xdr:pic>
      <xdr:pic>
        <xdr:nvPicPr>
          <xdr:cNvPr id="3238" name="Pokemon_629_Droite">
            <a:extLst>
              <a:ext uri="{FF2B5EF4-FFF2-40B4-BE49-F238E27FC236}">
                <a16:creationId xmlns:a16="http://schemas.microsoft.com/office/drawing/2014/main" id="{00000000-0008-0000-0300-0000A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2"/>
          <a:stretch>
            <a:fillRect/>
          </a:stretch>
        </xdr:blipFill>
        <xdr:spPr>
          <a:xfrm>
            <a:off x="586130003" y="1097280"/>
            <a:ext cx="917986" cy="932330"/>
          </a:xfrm>
          <a:prstGeom prst="rect">
            <a:avLst/>
          </a:prstGeom>
        </xdr:spPr>
      </xdr:pic>
      <xdr:pic>
        <xdr:nvPicPr>
          <xdr:cNvPr id="3239" name="Pokemon_630_Droite">
            <a:extLst>
              <a:ext uri="{FF2B5EF4-FFF2-40B4-BE49-F238E27FC236}">
                <a16:creationId xmlns:a16="http://schemas.microsoft.com/office/drawing/2014/main" id="{00000000-0008-0000-0300-0000A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3"/>
          <a:stretch>
            <a:fillRect/>
          </a:stretch>
        </xdr:blipFill>
        <xdr:spPr>
          <a:xfrm>
            <a:off x="587047975" y="1097280"/>
            <a:ext cx="917986" cy="932330"/>
          </a:xfrm>
          <a:prstGeom prst="rect">
            <a:avLst/>
          </a:prstGeom>
        </xdr:spPr>
      </xdr:pic>
      <xdr:pic>
        <xdr:nvPicPr>
          <xdr:cNvPr id="3240" name="Pokemon_631_Droite">
            <a:extLst>
              <a:ext uri="{FF2B5EF4-FFF2-40B4-BE49-F238E27FC236}">
                <a16:creationId xmlns:a16="http://schemas.microsoft.com/office/drawing/2014/main" id="{00000000-0008-0000-0300-0000A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4"/>
          <a:stretch>
            <a:fillRect/>
          </a:stretch>
        </xdr:blipFill>
        <xdr:spPr>
          <a:xfrm>
            <a:off x="587965996" y="1097280"/>
            <a:ext cx="917986" cy="932330"/>
          </a:xfrm>
          <a:prstGeom prst="rect">
            <a:avLst/>
          </a:prstGeom>
        </xdr:spPr>
      </xdr:pic>
      <xdr:pic>
        <xdr:nvPicPr>
          <xdr:cNvPr id="3241" name="Pokemon_632_Droite">
            <a:extLst>
              <a:ext uri="{FF2B5EF4-FFF2-40B4-BE49-F238E27FC236}">
                <a16:creationId xmlns:a16="http://schemas.microsoft.com/office/drawing/2014/main" id="{00000000-0008-0000-0300-0000A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5"/>
          <a:stretch>
            <a:fillRect/>
          </a:stretch>
        </xdr:blipFill>
        <xdr:spPr>
          <a:xfrm>
            <a:off x="588883968" y="1097280"/>
            <a:ext cx="917986" cy="932330"/>
          </a:xfrm>
          <a:prstGeom prst="rect">
            <a:avLst/>
          </a:prstGeom>
        </xdr:spPr>
      </xdr:pic>
      <xdr:pic>
        <xdr:nvPicPr>
          <xdr:cNvPr id="3242" name="Pokemon_633_Droite">
            <a:extLst>
              <a:ext uri="{FF2B5EF4-FFF2-40B4-BE49-F238E27FC236}">
                <a16:creationId xmlns:a16="http://schemas.microsoft.com/office/drawing/2014/main" id="{00000000-0008-0000-0300-0000A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6"/>
          <a:stretch>
            <a:fillRect/>
          </a:stretch>
        </xdr:blipFill>
        <xdr:spPr>
          <a:xfrm>
            <a:off x="589801940" y="1097280"/>
            <a:ext cx="917986" cy="932330"/>
          </a:xfrm>
          <a:prstGeom prst="rect">
            <a:avLst/>
          </a:prstGeom>
        </xdr:spPr>
      </xdr:pic>
      <xdr:pic>
        <xdr:nvPicPr>
          <xdr:cNvPr id="3243" name="Pokemon_634_Droite">
            <a:extLst>
              <a:ext uri="{FF2B5EF4-FFF2-40B4-BE49-F238E27FC236}">
                <a16:creationId xmlns:a16="http://schemas.microsoft.com/office/drawing/2014/main" id="{00000000-0008-0000-0300-0000A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7"/>
          <a:stretch>
            <a:fillRect/>
          </a:stretch>
        </xdr:blipFill>
        <xdr:spPr>
          <a:xfrm>
            <a:off x="590719912" y="1097280"/>
            <a:ext cx="917986" cy="932330"/>
          </a:xfrm>
          <a:prstGeom prst="rect">
            <a:avLst/>
          </a:prstGeom>
        </xdr:spPr>
      </xdr:pic>
      <xdr:pic>
        <xdr:nvPicPr>
          <xdr:cNvPr id="3244" name="Pokemon_635_Droite">
            <a:extLst>
              <a:ext uri="{FF2B5EF4-FFF2-40B4-BE49-F238E27FC236}">
                <a16:creationId xmlns:a16="http://schemas.microsoft.com/office/drawing/2014/main" id="{00000000-0008-0000-0300-0000A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8"/>
          <a:stretch>
            <a:fillRect/>
          </a:stretch>
        </xdr:blipFill>
        <xdr:spPr>
          <a:xfrm>
            <a:off x="591637884" y="1097280"/>
            <a:ext cx="917986" cy="932330"/>
          </a:xfrm>
          <a:prstGeom prst="rect">
            <a:avLst/>
          </a:prstGeom>
        </xdr:spPr>
      </xdr:pic>
      <xdr:pic>
        <xdr:nvPicPr>
          <xdr:cNvPr id="3245" name="Pokemon_636_Droite">
            <a:extLst>
              <a:ext uri="{FF2B5EF4-FFF2-40B4-BE49-F238E27FC236}">
                <a16:creationId xmlns:a16="http://schemas.microsoft.com/office/drawing/2014/main" id="{00000000-0008-0000-0300-0000A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9"/>
          <a:stretch>
            <a:fillRect/>
          </a:stretch>
        </xdr:blipFill>
        <xdr:spPr>
          <a:xfrm>
            <a:off x="592555856" y="1097280"/>
            <a:ext cx="917986" cy="932330"/>
          </a:xfrm>
          <a:prstGeom prst="rect">
            <a:avLst/>
          </a:prstGeom>
        </xdr:spPr>
      </xdr:pic>
      <xdr:pic>
        <xdr:nvPicPr>
          <xdr:cNvPr id="3246" name="Pokemon_637_Droite">
            <a:extLst>
              <a:ext uri="{FF2B5EF4-FFF2-40B4-BE49-F238E27FC236}">
                <a16:creationId xmlns:a16="http://schemas.microsoft.com/office/drawing/2014/main" id="{00000000-0008-0000-0300-0000A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0"/>
          <a:stretch>
            <a:fillRect/>
          </a:stretch>
        </xdr:blipFill>
        <xdr:spPr>
          <a:xfrm>
            <a:off x="593473828" y="1097280"/>
            <a:ext cx="917986" cy="932330"/>
          </a:xfrm>
          <a:prstGeom prst="rect">
            <a:avLst/>
          </a:prstGeom>
        </xdr:spPr>
      </xdr:pic>
      <xdr:pic>
        <xdr:nvPicPr>
          <xdr:cNvPr id="3247" name="Pokemon_638_Droite">
            <a:extLst>
              <a:ext uri="{FF2B5EF4-FFF2-40B4-BE49-F238E27FC236}">
                <a16:creationId xmlns:a16="http://schemas.microsoft.com/office/drawing/2014/main" id="{00000000-0008-0000-0300-0000A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1"/>
          <a:stretch>
            <a:fillRect/>
          </a:stretch>
        </xdr:blipFill>
        <xdr:spPr>
          <a:xfrm>
            <a:off x="594391849" y="1097280"/>
            <a:ext cx="917986" cy="932330"/>
          </a:xfrm>
          <a:prstGeom prst="rect">
            <a:avLst/>
          </a:prstGeom>
        </xdr:spPr>
      </xdr:pic>
      <xdr:pic>
        <xdr:nvPicPr>
          <xdr:cNvPr id="3248" name="Pokemon_639_Droite">
            <a:extLst>
              <a:ext uri="{FF2B5EF4-FFF2-40B4-BE49-F238E27FC236}">
                <a16:creationId xmlns:a16="http://schemas.microsoft.com/office/drawing/2014/main" id="{00000000-0008-0000-0300-0000B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2"/>
          <a:stretch>
            <a:fillRect/>
          </a:stretch>
        </xdr:blipFill>
        <xdr:spPr>
          <a:xfrm>
            <a:off x="595309821" y="1097280"/>
            <a:ext cx="917986" cy="932330"/>
          </a:xfrm>
          <a:prstGeom prst="rect">
            <a:avLst/>
          </a:prstGeom>
        </xdr:spPr>
      </xdr:pic>
      <xdr:pic>
        <xdr:nvPicPr>
          <xdr:cNvPr id="3249" name="Pokemon_640_Droite">
            <a:extLst>
              <a:ext uri="{FF2B5EF4-FFF2-40B4-BE49-F238E27FC236}">
                <a16:creationId xmlns:a16="http://schemas.microsoft.com/office/drawing/2014/main" id="{00000000-0008-0000-0300-0000B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3"/>
          <a:stretch>
            <a:fillRect/>
          </a:stretch>
        </xdr:blipFill>
        <xdr:spPr>
          <a:xfrm>
            <a:off x="596227793" y="1097280"/>
            <a:ext cx="917986" cy="932330"/>
          </a:xfrm>
          <a:prstGeom prst="rect">
            <a:avLst/>
          </a:prstGeom>
        </xdr:spPr>
      </xdr:pic>
      <xdr:pic>
        <xdr:nvPicPr>
          <xdr:cNvPr id="3250" name="Pokemon_641_Droite">
            <a:extLst>
              <a:ext uri="{FF2B5EF4-FFF2-40B4-BE49-F238E27FC236}">
                <a16:creationId xmlns:a16="http://schemas.microsoft.com/office/drawing/2014/main" id="{00000000-0008-0000-0300-0000B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4"/>
          <a:stretch>
            <a:fillRect/>
          </a:stretch>
        </xdr:blipFill>
        <xdr:spPr>
          <a:xfrm>
            <a:off x="597145765" y="1097280"/>
            <a:ext cx="917986" cy="932330"/>
          </a:xfrm>
          <a:prstGeom prst="rect">
            <a:avLst/>
          </a:prstGeom>
        </xdr:spPr>
      </xdr:pic>
      <xdr:pic>
        <xdr:nvPicPr>
          <xdr:cNvPr id="3251" name="Pokemon_642_Droite">
            <a:extLst>
              <a:ext uri="{FF2B5EF4-FFF2-40B4-BE49-F238E27FC236}">
                <a16:creationId xmlns:a16="http://schemas.microsoft.com/office/drawing/2014/main" id="{00000000-0008-0000-0300-0000B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5"/>
          <a:stretch>
            <a:fillRect/>
          </a:stretch>
        </xdr:blipFill>
        <xdr:spPr>
          <a:xfrm>
            <a:off x="598063786" y="1097280"/>
            <a:ext cx="917986" cy="932330"/>
          </a:xfrm>
          <a:prstGeom prst="rect">
            <a:avLst/>
          </a:prstGeom>
        </xdr:spPr>
      </xdr:pic>
      <xdr:pic>
        <xdr:nvPicPr>
          <xdr:cNvPr id="3252" name="Pokemon_643_Droite">
            <a:extLst>
              <a:ext uri="{FF2B5EF4-FFF2-40B4-BE49-F238E27FC236}">
                <a16:creationId xmlns:a16="http://schemas.microsoft.com/office/drawing/2014/main" id="{00000000-0008-0000-0300-0000B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6"/>
          <a:stretch>
            <a:fillRect/>
          </a:stretch>
        </xdr:blipFill>
        <xdr:spPr>
          <a:xfrm>
            <a:off x="598981758" y="1097280"/>
            <a:ext cx="917986" cy="932330"/>
          </a:xfrm>
          <a:prstGeom prst="rect">
            <a:avLst/>
          </a:prstGeom>
        </xdr:spPr>
      </xdr:pic>
      <xdr:pic>
        <xdr:nvPicPr>
          <xdr:cNvPr id="3253" name="Pokemon_644_Droite">
            <a:extLst>
              <a:ext uri="{FF2B5EF4-FFF2-40B4-BE49-F238E27FC236}">
                <a16:creationId xmlns:a16="http://schemas.microsoft.com/office/drawing/2014/main" id="{00000000-0008-0000-0300-0000B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7"/>
          <a:stretch>
            <a:fillRect/>
          </a:stretch>
        </xdr:blipFill>
        <xdr:spPr>
          <a:xfrm>
            <a:off x="599899730" y="1097280"/>
            <a:ext cx="917986" cy="932330"/>
          </a:xfrm>
          <a:prstGeom prst="rect">
            <a:avLst/>
          </a:prstGeom>
        </xdr:spPr>
      </xdr:pic>
      <xdr:pic>
        <xdr:nvPicPr>
          <xdr:cNvPr id="3254" name="Pokemon_645_Droite">
            <a:extLst>
              <a:ext uri="{FF2B5EF4-FFF2-40B4-BE49-F238E27FC236}">
                <a16:creationId xmlns:a16="http://schemas.microsoft.com/office/drawing/2014/main" id="{00000000-0008-0000-0300-0000B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8"/>
          <a:stretch>
            <a:fillRect/>
          </a:stretch>
        </xdr:blipFill>
        <xdr:spPr>
          <a:xfrm>
            <a:off x="600817702" y="1097280"/>
            <a:ext cx="917986" cy="932330"/>
          </a:xfrm>
          <a:prstGeom prst="rect">
            <a:avLst/>
          </a:prstGeom>
        </xdr:spPr>
      </xdr:pic>
      <xdr:pic>
        <xdr:nvPicPr>
          <xdr:cNvPr id="3255" name="Pokemon_646_Droite">
            <a:extLst>
              <a:ext uri="{FF2B5EF4-FFF2-40B4-BE49-F238E27FC236}">
                <a16:creationId xmlns:a16="http://schemas.microsoft.com/office/drawing/2014/main" id="{00000000-0008-0000-0300-0000B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9"/>
          <a:stretch>
            <a:fillRect/>
          </a:stretch>
        </xdr:blipFill>
        <xdr:spPr>
          <a:xfrm>
            <a:off x="601735723" y="1097280"/>
            <a:ext cx="917986" cy="932330"/>
          </a:xfrm>
          <a:prstGeom prst="rect">
            <a:avLst/>
          </a:prstGeom>
        </xdr:spPr>
      </xdr:pic>
      <xdr:pic>
        <xdr:nvPicPr>
          <xdr:cNvPr id="3256" name="Pokemon_647_Droite">
            <a:extLst>
              <a:ext uri="{FF2B5EF4-FFF2-40B4-BE49-F238E27FC236}">
                <a16:creationId xmlns:a16="http://schemas.microsoft.com/office/drawing/2014/main" id="{00000000-0008-0000-0300-0000B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0"/>
          <a:stretch>
            <a:fillRect/>
          </a:stretch>
        </xdr:blipFill>
        <xdr:spPr>
          <a:xfrm>
            <a:off x="602653695" y="1097280"/>
            <a:ext cx="917986" cy="932330"/>
          </a:xfrm>
          <a:prstGeom prst="rect">
            <a:avLst/>
          </a:prstGeom>
        </xdr:spPr>
      </xdr:pic>
      <xdr:pic>
        <xdr:nvPicPr>
          <xdr:cNvPr id="3257" name="Pokemon_648_Droite">
            <a:extLst>
              <a:ext uri="{FF2B5EF4-FFF2-40B4-BE49-F238E27FC236}">
                <a16:creationId xmlns:a16="http://schemas.microsoft.com/office/drawing/2014/main" id="{00000000-0008-0000-0300-0000B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1"/>
          <a:stretch>
            <a:fillRect/>
          </a:stretch>
        </xdr:blipFill>
        <xdr:spPr>
          <a:xfrm>
            <a:off x="603571667" y="1097280"/>
            <a:ext cx="917986" cy="932330"/>
          </a:xfrm>
          <a:prstGeom prst="rect">
            <a:avLst/>
          </a:prstGeom>
        </xdr:spPr>
      </xdr:pic>
      <xdr:pic>
        <xdr:nvPicPr>
          <xdr:cNvPr id="3258" name="Pokemon_649_Droite">
            <a:extLst>
              <a:ext uri="{FF2B5EF4-FFF2-40B4-BE49-F238E27FC236}">
                <a16:creationId xmlns:a16="http://schemas.microsoft.com/office/drawing/2014/main" id="{00000000-0008-0000-0300-0000B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2"/>
          <a:stretch>
            <a:fillRect/>
          </a:stretch>
        </xdr:blipFill>
        <xdr:spPr>
          <a:xfrm>
            <a:off x="604489639" y="1097280"/>
            <a:ext cx="917986" cy="9323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603738</xdr:colOff>
      <xdr:row>12</xdr:row>
      <xdr:rowOff>41030</xdr:rowOff>
    </xdr:from>
    <xdr:to>
      <xdr:col>9</xdr:col>
      <xdr:colOff>128433</xdr:colOff>
      <xdr:row>14</xdr:row>
      <xdr:rowOff>47964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145215" y="2268415"/>
          <a:ext cx="316003" cy="382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9</xdr:col>
          <xdr:colOff>1211580</xdr:colOff>
          <xdr:row>9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9</xdr:row>
          <xdr:rowOff>182880</xdr:rowOff>
        </xdr:from>
        <xdr:to>
          <xdr:col>9</xdr:col>
          <xdr:colOff>1143000</xdr:colOff>
          <xdr:row>12</xdr:row>
          <xdr:rowOff>15240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8</xdr:row>
          <xdr:rowOff>152400</xdr:rowOff>
        </xdr:from>
        <xdr:to>
          <xdr:col>7</xdr:col>
          <xdr:colOff>60960</xdr:colOff>
          <xdr:row>10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11</xdr:row>
          <xdr:rowOff>76200</xdr:rowOff>
        </xdr:from>
        <xdr:to>
          <xdr:col>5</xdr:col>
          <xdr:colOff>137160</xdr:colOff>
          <xdr:row>12</xdr:row>
          <xdr:rowOff>144780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76200</xdr:rowOff>
        </xdr:from>
        <xdr:to>
          <xdr:col>7</xdr:col>
          <xdr:colOff>198120</xdr:colOff>
          <xdr:row>12</xdr:row>
          <xdr:rowOff>144780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74481</xdr:colOff>
      <xdr:row>16</xdr:row>
      <xdr:rowOff>178591</xdr:rowOff>
    </xdr:from>
    <xdr:to>
      <xdr:col>12</xdr:col>
      <xdr:colOff>158074</xdr:colOff>
      <xdr:row>21</xdr:row>
      <xdr:rowOff>142743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>
          <a:grpSpLocks noChangeAspect="1"/>
        </xdr:cNvGrpSpPr>
      </xdr:nvGrpSpPr>
      <xdr:grpSpPr>
        <a:xfrm>
          <a:off x="1714095" y="3126743"/>
          <a:ext cx="903400" cy="883807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1" name="Bouton 13" hidden="1">
                <a:extLst>
                  <a:ext uri="{63B3BB69-23CF-44E3-9099-C40C66FF867C}">
                    <a14:compatExt spid="_x0000_s43021"/>
                  </a:ext>
                  <a:ext uri="{FF2B5EF4-FFF2-40B4-BE49-F238E27FC236}">
                    <a16:creationId xmlns:a16="http://schemas.microsoft.com/office/drawing/2014/main" id="{00000000-0008-0000-0700-00000DA80000}"/>
                  </a:ext>
                </a:extLst>
              </xdr:cNvPr>
              <xdr:cNvSpPr/>
            </xdr:nvSpPr>
            <xdr:spPr bwMode="auto">
              <a:xfrm>
                <a:off x="9191624" y="75247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2" name="Bouton 14" hidden="1">
                <a:extLst>
                  <a:ext uri="{63B3BB69-23CF-44E3-9099-C40C66FF867C}">
                    <a14:compatExt spid="_x0000_s43022"/>
                  </a:ext>
                  <a:ext uri="{FF2B5EF4-FFF2-40B4-BE49-F238E27FC236}">
                    <a16:creationId xmlns:a16="http://schemas.microsoft.com/office/drawing/2014/main" id="{00000000-0008-0000-0700-00000EA80000}"/>
                  </a:ext>
                </a:extLst>
              </xdr:cNvPr>
              <xdr:cNvSpPr/>
            </xdr:nvSpPr>
            <xdr:spPr bwMode="auto">
              <a:xfrm>
                <a:off x="9686926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3" name="Bouton 15" hidden="1">
                <a:extLst>
                  <a:ext uri="{63B3BB69-23CF-44E3-9099-C40C66FF867C}">
                    <a14:compatExt spid="_x0000_s43023"/>
                  </a:ext>
                  <a:ext uri="{FF2B5EF4-FFF2-40B4-BE49-F238E27FC236}">
                    <a16:creationId xmlns:a16="http://schemas.microsoft.com/office/drawing/2014/main" id="{00000000-0008-0000-0700-00000FA80000}"/>
                  </a:ext>
                </a:extLst>
              </xdr:cNvPr>
              <xdr:cNvSpPr/>
            </xdr:nvSpPr>
            <xdr:spPr bwMode="auto">
              <a:xfrm>
                <a:off x="8715374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4" name="Bouton 16" hidden="1">
                <a:extLst>
                  <a:ext uri="{63B3BB69-23CF-44E3-9099-C40C66FF867C}">
                    <a14:compatExt spid="_x0000_s43024"/>
                  </a:ext>
                  <a:ext uri="{FF2B5EF4-FFF2-40B4-BE49-F238E27FC236}">
                    <a16:creationId xmlns:a16="http://schemas.microsoft.com/office/drawing/2014/main" id="{00000000-0008-0000-0700-000010A8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18</xdr:row>
          <xdr:rowOff>175260</xdr:rowOff>
        </xdr:from>
        <xdr:to>
          <xdr:col>16</xdr:col>
          <xdr:colOff>167640</xdr:colOff>
          <xdr:row>20</xdr:row>
          <xdr:rowOff>152400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Wall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9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9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9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9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9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9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4</xdr:row>
          <xdr:rowOff>137160</xdr:rowOff>
        </xdr:from>
        <xdr:to>
          <xdr:col>3</xdr:col>
          <xdr:colOff>464820</xdr:colOff>
          <xdr:row>6</xdr:row>
          <xdr:rowOff>45720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D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99060</xdr:rowOff>
        </xdr:from>
        <xdr:to>
          <xdr:col>1</xdr:col>
          <xdr:colOff>868680</xdr:colOff>
          <xdr:row>10</xdr:row>
          <xdr:rowOff>91440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D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76200</xdr:rowOff>
        </xdr:from>
        <xdr:to>
          <xdr:col>1</xdr:col>
          <xdr:colOff>868680</xdr:colOff>
          <xdr:row>13</xdr:row>
          <xdr:rowOff>76200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D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14</xdr:row>
          <xdr:rowOff>160020</xdr:rowOff>
        </xdr:from>
        <xdr:to>
          <xdr:col>1</xdr:col>
          <xdr:colOff>830580</xdr:colOff>
          <xdr:row>16</xdr:row>
          <xdr:rowOff>152400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D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Editor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0</xdr:colOff>
      <xdr:row>292</xdr:row>
      <xdr:rowOff>0</xdr:rowOff>
    </xdr:from>
    <xdr:to>
      <xdr:col>82</xdr:col>
      <xdr:colOff>0</xdr:colOff>
      <xdr:row>312</xdr:row>
      <xdr:rowOff>496</xdr:rowOff>
    </xdr:to>
    <xdr:pic>
      <xdr:nvPicPr>
        <xdr:cNvPr id="49" name="bourg-palette">
          <a:extLst>
            <a:ext uri="{FF2B5EF4-FFF2-40B4-BE49-F238E27FC236}">
              <a16:creationId xmlns:a16="http://schemas.microsoft.com/office/drawing/2014/main" id="{4CDD54B9-8223-4897-B6AA-B9B01D30C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29400" y="33375600"/>
          <a:ext cx="2743200" cy="2286496"/>
        </a:xfrm>
        <a:prstGeom prst="rect">
          <a:avLst/>
        </a:prstGeom>
      </xdr:spPr>
    </xdr:pic>
    <xdr:clientData/>
  </xdr:twoCellAnchor>
  <xdr:twoCellAnchor editAs="oneCell">
    <xdr:from>
      <xdr:col>46</xdr:col>
      <xdr:colOff>0</xdr:colOff>
      <xdr:row>92</xdr:row>
      <xdr:rowOff>0</xdr:rowOff>
    </xdr:from>
    <xdr:to>
      <xdr:col>94</xdr:col>
      <xdr:colOff>0</xdr:colOff>
      <xdr:row>132</xdr:row>
      <xdr:rowOff>0</xdr:rowOff>
    </xdr:to>
    <xdr:pic>
      <xdr:nvPicPr>
        <xdr:cNvPr id="15" name="argenta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57800" y="10515600"/>
          <a:ext cx="5486400" cy="4572000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132</xdr:row>
      <xdr:rowOff>0</xdr:rowOff>
    </xdr:from>
    <xdr:to>
      <xdr:col>82</xdr:col>
      <xdr:colOff>0</xdr:colOff>
      <xdr:row>212</xdr:row>
      <xdr:rowOff>1</xdr:rowOff>
    </xdr:to>
    <xdr:pic>
      <xdr:nvPicPr>
        <xdr:cNvPr id="9" name="route02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629400" y="15087600"/>
          <a:ext cx="2743200" cy="91440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55</xdr:col>
      <xdr:colOff>0</xdr:colOff>
      <xdr:row>69</xdr:row>
      <xdr:rowOff>112643</xdr:rowOff>
    </xdr:to>
    <xdr:pic>
      <xdr:nvPicPr>
        <xdr:cNvPr id="19" name="foret_de_jade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4300" y="114300"/>
          <a:ext cx="6172200" cy="7886700"/>
        </a:xfrm>
        <a:prstGeom prst="rect">
          <a:avLst/>
        </a:prstGeom>
      </xdr:spPr>
    </xdr:pic>
    <xdr:clientData/>
  </xdr:twoCellAnchor>
  <xdr:twoCellAnchor editAs="oneCell">
    <xdr:from>
      <xdr:col>94</xdr:col>
      <xdr:colOff>0</xdr:colOff>
      <xdr:row>103</xdr:row>
      <xdr:rowOff>0</xdr:rowOff>
    </xdr:from>
    <xdr:to>
      <xdr:col>181</xdr:col>
      <xdr:colOff>0</xdr:colOff>
      <xdr:row>123</xdr:row>
      <xdr:rowOff>0</xdr:rowOff>
    </xdr:to>
    <xdr:pic>
      <xdr:nvPicPr>
        <xdr:cNvPr id="17" name="route03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744200" y="11772900"/>
          <a:ext cx="9944100" cy="2286000"/>
        </a:xfrm>
        <a:prstGeom prst="rect">
          <a:avLst/>
        </a:prstGeom>
      </xdr:spPr>
    </xdr:pic>
    <xdr:clientData/>
  </xdr:twoCellAnchor>
  <xdr:twoCellAnchor editAs="oneCell">
    <xdr:from>
      <xdr:col>45</xdr:col>
      <xdr:colOff>115613</xdr:colOff>
      <xdr:row>212</xdr:row>
      <xdr:rowOff>0</xdr:rowOff>
    </xdr:from>
    <xdr:to>
      <xdr:col>94</xdr:col>
      <xdr:colOff>2969</xdr:colOff>
      <xdr:row>252</xdr:row>
      <xdr:rowOff>689</xdr:rowOff>
    </xdr:to>
    <xdr:pic>
      <xdr:nvPicPr>
        <xdr:cNvPr id="5" name="jadielle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318234" y="13411200"/>
          <a:ext cx="5549462" cy="4625241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252</xdr:row>
      <xdr:rowOff>0</xdr:rowOff>
    </xdr:from>
    <xdr:to>
      <xdr:col>82</xdr:col>
      <xdr:colOff>1805</xdr:colOff>
      <xdr:row>292</xdr:row>
      <xdr:rowOff>0</xdr:rowOff>
    </xdr:to>
    <xdr:pic>
      <xdr:nvPicPr>
        <xdr:cNvPr id="11" name="route01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629400" y="7886700"/>
          <a:ext cx="2741542" cy="4572000"/>
        </a:xfrm>
        <a:prstGeom prst="rect">
          <a:avLst/>
        </a:prstGeom>
      </xdr:spPr>
    </xdr:pic>
    <xdr:clientData/>
  </xdr:twoCellAnchor>
  <xdr:twoCellAnchor editAs="oneCell">
    <xdr:from>
      <xdr:col>84</xdr:col>
      <xdr:colOff>115613</xdr:colOff>
      <xdr:row>2</xdr:row>
      <xdr:rowOff>0</xdr:rowOff>
    </xdr:from>
    <xdr:to>
      <xdr:col>97</xdr:col>
      <xdr:colOff>100398</xdr:colOff>
      <xdr:row>16</xdr:row>
      <xdr:rowOff>2969</xdr:rowOff>
    </xdr:to>
    <xdr:pic>
      <xdr:nvPicPr>
        <xdr:cNvPr id="29" name="laboratoire_chen">
          <a:extLst>
            <a:ext uri="{FF2B5EF4-FFF2-40B4-BE49-F238E27FC236}">
              <a16:creationId xmlns:a16="http://schemas.microsoft.com/office/drawing/2014/main" id="{B8AC5275-82FD-4D7A-ACC9-6F5A644FE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844829" y="231648"/>
          <a:ext cx="1490497" cy="1621325"/>
        </a:xfrm>
        <a:prstGeom prst="rect">
          <a:avLst/>
        </a:prstGeom>
      </xdr:spPr>
    </xdr:pic>
    <xdr:clientData/>
  </xdr:twoCellAnchor>
  <xdr:twoCellAnchor>
    <xdr:from>
      <xdr:col>92</xdr:col>
      <xdr:colOff>95265</xdr:colOff>
      <xdr:row>6</xdr:row>
      <xdr:rowOff>59355</xdr:rowOff>
    </xdr:from>
    <xdr:to>
      <xdr:col>94</xdr:col>
      <xdr:colOff>46665</xdr:colOff>
      <xdr:row>8</xdr:row>
      <xdr:rowOff>46755</xdr:rowOff>
    </xdr:to>
    <xdr:pic>
      <xdr:nvPicPr>
        <xdr:cNvPr id="36" name="Starter_1">
          <a:extLst>
            <a:ext uri="{FF2B5EF4-FFF2-40B4-BE49-F238E27FC236}">
              <a16:creationId xmlns:a16="http://schemas.microsoft.com/office/drawing/2014/main" id="{F1E26C0B-8CED-4692-A4BE-B40557A25B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9"/>
        <a:srcRect l="20769" t="15725" r="29498" b="24597"/>
        <a:stretch>
          <a:fillRect/>
        </a:stretch>
      </xdr:blipFill>
      <xdr:spPr>
        <a:xfrm rot="-1320000">
          <a:off x="10610865" y="745155"/>
          <a:ext cx="180000" cy="216000"/>
        </a:xfrm>
        <a:prstGeom prst="rect">
          <a:avLst/>
        </a:prstGeom>
        <a:effectLst/>
        <a:scene3d>
          <a:camera prst="isometricBottomDown"/>
          <a:lightRig rig="threePt" dir="t"/>
        </a:scene3d>
      </xdr:spPr>
    </xdr:pic>
    <xdr:clientData/>
  </xdr:twoCellAnchor>
  <xdr:twoCellAnchor>
    <xdr:from>
      <xdr:col>93</xdr:col>
      <xdr:colOff>112995</xdr:colOff>
      <xdr:row>6</xdr:row>
      <xdr:rowOff>53100</xdr:rowOff>
    </xdr:from>
    <xdr:to>
      <xdr:col>95</xdr:col>
      <xdr:colOff>64395</xdr:colOff>
      <xdr:row>8</xdr:row>
      <xdr:rowOff>40500</xdr:rowOff>
    </xdr:to>
    <xdr:pic>
      <xdr:nvPicPr>
        <xdr:cNvPr id="37" name="Starter_4">
          <a:extLst>
            <a:ext uri="{FF2B5EF4-FFF2-40B4-BE49-F238E27FC236}">
              <a16:creationId xmlns:a16="http://schemas.microsoft.com/office/drawing/2014/main" id="{79C5F4BA-DDE5-42A6-94C4-F857A4283F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10"/>
        <a:srcRect l="23457" t="15019" r="27038" b="25574"/>
        <a:stretch>
          <a:fillRect/>
        </a:stretch>
      </xdr:blipFill>
      <xdr:spPr>
        <a:xfrm rot="-1320000">
          <a:off x="10742895" y="738900"/>
          <a:ext cx="180000" cy="216000"/>
        </a:xfrm>
        <a:prstGeom prst="rect">
          <a:avLst/>
        </a:prstGeom>
        <a:effectLst/>
        <a:scene3d>
          <a:camera prst="isometricBottomDown"/>
          <a:lightRig rig="threePt" dir="t"/>
        </a:scene3d>
      </xdr:spPr>
    </xdr:pic>
    <xdr:clientData/>
  </xdr:twoCellAnchor>
  <xdr:twoCellAnchor>
    <xdr:from>
      <xdr:col>94</xdr:col>
      <xdr:colOff>91800</xdr:colOff>
      <xdr:row>6</xdr:row>
      <xdr:rowOff>70200</xdr:rowOff>
    </xdr:from>
    <xdr:to>
      <xdr:col>96</xdr:col>
      <xdr:colOff>43200</xdr:colOff>
      <xdr:row>8</xdr:row>
      <xdr:rowOff>57600</xdr:rowOff>
    </xdr:to>
    <xdr:pic>
      <xdr:nvPicPr>
        <xdr:cNvPr id="38" name="Starter_7">
          <a:extLst>
            <a:ext uri="{FF2B5EF4-FFF2-40B4-BE49-F238E27FC236}">
              <a16:creationId xmlns:a16="http://schemas.microsoft.com/office/drawing/2014/main" id="{0FF1355E-45CA-416D-A696-22A721C210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11">
          <a:extLst>
            <a:ext uri="{BEBA8EAE-BF5A-486C-A8C5-ECC9F3942E4B}">
              <a14:imgProps xmlns:a14="http://schemas.microsoft.com/office/drawing/2010/main">
                <a14:imgLayer>
                  <a14:imgEffect>
                    <a14:colorTemperature colorTemp="5300"/>
                  </a14:imgEffect>
                </a14:imgLayer>
              </a14:imgProps>
            </a:ext>
          </a:extLst>
        </a:blip>
        <a:srcRect l="24926" t="20298" r="25341" b="20020"/>
        <a:stretch>
          <a:fillRect/>
        </a:stretch>
      </xdr:blipFill>
      <xdr:spPr>
        <a:xfrm rot="-1320000">
          <a:off x="10836000" y="756000"/>
          <a:ext cx="180000" cy="216000"/>
        </a:xfrm>
        <a:prstGeom prst="rect">
          <a:avLst/>
        </a:prstGeom>
        <a:effectLst/>
        <a:scene3d>
          <a:camera prst="isometricBottomDown"/>
          <a:lightRig rig="threePt" dir="t"/>
        </a:scene3d>
      </xdr:spPr>
    </xdr:pic>
    <xdr:clientData/>
  </xdr:twoCellAnchor>
  <xdr:twoCellAnchor editAs="oneCell">
    <xdr:from>
      <xdr:col>152</xdr:col>
      <xdr:colOff>0</xdr:colOff>
      <xdr:row>112</xdr:row>
      <xdr:rowOff>0</xdr:rowOff>
    </xdr:from>
    <xdr:to>
      <xdr:col>154</xdr:col>
      <xdr:colOff>80431</xdr:colOff>
      <xdr:row>115</xdr:row>
      <xdr:rowOff>42117</xdr:rowOff>
    </xdr:to>
    <xdr:pic>
      <xdr:nvPicPr>
        <xdr:cNvPr id="48" name="Hero_Marche">
          <a:extLst>
            <a:ext uri="{FF2B5EF4-FFF2-40B4-BE49-F238E27FC236}">
              <a16:creationId xmlns:a16="http://schemas.microsoft.com/office/drawing/2014/main" id="{4631048C-9C66-4116-B9E4-A5BDE4C0F7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847" t="51457" r="71001" b="24913"/>
        <a:stretch/>
      </xdr:blipFill>
      <xdr:spPr>
        <a:xfrm>
          <a:off x="17373600" y="12801600"/>
          <a:ext cx="309031" cy="38501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9" totalsRowShown="0" headerRowDxfId="60" dataDxfId="58" headerRowBorderDxfId="59" tableBorderDxfId="57">
  <autoFilter ref="B2:H9" xr:uid="{C414A4D2-C5F5-497D-A639-4A8EE161BF63}"/>
  <tableColumns count="7">
    <tableColumn id="1" xr3:uid="{5C8CCE40-5324-422D-B4E2-BC0EEB2637A4}" name="Feuille" dataDxfId="56"/>
    <tableColumn id="2" xr3:uid="{61C62033-3951-47B9-990B-4D95CF52FB3A}" name="Nom" dataDxfId="55"/>
    <tableColumn id="8" xr3:uid="{9AF53E84-20C5-47E1-BE53-91DA8C60394E}" name="Range" dataDxfId="54">
      <calculatedColumnFormula>"Sp_"&amp;Tab_BBD_Sprite[[#This Row],[Nom]]</calculatedColumnFormula>
    </tableColumn>
    <tableColumn id="3" xr3:uid="{2DD65BEA-6105-4F6A-99A3-90A40F660094}" name="L_Cases" dataDxfId="53"/>
    <tableColumn id="4" xr3:uid="{B69F256D-D223-4894-8098-673D3FEEBACD}" name="C_Cases" dataDxfId="52"/>
    <tableColumn id="5" xr3:uid="{14C26A1E-B632-4793-A1C4-D941E44B8850}" name="L_Pixel" dataDxfId="51"/>
    <tableColumn id="6" xr3:uid="{94869BFF-BBFC-4D2C-8ABE-1B6F9DFF9BC6}" name="C_Pixel" dataDxfId="5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C92FAF-08A5-42A2-85BD-FCA20B6A1A8A}" name="Tableau6" displayName="Tableau6" ref="B4:B11" totalsRowShown="0" headerRowDxfId="31" dataDxfId="29" headerRowBorderDxfId="30" tableBorderDxfId="28" headerRowCellStyle="Accent3" dataCellStyle="20 % - Accent3">
  <autoFilter ref="B4:B11" xr:uid="{CEC92FAF-08A5-42A2-85BD-FCA20B6A1A8A}"/>
  <tableColumns count="1">
    <tableColumn id="1" xr3:uid="{659C19E4-C18A-4A47-AB0C-978C08D192E5}" name="Thèmes" dataDxfId="27" dataCellStyle="20 % - Accent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C8D00-A9AC-4910-A8E1-F0763DB4D1EE}" name="Tableau4" displayName="Tableau4" ref="B2:D11" totalsRowShown="0">
  <autoFilter ref="B2:D11" xr:uid="{CB9C8D00-A9AC-4910-A8E1-F0763DB4D1EE}"/>
  <tableColumns count="3">
    <tableColumn id="1" xr3:uid="{1B5B0B6B-1EEA-4AD3-A37B-E31513A7D8C2}" name="Liens" dataCellStyle="Lien hypertexte"/>
    <tableColumn id="2" xr3:uid="{C5F16576-47DA-48C1-B9EB-89E70B74E10D}" name="Artiste"/>
    <tableColumn id="3" xr3:uid="{F084459B-74EA-4851-98A4-A70F8C465F53}" name="Commentaire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3:B5" totalsRowShown="0">
  <autoFilter ref="B3:B5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3:D5" totalsRowShown="0">
  <autoFilter ref="D3:D5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DB8EA0-220F-4CB7-BF07-158D56AA4DD3}" name="TableauPokemon" displayName="TableauPokemon" ref="B3:S653" totalsRowShown="0" headerRowDxfId="49" dataDxfId="48">
  <autoFilter ref="B3:S653" xr:uid="{40DB8EA0-220F-4CB7-BF07-158D56AA4DD3}"/>
  <tableColumns count="18">
    <tableColumn id="1" xr3:uid="{6F05B942-F82A-4C4F-973B-10F3EEB34CE7}" name="PokeIndex" dataDxfId="47"/>
    <tableColumn id="2" xr3:uid="{8198F26E-CA2A-40A9-B4F2-9BC01041197C}" name="Nom" dataDxfId="46"/>
    <tableColumn id="3" xr3:uid="{C6528F29-D072-4D92-BD3B-843D77DF64DE}" name="Name" dataDxfId="45"/>
    <tableColumn id="4" xr3:uid="{F57398D0-3F6B-4771-ABC5-324E3161A781}" name="Type 1" dataDxfId="44"/>
    <tableColumn id="5" xr3:uid="{D172934B-9645-4AB9-9CA8-E474D9FF91C8}" name="Type 2" dataDxfId="43"/>
    <tableColumn id="18" xr3:uid="{DCAB2490-7EA0-4969-8F0E-CB36D91CAF1A}" name="catch_rate" dataDxfId="25"/>
    <tableColumn id="15" xr3:uid="{233DD64E-F6DB-4EBE-90BA-993C155127F8}" name="base_experience" dataDxfId="24"/>
    <tableColumn id="6" xr3:uid="{8670EB94-2B55-411D-AAD1-AA3815F69212}" name="Total" dataDxfId="42"/>
    <tableColumn id="7" xr3:uid="{7AAEBAC1-F5F7-4642-AF55-DACCC5591B99}" name="HP" dataDxfId="41"/>
    <tableColumn id="8" xr3:uid="{CCD4D8B4-321F-4D6F-9C4E-B47813F9D778}" name="Attack" dataDxfId="40"/>
    <tableColumn id="9" xr3:uid="{83DDE8F1-B5A9-4442-AA26-73B3D7B1064C}" name="Defense" dataDxfId="39"/>
    <tableColumn id="10" xr3:uid="{35D1037F-6EA2-47A3-9EC4-8810F6C2F969}" name="Sp. Atk" dataDxfId="38"/>
    <tableColumn id="11" xr3:uid="{81BAAA47-9221-427B-8CAA-5D2F3E2374FF}" name="Sp. Def" dataDxfId="37"/>
    <tableColumn id="12" xr3:uid="{9C763B4E-603C-4876-B53B-694BC977D31F}" name="Speed" dataDxfId="36"/>
    <tableColumn id="13" xr3:uid="{49562A33-15F3-4D35-BA5F-8F756627ECB4}" name="Level" dataDxfId="35"/>
    <tableColumn id="17" xr3:uid="{18568CAF-68F1-45DC-BC66-7D7E227E8E85}" name="PokeIndex Evolution" dataDxfId="34"/>
    <tableColumn id="14" xr3:uid="{33452EFC-5D65-45D7-902E-EFC0C4263EDA}" name="Evolution" dataDxfId="33"/>
    <tableColumn id="16" xr3:uid="{9D1BE629-FB05-4050-AC2A-B22F774C6B62}" name="Switch Evolution" dataDxfId="3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36E05C-CBD6-4C4D-818A-B72F0DE9E719}" name="TableauZonePokemon" displayName="TableauZonePokemon" ref="U3:Y27" totalsRowShown="0" headerRowDxfId="17" dataDxfId="18">
  <autoFilter ref="U3:Y27" xr:uid="{9D36E05C-CBD6-4C4D-818A-B72F0DE9E719}"/>
  <tableColumns count="5">
    <tableColumn id="1" xr3:uid="{9F97CAA6-6ECC-4085-B90B-F43CE30CCA18}" name="Zone" dataDxfId="23"/>
    <tableColumn id="2" xr3:uid="{875D4D4B-E792-4947-AAF9-D5B93160E26B}" name="Lieu" dataDxfId="22"/>
    <tableColumn id="3" xr3:uid="{8933544A-6B43-4CBF-8629-6F9FD4FF265C}" name="Liste Pokemon" dataDxfId="21"/>
    <tableColumn id="4" xr3:uid="{BC31071E-6451-4EBF-8346-5C5EA02BEFD2}" name="Min Level" dataDxfId="20"/>
    <tableColumn id="5" xr3:uid="{5AC3F6C4-80F6-478B-955A-36DF4487F2B2}" name="Max Level" dataDxfId="1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5334D6-037E-4A78-A7D5-A749406219AE}" name="TabMapElement" displayName="TabMapElement" ref="E2:H10" totalsRowShown="0">
  <autoFilter ref="E2:H10" xr:uid="{A95334D6-037E-4A78-A7D5-A749406219AE}"/>
  <tableColumns count="4">
    <tableColumn id="1" xr3:uid="{AD48A5AE-56DD-46B8-866A-BB5676C72DC2}" name="Nom"/>
    <tableColumn id="2" xr3:uid="{52582B58-B451-4335-A782-412CBD207F5C}" name="Element"/>
    <tableColumn id="3" xr3:uid="{B1B5EF4A-6F28-4F23-81F8-4E755B995A46}" name="Emplacement"/>
    <tableColumn id="4" xr3:uid="{CD8CCC5D-7799-4F94-BD6C-E675235E42EC}" name="Etat" dataDxfId="26">
      <calculatedColumnFormula array="1">IsVisible(TabMapElement[[#This Row],[Emplacement]],TabMapElement[[#This Row],[Nom]])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1BF0DF-F271-4508-B34E-CBD528A6B7B7}" name="TableauLiens11" displayName="TableauLiens11" ref="U2:V6" totalsRowShown="0" headerRowDxfId="16" dataDxfId="15" headerRowBorderDxfId="13" tableBorderDxfId="14">
  <autoFilter ref="U2:V6" xr:uid="{6C1BF0DF-F271-4508-B34E-CBD528A6B7B7}"/>
  <tableColumns count="2">
    <tableColumn id="1" xr3:uid="{CB6DD27D-7524-44D0-83C4-DF9F3DC5A7BD}" name="Evenement" dataDxfId="12"/>
    <tableColumn id="2" xr3:uid="{9B769683-04B7-4186-A4BA-D4953EB217C3}" name="Description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okebip.com/page/jeuxvideo/pokemon_noir_black_blanc_white/pokedex-national" TargetMode="External"/><Relationship Id="rId3" Type="http://schemas.openxmlformats.org/officeDocument/2006/relationships/hyperlink" Target="https://www.deviantart.com/sailorvicious/art/Raypath-Town-Reedited-177021322" TargetMode="External"/><Relationship Id="rId7" Type="http://schemas.openxmlformats.org/officeDocument/2006/relationships/hyperlink" Target="https://github.com/alcinoluiz/Pokemon-Data-Analysis/blob/master/pokemon%20evolutions%20by%20level.csv" TargetMode="External"/><Relationship Id="rId2" Type="http://schemas.openxmlformats.org/officeDocument/2006/relationships/hyperlink" Target="https://www.spriters-resource.com/ds_dsi/pokemonblackwhite/sheet/34024/" TargetMode="External"/><Relationship Id="rId1" Type="http://schemas.openxmlformats.org/officeDocument/2006/relationships/hyperlink" Target="https://www.spriters-resource.com/3ds/pokemonbattletrozei/sheet/64891/" TargetMode="External"/><Relationship Id="rId6" Type="http://schemas.openxmlformats.org/officeDocument/2006/relationships/hyperlink" Target="https://gist.github.com/armgilles/194bcff35001e7eb53a2a8b441e8b2c6" TargetMode="External"/><Relationship Id="rId5" Type="http://schemas.openxmlformats.org/officeDocument/2006/relationships/hyperlink" Target="https://www.pokebip.com/page/fanarts/tutos/pixel-art/index" TargetMode="External"/><Relationship Id="rId10" Type="http://schemas.openxmlformats.org/officeDocument/2006/relationships/table" Target="../tables/table3.xml"/><Relationship Id="rId4" Type="http://schemas.openxmlformats.org/officeDocument/2006/relationships/hyperlink" Target="https://www.deviantart.com/deathkof/art/costa-concurso-de-mapas-WAH-2020-856314582" TargetMode="External"/><Relationship Id="rId9" Type="http://schemas.openxmlformats.org/officeDocument/2006/relationships/hyperlink" Target="http://www.endprod.com/colors/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pokebip.com/page/jeuxvideo/rfvf/guide-des-lieux/route-6" TargetMode="External"/><Relationship Id="rId4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2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8"/>
  </sheetPr>
  <dimension ref="A1:HA303"/>
  <sheetViews>
    <sheetView showGridLines="0" zoomScale="130" zoomScaleNormal="130" zoomScalePageLayoutView="70" workbookViewId="0">
      <selection activeCell="JG196" sqref="JG196"/>
    </sheetView>
  </sheetViews>
  <sheetFormatPr baseColWidth="10" defaultColWidth="3.5546875" defaultRowHeight="19.2" customHeight="1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209" ht="19.2" customHeight="1">
      <c r="A1" s="160" t="s">
        <v>28</v>
      </c>
    </row>
    <row r="2" spans="1:209" ht="19.2" customHeight="1" thickBot="1">
      <c r="F2" s="11" t="s">
        <v>0</v>
      </c>
      <c r="G2" s="11"/>
      <c r="H2" s="11" t="s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 t="s">
        <v>0</v>
      </c>
      <c r="AT2" s="11" t="s">
        <v>0</v>
      </c>
      <c r="AU2" s="11" t="s">
        <v>0</v>
      </c>
      <c r="AV2" s="11"/>
      <c r="AW2" s="11"/>
      <c r="AX2" s="11"/>
    </row>
    <row r="3" spans="1:209" ht="9.6" customHeight="1" thickBot="1">
      <c r="D3" s="27" t="s">
        <v>4</v>
      </c>
      <c r="E3" s="27" t="s">
        <v>5</v>
      </c>
      <c r="F3" s="11" t="s">
        <v>0</v>
      </c>
      <c r="G3" s="50"/>
      <c r="H3" s="161" cm="1">
        <f t="array" ref="H3:X3">_xlfn.SEQUENCE(1,CS_CC)</f>
        <v>1</v>
      </c>
      <c r="I3" s="161">
        <v>2</v>
      </c>
      <c r="J3" s="161">
        <v>3</v>
      </c>
      <c r="K3" s="161">
        <v>4</v>
      </c>
      <c r="L3" s="161">
        <v>5</v>
      </c>
      <c r="M3" s="161">
        <v>6</v>
      </c>
      <c r="N3" s="161">
        <v>7</v>
      </c>
      <c r="O3" s="161">
        <v>8</v>
      </c>
      <c r="P3" s="161">
        <v>9</v>
      </c>
      <c r="Q3" s="161">
        <v>10</v>
      </c>
      <c r="R3" s="161">
        <v>11</v>
      </c>
      <c r="S3" s="161">
        <v>12</v>
      </c>
      <c r="T3" s="161">
        <v>13</v>
      </c>
      <c r="U3" s="161">
        <v>14</v>
      </c>
      <c r="V3" s="161">
        <v>15</v>
      </c>
      <c r="W3" s="161">
        <v>16</v>
      </c>
      <c r="X3" s="161">
        <v>17</v>
      </c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3"/>
      <c r="FK3" s="163"/>
      <c r="FL3" s="163"/>
      <c r="FM3" s="163"/>
      <c r="FN3" s="163"/>
      <c r="FO3" s="163"/>
      <c r="FP3" s="163"/>
      <c r="FQ3" s="163"/>
      <c r="FR3" s="163"/>
      <c r="FS3" s="163"/>
      <c r="FT3" s="163"/>
      <c r="FU3" s="163"/>
      <c r="FV3" s="163"/>
      <c r="FW3" s="163"/>
      <c r="FX3" s="163"/>
      <c r="FY3" s="163"/>
      <c r="FZ3" s="163"/>
      <c r="GA3" s="163"/>
      <c r="GB3" s="163"/>
      <c r="GC3" s="163"/>
      <c r="GD3" s="163"/>
      <c r="GE3" s="163"/>
      <c r="GF3" s="163"/>
      <c r="GG3" s="163"/>
      <c r="GH3" s="163"/>
      <c r="GI3" s="163"/>
      <c r="GJ3" s="163"/>
      <c r="GK3" s="163"/>
      <c r="GL3" s="163"/>
      <c r="GM3" s="163"/>
      <c r="GN3" s="163"/>
      <c r="GO3" s="163"/>
      <c r="GP3" s="163"/>
      <c r="GQ3" s="163"/>
      <c r="GR3" s="163"/>
      <c r="GS3" s="163"/>
      <c r="GT3" s="163"/>
      <c r="GU3" s="163"/>
      <c r="GV3" s="163"/>
      <c r="GW3" s="163"/>
      <c r="GX3" s="163"/>
      <c r="GY3" s="163"/>
      <c r="GZ3" s="163"/>
      <c r="HA3" s="163"/>
    </row>
    <row r="4" spans="1:209" ht="19.2" customHeight="1" thickBot="1">
      <c r="C4" s="28" t="s">
        <v>6</v>
      </c>
      <c r="D4" s="23">
        <v>17</v>
      </c>
      <c r="E4" s="23">
        <v>32</v>
      </c>
      <c r="F4" s="11" t="s">
        <v>0</v>
      </c>
      <c r="G4" s="161" t="str" cm="1">
        <f t="array" ref="G4:G20">_xlfn.SEQUENCE(CS_LC,1)&amp;" "</f>
        <v xml:space="preserve">1 </v>
      </c>
      <c r="H4" s="167"/>
      <c r="I4" s="11"/>
      <c r="J4" s="168"/>
      <c r="K4" s="174"/>
      <c r="L4" s="170"/>
      <c r="M4" s="11"/>
      <c r="N4" s="173"/>
      <c r="O4" s="11"/>
      <c r="P4" s="168"/>
      <c r="Q4" s="11"/>
      <c r="R4" s="173"/>
      <c r="S4" s="11"/>
      <c r="T4" s="168"/>
      <c r="U4" s="174"/>
      <c r="V4" s="168"/>
      <c r="W4" s="11"/>
      <c r="X4" s="167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</row>
    <row r="5" spans="1:209" ht="19.2" customHeight="1" thickTop="1" thickBot="1">
      <c r="C5" s="29" t="s">
        <v>7</v>
      </c>
      <c r="D5" s="24">
        <v>17</v>
      </c>
      <c r="E5" s="24">
        <v>32</v>
      </c>
      <c r="F5" s="11" t="s">
        <v>0</v>
      </c>
      <c r="G5" s="161" t="str">
        <v xml:space="preserve">2 </v>
      </c>
      <c r="H5" s="11"/>
      <c r="I5" s="170"/>
      <c r="J5" s="50"/>
      <c r="K5" s="174"/>
      <c r="L5" s="11"/>
      <c r="M5" s="173"/>
      <c r="O5" s="168"/>
      <c r="P5" s="173"/>
      <c r="Q5" s="168"/>
      <c r="S5" s="173"/>
      <c r="T5" s="11"/>
      <c r="U5" s="174"/>
      <c r="V5" s="11"/>
      <c r="W5" s="170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</row>
    <row r="6" spans="1:209" ht="19.2" customHeight="1" thickBot="1">
      <c r="D6" s="1"/>
      <c r="E6" s="1"/>
      <c r="F6" s="11" t="s">
        <v>0</v>
      </c>
      <c r="G6" s="161" t="str">
        <v xml:space="preserve">3 </v>
      </c>
      <c r="H6" s="168"/>
      <c r="I6" s="50"/>
      <c r="J6" s="173"/>
      <c r="K6" s="11"/>
      <c r="L6" s="173"/>
      <c r="M6" s="11"/>
      <c r="N6" s="170"/>
      <c r="O6" s="170"/>
      <c r="P6" s="11"/>
      <c r="Q6" s="170"/>
      <c r="R6" s="170"/>
      <c r="S6" s="11"/>
      <c r="T6" s="173"/>
      <c r="U6" s="11"/>
      <c r="V6" s="173"/>
      <c r="W6" s="11"/>
      <c r="X6" s="168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209" ht="19.2" customHeight="1">
      <c r="D7" s="30" t="s">
        <v>8</v>
      </c>
      <c r="E7" s="31" t="s">
        <v>9</v>
      </c>
      <c r="F7" s="11"/>
      <c r="G7" s="161" t="str">
        <v xml:space="preserve">4 </v>
      </c>
      <c r="H7" s="174"/>
      <c r="I7" s="174"/>
      <c r="J7" s="11"/>
      <c r="K7" s="174"/>
      <c r="L7" s="170"/>
      <c r="M7" s="170"/>
      <c r="N7" s="11"/>
      <c r="O7" s="11"/>
      <c r="P7" s="170"/>
      <c r="Q7" s="11"/>
      <c r="R7" s="11"/>
      <c r="S7" s="170"/>
      <c r="T7" s="170"/>
      <c r="U7" s="174"/>
      <c r="V7" s="11"/>
      <c r="W7" s="174"/>
      <c r="X7" s="174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</row>
    <row r="8" spans="1:209" ht="19.2" customHeight="1" thickBot="1">
      <c r="D8" s="158"/>
      <c r="E8" s="159"/>
      <c r="F8" s="11"/>
      <c r="G8" s="161" t="str">
        <v xml:space="preserve">5 </v>
      </c>
      <c r="H8" s="168"/>
      <c r="I8" s="11"/>
      <c r="J8" s="173"/>
      <c r="K8" s="170"/>
      <c r="L8" s="167"/>
      <c r="M8" s="11"/>
      <c r="N8" s="169"/>
      <c r="O8" s="169"/>
      <c r="P8" s="11"/>
      <c r="Q8" s="169"/>
      <c r="R8" s="169"/>
      <c r="S8" s="11"/>
      <c r="T8" s="167"/>
      <c r="U8" s="170"/>
      <c r="V8" s="173"/>
      <c r="W8" s="11"/>
      <c r="X8" s="168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</row>
    <row r="9" spans="1:209" ht="19.2" customHeight="1" thickBot="1">
      <c r="F9" s="11"/>
      <c r="G9" s="161" t="str">
        <v xml:space="preserve">6 </v>
      </c>
      <c r="H9" s="11"/>
      <c r="I9" s="173"/>
      <c r="J9" s="11"/>
      <c r="K9" s="170"/>
      <c r="L9" s="11"/>
      <c r="M9" s="167"/>
      <c r="N9" s="11"/>
      <c r="O9" s="11"/>
      <c r="P9" s="168"/>
      <c r="Q9" s="11"/>
      <c r="R9" s="11"/>
      <c r="S9" s="167"/>
      <c r="T9" s="11"/>
      <c r="U9" s="170"/>
      <c r="V9" s="11"/>
      <c r="W9" s="173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209" ht="19.2" customHeight="1">
      <c r="D10" s="30" t="s">
        <v>10</v>
      </c>
      <c r="E10" s="31" t="s">
        <v>11</v>
      </c>
      <c r="F10" s="11"/>
      <c r="G10" s="161" t="str">
        <v xml:space="preserve">7 </v>
      </c>
      <c r="H10" s="173"/>
      <c r="I10" s="11"/>
      <c r="J10" s="170"/>
      <c r="K10" s="11"/>
      <c r="L10" s="169"/>
      <c r="M10" s="11"/>
      <c r="N10" s="167"/>
      <c r="O10" s="168"/>
      <c r="P10" s="11"/>
      <c r="Q10" s="168"/>
      <c r="R10" s="167"/>
      <c r="S10" s="11"/>
      <c r="T10" s="169"/>
      <c r="U10" s="11"/>
      <c r="V10" s="170"/>
      <c r="W10" s="11"/>
      <c r="X10" s="173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</row>
    <row r="11" spans="1:209" ht="19.2" customHeight="1" thickBot="1">
      <c r="D11" s="164"/>
      <c r="E11" s="159"/>
      <c r="F11" s="11"/>
      <c r="G11" s="161" t="str">
        <v xml:space="preserve">8 </v>
      </c>
      <c r="H11" s="11"/>
      <c r="I11" s="168"/>
      <c r="J11" s="170"/>
      <c r="K11" s="11"/>
      <c r="L11" s="169"/>
      <c r="M11" s="11"/>
      <c r="N11" s="168"/>
      <c r="O11" s="167"/>
      <c r="P11" s="11"/>
      <c r="Q11" s="167"/>
      <c r="R11" s="168"/>
      <c r="S11" s="11"/>
      <c r="T11" s="169"/>
      <c r="U11" s="11"/>
      <c r="V11" s="170"/>
      <c r="W11" s="168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</row>
    <row r="12" spans="1:209" ht="19.2" customHeight="1" thickBot="1">
      <c r="F12" s="11"/>
      <c r="G12" s="161" t="str">
        <v xml:space="preserve">9 </v>
      </c>
      <c r="H12" s="168"/>
      <c r="I12" s="173"/>
      <c r="J12" s="11"/>
      <c r="K12" s="170"/>
      <c r="L12" s="11"/>
      <c r="M12" s="168"/>
      <c r="N12" s="11"/>
      <c r="O12" s="11"/>
      <c r="P12" s="170"/>
      <c r="S12" s="168"/>
      <c r="T12" s="168"/>
      <c r="U12" s="169"/>
      <c r="W12" s="173"/>
      <c r="X12" s="168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209" ht="19.2" customHeight="1" thickBot="1">
      <c r="D13" s="236" t="s">
        <v>12</v>
      </c>
      <c r="E13" s="237"/>
      <c r="F13" s="11"/>
      <c r="G13" s="161" t="str">
        <v xml:space="preserve">10 </v>
      </c>
      <c r="H13" s="11"/>
      <c r="I13" s="168"/>
      <c r="J13" s="170"/>
      <c r="K13" s="11"/>
      <c r="L13" s="169"/>
      <c r="M13" s="11"/>
      <c r="N13" s="168"/>
      <c r="O13" s="167"/>
      <c r="Q13" s="167"/>
      <c r="R13" s="168"/>
      <c r="T13" s="169"/>
      <c r="V13" s="170"/>
      <c r="W13" s="16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</row>
    <row r="14" spans="1:209" ht="19.2" customHeight="1">
      <c r="D14" s="59"/>
      <c r="E14" s="60"/>
      <c r="F14" s="11"/>
      <c r="G14" s="161" t="str">
        <v xml:space="preserve">11 </v>
      </c>
      <c r="H14" s="173"/>
      <c r="J14" s="170"/>
      <c r="K14" s="11"/>
      <c r="L14" s="169"/>
      <c r="M14" s="11"/>
      <c r="N14" s="167"/>
      <c r="O14" s="168"/>
      <c r="Q14" s="168"/>
      <c r="R14" s="167"/>
      <c r="T14" s="169"/>
      <c r="V14" s="170"/>
      <c r="X14" s="173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</row>
    <row r="15" spans="1:209" ht="19.2" customHeight="1">
      <c r="D15" s="61"/>
      <c r="E15" s="62"/>
      <c r="F15" s="11"/>
      <c r="G15" s="161" t="str">
        <v xml:space="preserve">12 </v>
      </c>
      <c r="H15" s="11"/>
      <c r="I15" s="173"/>
      <c r="J15" s="11"/>
      <c r="K15" s="170"/>
      <c r="L15" s="11"/>
      <c r="M15" s="167"/>
      <c r="N15" s="11"/>
      <c r="O15" s="11"/>
      <c r="P15" s="168"/>
      <c r="S15" s="167"/>
      <c r="U15" s="170"/>
      <c r="W15" s="173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209" ht="19.2" customHeight="1">
      <c r="D16" s="65"/>
      <c r="E16" s="67"/>
      <c r="F16" s="11"/>
      <c r="G16" s="161" t="str">
        <v xml:space="preserve">13 </v>
      </c>
      <c r="H16" s="168"/>
      <c r="I16" s="11"/>
      <c r="J16" s="173"/>
      <c r="K16" s="11"/>
      <c r="L16" s="167"/>
      <c r="M16" s="11"/>
      <c r="N16" s="169"/>
      <c r="O16" s="169"/>
      <c r="P16" s="168"/>
      <c r="Q16" s="169"/>
      <c r="R16" s="169"/>
      <c r="T16" s="167"/>
      <c r="U16" s="170"/>
      <c r="V16" s="173"/>
      <c r="X16" s="16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</row>
    <row r="17" spans="4:52" ht="19.2" customHeight="1">
      <c r="D17" s="64"/>
      <c r="E17" s="63"/>
      <c r="F17" s="11"/>
      <c r="G17" s="161" t="str">
        <v xml:space="preserve">14 </v>
      </c>
      <c r="H17" s="174"/>
      <c r="I17" s="174"/>
      <c r="J17" s="11"/>
      <c r="K17" s="174"/>
      <c r="L17" s="170"/>
      <c r="M17" s="170"/>
      <c r="N17" s="11"/>
      <c r="O17" s="11"/>
      <c r="P17" s="169"/>
      <c r="S17" s="170"/>
      <c r="T17" s="170"/>
      <c r="U17" s="174"/>
      <c r="W17" s="174"/>
      <c r="X17" s="174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</row>
    <row r="18" spans="4:52" ht="19.2" customHeight="1" thickBot="1">
      <c r="D18" s="69"/>
      <c r="E18" s="72"/>
      <c r="F18" s="11"/>
      <c r="G18" s="161" t="str">
        <v xml:space="preserve">15 </v>
      </c>
      <c r="H18" s="168"/>
      <c r="I18" s="11"/>
      <c r="J18" s="173"/>
      <c r="K18" s="11"/>
      <c r="L18" s="173"/>
      <c r="M18" s="11"/>
      <c r="N18" s="170"/>
      <c r="O18" s="170"/>
      <c r="P18" s="168"/>
      <c r="Q18" s="170"/>
      <c r="R18" s="170"/>
      <c r="T18" s="173"/>
      <c r="V18" s="173"/>
      <c r="X18" s="16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4:52" ht="19.2" customHeight="1">
      <c r="D19" s="58" t="s">
        <v>13</v>
      </c>
      <c r="E19" s="175"/>
      <c r="F19" s="11"/>
      <c r="G19" s="161" t="str">
        <v xml:space="preserve">16 </v>
      </c>
      <c r="H19" s="11"/>
      <c r="I19" s="170"/>
      <c r="J19" s="11"/>
      <c r="K19" s="174"/>
      <c r="L19" s="11"/>
      <c r="M19" s="173"/>
      <c r="N19" s="11"/>
      <c r="O19" s="168"/>
      <c r="P19" s="173"/>
      <c r="S19" s="173"/>
      <c r="U19" s="174"/>
      <c r="W19" s="170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</row>
    <row r="20" spans="4:52" ht="19.2" customHeight="1" thickBot="1">
      <c r="D20" s="34" t="s">
        <v>14</v>
      </c>
      <c r="E20" s="35"/>
      <c r="F20" s="11"/>
      <c r="G20" s="161" t="str">
        <v xml:space="preserve">17 </v>
      </c>
      <c r="H20" s="167"/>
      <c r="I20" s="11"/>
      <c r="J20" s="168"/>
      <c r="K20" s="174"/>
      <c r="L20" s="168"/>
      <c r="M20" s="11"/>
      <c r="N20" s="173"/>
      <c r="P20" s="168"/>
      <c r="R20" s="173"/>
      <c r="T20" s="168"/>
      <c r="U20" s="174"/>
      <c r="V20" s="168"/>
      <c r="X20" s="167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</row>
    <row r="21" spans="4:52" ht="19.2" customHeight="1" thickBot="1">
      <c r="F21" s="11"/>
      <c r="G21" s="16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79</v>
      </c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4:52" ht="19.2" customHeight="1">
      <c r="D22" s="32" t="s">
        <v>15</v>
      </c>
      <c r="E22" s="33" t="s">
        <v>16</v>
      </c>
      <c r="F22" s="11"/>
      <c r="G22" s="16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</row>
    <row r="23" spans="4:52" ht="19.2" customHeight="1" thickBot="1">
      <c r="D23" s="26">
        <v>3</v>
      </c>
      <c r="E23" s="25" t="s">
        <v>3</v>
      </c>
      <c r="F23" s="11"/>
      <c r="G23" s="16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</row>
    <row r="24" spans="4:52" ht="19.2" customHeight="1" thickBot="1">
      <c r="F24" s="11"/>
      <c r="G24" s="16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4:52" ht="19.2" customHeight="1" thickBot="1">
      <c r="D25" s="36" t="s">
        <v>17</v>
      </c>
      <c r="E25" s="37" t="b">
        <v>0</v>
      </c>
      <c r="F25" s="11"/>
      <c r="G25" s="16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4:52" ht="19.2" customHeight="1" thickBot="1">
      <c r="D26" s="38" t="s">
        <v>18</v>
      </c>
      <c r="E26" s="39" t="b">
        <v>1</v>
      </c>
      <c r="F26" s="11"/>
      <c r="G26" s="16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4:52" ht="19.2" customHeight="1">
      <c r="F27" s="11"/>
      <c r="G27" s="16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4:52" ht="19.2" customHeight="1">
      <c r="G28" s="16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4:52" ht="19.2" customHeight="1">
      <c r="G29" s="16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4:52" ht="19.2" customHeight="1">
      <c r="G30" s="16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4:52" ht="19.2" customHeight="1">
      <c r="G31" s="16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4:52" ht="19.2" customHeight="1">
      <c r="G32" s="16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7:52" ht="19.2" customHeight="1">
      <c r="G33" s="16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7:52" ht="19.2" customHeight="1">
      <c r="G34" s="16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7:52" ht="19.2" customHeight="1">
      <c r="G35" s="16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7:52" ht="19.2" customHeight="1">
      <c r="G36" s="16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7:52" ht="19.2" customHeight="1">
      <c r="G37" s="16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7:52" ht="19.2" customHeight="1">
      <c r="G38" s="16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</row>
    <row r="39" spans="7:52" ht="19.2" customHeight="1">
      <c r="G39" s="16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7:52" ht="19.2" customHeight="1">
      <c r="G40" s="16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</row>
    <row r="41" spans="7:52" ht="19.2" customHeight="1">
      <c r="G41" s="16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</row>
    <row r="42" spans="7:52" ht="19.2" customHeight="1">
      <c r="G42" s="16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7:52" ht="19.2" customHeight="1">
      <c r="G43" s="16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</row>
    <row r="44" spans="7:52" ht="19.2" customHeight="1">
      <c r="G44" s="16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</row>
    <row r="45" spans="7:52" ht="19.2" customHeight="1">
      <c r="G45" s="16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7:52" ht="19.2" customHeight="1">
      <c r="G46" s="16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</row>
    <row r="47" spans="7:52" ht="19.2" customHeight="1">
      <c r="G47" s="16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</row>
    <row r="48" spans="7:52" ht="19.2" customHeight="1">
      <c r="G48" s="16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7:52" ht="19.2" customHeight="1">
      <c r="G49" s="16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</row>
    <row r="50" spans="7:52" ht="19.2" customHeight="1">
      <c r="G50" s="16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</row>
    <row r="51" spans="7:52" ht="19.2" customHeight="1">
      <c r="G51" s="16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7:52" ht="19.2" customHeight="1">
      <c r="G52" s="16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</row>
    <row r="53" spans="7:52" ht="19.2" customHeight="1">
      <c r="G53" s="16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</row>
    <row r="54" spans="7:52" ht="19.2" customHeight="1">
      <c r="G54" s="16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7:52" ht="19.2" customHeight="1">
      <c r="G55" s="16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</row>
    <row r="56" spans="7:52" ht="19.2" customHeight="1">
      <c r="G56" s="16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</row>
    <row r="57" spans="7:52" ht="19.2" customHeight="1">
      <c r="G57" s="16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7:52" ht="19.2" customHeight="1">
      <c r="G58" s="16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</row>
    <row r="59" spans="7:52" ht="19.2" customHeight="1">
      <c r="G59" s="16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</row>
    <row r="60" spans="7:52" ht="19.2" customHeight="1">
      <c r="G60" s="16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7:52" ht="19.2" customHeight="1">
      <c r="G61" s="161"/>
    </row>
    <row r="62" spans="7:52" ht="19.2" customHeight="1">
      <c r="G62" s="161"/>
    </row>
    <row r="63" spans="7:52" ht="19.2" customHeight="1">
      <c r="G63" s="161"/>
    </row>
    <row r="64" spans="7:52" ht="19.2" customHeight="1">
      <c r="G64" s="161"/>
    </row>
    <row r="65" spans="7:7" ht="19.2" customHeight="1">
      <c r="G65" s="161"/>
    </row>
    <row r="66" spans="7:7" ht="19.2" customHeight="1">
      <c r="G66" s="161"/>
    </row>
    <row r="67" spans="7:7" ht="19.2" customHeight="1">
      <c r="G67" s="161"/>
    </row>
    <row r="68" spans="7:7" ht="19.2" customHeight="1">
      <c r="G68" s="161"/>
    </row>
    <row r="69" spans="7:7" ht="19.2" customHeight="1">
      <c r="G69" s="161"/>
    </row>
    <row r="70" spans="7:7" ht="19.2" customHeight="1">
      <c r="G70" s="161"/>
    </row>
    <row r="71" spans="7:7" ht="19.2" customHeight="1">
      <c r="G71" s="161"/>
    </row>
    <row r="72" spans="7:7" ht="19.2" customHeight="1">
      <c r="G72" s="161"/>
    </row>
    <row r="73" spans="7:7" ht="19.2" customHeight="1">
      <c r="G73" s="161"/>
    </row>
    <row r="74" spans="7:7" ht="19.2" customHeight="1">
      <c r="G74" s="161"/>
    </row>
    <row r="75" spans="7:7" ht="19.2" customHeight="1">
      <c r="G75" s="161"/>
    </row>
    <row r="76" spans="7:7" ht="19.2" customHeight="1">
      <c r="G76" s="161"/>
    </row>
    <row r="77" spans="7:7" ht="19.2" customHeight="1">
      <c r="G77" s="161"/>
    </row>
    <row r="78" spans="7:7" ht="19.2" customHeight="1">
      <c r="G78" s="161"/>
    </row>
    <row r="79" spans="7:7" ht="19.2" customHeight="1">
      <c r="G79" s="161"/>
    </row>
    <row r="80" spans="7:7" ht="19.2" customHeight="1">
      <c r="G80" s="161"/>
    </row>
    <row r="81" spans="7:7" ht="19.2" customHeight="1">
      <c r="G81" s="161"/>
    </row>
    <row r="82" spans="7:7" ht="19.2" customHeight="1">
      <c r="G82" s="161"/>
    </row>
    <row r="83" spans="7:7" ht="19.2" customHeight="1">
      <c r="G83" s="161"/>
    </row>
    <row r="84" spans="7:7" ht="19.2" customHeight="1">
      <c r="G84" s="161"/>
    </row>
    <row r="85" spans="7:7" ht="19.2" customHeight="1">
      <c r="G85" s="161"/>
    </row>
    <row r="86" spans="7:7" ht="19.2" customHeight="1">
      <c r="G86" s="161"/>
    </row>
    <row r="87" spans="7:7" ht="19.2" customHeight="1">
      <c r="G87" s="161"/>
    </row>
    <row r="88" spans="7:7" ht="19.2" customHeight="1">
      <c r="G88" s="161"/>
    </row>
    <row r="89" spans="7:7" ht="19.2" customHeight="1">
      <c r="G89" s="161"/>
    </row>
    <row r="90" spans="7:7" ht="19.2" customHeight="1">
      <c r="G90" s="161"/>
    </row>
    <row r="91" spans="7:7" ht="19.2" customHeight="1">
      <c r="G91" s="161"/>
    </row>
    <row r="92" spans="7:7" ht="19.2" customHeight="1">
      <c r="G92" s="161"/>
    </row>
    <row r="93" spans="7:7" ht="19.2" customHeight="1">
      <c r="G93" s="161"/>
    </row>
    <row r="94" spans="7:7" ht="19.2" customHeight="1">
      <c r="G94" s="161"/>
    </row>
    <row r="95" spans="7:7" ht="19.2" customHeight="1">
      <c r="G95" s="161"/>
    </row>
    <row r="96" spans="7:7" ht="19.2" customHeight="1">
      <c r="G96" s="161"/>
    </row>
    <row r="97" spans="7:7" ht="19.2" customHeight="1">
      <c r="G97" s="161"/>
    </row>
    <row r="98" spans="7:7" ht="19.2" customHeight="1">
      <c r="G98" s="161"/>
    </row>
    <row r="99" spans="7:7" ht="19.2" customHeight="1">
      <c r="G99" s="161"/>
    </row>
    <row r="100" spans="7:7" ht="19.2" customHeight="1">
      <c r="G100" s="161"/>
    </row>
    <row r="101" spans="7:7" ht="19.2" customHeight="1">
      <c r="G101" s="161"/>
    </row>
    <row r="102" spans="7:7" ht="19.2" customHeight="1">
      <c r="G102" s="161"/>
    </row>
    <row r="103" spans="7:7" ht="19.2" customHeight="1">
      <c r="G103" s="161"/>
    </row>
    <row r="104" spans="7:7" ht="19.2" customHeight="1">
      <c r="G104" s="161"/>
    </row>
    <row r="105" spans="7:7" ht="19.2" customHeight="1">
      <c r="G105" s="161"/>
    </row>
    <row r="106" spans="7:7" ht="19.2" customHeight="1">
      <c r="G106" s="161"/>
    </row>
    <row r="107" spans="7:7" ht="19.2" customHeight="1">
      <c r="G107" s="161"/>
    </row>
    <row r="108" spans="7:7" ht="19.2" customHeight="1">
      <c r="G108" s="161"/>
    </row>
    <row r="109" spans="7:7" ht="19.2" customHeight="1">
      <c r="G109" s="161"/>
    </row>
    <row r="110" spans="7:7" ht="19.2" customHeight="1">
      <c r="G110" s="161"/>
    </row>
    <row r="111" spans="7:7" ht="19.2" customHeight="1">
      <c r="G111" s="161"/>
    </row>
    <row r="112" spans="7:7" ht="19.2" customHeight="1">
      <c r="G112" s="161"/>
    </row>
    <row r="113" spans="7:7" ht="19.2" customHeight="1">
      <c r="G113" s="161"/>
    </row>
    <row r="114" spans="7:7" ht="19.2" customHeight="1">
      <c r="G114" s="161"/>
    </row>
    <row r="115" spans="7:7" ht="19.2" customHeight="1">
      <c r="G115" s="161"/>
    </row>
    <row r="116" spans="7:7" ht="19.2" customHeight="1">
      <c r="G116" s="161"/>
    </row>
    <row r="117" spans="7:7" ht="19.2" customHeight="1">
      <c r="G117" s="161"/>
    </row>
    <row r="118" spans="7:7" ht="19.2" customHeight="1">
      <c r="G118" s="161"/>
    </row>
    <row r="119" spans="7:7" ht="19.2" customHeight="1">
      <c r="G119" s="161"/>
    </row>
    <row r="120" spans="7:7" ht="19.2" customHeight="1">
      <c r="G120" s="161"/>
    </row>
    <row r="121" spans="7:7" ht="19.2" customHeight="1">
      <c r="G121" s="161"/>
    </row>
    <row r="122" spans="7:7" ht="19.2" customHeight="1">
      <c r="G122" s="161"/>
    </row>
    <row r="123" spans="7:7" ht="19.2" customHeight="1">
      <c r="G123" s="161"/>
    </row>
    <row r="124" spans="7:7" ht="19.2" customHeight="1">
      <c r="G124" s="161"/>
    </row>
    <row r="125" spans="7:7" ht="19.2" customHeight="1">
      <c r="G125" s="161"/>
    </row>
    <row r="126" spans="7:7" ht="19.2" customHeight="1">
      <c r="G126" s="161"/>
    </row>
    <row r="127" spans="7:7" ht="19.2" customHeight="1">
      <c r="G127" s="161"/>
    </row>
    <row r="128" spans="7:7" ht="19.2" customHeight="1">
      <c r="G128" s="161"/>
    </row>
    <row r="129" spans="7:7" ht="19.2" customHeight="1">
      <c r="G129" s="161"/>
    </row>
    <row r="130" spans="7:7" ht="19.2" customHeight="1">
      <c r="G130" s="161"/>
    </row>
    <row r="131" spans="7:7" ht="19.2" customHeight="1">
      <c r="G131" s="161"/>
    </row>
    <row r="132" spans="7:7" ht="19.2" customHeight="1">
      <c r="G132" s="161"/>
    </row>
    <row r="133" spans="7:7" ht="19.2" customHeight="1">
      <c r="G133" s="161"/>
    </row>
    <row r="134" spans="7:7" ht="19.2" customHeight="1">
      <c r="G134" s="161"/>
    </row>
    <row r="135" spans="7:7" ht="19.2" customHeight="1">
      <c r="G135" s="161"/>
    </row>
    <row r="136" spans="7:7" ht="19.2" customHeight="1">
      <c r="G136" s="161"/>
    </row>
    <row r="137" spans="7:7" ht="19.2" customHeight="1">
      <c r="G137" s="161"/>
    </row>
    <row r="138" spans="7:7" ht="19.2" customHeight="1">
      <c r="G138" s="161"/>
    </row>
    <row r="139" spans="7:7" ht="19.2" customHeight="1">
      <c r="G139" s="161"/>
    </row>
    <row r="140" spans="7:7" ht="19.2" customHeight="1">
      <c r="G140" s="161"/>
    </row>
    <row r="141" spans="7:7" ht="19.2" customHeight="1">
      <c r="G141" s="161"/>
    </row>
    <row r="142" spans="7:7" ht="19.2" customHeight="1">
      <c r="G142" s="161"/>
    </row>
    <row r="143" spans="7:7" ht="19.2" customHeight="1">
      <c r="G143" s="161"/>
    </row>
    <row r="144" spans="7:7" ht="19.2" customHeight="1">
      <c r="G144" s="161"/>
    </row>
    <row r="145" spans="7:7" ht="19.2" customHeight="1">
      <c r="G145" s="161"/>
    </row>
    <row r="146" spans="7:7" ht="19.2" customHeight="1">
      <c r="G146" s="161"/>
    </row>
    <row r="147" spans="7:7" ht="19.2" customHeight="1">
      <c r="G147" s="161"/>
    </row>
    <row r="148" spans="7:7" ht="19.2" customHeight="1">
      <c r="G148" s="161"/>
    </row>
    <row r="149" spans="7:7" ht="19.2" customHeight="1">
      <c r="G149" s="161"/>
    </row>
    <row r="150" spans="7:7" ht="19.2" customHeight="1">
      <c r="G150" s="161"/>
    </row>
    <row r="151" spans="7:7" ht="19.2" customHeight="1">
      <c r="G151" s="161"/>
    </row>
    <row r="152" spans="7:7" ht="19.2" customHeight="1">
      <c r="G152" s="161"/>
    </row>
    <row r="153" spans="7:7" ht="19.2" customHeight="1">
      <c r="G153" s="161"/>
    </row>
    <row r="154" spans="7:7" ht="19.2" customHeight="1">
      <c r="G154" s="161"/>
    </row>
    <row r="155" spans="7:7" ht="19.2" customHeight="1">
      <c r="G155" s="161"/>
    </row>
    <row r="156" spans="7:7" ht="19.2" customHeight="1">
      <c r="G156" s="161"/>
    </row>
    <row r="157" spans="7:7" ht="19.2" customHeight="1">
      <c r="G157" s="161"/>
    </row>
    <row r="158" spans="7:7" ht="19.2" customHeight="1">
      <c r="G158" s="161"/>
    </row>
    <row r="159" spans="7:7" ht="19.2" customHeight="1">
      <c r="G159" s="161"/>
    </row>
    <row r="160" spans="7:7" ht="19.2" customHeight="1">
      <c r="G160" s="161"/>
    </row>
    <row r="161" spans="7:7" ht="19.2" customHeight="1">
      <c r="G161" s="161"/>
    </row>
    <row r="162" spans="7:7" ht="19.2" customHeight="1">
      <c r="G162" s="161"/>
    </row>
    <row r="163" spans="7:7" ht="19.2" customHeight="1">
      <c r="G163" s="161"/>
    </row>
    <row r="164" spans="7:7" ht="19.2" customHeight="1">
      <c r="G164" s="161"/>
    </row>
    <row r="165" spans="7:7" ht="19.2" customHeight="1">
      <c r="G165" s="161"/>
    </row>
    <row r="166" spans="7:7" ht="19.2" customHeight="1">
      <c r="G166" s="161"/>
    </row>
    <row r="167" spans="7:7" ht="19.2" customHeight="1">
      <c r="G167" s="161"/>
    </row>
    <row r="168" spans="7:7" ht="19.2" customHeight="1">
      <c r="G168" s="161"/>
    </row>
    <row r="169" spans="7:7" ht="19.2" customHeight="1">
      <c r="G169" s="161"/>
    </row>
    <row r="170" spans="7:7" ht="19.2" customHeight="1">
      <c r="G170" s="161"/>
    </row>
    <row r="171" spans="7:7" ht="19.2" customHeight="1">
      <c r="G171" s="161"/>
    </row>
    <row r="172" spans="7:7" ht="19.2" customHeight="1">
      <c r="G172" s="161"/>
    </row>
    <row r="173" spans="7:7" ht="19.2" customHeight="1">
      <c r="G173" s="161"/>
    </row>
    <row r="174" spans="7:7" ht="19.2" customHeight="1">
      <c r="G174" s="161"/>
    </row>
    <row r="175" spans="7:7" ht="19.2" customHeight="1">
      <c r="G175" s="161"/>
    </row>
    <row r="176" spans="7:7" ht="19.2" customHeight="1">
      <c r="G176" s="161"/>
    </row>
    <row r="177" spans="7:7" ht="19.2" customHeight="1">
      <c r="G177" s="161"/>
    </row>
    <row r="178" spans="7:7" ht="19.2" customHeight="1">
      <c r="G178" s="161"/>
    </row>
    <row r="179" spans="7:7" ht="19.2" customHeight="1">
      <c r="G179" s="161"/>
    </row>
    <row r="180" spans="7:7" ht="19.2" customHeight="1">
      <c r="G180" s="161"/>
    </row>
    <row r="181" spans="7:7" ht="19.2" customHeight="1">
      <c r="G181" s="161"/>
    </row>
    <row r="182" spans="7:7" ht="19.2" customHeight="1">
      <c r="G182" s="161"/>
    </row>
    <row r="183" spans="7:7" ht="19.2" customHeight="1">
      <c r="G183" s="161"/>
    </row>
    <row r="184" spans="7:7" ht="19.2" customHeight="1">
      <c r="G184" s="161"/>
    </row>
    <row r="185" spans="7:7" ht="19.2" customHeight="1">
      <c r="G185" s="161"/>
    </row>
    <row r="186" spans="7:7" ht="19.2" customHeight="1">
      <c r="G186" s="161"/>
    </row>
    <row r="187" spans="7:7" ht="19.2" customHeight="1">
      <c r="G187" s="161"/>
    </row>
    <row r="188" spans="7:7" ht="19.2" customHeight="1">
      <c r="G188" s="161"/>
    </row>
    <row r="189" spans="7:7" ht="19.2" customHeight="1">
      <c r="G189" s="161"/>
    </row>
    <row r="190" spans="7:7" ht="19.2" customHeight="1">
      <c r="G190" s="161"/>
    </row>
    <row r="191" spans="7:7" ht="19.2" customHeight="1">
      <c r="G191" s="161"/>
    </row>
    <row r="192" spans="7:7" ht="19.2" customHeight="1">
      <c r="G192" s="161"/>
    </row>
    <row r="193" spans="7:7" ht="19.2" customHeight="1">
      <c r="G193" s="161"/>
    </row>
    <row r="194" spans="7:7" ht="19.2" customHeight="1">
      <c r="G194" s="161"/>
    </row>
    <row r="195" spans="7:7" ht="19.2" customHeight="1">
      <c r="G195" s="161"/>
    </row>
    <row r="196" spans="7:7" ht="19.2" customHeight="1">
      <c r="G196" s="161"/>
    </row>
    <row r="197" spans="7:7" ht="19.2" customHeight="1">
      <c r="G197" s="161"/>
    </row>
    <row r="198" spans="7:7" ht="19.2" customHeight="1">
      <c r="G198" s="161"/>
    </row>
    <row r="199" spans="7:7" ht="19.2" customHeight="1">
      <c r="G199" s="161"/>
    </row>
    <row r="200" spans="7:7" ht="19.2" customHeight="1">
      <c r="G200" s="161"/>
    </row>
    <row r="201" spans="7:7" ht="19.2" customHeight="1">
      <c r="G201" s="161"/>
    </row>
    <row r="202" spans="7:7" ht="19.2" customHeight="1">
      <c r="G202" s="161"/>
    </row>
    <row r="203" spans="7:7" ht="19.2" customHeight="1">
      <c r="G203" s="161"/>
    </row>
    <row r="204" spans="7:7" ht="19.2" customHeight="1">
      <c r="G204" s="161"/>
    </row>
    <row r="205" spans="7:7" ht="19.2" customHeight="1">
      <c r="G205" s="161"/>
    </row>
    <row r="206" spans="7:7" ht="19.2" customHeight="1">
      <c r="G206" s="161"/>
    </row>
    <row r="207" spans="7:7" ht="19.2" customHeight="1">
      <c r="G207" s="161"/>
    </row>
    <row r="208" spans="7:7" ht="19.2" customHeight="1">
      <c r="G208" s="161"/>
    </row>
    <row r="209" spans="7:7" ht="19.2" customHeight="1">
      <c r="G209" s="161"/>
    </row>
    <row r="210" spans="7:7" ht="19.2" customHeight="1">
      <c r="G210" s="161"/>
    </row>
    <row r="211" spans="7:7" ht="19.2" customHeight="1">
      <c r="G211" s="161"/>
    </row>
    <row r="212" spans="7:7" ht="19.2" customHeight="1">
      <c r="G212" s="161"/>
    </row>
    <row r="213" spans="7:7" ht="19.2" customHeight="1">
      <c r="G213" s="161"/>
    </row>
    <row r="214" spans="7:7" ht="19.2" customHeight="1">
      <c r="G214" s="161"/>
    </row>
    <row r="215" spans="7:7" ht="19.2" customHeight="1">
      <c r="G215" s="161"/>
    </row>
    <row r="216" spans="7:7" ht="19.2" customHeight="1">
      <c r="G216" s="161"/>
    </row>
    <row r="217" spans="7:7" ht="19.2" customHeight="1">
      <c r="G217" s="161"/>
    </row>
    <row r="218" spans="7:7" ht="19.2" customHeight="1">
      <c r="G218" s="161"/>
    </row>
    <row r="219" spans="7:7" ht="19.2" customHeight="1">
      <c r="G219" s="161"/>
    </row>
    <row r="220" spans="7:7" ht="19.2" customHeight="1">
      <c r="G220" s="161"/>
    </row>
    <row r="221" spans="7:7" ht="19.2" customHeight="1">
      <c r="G221" s="161"/>
    </row>
    <row r="222" spans="7:7" ht="19.2" customHeight="1">
      <c r="G222" s="161"/>
    </row>
    <row r="223" spans="7:7" ht="19.2" customHeight="1">
      <c r="G223" s="161"/>
    </row>
    <row r="224" spans="7:7" ht="19.2" customHeight="1">
      <c r="G224" s="161"/>
    </row>
    <row r="225" spans="7:7" ht="19.2" customHeight="1">
      <c r="G225" s="161"/>
    </row>
    <row r="226" spans="7:7" ht="19.2" customHeight="1">
      <c r="G226" s="161"/>
    </row>
    <row r="227" spans="7:7" ht="19.2" customHeight="1">
      <c r="G227" s="161"/>
    </row>
    <row r="228" spans="7:7" ht="19.2" customHeight="1">
      <c r="G228" s="161"/>
    </row>
    <row r="229" spans="7:7" ht="19.2" customHeight="1">
      <c r="G229" s="161"/>
    </row>
    <row r="230" spans="7:7" ht="19.2" customHeight="1">
      <c r="G230" s="161"/>
    </row>
    <row r="231" spans="7:7" ht="19.2" customHeight="1">
      <c r="G231" s="161"/>
    </row>
    <row r="232" spans="7:7" ht="19.2" customHeight="1">
      <c r="G232" s="161"/>
    </row>
    <row r="233" spans="7:7" ht="19.2" customHeight="1">
      <c r="G233" s="161"/>
    </row>
    <row r="234" spans="7:7" ht="19.2" customHeight="1">
      <c r="G234" s="161"/>
    </row>
    <row r="235" spans="7:7" ht="19.2" customHeight="1">
      <c r="G235" s="161"/>
    </row>
    <row r="236" spans="7:7" ht="19.2" customHeight="1">
      <c r="G236" s="161"/>
    </row>
    <row r="237" spans="7:7" ht="19.2" customHeight="1">
      <c r="G237" s="161"/>
    </row>
    <row r="238" spans="7:7" ht="19.2" customHeight="1">
      <c r="G238" s="161"/>
    </row>
    <row r="239" spans="7:7" ht="19.2" customHeight="1">
      <c r="G239" s="161"/>
    </row>
    <row r="240" spans="7:7" ht="19.2" customHeight="1">
      <c r="G240" s="161"/>
    </row>
    <row r="241" spans="7:7" ht="19.2" customHeight="1">
      <c r="G241" s="161"/>
    </row>
    <row r="242" spans="7:7" ht="19.2" customHeight="1">
      <c r="G242" s="161"/>
    </row>
    <row r="243" spans="7:7" ht="19.2" customHeight="1">
      <c r="G243" s="161"/>
    </row>
    <row r="244" spans="7:7" ht="19.2" customHeight="1">
      <c r="G244" s="161"/>
    </row>
    <row r="245" spans="7:7" ht="19.2" customHeight="1">
      <c r="G245" s="161"/>
    </row>
    <row r="246" spans="7:7" ht="19.2" customHeight="1">
      <c r="G246" s="161"/>
    </row>
    <row r="247" spans="7:7" ht="19.2" customHeight="1">
      <c r="G247" s="161"/>
    </row>
    <row r="248" spans="7:7" ht="19.2" customHeight="1">
      <c r="G248" s="161"/>
    </row>
    <row r="249" spans="7:7" ht="19.2" customHeight="1">
      <c r="G249" s="161"/>
    </row>
    <row r="250" spans="7:7" ht="19.2" customHeight="1">
      <c r="G250" s="161"/>
    </row>
    <row r="251" spans="7:7" ht="19.2" customHeight="1">
      <c r="G251" s="161"/>
    </row>
    <row r="252" spans="7:7" ht="19.2" customHeight="1">
      <c r="G252" s="161"/>
    </row>
    <row r="253" spans="7:7" ht="19.2" customHeight="1">
      <c r="G253" s="161"/>
    </row>
    <row r="254" spans="7:7" ht="19.2" customHeight="1">
      <c r="G254" s="161"/>
    </row>
    <row r="255" spans="7:7" ht="19.2" customHeight="1">
      <c r="G255" s="161"/>
    </row>
    <row r="256" spans="7:7" ht="19.2" customHeight="1">
      <c r="G256" s="161"/>
    </row>
    <row r="257" spans="7:7" ht="19.2" customHeight="1">
      <c r="G257" s="161"/>
    </row>
    <row r="258" spans="7:7" ht="19.2" customHeight="1">
      <c r="G258" s="161"/>
    </row>
    <row r="259" spans="7:7" ht="19.2" customHeight="1">
      <c r="G259" s="161"/>
    </row>
    <row r="260" spans="7:7" ht="19.2" customHeight="1">
      <c r="G260" s="161"/>
    </row>
    <row r="261" spans="7:7" ht="19.2" customHeight="1">
      <c r="G261" s="161"/>
    </row>
    <row r="262" spans="7:7" ht="19.2" customHeight="1">
      <c r="G262" s="161"/>
    </row>
    <row r="263" spans="7:7" ht="19.2" customHeight="1">
      <c r="G263" s="161"/>
    </row>
    <row r="264" spans="7:7" ht="19.2" customHeight="1">
      <c r="G264" s="161"/>
    </row>
    <row r="265" spans="7:7" ht="19.2" customHeight="1">
      <c r="G265" s="161"/>
    </row>
    <row r="266" spans="7:7" ht="19.2" customHeight="1">
      <c r="G266" s="161"/>
    </row>
    <row r="267" spans="7:7" ht="19.2" customHeight="1">
      <c r="G267" s="161"/>
    </row>
    <row r="268" spans="7:7" ht="19.2" customHeight="1">
      <c r="G268" s="161"/>
    </row>
    <row r="269" spans="7:7" ht="19.2" customHeight="1">
      <c r="G269" s="161"/>
    </row>
    <row r="270" spans="7:7" ht="19.2" customHeight="1">
      <c r="G270" s="161"/>
    </row>
    <row r="271" spans="7:7" ht="19.2" customHeight="1">
      <c r="G271" s="161"/>
    </row>
    <row r="272" spans="7:7" ht="19.2" customHeight="1">
      <c r="G272" s="161"/>
    </row>
    <row r="273" spans="7:7" ht="19.2" customHeight="1">
      <c r="G273" s="161"/>
    </row>
    <row r="274" spans="7:7" ht="19.2" customHeight="1">
      <c r="G274" s="161"/>
    </row>
    <row r="275" spans="7:7" ht="19.2" customHeight="1">
      <c r="G275" s="161"/>
    </row>
    <row r="276" spans="7:7" ht="19.2" customHeight="1">
      <c r="G276" s="161"/>
    </row>
    <row r="277" spans="7:7" ht="19.2" customHeight="1">
      <c r="G277" s="161"/>
    </row>
    <row r="278" spans="7:7" ht="19.2" customHeight="1">
      <c r="G278" s="161"/>
    </row>
    <row r="279" spans="7:7" ht="19.2" customHeight="1">
      <c r="G279" s="161"/>
    </row>
    <row r="280" spans="7:7" ht="19.2" customHeight="1">
      <c r="G280" s="161"/>
    </row>
    <row r="281" spans="7:7" ht="19.2" customHeight="1">
      <c r="G281" s="161"/>
    </row>
    <row r="282" spans="7:7" ht="19.2" customHeight="1">
      <c r="G282" s="161"/>
    </row>
    <row r="283" spans="7:7" ht="19.2" customHeight="1">
      <c r="G283" s="161"/>
    </row>
    <row r="284" spans="7:7" ht="19.2" customHeight="1">
      <c r="G284" s="161"/>
    </row>
    <row r="285" spans="7:7" ht="19.2" customHeight="1">
      <c r="G285" s="161"/>
    </row>
    <row r="286" spans="7:7" ht="19.2" customHeight="1">
      <c r="G286" s="161"/>
    </row>
    <row r="287" spans="7:7" ht="19.2" customHeight="1">
      <c r="G287" s="161"/>
    </row>
    <row r="288" spans="7:7" ht="19.2" customHeight="1">
      <c r="G288" s="161"/>
    </row>
    <row r="289" spans="1:82" ht="19.2" customHeight="1">
      <c r="G289" s="161"/>
    </row>
    <row r="290" spans="1:82" ht="19.2" customHeight="1">
      <c r="G290" s="161"/>
    </row>
    <row r="291" spans="1:82" ht="19.2" customHeight="1">
      <c r="G291" s="161"/>
    </row>
    <row r="292" spans="1:82" ht="19.2" customHeight="1">
      <c r="G292" s="161"/>
    </row>
    <row r="293" spans="1:82" ht="19.2" customHeight="1">
      <c r="G293" s="161"/>
    </row>
    <row r="294" spans="1:82" ht="19.2" customHeight="1">
      <c r="G294" s="161"/>
    </row>
    <row r="295" spans="1:82" ht="19.2" customHeight="1">
      <c r="G295" s="161"/>
    </row>
    <row r="296" spans="1:82" ht="19.2" customHeight="1">
      <c r="G296" s="161"/>
    </row>
    <row r="297" spans="1:82" ht="19.2" customHeight="1">
      <c r="G297" s="161"/>
    </row>
    <row r="298" spans="1:82" ht="19.2" customHeight="1">
      <c r="G298" s="161"/>
    </row>
    <row r="299" spans="1:82" ht="19.2" customHeight="1">
      <c r="G299" s="161"/>
    </row>
    <row r="300" spans="1:82" ht="19.2" customHeight="1">
      <c r="G300" s="161"/>
    </row>
    <row r="301" spans="1:82" ht="19.2" customHeight="1">
      <c r="A301" s="22"/>
      <c r="B301" s="22"/>
      <c r="C301" s="22"/>
      <c r="D301" s="22"/>
      <c r="E301" s="22"/>
      <c r="F301" s="22"/>
      <c r="G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</row>
    <row r="302" spans="1:82" ht="19.2" customHeight="1">
      <c r="G302" s="41"/>
    </row>
    <row r="303" spans="1:82" ht="19.2" customHeight="1">
      <c r="G303" s="41"/>
    </row>
  </sheetData>
  <mergeCells count="1">
    <mergeCell ref="D13:E13"/>
  </mergeCells>
  <conditionalFormatting sqref="D25">
    <cfRule type="expression" dxfId="10" priority="4">
      <formula>$E$25=FALSE</formula>
    </cfRule>
  </conditionalFormatting>
  <conditionalFormatting sqref="D26:E26">
    <cfRule type="expression" dxfId="9" priority="3">
      <formula>$E$26=FALSE</formula>
    </cfRule>
  </conditionalFormatting>
  <conditionalFormatting sqref="E25">
    <cfRule type="expression" dxfId="8" priority="2">
      <formula>$E$25=FALSE</formula>
    </cfRule>
  </conditionalFormatting>
  <conditionalFormatting sqref="D25:E25">
    <cfRule type="expression" dxfId="7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8"/>
  </sheetPr>
  <dimension ref="B2:H9"/>
  <sheetViews>
    <sheetView zoomScale="85" zoomScaleNormal="85" workbookViewId="0">
      <selection activeCell="JG196" sqref="JG196"/>
    </sheetView>
  </sheetViews>
  <sheetFormatPr baseColWidth="10" defaultRowHeight="14.4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>
      <c r="B2" s="45" t="s">
        <v>27</v>
      </c>
      <c r="C2" s="45" t="s">
        <v>31</v>
      </c>
      <c r="D2" s="45" t="s">
        <v>36</v>
      </c>
      <c r="E2" s="46" t="s">
        <v>32</v>
      </c>
      <c r="F2" s="47" t="s">
        <v>33</v>
      </c>
      <c r="G2" s="48" t="s">
        <v>34</v>
      </c>
      <c r="H2" s="45" t="s">
        <v>35</v>
      </c>
    </row>
    <row r="3" spans="2:8">
      <c r="B3" s="1" t="s">
        <v>29</v>
      </c>
      <c r="C3" s="1" t="s">
        <v>40</v>
      </c>
      <c r="D3" s="43" t="s">
        <v>41</v>
      </c>
      <c r="E3" s="43">
        <v>10</v>
      </c>
      <c r="F3" s="44">
        <v>10</v>
      </c>
      <c r="G3" s="1">
        <v>32</v>
      </c>
      <c r="H3" s="1">
        <v>32</v>
      </c>
    </row>
    <row r="4" spans="2:8">
      <c r="B4" s="1" t="s">
        <v>29</v>
      </c>
      <c r="C4" s="1" t="s">
        <v>30</v>
      </c>
      <c r="D4" s="43" t="s">
        <v>37</v>
      </c>
      <c r="E4" s="43">
        <v>57</v>
      </c>
      <c r="F4" s="44">
        <v>47</v>
      </c>
      <c r="G4" s="1">
        <v>32</v>
      </c>
      <c r="H4" s="1">
        <v>32</v>
      </c>
    </row>
    <row r="5" spans="2:8">
      <c r="B5" s="1" t="s">
        <v>29</v>
      </c>
      <c r="C5" s="1" t="s">
        <v>38</v>
      </c>
      <c r="D5" s="43" t="s">
        <v>39</v>
      </c>
      <c r="E5" s="43">
        <v>57</v>
      </c>
      <c r="F5" s="44">
        <v>47</v>
      </c>
      <c r="G5" s="1">
        <v>32</v>
      </c>
      <c r="H5" s="1">
        <v>32</v>
      </c>
    </row>
    <row r="6" spans="2:8">
      <c r="B6" s="1" t="s">
        <v>29</v>
      </c>
      <c r="C6" s="1" t="s">
        <v>42</v>
      </c>
      <c r="D6" s="43" t="s">
        <v>43</v>
      </c>
      <c r="E6" s="43">
        <v>27</v>
      </c>
      <c r="F6" s="44">
        <v>24</v>
      </c>
      <c r="G6" s="1">
        <v>32</v>
      </c>
      <c r="H6" s="1">
        <v>32</v>
      </c>
    </row>
    <row r="7" spans="2:8">
      <c r="B7" s="1" t="s">
        <v>29</v>
      </c>
      <c r="C7" s="1" t="s">
        <v>45</v>
      </c>
      <c r="D7" s="43" t="s">
        <v>46</v>
      </c>
      <c r="E7" s="43">
        <v>128</v>
      </c>
      <c r="F7" s="44">
        <v>96</v>
      </c>
      <c r="G7" s="1">
        <v>32</v>
      </c>
      <c r="H7" s="1">
        <v>32</v>
      </c>
    </row>
    <row r="8" spans="2:8">
      <c r="B8" s="1" t="s">
        <v>29</v>
      </c>
      <c r="C8" s="1" t="s">
        <v>75</v>
      </c>
      <c r="D8" s="43" t="s">
        <v>76</v>
      </c>
      <c r="E8" s="43">
        <v>17</v>
      </c>
      <c r="F8" s="44">
        <v>17</v>
      </c>
      <c r="G8" s="1">
        <v>32</v>
      </c>
      <c r="H8" s="1">
        <v>32</v>
      </c>
    </row>
    <row r="9" spans="2:8">
      <c r="B9" s="1" t="s">
        <v>29</v>
      </c>
      <c r="C9" s="1" t="s">
        <v>77</v>
      </c>
      <c r="D9" s="43" t="s">
        <v>78</v>
      </c>
      <c r="E9" s="43">
        <v>17</v>
      </c>
      <c r="F9" s="44">
        <v>17</v>
      </c>
      <c r="G9" s="1">
        <v>32</v>
      </c>
      <c r="H9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8"/>
  </sheetPr>
  <dimension ref="E1:CR331"/>
  <sheetViews>
    <sheetView showGridLines="0" zoomScale="10" zoomScaleNormal="10" workbookViewId="0">
      <selection activeCell="JG196" sqref="JG196"/>
    </sheetView>
  </sheetViews>
  <sheetFormatPr baseColWidth="10" defaultColWidth="3.5546875" defaultRowHeight="19.2" customHeight="1"/>
  <cols>
    <col min="18" max="18" width="3.5546875" customWidth="1"/>
  </cols>
  <sheetData>
    <row r="1" spans="5:49" ht="19.2" customHeight="1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5"/>
      <c r="T26" s="15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5"/>
      <c r="AF26" s="15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5"/>
      <c r="T27" s="15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5"/>
      <c r="AF27" s="15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5"/>
      <c r="U28" s="15"/>
      <c r="V28" s="13"/>
      <c r="W28" s="13"/>
      <c r="X28" s="13"/>
      <c r="Y28" s="13"/>
      <c r="Z28" s="13"/>
      <c r="AA28" s="13"/>
      <c r="AB28" s="13"/>
      <c r="AC28" s="13"/>
      <c r="AD28" s="15"/>
      <c r="AE28" s="15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5"/>
      <c r="V29" s="15"/>
      <c r="W29" s="13"/>
      <c r="X29" s="13"/>
      <c r="Y29" s="13"/>
      <c r="Z29" s="13"/>
      <c r="AA29" s="13"/>
      <c r="AB29" s="13"/>
      <c r="AC29" s="15"/>
      <c r="AD29" s="15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5"/>
      <c r="W30" s="15"/>
      <c r="X30" s="15"/>
      <c r="Y30" s="13"/>
      <c r="Z30" s="13"/>
      <c r="AA30" s="15"/>
      <c r="AB30" s="15"/>
      <c r="AC30" s="15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5"/>
      <c r="Y31" s="15"/>
      <c r="Z31" s="15"/>
      <c r="AA31" s="15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49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49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49"/>
      <c r="S34" s="49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49"/>
      <c r="AG34" s="49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>
      <c r="E38" s="11"/>
      <c r="F38" s="11"/>
      <c r="G38" s="11"/>
      <c r="H38" s="10"/>
      <c r="I38" s="13"/>
      <c r="J38" s="13"/>
      <c r="K38" s="14"/>
      <c r="L38" s="10"/>
      <c r="M38" s="15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5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>
      <c r="E39" s="11"/>
      <c r="F39" s="11"/>
      <c r="G39" s="10"/>
      <c r="H39" s="13"/>
      <c r="I39" s="14"/>
      <c r="J39" s="10"/>
      <c r="K39" s="10"/>
      <c r="L39" s="10"/>
      <c r="M39" s="15"/>
      <c r="N39" s="13"/>
      <c r="O39" s="10"/>
      <c r="P39" s="14"/>
      <c r="Q39" s="14"/>
      <c r="R39" s="10"/>
      <c r="S39" s="10"/>
      <c r="T39" s="49"/>
      <c r="U39" s="49"/>
      <c r="V39" s="49"/>
      <c r="W39" s="10"/>
      <c r="X39" s="10"/>
      <c r="Y39" s="14"/>
      <c r="Z39" s="14"/>
      <c r="AA39" s="10"/>
      <c r="AB39" s="10"/>
      <c r="AC39" s="49"/>
      <c r="AD39" s="49"/>
      <c r="AE39" s="49"/>
      <c r="AF39" s="10"/>
      <c r="AG39" s="10"/>
      <c r="AH39" s="14"/>
      <c r="AI39" s="14"/>
      <c r="AJ39" s="10"/>
      <c r="AK39" s="13"/>
      <c r="AL39" s="15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>
      <c r="E40" s="11"/>
      <c r="F40" s="10"/>
      <c r="G40" s="13"/>
      <c r="H40" s="14"/>
      <c r="I40" s="10"/>
      <c r="J40" s="11"/>
      <c r="K40" s="11"/>
      <c r="L40" s="10"/>
      <c r="M40" s="15"/>
      <c r="N40" s="13"/>
      <c r="O40" s="13"/>
      <c r="P40" s="10"/>
      <c r="Q40" s="10"/>
      <c r="R40" s="16"/>
      <c r="S40" s="16"/>
      <c r="T40" s="10"/>
      <c r="U40" s="49"/>
      <c r="V40" s="10"/>
      <c r="W40" s="17"/>
      <c r="X40" s="17"/>
      <c r="Y40" s="10"/>
      <c r="Z40" s="10"/>
      <c r="AA40" s="17"/>
      <c r="AB40" s="17"/>
      <c r="AC40" s="10"/>
      <c r="AD40" s="49"/>
      <c r="AE40" s="10"/>
      <c r="AF40" s="17"/>
      <c r="AG40" s="16"/>
      <c r="AH40" s="10"/>
      <c r="AI40" s="10"/>
      <c r="AJ40" s="13"/>
      <c r="AK40" s="13"/>
      <c r="AL40" s="15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>
      <c r="E41" s="11"/>
      <c r="F41" s="10"/>
      <c r="G41" s="13"/>
      <c r="H41" s="10"/>
      <c r="I41" s="11"/>
      <c r="J41" s="11"/>
      <c r="K41" s="11"/>
      <c r="L41" s="10"/>
      <c r="M41" s="15"/>
      <c r="N41" s="13"/>
      <c r="O41" s="13"/>
      <c r="P41" s="10"/>
      <c r="Q41" s="16"/>
      <c r="R41" s="17"/>
      <c r="S41" s="17"/>
      <c r="T41" s="17"/>
      <c r="U41" s="10"/>
      <c r="V41" s="17"/>
      <c r="W41" s="17"/>
      <c r="X41" s="17"/>
      <c r="Y41" s="17"/>
      <c r="Z41" s="17"/>
      <c r="AA41" s="17"/>
      <c r="AB41" s="17"/>
      <c r="AC41" s="17"/>
      <c r="AD41" s="10"/>
      <c r="AE41" s="17"/>
      <c r="AF41" s="17"/>
      <c r="AG41" s="17"/>
      <c r="AH41" s="16"/>
      <c r="AI41" s="10"/>
      <c r="AJ41" s="13"/>
      <c r="AK41" s="13"/>
      <c r="AL41" s="15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>
      <c r="E42" s="11"/>
      <c r="F42" s="10"/>
      <c r="G42" s="14"/>
      <c r="H42" s="10"/>
      <c r="I42" s="11"/>
      <c r="J42" s="11"/>
      <c r="K42" s="10"/>
      <c r="L42" s="15"/>
      <c r="M42" s="13"/>
      <c r="N42" s="13"/>
      <c r="O42" s="10"/>
      <c r="P42" s="16"/>
      <c r="Q42" s="17"/>
      <c r="R42" s="17"/>
      <c r="S42" s="10"/>
      <c r="T42" s="10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0"/>
      <c r="AF42" s="10"/>
      <c r="AG42" s="17"/>
      <c r="AH42" s="17"/>
      <c r="AI42" s="16"/>
      <c r="AJ42" s="10"/>
      <c r="AK42" s="13"/>
      <c r="AL42" s="13"/>
      <c r="AM42" s="15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>
      <c r="E43" s="11"/>
      <c r="F43" s="11"/>
      <c r="G43" s="10"/>
      <c r="H43" s="11"/>
      <c r="I43" s="11"/>
      <c r="J43" s="11"/>
      <c r="K43" s="10"/>
      <c r="L43" s="15"/>
      <c r="M43" s="13"/>
      <c r="N43" s="13"/>
      <c r="O43" s="10"/>
      <c r="P43" s="16"/>
      <c r="Q43" s="17"/>
      <c r="R43" s="10"/>
      <c r="S43" s="10"/>
      <c r="T43" s="49"/>
      <c r="U43" s="10"/>
      <c r="V43" s="17"/>
      <c r="W43" s="17"/>
      <c r="X43" s="17"/>
      <c r="Y43" s="17"/>
      <c r="Z43" s="17"/>
      <c r="AA43" s="17"/>
      <c r="AB43" s="17"/>
      <c r="AC43" s="17"/>
      <c r="AD43" s="10"/>
      <c r="AE43" s="49"/>
      <c r="AF43" s="10"/>
      <c r="AG43" s="10"/>
      <c r="AH43" s="17"/>
      <c r="AI43" s="16"/>
      <c r="AJ43" s="10"/>
      <c r="AK43" s="13"/>
      <c r="AL43" s="13"/>
      <c r="AM43" s="15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>
      <c r="E44" s="11"/>
      <c r="F44" s="11"/>
      <c r="G44" s="11"/>
      <c r="H44" s="11"/>
      <c r="I44" s="11"/>
      <c r="J44" s="11"/>
      <c r="K44" s="10"/>
      <c r="L44" s="15"/>
      <c r="M44" s="13"/>
      <c r="N44" s="13"/>
      <c r="O44" s="10"/>
      <c r="P44" s="16"/>
      <c r="Q44" s="17"/>
      <c r="R44" s="10"/>
      <c r="S44" s="10"/>
      <c r="T44" s="10"/>
      <c r="U44" s="10"/>
      <c r="V44" s="17"/>
      <c r="W44" s="17"/>
      <c r="X44" s="17"/>
      <c r="Y44" s="17"/>
      <c r="Z44" s="17"/>
      <c r="AA44" s="17"/>
      <c r="AB44" s="17"/>
      <c r="AC44" s="17"/>
      <c r="AD44" s="10"/>
      <c r="AE44" s="10"/>
      <c r="AF44" s="10"/>
      <c r="AG44" s="10"/>
      <c r="AH44" s="17"/>
      <c r="AI44" s="16"/>
      <c r="AJ44" s="10"/>
      <c r="AK44" s="13"/>
      <c r="AL44" s="13"/>
      <c r="AM44" s="15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>
      <c r="E45" s="11"/>
      <c r="F45" s="11"/>
      <c r="G45" s="11"/>
      <c r="H45" s="11"/>
      <c r="I45" s="11"/>
      <c r="J45" s="11"/>
      <c r="K45" s="10"/>
      <c r="L45" s="15"/>
      <c r="M45" s="13"/>
      <c r="N45" s="13"/>
      <c r="O45" s="10"/>
      <c r="P45" s="16"/>
      <c r="Q45" s="17"/>
      <c r="R45" s="10"/>
      <c r="S45" s="10"/>
      <c r="T45" s="10"/>
      <c r="U45" s="10"/>
      <c r="V45" s="17"/>
      <c r="W45" s="17"/>
      <c r="X45" s="17"/>
      <c r="Y45" s="17"/>
      <c r="Z45" s="17"/>
      <c r="AA45" s="17"/>
      <c r="AB45" s="17"/>
      <c r="AC45" s="17"/>
      <c r="AD45" s="10"/>
      <c r="AE45" s="10"/>
      <c r="AF45" s="10"/>
      <c r="AG45" s="10"/>
      <c r="AH45" s="17"/>
      <c r="AI45" s="16"/>
      <c r="AJ45" s="10"/>
      <c r="AK45" s="13"/>
      <c r="AL45" s="13"/>
      <c r="AM45" s="15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>
      <c r="E46" s="11"/>
      <c r="F46" s="11"/>
      <c r="G46" s="11"/>
      <c r="H46" s="11"/>
      <c r="I46" s="11"/>
      <c r="J46" s="11"/>
      <c r="K46" s="10"/>
      <c r="L46" s="15"/>
      <c r="M46" s="13"/>
      <c r="N46" s="13"/>
      <c r="O46" s="10"/>
      <c r="P46" s="16"/>
      <c r="Q46" s="17"/>
      <c r="R46" s="17"/>
      <c r="S46" s="10"/>
      <c r="T46" s="10"/>
      <c r="U46" s="17"/>
      <c r="V46" s="17"/>
      <c r="W46" s="17"/>
      <c r="X46" s="17"/>
      <c r="Y46" s="10"/>
      <c r="Z46" s="10"/>
      <c r="AA46" s="17"/>
      <c r="AB46" s="17"/>
      <c r="AC46" s="17"/>
      <c r="AD46" s="17"/>
      <c r="AE46" s="10"/>
      <c r="AF46" s="10"/>
      <c r="AG46" s="17"/>
      <c r="AH46" s="17"/>
      <c r="AI46" s="16"/>
      <c r="AJ46" s="10"/>
      <c r="AK46" s="13"/>
      <c r="AL46" s="13"/>
      <c r="AM46" s="15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>
      <c r="E47" s="11"/>
      <c r="F47" s="11"/>
      <c r="G47" s="11"/>
      <c r="H47" s="11"/>
      <c r="I47" s="11"/>
      <c r="J47" s="11"/>
      <c r="K47" s="10"/>
      <c r="L47" s="15"/>
      <c r="M47" s="13"/>
      <c r="N47" s="13"/>
      <c r="O47" s="10"/>
      <c r="P47" s="18"/>
      <c r="Q47" s="18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8"/>
      <c r="AI47" s="18"/>
      <c r="AJ47" s="10"/>
      <c r="AK47" s="13"/>
      <c r="AL47" s="13"/>
      <c r="AM47" s="15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>
      <c r="E48" s="11"/>
      <c r="F48" s="11"/>
      <c r="G48" s="11"/>
      <c r="H48" s="11"/>
      <c r="I48" s="11"/>
      <c r="J48" s="11"/>
      <c r="K48" s="11"/>
      <c r="L48" s="10"/>
      <c r="M48" s="15"/>
      <c r="N48" s="13"/>
      <c r="O48" s="13"/>
      <c r="P48" s="10"/>
      <c r="Q48" s="18"/>
      <c r="R48" s="18"/>
      <c r="S48" s="17"/>
      <c r="T48" s="17"/>
      <c r="U48" s="17"/>
      <c r="V48" s="10"/>
      <c r="W48" s="17"/>
      <c r="X48" s="17"/>
      <c r="Y48" s="10"/>
      <c r="Z48" s="10"/>
      <c r="AA48" s="17"/>
      <c r="AB48" s="17"/>
      <c r="AC48" s="10"/>
      <c r="AD48" s="17"/>
      <c r="AE48" s="17"/>
      <c r="AF48" s="17"/>
      <c r="AG48" s="18"/>
      <c r="AH48" s="18"/>
      <c r="AI48" s="10"/>
      <c r="AJ48" s="13"/>
      <c r="AK48" s="13"/>
      <c r="AL48" s="15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>
      <c r="E49" s="11"/>
      <c r="F49" s="11"/>
      <c r="G49" s="11"/>
      <c r="H49" s="11"/>
      <c r="I49" s="11"/>
      <c r="J49" s="11"/>
      <c r="K49" s="11"/>
      <c r="L49" s="11"/>
      <c r="M49" s="10"/>
      <c r="N49" s="15"/>
      <c r="O49" s="13"/>
      <c r="P49" s="13"/>
      <c r="Q49" s="10"/>
      <c r="R49" s="18"/>
      <c r="S49" s="18"/>
      <c r="T49" s="17"/>
      <c r="U49" s="17"/>
      <c r="V49" s="17"/>
      <c r="W49" s="10"/>
      <c r="X49" s="10"/>
      <c r="Y49" s="17"/>
      <c r="Z49" s="17"/>
      <c r="AA49" s="10"/>
      <c r="AB49" s="10"/>
      <c r="AC49" s="17"/>
      <c r="AD49" s="17"/>
      <c r="AE49" s="17"/>
      <c r="AF49" s="18"/>
      <c r="AG49" s="18"/>
      <c r="AH49" s="10"/>
      <c r="AI49" s="13"/>
      <c r="AJ49" s="13"/>
      <c r="AK49" s="15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8"/>
      <c r="T50" s="18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6"/>
      <c r="AF50" s="18"/>
      <c r="AG50" s="10"/>
      <c r="AH50" s="13"/>
      <c r="AI50" s="13"/>
      <c r="AJ50" s="10"/>
      <c r="AK50" s="10"/>
      <c r="AL50" s="11"/>
      <c r="AM50" s="11"/>
      <c r="AN50" s="10"/>
      <c r="AO50" s="19"/>
      <c r="AP50" s="10"/>
      <c r="AQ50" s="10"/>
      <c r="AR50" s="13"/>
      <c r="AS50" s="14"/>
      <c r="AT50" s="10"/>
      <c r="AU50" s="10"/>
      <c r="AV50" s="19"/>
      <c r="AW50" s="10"/>
    </row>
    <row r="51" spans="5:49" ht="19.2" customHeight="1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6"/>
      <c r="W51" s="16"/>
      <c r="X51" s="16"/>
      <c r="Y51" s="16"/>
      <c r="Z51" s="16"/>
      <c r="AA51" s="16"/>
      <c r="AB51" s="16"/>
      <c r="AC51" s="16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19"/>
      <c r="AQ51" s="10"/>
      <c r="AR51" s="13"/>
      <c r="AS51" s="14"/>
      <c r="AT51" s="10"/>
      <c r="AU51" s="19"/>
      <c r="AV51" s="10"/>
      <c r="AW51" s="11"/>
    </row>
    <row r="52" spans="5:49" ht="19.2" customHeigh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9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19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19"/>
      <c r="Q54" s="13"/>
      <c r="R54" s="13"/>
      <c r="S54" s="10"/>
      <c r="T54" s="13"/>
      <c r="U54" s="14"/>
      <c r="V54" s="10"/>
      <c r="W54" s="10"/>
      <c r="X54" s="13"/>
      <c r="Y54" s="15"/>
      <c r="Z54" s="15"/>
      <c r="AA54" s="13"/>
      <c r="AB54" s="10"/>
      <c r="AC54" s="10"/>
      <c r="AD54" s="14"/>
      <c r="AE54" s="13"/>
      <c r="AF54" s="10"/>
      <c r="AG54" s="13"/>
      <c r="AH54" s="13"/>
      <c r="AI54" s="19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19"/>
      <c r="Q55" s="13"/>
      <c r="R55" s="13"/>
      <c r="S55" s="13"/>
      <c r="T55" s="14"/>
      <c r="U55" s="10"/>
      <c r="V55" s="16"/>
      <c r="W55" s="16"/>
      <c r="X55" s="10"/>
      <c r="Y55" s="13"/>
      <c r="Z55" s="13"/>
      <c r="AA55" s="10"/>
      <c r="AB55" s="16"/>
      <c r="AC55" s="16"/>
      <c r="AD55" s="10"/>
      <c r="AE55" s="14"/>
      <c r="AF55" s="13"/>
      <c r="AG55" s="13"/>
      <c r="AH55" s="13"/>
      <c r="AI55" s="19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19"/>
      <c r="P56" s="13"/>
      <c r="Q56" s="13"/>
      <c r="R56" s="13"/>
      <c r="S56" s="14"/>
      <c r="T56" s="10"/>
      <c r="U56" s="16"/>
      <c r="V56" s="17"/>
      <c r="W56" s="17"/>
      <c r="X56" s="16"/>
      <c r="Y56" s="10"/>
      <c r="Z56" s="10"/>
      <c r="AA56" s="16"/>
      <c r="AB56" s="17"/>
      <c r="AC56" s="17"/>
      <c r="AD56" s="16"/>
      <c r="AE56" s="10"/>
      <c r="AF56" s="14"/>
      <c r="AG56" s="13"/>
      <c r="AH56" s="13"/>
      <c r="AI56" s="13"/>
      <c r="AJ56" s="19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19"/>
      <c r="P57" s="13"/>
      <c r="Q57" s="13"/>
      <c r="R57" s="14"/>
      <c r="S57" s="10"/>
      <c r="T57" s="16"/>
      <c r="U57" s="17"/>
      <c r="V57" s="17"/>
      <c r="W57" s="10"/>
      <c r="X57" s="17"/>
      <c r="Y57" s="17"/>
      <c r="Z57" s="17"/>
      <c r="AA57" s="17"/>
      <c r="AB57" s="10"/>
      <c r="AC57" s="17"/>
      <c r="AD57" s="17"/>
      <c r="AE57" s="16"/>
      <c r="AF57" s="10"/>
      <c r="AG57" s="14"/>
      <c r="AH57" s="13"/>
      <c r="AI57" s="13"/>
      <c r="AJ57" s="19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19"/>
      <c r="P58" s="13"/>
      <c r="Q58" s="14"/>
      <c r="R58" s="10"/>
      <c r="S58" s="16"/>
      <c r="T58" s="17"/>
      <c r="U58" s="17"/>
      <c r="V58" s="17"/>
      <c r="W58" s="10"/>
      <c r="X58" s="17"/>
      <c r="Y58" s="17"/>
      <c r="Z58" s="17"/>
      <c r="AA58" s="17"/>
      <c r="AB58" s="10"/>
      <c r="AC58" s="17"/>
      <c r="AD58" s="17"/>
      <c r="AE58" s="17"/>
      <c r="AF58" s="16"/>
      <c r="AG58" s="10"/>
      <c r="AH58" s="14"/>
      <c r="AI58" s="13"/>
      <c r="AJ58" s="19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6"/>
      <c r="S59" s="10"/>
      <c r="T59" s="16"/>
      <c r="U59" s="16"/>
      <c r="V59" s="17"/>
      <c r="W59" s="17"/>
      <c r="X59" s="10"/>
      <c r="Y59" s="17"/>
      <c r="Z59" s="17"/>
      <c r="AA59" s="10"/>
      <c r="AB59" s="17"/>
      <c r="AC59" s="17"/>
      <c r="AD59" s="17"/>
      <c r="AE59" s="16"/>
      <c r="AF59" s="10"/>
      <c r="AG59" s="16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6"/>
      <c r="R60" s="17"/>
      <c r="S60" s="17"/>
      <c r="T60" s="10"/>
      <c r="U60" s="16"/>
      <c r="V60" s="17"/>
      <c r="W60" s="17"/>
      <c r="X60" s="10"/>
      <c r="Y60" s="17"/>
      <c r="Z60" s="17"/>
      <c r="AA60" s="10"/>
      <c r="AB60" s="17"/>
      <c r="AC60" s="17"/>
      <c r="AD60" s="16"/>
      <c r="AE60" s="10"/>
      <c r="AF60" s="17"/>
      <c r="AG60" s="17"/>
      <c r="AH60" s="16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>
      <c r="E61" s="11"/>
      <c r="F61" s="11"/>
      <c r="G61" s="11"/>
      <c r="H61" s="11"/>
      <c r="I61" s="11"/>
      <c r="J61" s="11"/>
      <c r="K61" s="11"/>
      <c r="L61" s="11"/>
      <c r="M61" s="10"/>
      <c r="N61" s="19"/>
      <c r="O61" s="10"/>
      <c r="P61" s="16"/>
      <c r="Q61" s="17"/>
      <c r="R61" s="17"/>
      <c r="S61" s="17"/>
      <c r="T61" s="10"/>
      <c r="U61" s="16"/>
      <c r="V61" s="16"/>
      <c r="W61" s="10"/>
      <c r="X61" s="10"/>
      <c r="Y61" s="17"/>
      <c r="Z61" s="17"/>
      <c r="AA61" s="10"/>
      <c r="AB61" s="10"/>
      <c r="AC61" s="16"/>
      <c r="AD61" s="16"/>
      <c r="AE61" s="10"/>
      <c r="AF61" s="17"/>
      <c r="AG61" s="17"/>
      <c r="AH61" s="17"/>
      <c r="AI61" s="16"/>
      <c r="AJ61" s="10"/>
      <c r="AK61" s="19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>
      <c r="E62" s="11"/>
      <c r="F62" s="11"/>
      <c r="G62" s="11"/>
      <c r="H62" s="11"/>
      <c r="I62" s="11"/>
      <c r="J62" s="11"/>
      <c r="K62" s="11"/>
      <c r="L62" s="11"/>
      <c r="M62" s="10"/>
      <c r="N62" s="19"/>
      <c r="O62" s="10"/>
      <c r="P62" s="16"/>
      <c r="Q62" s="17"/>
      <c r="R62" s="17"/>
      <c r="S62" s="17"/>
      <c r="T62" s="17"/>
      <c r="U62" s="10"/>
      <c r="V62" s="10"/>
      <c r="W62" s="17"/>
      <c r="X62" s="17"/>
      <c r="Y62" s="17"/>
      <c r="Z62" s="17"/>
      <c r="AA62" s="17"/>
      <c r="AB62" s="17"/>
      <c r="AC62" s="10"/>
      <c r="AD62" s="10"/>
      <c r="AE62" s="17"/>
      <c r="AF62" s="17"/>
      <c r="AG62" s="17"/>
      <c r="AH62" s="17"/>
      <c r="AI62" s="16"/>
      <c r="AJ62" s="10"/>
      <c r="AK62" s="19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>
      <c r="E63" s="11"/>
      <c r="F63" s="11"/>
      <c r="G63" s="11"/>
      <c r="H63" s="11"/>
      <c r="I63" s="11"/>
      <c r="J63" s="11"/>
      <c r="K63" s="11"/>
      <c r="L63" s="11"/>
      <c r="M63" s="10"/>
      <c r="N63" s="19"/>
      <c r="O63" s="10"/>
      <c r="P63" s="16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6"/>
      <c r="AJ63" s="10"/>
      <c r="AK63" s="19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>
      <c r="E64" s="11"/>
      <c r="F64" s="11"/>
      <c r="G64" s="11"/>
      <c r="H64" s="11"/>
      <c r="I64" s="11"/>
      <c r="J64" s="11"/>
      <c r="K64" s="11"/>
      <c r="L64" s="11"/>
      <c r="M64" s="10"/>
      <c r="N64" s="19"/>
      <c r="O64" s="10"/>
      <c r="P64" s="16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6"/>
      <c r="AJ64" s="10"/>
      <c r="AK64" s="19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6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6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6"/>
      <c r="T67" s="16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6"/>
      <c r="AF67" s="16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7"/>
      <c r="S68" s="17"/>
      <c r="T68" s="16"/>
      <c r="U68" s="16"/>
      <c r="V68" s="10"/>
      <c r="W68" s="11"/>
      <c r="X68" s="11"/>
      <c r="Y68" s="11"/>
      <c r="Z68" s="11"/>
      <c r="AA68" s="11"/>
      <c r="AB68" s="11"/>
      <c r="AC68" s="10"/>
      <c r="AD68" s="16"/>
      <c r="AE68" s="16"/>
      <c r="AF68" s="17"/>
      <c r="AG68" s="17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7"/>
      <c r="S69" s="17"/>
      <c r="T69" s="17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7"/>
      <c r="AF69" s="17"/>
      <c r="AG69" s="17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5"/>
      <c r="T86" s="15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5"/>
      <c r="AF86" s="15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5"/>
      <c r="T87" s="15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5"/>
      <c r="AF87" s="15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5"/>
      <c r="U88" s="15"/>
      <c r="V88" s="13"/>
      <c r="W88" s="13"/>
      <c r="X88" s="13"/>
      <c r="Y88" s="13"/>
      <c r="Z88" s="13"/>
      <c r="AA88" s="13"/>
      <c r="AB88" s="13"/>
      <c r="AC88" s="13"/>
      <c r="AD88" s="15"/>
      <c r="AE88" s="15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5"/>
      <c r="V89" s="15"/>
      <c r="W89" s="13"/>
      <c r="X89" s="13"/>
      <c r="Y89" s="13"/>
      <c r="Z89" s="13"/>
      <c r="AA89" s="13"/>
      <c r="AB89" s="13"/>
      <c r="AC89" s="15"/>
      <c r="AD89" s="15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5"/>
      <c r="W90" s="15"/>
      <c r="X90" s="15"/>
      <c r="Y90" s="13"/>
      <c r="Z90" s="13"/>
      <c r="AA90" s="15"/>
      <c r="AB90" s="15"/>
      <c r="AC90" s="15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5"/>
      <c r="Y91" s="15"/>
      <c r="Z91" s="15"/>
      <c r="AA91" s="15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49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49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49"/>
      <c r="S94" s="49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49"/>
      <c r="AG94" s="49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>
      <c r="E98" s="11"/>
      <c r="F98" s="11"/>
      <c r="G98" s="11"/>
      <c r="H98" s="10"/>
      <c r="I98" s="13"/>
      <c r="J98" s="13"/>
      <c r="K98" s="14"/>
      <c r="L98" s="10"/>
      <c r="M98" s="15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5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>
      <c r="E99" s="11"/>
      <c r="F99" s="11"/>
      <c r="G99" s="10"/>
      <c r="H99" s="13"/>
      <c r="I99" s="14"/>
      <c r="J99" s="10"/>
      <c r="K99" s="10"/>
      <c r="L99" s="10"/>
      <c r="M99" s="15"/>
      <c r="N99" s="13"/>
      <c r="O99" s="10"/>
      <c r="P99" s="14"/>
      <c r="Q99" s="14"/>
      <c r="R99" s="10"/>
      <c r="S99" s="10"/>
      <c r="T99" s="49"/>
      <c r="U99" s="49"/>
      <c r="V99" s="49"/>
      <c r="W99" s="10"/>
      <c r="X99" s="10"/>
      <c r="Y99" s="14"/>
      <c r="Z99" s="14"/>
      <c r="AA99" s="10"/>
      <c r="AB99" s="10"/>
      <c r="AC99" s="49"/>
      <c r="AD99" s="49"/>
      <c r="AE99" s="49"/>
      <c r="AF99" s="10"/>
      <c r="AG99" s="10"/>
      <c r="AH99" s="14"/>
      <c r="AI99" s="14"/>
      <c r="AJ99" s="10"/>
      <c r="AK99" s="13"/>
      <c r="AL99" s="15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>
      <c r="E100" s="11"/>
      <c r="F100" s="10"/>
      <c r="G100" s="13"/>
      <c r="H100" s="14"/>
      <c r="I100" s="10"/>
      <c r="J100" s="11"/>
      <c r="K100" s="11"/>
      <c r="L100" s="10"/>
      <c r="M100" s="15"/>
      <c r="N100" s="13"/>
      <c r="O100" s="13"/>
      <c r="P100" s="10"/>
      <c r="Q100" s="10"/>
      <c r="R100" s="16"/>
      <c r="S100" s="16"/>
      <c r="T100" s="10"/>
      <c r="U100" s="49"/>
      <c r="V100" s="10"/>
      <c r="W100" s="17"/>
      <c r="X100" s="17"/>
      <c r="Y100" s="10"/>
      <c r="Z100" s="10"/>
      <c r="AA100" s="17"/>
      <c r="AB100" s="17"/>
      <c r="AC100" s="10"/>
      <c r="AD100" s="49"/>
      <c r="AE100" s="10"/>
      <c r="AF100" s="17"/>
      <c r="AG100" s="16"/>
      <c r="AH100" s="10"/>
      <c r="AI100" s="10"/>
      <c r="AJ100" s="13"/>
      <c r="AK100" s="13"/>
      <c r="AL100" s="15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>
      <c r="E101" s="11"/>
      <c r="F101" s="10"/>
      <c r="G101" s="13"/>
      <c r="H101" s="10"/>
      <c r="I101" s="11"/>
      <c r="J101" s="11"/>
      <c r="K101" s="11"/>
      <c r="L101" s="10"/>
      <c r="M101" s="15"/>
      <c r="N101" s="13"/>
      <c r="O101" s="13"/>
      <c r="P101" s="10"/>
      <c r="Q101" s="16"/>
      <c r="R101" s="17"/>
      <c r="S101" s="17"/>
      <c r="T101" s="17"/>
      <c r="U101" s="10"/>
      <c r="V101" s="17"/>
      <c r="W101" s="17"/>
      <c r="X101" s="17"/>
      <c r="Y101" s="17"/>
      <c r="Z101" s="17"/>
      <c r="AA101" s="17"/>
      <c r="AB101" s="17"/>
      <c r="AC101" s="17"/>
      <c r="AD101" s="10"/>
      <c r="AE101" s="17"/>
      <c r="AF101" s="17"/>
      <c r="AG101" s="17"/>
      <c r="AH101" s="16"/>
      <c r="AI101" s="10"/>
      <c r="AJ101" s="13"/>
      <c r="AK101" s="13"/>
      <c r="AL101" s="15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>
      <c r="E102" s="11"/>
      <c r="F102" s="10"/>
      <c r="G102" s="14"/>
      <c r="H102" s="10"/>
      <c r="I102" s="11"/>
      <c r="J102" s="11"/>
      <c r="K102" s="10"/>
      <c r="L102" s="15"/>
      <c r="M102" s="13"/>
      <c r="N102" s="13"/>
      <c r="O102" s="10"/>
      <c r="P102" s="16"/>
      <c r="Q102" s="17"/>
      <c r="R102" s="17"/>
      <c r="S102" s="10"/>
      <c r="T102" s="10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0"/>
      <c r="AF102" s="10"/>
      <c r="AG102" s="17"/>
      <c r="AH102" s="17"/>
      <c r="AI102" s="16"/>
      <c r="AJ102" s="10"/>
      <c r="AK102" s="13"/>
      <c r="AL102" s="13"/>
      <c r="AM102" s="15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>
      <c r="E103" s="11"/>
      <c r="F103" s="11"/>
      <c r="G103" s="10"/>
      <c r="H103" s="11"/>
      <c r="I103" s="11"/>
      <c r="J103" s="11"/>
      <c r="K103" s="10"/>
      <c r="L103" s="15"/>
      <c r="M103" s="13"/>
      <c r="N103" s="13"/>
      <c r="O103" s="10"/>
      <c r="P103" s="16"/>
      <c r="Q103" s="17"/>
      <c r="R103" s="10"/>
      <c r="S103" s="10"/>
      <c r="T103" s="49"/>
      <c r="U103" s="10"/>
      <c r="V103" s="17"/>
      <c r="W103" s="17"/>
      <c r="X103" s="17"/>
      <c r="Y103" s="17"/>
      <c r="Z103" s="17"/>
      <c r="AA103" s="17"/>
      <c r="AB103" s="17"/>
      <c r="AC103" s="17"/>
      <c r="AD103" s="10"/>
      <c r="AE103" s="49"/>
      <c r="AF103" s="10"/>
      <c r="AG103" s="10"/>
      <c r="AH103" s="17"/>
      <c r="AI103" s="16"/>
      <c r="AJ103" s="10"/>
      <c r="AK103" s="13"/>
      <c r="AL103" s="13"/>
      <c r="AM103" s="15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>
      <c r="E104" s="11"/>
      <c r="F104" s="11"/>
      <c r="G104" s="11"/>
      <c r="H104" s="11"/>
      <c r="I104" s="11"/>
      <c r="J104" s="11"/>
      <c r="K104" s="10"/>
      <c r="L104" s="15"/>
      <c r="M104" s="13"/>
      <c r="N104" s="13"/>
      <c r="O104" s="10"/>
      <c r="P104" s="16"/>
      <c r="Q104" s="17"/>
      <c r="R104" s="10"/>
      <c r="S104" s="10"/>
      <c r="T104" s="10"/>
      <c r="U104" s="10"/>
      <c r="V104" s="17"/>
      <c r="W104" s="17"/>
      <c r="X104" s="17"/>
      <c r="Y104" s="17"/>
      <c r="Z104" s="17"/>
      <c r="AA104" s="17"/>
      <c r="AB104" s="17"/>
      <c r="AC104" s="17"/>
      <c r="AD104" s="10"/>
      <c r="AE104" s="10"/>
      <c r="AF104" s="10"/>
      <c r="AG104" s="10"/>
      <c r="AH104" s="17"/>
      <c r="AI104" s="16"/>
      <c r="AJ104" s="10"/>
      <c r="AK104" s="13"/>
      <c r="AL104" s="13"/>
      <c r="AM104" s="15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>
      <c r="E105" s="11"/>
      <c r="F105" s="11"/>
      <c r="G105" s="11"/>
      <c r="H105" s="11"/>
      <c r="I105" s="11"/>
      <c r="J105" s="11"/>
      <c r="K105" s="10"/>
      <c r="L105" s="15"/>
      <c r="M105" s="13"/>
      <c r="N105" s="13"/>
      <c r="O105" s="10"/>
      <c r="P105" s="16"/>
      <c r="Q105" s="17"/>
      <c r="R105" s="10"/>
      <c r="S105" s="10"/>
      <c r="T105" s="10"/>
      <c r="U105" s="10"/>
      <c r="V105" s="17"/>
      <c r="W105" s="17"/>
      <c r="X105" s="17"/>
      <c r="Y105" s="17"/>
      <c r="Z105" s="17"/>
      <c r="AA105" s="17"/>
      <c r="AB105" s="17"/>
      <c r="AC105" s="17"/>
      <c r="AD105" s="10"/>
      <c r="AE105" s="10"/>
      <c r="AF105" s="10"/>
      <c r="AG105" s="10"/>
      <c r="AH105" s="17"/>
      <c r="AI105" s="16"/>
      <c r="AJ105" s="10"/>
      <c r="AK105" s="13"/>
      <c r="AL105" s="13"/>
      <c r="AM105" s="15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>
      <c r="E106" s="11"/>
      <c r="F106" s="11"/>
      <c r="G106" s="11"/>
      <c r="H106" s="11"/>
      <c r="I106" s="11"/>
      <c r="J106" s="11"/>
      <c r="K106" s="10"/>
      <c r="L106" s="15"/>
      <c r="M106" s="13"/>
      <c r="N106" s="13"/>
      <c r="O106" s="10"/>
      <c r="P106" s="16"/>
      <c r="Q106" s="17"/>
      <c r="R106" s="17"/>
      <c r="S106" s="10"/>
      <c r="T106" s="10"/>
      <c r="U106" s="17"/>
      <c r="V106" s="17"/>
      <c r="W106" s="17"/>
      <c r="X106" s="17"/>
      <c r="Y106" s="10"/>
      <c r="Z106" s="10"/>
      <c r="AA106" s="17"/>
      <c r="AB106" s="17"/>
      <c r="AC106" s="17"/>
      <c r="AD106" s="17"/>
      <c r="AE106" s="10"/>
      <c r="AF106" s="10"/>
      <c r="AG106" s="17"/>
      <c r="AH106" s="17"/>
      <c r="AI106" s="16"/>
      <c r="AJ106" s="10"/>
      <c r="AK106" s="13"/>
      <c r="AL106" s="13"/>
      <c r="AM106" s="15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>
      <c r="E107" s="11"/>
      <c r="F107" s="11"/>
      <c r="G107" s="11"/>
      <c r="H107" s="11"/>
      <c r="I107" s="11"/>
      <c r="J107" s="11"/>
      <c r="K107" s="10"/>
      <c r="L107" s="15"/>
      <c r="M107" s="13"/>
      <c r="N107" s="13"/>
      <c r="O107" s="10"/>
      <c r="P107" s="18"/>
      <c r="Q107" s="18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8"/>
      <c r="AI107" s="18"/>
      <c r="AJ107" s="10"/>
      <c r="AK107" s="13"/>
      <c r="AL107" s="13"/>
      <c r="AM107" s="15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>
      <c r="E108" s="11"/>
      <c r="F108" s="11"/>
      <c r="G108" s="11"/>
      <c r="H108" s="11"/>
      <c r="I108" s="11"/>
      <c r="J108" s="11"/>
      <c r="K108" s="11"/>
      <c r="L108" s="10"/>
      <c r="M108" s="15"/>
      <c r="N108" s="13"/>
      <c r="O108" s="13"/>
      <c r="P108" s="10"/>
      <c r="Q108" s="18"/>
      <c r="R108" s="18"/>
      <c r="S108" s="17"/>
      <c r="T108" s="17"/>
      <c r="U108" s="17"/>
      <c r="V108" s="10"/>
      <c r="W108" s="17"/>
      <c r="X108" s="17"/>
      <c r="Y108" s="10"/>
      <c r="Z108" s="10"/>
      <c r="AA108" s="17"/>
      <c r="AB108" s="17"/>
      <c r="AC108" s="10"/>
      <c r="AD108" s="17"/>
      <c r="AE108" s="17"/>
      <c r="AF108" s="17"/>
      <c r="AG108" s="18"/>
      <c r="AH108" s="18"/>
      <c r="AI108" s="10"/>
      <c r="AJ108" s="13"/>
      <c r="AK108" s="13"/>
      <c r="AL108" s="15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>
      <c r="E109" s="11"/>
      <c r="F109" s="11"/>
      <c r="G109" s="11"/>
      <c r="H109" s="11"/>
      <c r="I109" s="11"/>
      <c r="J109" s="11"/>
      <c r="K109" s="11"/>
      <c r="L109" s="11"/>
      <c r="M109" s="10"/>
      <c r="N109" s="15"/>
      <c r="O109" s="13"/>
      <c r="P109" s="13"/>
      <c r="Q109" s="10"/>
      <c r="R109" s="18"/>
      <c r="S109" s="18"/>
      <c r="T109" s="17"/>
      <c r="U109" s="17"/>
      <c r="V109" s="17"/>
      <c r="W109" s="10"/>
      <c r="X109" s="10"/>
      <c r="Y109" s="17"/>
      <c r="Z109" s="17"/>
      <c r="AA109" s="10"/>
      <c r="AB109" s="10"/>
      <c r="AC109" s="17"/>
      <c r="AD109" s="17"/>
      <c r="AE109" s="17"/>
      <c r="AF109" s="18"/>
      <c r="AG109" s="18"/>
      <c r="AH109" s="10"/>
      <c r="AI109" s="13"/>
      <c r="AJ109" s="13"/>
      <c r="AK109" s="15"/>
      <c r="AL109" s="10"/>
      <c r="AM109" s="11"/>
      <c r="AN109" s="11"/>
      <c r="AO109" s="11"/>
      <c r="AP109" s="11"/>
      <c r="AQ109" s="11"/>
      <c r="AR109" s="10"/>
      <c r="AS109" s="19"/>
      <c r="AT109" s="10"/>
      <c r="AU109" s="11"/>
      <c r="AV109" s="10"/>
      <c r="AW109" s="11"/>
      <c r="AX109" s="11"/>
      <c r="AY109" s="11"/>
    </row>
    <row r="110" spans="5:51" ht="19.2" customHeight="1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8"/>
      <c r="T110" s="18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6"/>
      <c r="AF110" s="18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19"/>
      <c r="AU110" s="10"/>
      <c r="AV110" s="13"/>
      <c r="AW110" s="10"/>
      <c r="AX110" s="11"/>
      <c r="AY110" s="11"/>
    </row>
    <row r="111" spans="5:51" ht="19.2" customHeight="1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6"/>
      <c r="W111" s="16"/>
      <c r="X111" s="16"/>
      <c r="Y111" s="16"/>
      <c r="Z111" s="16"/>
      <c r="AA111" s="16"/>
      <c r="AB111" s="16"/>
      <c r="AC111" s="16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9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19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19"/>
      <c r="AX113" s="10"/>
      <c r="AY113" s="11"/>
    </row>
    <row r="114" spans="5:51" ht="19.2" customHeight="1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19"/>
      <c r="Q114" s="13"/>
      <c r="R114" s="13"/>
      <c r="S114" s="10"/>
      <c r="T114" s="13"/>
      <c r="U114" s="14"/>
      <c r="V114" s="10"/>
      <c r="W114" s="10"/>
      <c r="X114" s="13"/>
      <c r="Y114" s="15"/>
      <c r="Z114" s="15"/>
      <c r="AA114" s="13"/>
      <c r="AB114" s="10"/>
      <c r="AC114" s="10"/>
      <c r="AD114" s="14"/>
      <c r="AE114" s="13"/>
      <c r="AF114" s="10"/>
      <c r="AG114" s="13"/>
      <c r="AH114" s="13"/>
      <c r="AI114" s="19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19"/>
      <c r="AY114" s="10"/>
    </row>
    <row r="115" spans="5:51" ht="19.2" customHeight="1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19"/>
      <c r="Q115" s="13"/>
      <c r="R115" s="10"/>
      <c r="S115" s="17"/>
      <c r="T115" s="10"/>
      <c r="U115" s="10"/>
      <c r="V115" s="16"/>
      <c r="W115" s="16"/>
      <c r="X115" s="10"/>
      <c r="Y115" s="13"/>
      <c r="Z115" s="13"/>
      <c r="AA115" s="10"/>
      <c r="AB115" s="16"/>
      <c r="AC115" s="16"/>
      <c r="AD115" s="10"/>
      <c r="AE115" s="14"/>
      <c r="AF115" s="13"/>
      <c r="AG115" s="13"/>
      <c r="AH115" s="13"/>
      <c r="AI115" s="19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19"/>
      <c r="P116" s="13"/>
      <c r="Q116" s="10"/>
      <c r="R116" s="20"/>
      <c r="S116" s="17"/>
      <c r="T116" s="17"/>
      <c r="U116" s="10"/>
      <c r="V116" s="17"/>
      <c r="W116" s="17"/>
      <c r="X116" s="16"/>
      <c r="Y116" s="10"/>
      <c r="Z116" s="10"/>
      <c r="AA116" s="16"/>
      <c r="AB116" s="17"/>
      <c r="AC116" s="17"/>
      <c r="AD116" s="16"/>
      <c r="AE116" s="10"/>
      <c r="AF116" s="14"/>
      <c r="AG116" s="13"/>
      <c r="AH116" s="13"/>
      <c r="AI116" s="13"/>
      <c r="AJ116" s="19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9"/>
      <c r="P117" s="13"/>
      <c r="Q117" s="10"/>
      <c r="R117" s="20"/>
      <c r="S117" s="17"/>
      <c r="T117" s="17"/>
      <c r="U117" s="17"/>
      <c r="V117" s="10"/>
      <c r="W117" s="17"/>
      <c r="X117" s="17"/>
      <c r="Y117" s="17"/>
      <c r="Z117" s="17"/>
      <c r="AA117" s="17"/>
      <c r="AB117" s="10"/>
      <c r="AC117" s="17"/>
      <c r="AD117" s="17"/>
      <c r="AE117" s="16"/>
      <c r="AF117" s="10"/>
      <c r="AG117" s="14"/>
      <c r="AH117" s="13"/>
      <c r="AI117" s="13"/>
      <c r="AJ117" s="19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19"/>
      <c r="P118" s="13"/>
      <c r="Q118" s="10"/>
      <c r="R118" s="20"/>
      <c r="S118" s="20"/>
      <c r="T118" s="17"/>
      <c r="U118" s="17"/>
      <c r="V118" s="17"/>
      <c r="W118" s="21"/>
      <c r="X118" s="17"/>
      <c r="Y118" s="17"/>
      <c r="Z118" s="17"/>
      <c r="AA118" s="17"/>
      <c r="AB118" s="10"/>
      <c r="AC118" s="17"/>
      <c r="AD118" s="17"/>
      <c r="AE118" s="17"/>
      <c r="AF118" s="16"/>
      <c r="AG118" s="10"/>
      <c r="AH118" s="14"/>
      <c r="AI118" s="13"/>
      <c r="AJ118" s="19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0"/>
      <c r="T119" s="20"/>
      <c r="U119" s="17"/>
      <c r="V119" s="17"/>
      <c r="W119" s="17"/>
      <c r="X119" s="17"/>
      <c r="Y119" s="17"/>
      <c r="Z119" s="17"/>
      <c r="AA119" s="10"/>
      <c r="AB119" s="17"/>
      <c r="AC119" s="17"/>
      <c r="AD119" s="17"/>
      <c r="AE119" s="16"/>
      <c r="AF119" s="10"/>
      <c r="AG119" s="16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6"/>
      <c r="R120" s="17"/>
      <c r="S120" s="10"/>
      <c r="T120" s="20"/>
      <c r="U120" s="17"/>
      <c r="V120" s="17"/>
      <c r="W120" s="17"/>
      <c r="X120" s="17"/>
      <c r="Y120" s="17"/>
      <c r="Z120" s="17"/>
      <c r="AA120" s="10"/>
      <c r="AB120" s="17"/>
      <c r="AC120" s="17"/>
      <c r="AD120" s="16"/>
      <c r="AE120" s="10"/>
      <c r="AF120" s="17"/>
      <c r="AG120" s="17"/>
      <c r="AH120" s="16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>
      <c r="E121" s="11"/>
      <c r="F121" s="11"/>
      <c r="G121" s="11"/>
      <c r="H121" s="11"/>
      <c r="I121" s="11"/>
      <c r="J121" s="11"/>
      <c r="K121" s="11"/>
      <c r="L121" s="11"/>
      <c r="M121" s="10"/>
      <c r="N121" s="19"/>
      <c r="O121" s="10"/>
      <c r="P121" s="16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0"/>
      <c r="AB121" s="10"/>
      <c r="AC121" s="16"/>
      <c r="AD121" s="16"/>
      <c r="AE121" s="10"/>
      <c r="AF121" s="17"/>
      <c r="AG121" s="17"/>
      <c r="AH121" s="17"/>
      <c r="AI121" s="16"/>
      <c r="AJ121" s="10"/>
      <c r="AK121" s="19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>
      <c r="E122" s="11"/>
      <c r="F122" s="11"/>
      <c r="G122" s="11"/>
      <c r="H122" s="11"/>
      <c r="I122" s="11"/>
      <c r="J122" s="11"/>
      <c r="K122" s="11"/>
      <c r="L122" s="11"/>
      <c r="M122" s="10"/>
      <c r="N122" s="19"/>
      <c r="O122" s="10"/>
      <c r="P122" s="16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0"/>
      <c r="AD122" s="10"/>
      <c r="AE122" s="17"/>
      <c r="AF122" s="17"/>
      <c r="AG122" s="17"/>
      <c r="AH122" s="17"/>
      <c r="AI122" s="16"/>
      <c r="AJ122" s="10"/>
      <c r="AK122" s="19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>
      <c r="E123" s="11"/>
      <c r="F123" s="11"/>
      <c r="G123" s="11"/>
      <c r="H123" s="11"/>
      <c r="I123" s="11"/>
      <c r="J123" s="11"/>
      <c r="K123" s="11"/>
      <c r="L123" s="11"/>
      <c r="M123" s="10"/>
      <c r="N123" s="19"/>
      <c r="O123" s="10"/>
      <c r="P123" s="16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6"/>
      <c r="AJ123" s="10"/>
      <c r="AK123" s="19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>
      <c r="E124" s="11"/>
      <c r="F124" s="11"/>
      <c r="G124" s="11"/>
      <c r="H124" s="11"/>
      <c r="I124" s="11"/>
      <c r="J124" s="11"/>
      <c r="K124" s="11"/>
      <c r="L124" s="11"/>
      <c r="M124" s="10"/>
      <c r="N124" s="19"/>
      <c r="O124" s="10"/>
      <c r="P124" s="16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6"/>
      <c r="AJ124" s="10"/>
      <c r="AK124" s="19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6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6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6"/>
      <c r="T127" s="16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6"/>
      <c r="AF127" s="16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7"/>
      <c r="S128" s="17"/>
      <c r="T128" s="16"/>
      <c r="U128" s="16"/>
      <c r="V128" s="10"/>
      <c r="W128" s="11"/>
      <c r="X128" s="11"/>
      <c r="Y128" s="11"/>
      <c r="Z128" s="11"/>
      <c r="AA128" s="11"/>
      <c r="AB128" s="11"/>
      <c r="AC128" s="10"/>
      <c r="AD128" s="16"/>
      <c r="AE128" s="16"/>
      <c r="AF128" s="17"/>
      <c r="AG128" s="17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7"/>
      <c r="S129" s="17"/>
      <c r="T129" s="17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7"/>
      <c r="AF129" s="17"/>
      <c r="AG129" s="17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>
      <c r="F135" s="11"/>
      <c r="G135" s="50"/>
      <c r="H135" s="50"/>
      <c r="I135" s="11"/>
      <c r="J135" s="11"/>
      <c r="K135" s="11"/>
      <c r="L135" s="11"/>
      <c r="M135" s="11"/>
      <c r="N135" s="51"/>
      <c r="O135" s="51"/>
      <c r="P135" s="51"/>
      <c r="Q135" s="51"/>
      <c r="R135" s="51"/>
      <c r="S135" s="51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>
      <c r="F136" s="11"/>
      <c r="G136" s="50"/>
      <c r="H136" s="50"/>
      <c r="I136" s="11"/>
      <c r="J136" s="11"/>
      <c r="K136" s="11"/>
      <c r="L136" s="51"/>
      <c r="M136" s="51"/>
      <c r="N136" s="53"/>
      <c r="O136" s="53"/>
      <c r="P136" s="53"/>
      <c r="Q136" s="53"/>
      <c r="R136" s="53"/>
      <c r="S136" s="53"/>
      <c r="T136" s="51"/>
      <c r="U136" s="51"/>
      <c r="V136" s="11"/>
      <c r="W136" s="11"/>
      <c r="X136" s="11"/>
      <c r="Y136" s="11"/>
      <c r="Z136" s="11"/>
      <c r="AA136" s="11"/>
      <c r="AB136" s="11"/>
    </row>
    <row r="137" spans="5:51" ht="19.2" customHeight="1">
      <c r="F137" s="11"/>
      <c r="G137" s="11"/>
      <c r="H137" s="11"/>
      <c r="I137" s="11"/>
      <c r="J137" s="11"/>
      <c r="K137" s="51"/>
      <c r="L137" s="52"/>
      <c r="M137" s="53"/>
      <c r="N137" s="53"/>
      <c r="O137" s="53"/>
      <c r="P137" s="55"/>
      <c r="Q137" s="55"/>
      <c r="R137" s="53"/>
      <c r="S137" s="53"/>
      <c r="T137" s="53"/>
      <c r="U137" s="52"/>
      <c r="V137" s="51"/>
      <c r="W137" s="11"/>
      <c r="X137" s="11"/>
      <c r="Y137" s="11"/>
      <c r="Z137" s="11"/>
      <c r="AA137" s="11"/>
      <c r="AB137" s="11"/>
    </row>
    <row r="138" spans="5:51" ht="19.2" customHeight="1">
      <c r="F138" s="11"/>
      <c r="G138" s="11"/>
      <c r="H138" s="11"/>
      <c r="I138" s="11"/>
      <c r="J138" s="54"/>
      <c r="K138" s="52"/>
      <c r="L138" s="53"/>
      <c r="M138" s="56"/>
      <c r="N138" s="56"/>
      <c r="O138" s="56"/>
      <c r="P138" s="51"/>
      <c r="Q138" s="51"/>
      <c r="R138" s="56"/>
      <c r="S138" s="56"/>
      <c r="T138" s="56"/>
      <c r="U138" s="53"/>
      <c r="V138" s="52"/>
      <c r="W138" s="54"/>
      <c r="X138" s="11"/>
      <c r="Y138" s="11"/>
      <c r="Z138" s="11"/>
      <c r="AA138" s="11"/>
      <c r="AB138" s="11"/>
    </row>
    <row r="139" spans="5:51" ht="19.2" customHeight="1">
      <c r="F139" s="11"/>
      <c r="G139" s="11"/>
      <c r="H139" s="11"/>
      <c r="I139" s="11"/>
      <c r="J139" s="54"/>
      <c r="K139" s="57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4"/>
      <c r="X139" s="11"/>
      <c r="Y139" s="11"/>
      <c r="Z139" s="11"/>
      <c r="AA139" s="11"/>
      <c r="AB139" s="11"/>
    </row>
    <row r="140" spans="5:51" ht="19.2" customHeight="1">
      <c r="F140" s="11"/>
      <c r="G140" s="11"/>
      <c r="H140" s="11"/>
      <c r="I140" s="54"/>
      <c r="J140" s="52"/>
      <c r="K140" s="57"/>
      <c r="L140" s="56"/>
      <c r="M140" s="56"/>
      <c r="N140" s="56"/>
      <c r="O140" s="51"/>
      <c r="P140" s="55"/>
      <c r="Q140" s="55"/>
      <c r="R140" s="51"/>
      <c r="S140" s="56"/>
      <c r="T140" s="56"/>
      <c r="U140" s="56"/>
      <c r="V140" s="57"/>
      <c r="W140" s="52"/>
      <c r="X140" s="54"/>
      <c r="Y140" s="11"/>
      <c r="Z140" s="11"/>
      <c r="AA140" s="11"/>
      <c r="AB140" s="11"/>
    </row>
    <row r="141" spans="5:51" ht="19.2" customHeight="1">
      <c r="F141" s="11"/>
      <c r="G141" s="11"/>
      <c r="H141" s="11"/>
      <c r="I141" s="54"/>
      <c r="J141" s="57"/>
      <c r="K141" s="57"/>
      <c r="L141" s="57"/>
      <c r="M141" s="56"/>
      <c r="N141" s="66"/>
      <c r="O141" s="66"/>
      <c r="P141" s="57"/>
      <c r="Q141" s="57"/>
      <c r="R141" s="66"/>
      <c r="S141" s="66"/>
      <c r="T141" s="56"/>
      <c r="U141" s="57"/>
      <c r="V141" s="57"/>
      <c r="W141" s="57"/>
      <c r="X141" s="54"/>
      <c r="Y141" s="11"/>
      <c r="Z141" s="11"/>
      <c r="AA141" s="11"/>
      <c r="AB141" s="11"/>
    </row>
    <row r="142" spans="5:51" ht="19.2" customHeight="1">
      <c r="F142" s="11"/>
      <c r="G142" s="11"/>
      <c r="H142" s="66"/>
      <c r="I142" s="66"/>
      <c r="J142" s="57"/>
      <c r="K142" s="57"/>
      <c r="L142" s="57"/>
      <c r="M142" s="57"/>
      <c r="N142" s="66"/>
      <c r="O142" s="57"/>
      <c r="P142" s="51"/>
      <c r="Q142" s="66"/>
      <c r="R142" s="57"/>
      <c r="S142" s="66"/>
      <c r="T142" s="57"/>
      <c r="U142" s="57"/>
      <c r="V142" s="57"/>
      <c r="W142" s="57"/>
      <c r="X142" s="66"/>
      <c r="Y142" s="70"/>
      <c r="Z142" s="11"/>
      <c r="AA142" s="11"/>
      <c r="AB142" s="11"/>
    </row>
    <row r="143" spans="5:51" ht="19.2" customHeight="1">
      <c r="F143" s="54"/>
      <c r="G143" s="66"/>
      <c r="H143" s="57"/>
      <c r="I143" s="68"/>
      <c r="J143" s="54"/>
      <c r="K143" s="68"/>
      <c r="L143" s="57"/>
      <c r="M143" s="57"/>
      <c r="N143" s="57"/>
      <c r="O143" s="66"/>
      <c r="P143" s="57"/>
      <c r="Q143" s="57"/>
      <c r="R143" s="66"/>
      <c r="S143" s="57"/>
      <c r="T143" s="57"/>
      <c r="U143" s="57"/>
      <c r="V143" s="68"/>
      <c r="W143" s="54"/>
      <c r="X143" s="68"/>
      <c r="Y143" s="57"/>
      <c r="Z143" s="66"/>
      <c r="AA143" s="54"/>
      <c r="AB143" s="11"/>
    </row>
    <row r="144" spans="5:51" ht="19.2" customHeight="1">
      <c r="F144" s="11"/>
      <c r="G144" s="54"/>
      <c r="H144" s="68"/>
      <c r="I144" s="68"/>
      <c r="J144" s="68"/>
      <c r="K144" s="54"/>
      <c r="L144" s="51"/>
      <c r="M144" s="51"/>
      <c r="N144" s="55"/>
      <c r="O144" s="55"/>
      <c r="P144" s="55"/>
      <c r="Q144" s="55"/>
      <c r="R144" s="55"/>
      <c r="S144" s="55"/>
      <c r="T144" s="51"/>
      <c r="U144" s="51"/>
      <c r="V144" s="54"/>
      <c r="W144" s="68"/>
      <c r="X144" s="68"/>
      <c r="Y144" s="68"/>
      <c r="Z144" s="54"/>
      <c r="AA144" s="11"/>
      <c r="AB144" s="11"/>
    </row>
    <row r="145" spans="5:28" ht="19.2" customHeight="1">
      <c r="F145" s="11"/>
      <c r="H145" s="54"/>
      <c r="I145" s="68"/>
      <c r="J145" s="68"/>
      <c r="K145" s="68"/>
      <c r="L145" s="66"/>
      <c r="M145" s="66"/>
      <c r="N145" s="51"/>
      <c r="O145" s="55"/>
      <c r="P145" s="55"/>
      <c r="Q145" s="55"/>
      <c r="R145" s="55"/>
      <c r="S145" s="51"/>
      <c r="T145" s="66"/>
      <c r="U145" s="66"/>
      <c r="V145" s="68"/>
      <c r="W145" s="68"/>
      <c r="X145" s="68"/>
      <c r="Y145" s="54"/>
      <c r="AA145" s="11"/>
      <c r="AB145" s="11"/>
    </row>
    <row r="146" spans="5:28" ht="19.2" customHeight="1">
      <c r="F146" s="11"/>
      <c r="H146" s="11"/>
      <c r="I146" s="54"/>
      <c r="J146" s="51"/>
      <c r="K146" s="51"/>
      <c r="L146" s="71"/>
      <c r="M146" s="53"/>
      <c r="N146" s="54"/>
      <c r="O146" s="66"/>
      <c r="P146" s="66"/>
      <c r="Q146" s="66"/>
      <c r="R146" s="66"/>
      <c r="S146" s="54"/>
      <c r="T146" s="53"/>
      <c r="U146" s="71"/>
      <c r="V146" s="51"/>
      <c r="W146" s="51"/>
      <c r="X146" s="54"/>
      <c r="Y146" s="11"/>
      <c r="AA146" s="11"/>
      <c r="AB146" s="11"/>
    </row>
    <row r="147" spans="5:28" ht="19.2" customHeight="1">
      <c r="F147" s="11"/>
      <c r="H147" s="54"/>
      <c r="I147" s="51"/>
      <c r="J147" s="68"/>
      <c r="K147" s="68"/>
      <c r="L147" s="73"/>
      <c r="M147" s="53"/>
      <c r="N147" s="54"/>
      <c r="O147" s="73"/>
      <c r="P147" s="73"/>
      <c r="Q147" s="73"/>
      <c r="R147" s="73"/>
      <c r="S147" s="54"/>
      <c r="T147" s="53"/>
      <c r="U147" s="73"/>
      <c r="V147" s="68"/>
      <c r="W147" s="68"/>
      <c r="X147" s="51"/>
      <c r="Y147" s="54"/>
      <c r="AA147" s="11"/>
      <c r="AB147" s="11"/>
    </row>
    <row r="148" spans="5:28" ht="19.2" customHeight="1">
      <c r="F148" s="11"/>
      <c r="H148" s="11"/>
      <c r="I148" s="54"/>
      <c r="J148" s="54"/>
      <c r="K148" s="68"/>
      <c r="L148" s="51"/>
      <c r="M148" s="73"/>
      <c r="N148" s="73"/>
      <c r="O148" s="73"/>
      <c r="P148" s="73"/>
      <c r="Q148" s="73"/>
      <c r="R148" s="73"/>
      <c r="S148" s="73"/>
      <c r="T148" s="73"/>
      <c r="U148" s="73"/>
      <c r="V148" s="68"/>
      <c r="W148" s="54"/>
      <c r="X148" s="54"/>
      <c r="Y148" s="11"/>
      <c r="AA148" s="11"/>
      <c r="AB148" s="11"/>
    </row>
    <row r="149" spans="5:28" ht="19.2" customHeight="1">
      <c r="F149" s="11"/>
      <c r="H149" s="11"/>
      <c r="I149" s="11"/>
      <c r="J149" s="11"/>
      <c r="K149" s="54"/>
      <c r="L149" s="54"/>
      <c r="M149" s="68"/>
      <c r="N149" s="71"/>
      <c r="O149" s="73"/>
      <c r="P149" s="71"/>
      <c r="Q149" s="71"/>
      <c r="R149" s="73"/>
      <c r="S149" s="71"/>
      <c r="T149" s="68"/>
      <c r="U149" s="54"/>
      <c r="V149" s="54"/>
      <c r="W149" s="11"/>
      <c r="X149" s="11"/>
      <c r="Y149" s="11"/>
      <c r="Z149" s="11"/>
      <c r="AA149" s="11"/>
      <c r="AB149" s="11"/>
    </row>
    <row r="150" spans="5:28" ht="19.2" customHeight="1">
      <c r="F150" s="11"/>
      <c r="G150" s="11"/>
      <c r="H150" s="11"/>
      <c r="I150" s="11"/>
      <c r="J150" s="11"/>
      <c r="K150" s="11"/>
      <c r="L150" s="54"/>
      <c r="M150" s="74"/>
      <c r="N150" s="54"/>
      <c r="O150" s="54"/>
      <c r="P150" s="68"/>
      <c r="Q150" s="68"/>
      <c r="R150" s="54"/>
      <c r="S150" s="54"/>
      <c r="T150" s="74"/>
      <c r="U150" s="54"/>
      <c r="V150" s="11"/>
      <c r="W150" s="11"/>
      <c r="X150" s="11"/>
      <c r="Y150" s="11"/>
      <c r="Z150" s="11"/>
      <c r="AA150" s="11"/>
      <c r="AB150" s="11"/>
    </row>
    <row r="151" spans="5:28" ht="19.2" customHeight="1">
      <c r="E151" s="11"/>
      <c r="F151" s="11"/>
      <c r="G151" s="11"/>
      <c r="H151" s="11"/>
      <c r="I151" s="68"/>
      <c r="J151" s="54"/>
      <c r="K151" s="51"/>
      <c r="L151" s="74"/>
      <c r="M151" s="54"/>
      <c r="N151" s="75"/>
      <c r="O151" s="66"/>
      <c r="P151" s="66"/>
      <c r="Q151" s="76"/>
      <c r="R151" s="75"/>
      <c r="S151" s="75"/>
      <c r="T151" s="54"/>
      <c r="U151" s="74"/>
      <c r="V151" s="51"/>
      <c r="W151" s="54"/>
      <c r="X151" s="68"/>
      <c r="Y151" s="11"/>
      <c r="Z151" s="11"/>
      <c r="AA151" s="11"/>
      <c r="AB151" s="11"/>
    </row>
    <row r="152" spans="5:28" ht="19.2" customHeight="1">
      <c r="E152" s="11"/>
      <c r="F152" s="11"/>
      <c r="G152" s="11"/>
      <c r="H152" s="68"/>
      <c r="I152" s="73"/>
      <c r="J152" s="51"/>
      <c r="K152" s="51"/>
      <c r="L152" s="54"/>
      <c r="M152" s="11"/>
      <c r="N152" s="66"/>
      <c r="O152" s="75"/>
      <c r="P152" s="66"/>
      <c r="Q152" s="66"/>
      <c r="R152" s="75"/>
      <c r="S152" s="66"/>
      <c r="T152" s="74"/>
      <c r="U152" s="54"/>
      <c r="V152" s="51"/>
      <c r="W152" s="51"/>
      <c r="X152" s="73"/>
      <c r="Y152" s="68"/>
      <c r="Z152" s="11"/>
      <c r="AA152" s="11"/>
      <c r="AB152" s="11"/>
    </row>
    <row r="153" spans="5:28" ht="19.2" customHeight="1">
      <c r="E153" s="11"/>
      <c r="F153" s="11"/>
      <c r="G153" s="11"/>
      <c r="H153" s="68"/>
      <c r="I153" s="73"/>
      <c r="J153" s="71"/>
      <c r="K153" s="54"/>
      <c r="L153" s="11"/>
      <c r="M153" s="11"/>
      <c r="N153" s="66"/>
      <c r="O153" s="74"/>
      <c r="P153" s="76"/>
      <c r="Q153" s="76"/>
      <c r="R153" s="66"/>
      <c r="S153" s="66"/>
      <c r="T153" s="74"/>
      <c r="U153" s="74"/>
      <c r="V153" s="54"/>
      <c r="W153" s="71"/>
      <c r="X153" s="73"/>
      <c r="Y153" s="68"/>
      <c r="Z153" s="11"/>
      <c r="AA153" s="11"/>
      <c r="AB153" s="11"/>
    </row>
    <row r="154" spans="5:28" ht="19.2" customHeight="1">
      <c r="E154" s="11"/>
      <c r="F154" s="11"/>
      <c r="G154" s="11"/>
      <c r="H154" s="11"/>
      <c r="I154" s="54"/>
      <c r="J154" s="54"/>
      <c r="K154" s="11"/>
      <c r="L154" s="11"/>
      <c r="M154" s="66"/>
      <c r="N154" s="75"/>
      <c r="O154" s="76"/>
      <c r="P154" s="66"/>
      <c r="Q154" s="66"/>
      <c r="R154" s="76"/>
      <c r="S154" s="75"/>
      <c r="T154" s="54"/>
      <c r="U154" s="74"/>
      <c r="V154" s="77"/>
      <c r="W154" s="54"/>
      <c r="X154" s="54"/>
      <c r="Y154" s="11"/>
      <c r="Z154" s="11"/>
      <c r="AA154" s="11"/>
      <c r="AB154" s="11"/>
    </row>
    <row r="155" spans="5:28" ht="19.2" customHeight="1">
      <c r="E155" s="11"/>
      <c r="F155" s="11"/>
      <c r="G155" s="11"/>
      <c r="H155" s="11"/>
      <c r="I155" s="11"/>
      <c r="J155" s="11"/>
      <c r="K155" s="11"/>
      <c r="L155" s="11"/>
      <c r="M155" s="54"/>
      <c r="N155" s="66"/>
      <c r="O155" s="55"/>
      <c r="P155" s="55"/>
      <c r="Q155" s="55"/>
      <c r="R155" s="55"/>
      <c r="S155" s="66"/>
      <c r="T155" s="79"/>
      <c r="U155" s="76"/>
      <c r="V155" s="78"/>
      <c r="W155" s="75"/>
      <c r="X155" s="11"/>
      <c r="Y155" s="11"/>
      <c r="Z155" s="11"/>
      <c r="AA155" s="11"/>
      <c r="AB155" s="11"/>
    </row>
    <row r="156" spans="5:28" ht="19.2" customHeight="1">
      <c r="E156" s="11"/>
      <c r="F156" s="11"/>
      <c r="G156" s="11"/>
      <c r="H156" s="11"/>
      <c r="I156" s="11"/>
      <c r="J156" s="11"/>
      <c r="K156" s="11"/>
      <c r="L156" s="11"/>
      <c r="M156" s="54"/>
      <c r="N156" s="66"/>
      <c r="O156" s="66"/>
      <c r="P156" s="66"/>
      <c r="Q156" s="66"/>
      <c r="R156" s="66"/>
      <c r="S156" s="66"/>
      <c r="T156" s="54"/>
      <c r="U156" s="79"/>
      <c r="V156" s="76"/>
      <c r="W156" s="54"/>
      <c r="X156" s="11"/>
      <c r="Y156" s="11"/>
      <c r="Z156" s="11"/>
      <c r="AA156" s="11"/>
      <c r="AB156" s="11"/>
    </row>
    <row r="157" spans="5:28" ht="19.2" customHeight="1">
      <c r="E157" s="11"/>
      <c r="F157" s="11"/>
      <c r="G157" s="11"/>
      <c r="H157" s="11"/>
      <c r="I157" s="11"/>
      <c r="J157" s="11"/>
      <c r="K157" s="11"/>
      <c r="L157" s="11"/>
      <c r="M157" s="54"/>
      <c r="N157" s="66"/>
      <c r="O157" s="66"/>
      <c r="P157" s="54"/>
      <c r="Q157" s="54"/>
      <c r="R157" s="66"/>
      <c r="S157" s="66"/>
      <c r="T157" s="54"/>
      <c r="U157" s="54"/>
      <c r="V157" s="54"/>
      <c r="W157" s="11"/>
      <c r="X157" s="11"/>
      <c r="Y157" s="11"/>
      <c r="Z157" s="11"/>
      <c r="AA157" s="11"/>
      <c r="AB157" s="11"/>
    </row>
    <row r="158" spans="5:28" ht="19.2" customHeight="1">
      <c r="E158" s="11"/>
      <c r="F158" s="11"/>
      <c r="G158" s="11"/>
      <c r="H158" s="11"/>
      <c r="I158" s="11"/>
      <c r="J158" s="11"/>
      <c r="K158" s="11"/>
      <c r="L158" s="54"/>
      <c r="M158" s="57"/>
      <c r="N158" s="66"/>
      <c r="O158" s="54"/>
      <c r="P158" s="11"/>
      <c r="Q158" s="11"/>
      <c r="R158" s="54"/>
      <c r="S158" s="66"/>
      <c r="T158" s="80"/>
      <c r="U158" s="54"/>
      <c r="V158" s="11"/>
      <c r="W158" s="11"/>
      <c r="X158" s="11"/>
      <c r="Y158" s="11"/>
      <c r="Z158" s="11"/>
      <c r="AA158" s="11"/>
      <c r="AB158" s="11"/>
    </row>
    <row r="159" spans="5:28" ht="19.2" customHeight="1">
      <c r="E159" s="11"/>
      <c r="F159" s="11"/>
      <c r="G159" s="11"/>
      <c r="H159" s="11"/>
      <c r="I159" s="11"/>
      <c r="J159" s="11"/>
      <c r="K159" s="11"/>
      <c r="L159" s="54"/>
      <c r="M159" s="56"/>
      <c r="N159" s="56"/>
      <c r="O159" s="54"/>
      <c r="P159" s="11"/>
      <c r="Q159" s="11"/>
      <c r="R159" s="54"/>
      <c r="S159" s="56"/>
      <c r="T159" s="56"/>
      <c r="U159" s="54"/>
      <c r="V159" s="11"/>
      <c r="W159" s="11"/>
      <c r="X159" s="11"/>
      <c r="Y159" s="11"/>
      <c r="Z159" s="11"/>
      <c r="AA159" s="11"/>
      <c r="AB159" s="11"/>
    </row>
    <row r="160" spans="5:28" ht="19.2" customHeight="1">
      <c r="E160" s="11"/>
      <c r="F160" s="11"/>
      <c r="G160" s="11"/>
      <c r="H160" s="11"/>
      <c r="I160" s="11"/>
      <c r="J160" s="11"/>
      <c r="K160" s="11"/>
      <c r="L160" s="11"/>
      <c r="M160" s="54"/>
      <c r="N160" s="54"/>
      <c r="O160" s="11"/>
      <c r="P160" s="11"/>
      <c r="Q160" s="11"/>
      <c r="R160" s="11"/>
      <c r="S160" s="54"/>
      <c r="T160" s="54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>
      <c r="AX168" s="82"/>
      <c r="AY168" s="82"/>
      <c r="AZ168" s="82"/>
      <c r="BA168" s="82"/>
      <c r="BB168" s="82"/>
      <c r="BC168" s="82"/>
      <c r="CD168" s="82"/>
      <c r="CE168" s="82"/>
      <c r="CF168" s="82"/>
      <c r="CG168" s="82"/>
      <c r="CH168" s="82"/>
      <c r="CI168" s="82"/>
    </row>
    <row r="169" spans="13:92" ht="19.2" customHeight="1">
      <c r="R169" s="82"/>
      <c r="S169" s="82"/>
      <c r="T169" s="82"/>
      <c r="U169" s="82"/>
      <c r="V169" s="82"/>
      <c r="W169" s="82"/>
      <c r="AV169" s="82"/>
      <c r="AW169" s="82"/>
      <c r="AX169" s="83"/>
      <c r="AY169" s="83"/>
      <c r="AZ169" s="83"/>
      <c r="BA169" s="83"/>
      <c r="BB169" s="83"/>
      <c r="BC169" s="83"/>
      <c r="BD169" s="82"/>
      <c r="BE169" s="82"/>
      <c r="CB169" s="82"/>
      <c r="CC169" s="82"/>
      <c r="CD169" s="83"/>
      <c r="CE169" s="83"/>
      <c r="CF169" s="83"/>
      <c r="CG169" s="83"/>
      <c r="CH169" s="83"/>
      <c r="CI169" s="83"/>
      <c r="CJ169" s="82"/>
      <c r="CK169" s="82"/>
    </row>
    <row r="170" spans="13:92" ht="19.2" customHeight="1">
      <c r="P170" s="82"/>
      <c r="Q170" s="82"/>
      <c r="R170" s="83"/>
      <c r="S170" s="83"/>
      <c r="T170" s="83"/>
      <c r="U170" s="83"/>
      <c r="V170" s="83"/>
      <c r="W170" s="83"/>
      <c r="X170" s="82"/>
      <c r="Y170" s="82"/>
      <c r="AU170" s="82"/>
      <c r="AV170" s="84"/>
      <c r="AW170" s="83"/>
      <c r="AX170" s="83"/>
      <c r="AY170" s="83"/>
      <c r="AZ170" s="85"/>
      <c r="BA170" s="85"/>
      <c r="BB170" s="83"/>
      <c r="BC170" s="83"/>
      <c r="BD170" s="83"/>
      <c r="BE170" s="84"/>
      <c r="BF170" s="82"/>
      <c r="CA170" s="82"/>
      <c r="CB170" s="84"/>
      <c r="CC170" s="83"/>
      <c r="CD170" s="83"/>
      <c r="CE170" s="83"/>
      <c r="CF170" s="85"/>
      <c r="CG170" s="85"/>
      <c r="CH170" s="83"/>
      <c r="CI170" s="83"/>
      <c r="CJ170" s="83"/>
      <c r="CK170" s="84"/>
      <c r="CL170" s="82"/>
    </row>
    <row r="171" spans="13:92" ht="19.2" customHeight="1">
      <c r="O171" s="82"/>
      <c r="P171" s="84"/>
      <c r="Q171" s="83"/>
      <c r="R171" s="83"/>
      <c r="S171" s="83"/>
      <c r="T171" s="85"/>
      <c r="U171" s="85"/>
      <c r="V171" s="83"/>
      <c r="W171" s="83"/>
      <c r="X171" s="83"/>
      <c r="Y171" s="84"/>
      <c r="Z171" s="82"/>
      <c r="AT171" s="86"/>
      <c r="AU171" s="84"/>
      <c r="AV171" s="87"/>
      <c r="AW171" s="88"/>
      <c r="AX171" s="88"/>
      <c r="AY171" s="88"/>
      <c r="AZ171" s="85"/>
      <c r="BA171" s="85"/>
      <c r="BB171" s="88"/>
      <c r="BC171" s="88"/>
      <c r="BD171" s="88"/>
      <c r="BE171" s="87"/>
      <c r="BF171" s="84"/>
      <c r="BG171" s="86"/>
      <c r="BZ171" s="86"/>
      <c r="CA171" s="84"/>
      <c r="CB171" s="87"/>
      <c r="CC171" s="88"/>
      <c r="CD171" s="88"/>
      <c r="CE171" s="88"/>
      <c r="CF171" s="85"/>
      <c r="CG171" s="85"/>
      <c r="CH171" s="88"/>
      <c r="CI171" s="88"/>
      <c r="CJ171" s="88"/>
      <c r="CK171" s="87"/>
      <c r="CL171" s="84"/>
      <c r="CM171" s="86"/>
    </row>
    <row r="172" spans="13:92" ht="19.2" customHeight="1">
      <c r="N172" s="86"/>
      <c r="O172" s="84"/>
      <c r="P172" s="87"/>
      <c r="Q172" s="88"/>
      <c r="R172" s="88"/>
      <c r="S172" s="88"/>
      <c r="T172" s="85"/>
      <c r="U172" s="85"/>
      <c r="V172" s="88"/>
      <c r="W172" s="88"/>
      <c r="X172" s="88"/>
      <c r="Y172" s="87"/>
      <c r="Z172" s="84"/>
      <c r="AA172" s="86"/>
      <c r="AT172" s="86"/>
      <c r="AU172" s="89"/>
      <c r="AV172" s="87"/>
      <c r="AW172" s="88"/>
      <c r="AX172" s="88"/>
      <c r="AY172" s="88"/>
      <c r="AZ172" s="88"/>
      <c r="BA172" s="88"/>
      <c r="BB172" s="88"/>
      <c r="BC172" s="88"/>
      <c r="BD172" s="88"/>
      <c r="BE172" s="87"/>
      <c r="BF172" s="89"/>
      <c r="BG172" s="86"/>
      <c r="BZ172" s="86"/>
      <c r="CA172" s="89"/>
      <c r="CB172" s="87"/>
      <c r="CC172" s="88"/>
      <c r="CD172" s="88"/>
      <c r="CE172" s="88"/>
      <c r="CF172" s="88"/>
      <c r="CG172" s="88"/>
      <c r="CH172" s="88"/>
      <c r="CI172" s="88"/>
      <c r="CJ172" s="88"/>
      <c r="CK172" s="87"/>
      <c r="CL172" s="89"/>
      <c r="CM172" s="86"/>
    </row>
    <row r="173" spans="13:92" ht="19.2" customHeight="1">
      <c r="N173" s="86"/>
      <c r="O173" s="89"/>
      <c r="P173" s="87"/>
      <c r="Q173" s="88"/>
      <c r="R173" s="88"/>
      <c r="S173" s="88"/>
      <c r="T173" s="88"/>
      <c r="U173" s="88"/>
      <c r="V173" s="88"/>
      <c r="W173" s="88"/>
      <c r="X173" s="88"/>
      <c r="Y173" s="87"/>
      <c r="Z173" s="89"/>
      <c r="AA173" s="86"/>
      <c r="AS173" s="86"/>
      <c r="AT173" s="89"/>
      <c r="AU173" s="89"/>
      <c r="AV173" s="89"/>
      <c r="AW173" s="87"/>
      <c r="AX173" s="88"/>
      <c r="AY173" s="88"/>
      <c r="AZ173" s="88"/>
      <c r="BA173" s="88"/>
      <c r="BB173" s="88"/>
      <c r="BC173" s="88"/>
      <c r="BD173" s="87"/>
      <c r="BE173" s="89"/>
      <c r="BF173" s="89"/>
      <c r="BG173" s="89"/>
      <c r="BH173" s="86"/>
      <c r="BY173" s="86"/>
      <c r="BZ173" s="89"/>
      <c r="CA173" s="89"/>
      <c r="CB173" s="89"/>
      <c r="CC173" s="87"/>
      <c r="CD173" s="88"/>
      <c r="CE173" s="88"/>
      <c r="CF173" s="88"/>
      <c r="CG173" s="88"/>
      <c r="CH173" s="88"/>
      <c r="CI173" s="88"/>
      <c r="CJ173" s="87"/>
      <c r="CK173" s="89"/>
      <c r="CL173" s="89"/>
      <c r="CM173" s="89"/>
      <c r="CN173" s="86"/>
    </row>
    <row r="174" spans="13:92" ht="19.2" customHeight="1">
      <c r="M174" s="86"/>
      <c r="N174" s="89"/>
      <c r="O174" s="89"/>
      <c r="P174" s="89"/>
      <c r="Q174" s="87"/>
      <c r="R174" s="88"/>
      <c r="S174" s="88"/>
      <c r="T174" s="88"/>
      <c r="U174" s="88"/>
      <c r="V174" s="88"/>
      <c r="W174" s="88"/>
      <c r="X174" s="87"/>
      <c r="Y174" s="89"/>
      <c r="Z174" s="89"/>
      <c r="AA174" s="89"/>
      <c r="AB174" s="86"/>
      <c r="AS174" s="86"/>
      <c r="AT174" s="89"/>
      <c r="AU174" s="89"/>
      <c r="AV174" s="89"/>
      <c r="AW174" s="89"/>
      <c r="AX174" s="87"/>
      <c r="AY174" s="87"/>
      <c r="AZ174" s="87"/>
      <c r="BA174" s="87"/>
      <c r="BB174" s="87"/>
      <c r="BC174" s="87"/>
      <c r="BD174" s="89"/>
      <c r="BE174" s="89"/>
      <c r="BF174" s="89"/>
      <c r="BG174" s="89"/>
      <c r="BH174" s="86"/>
      <c r="BY174" s="86"/>
      <c r="BZ174" s="89"/>
      <c r="CA174" s="89"/>
      <c r="CB174" s="89"/>
      <c r="CC174" s="89"/>
      <c r="CD174" s="87"/>
      <c r="CE174" s="87"/>
      <c r="CF174" s="87"/>
      <c r="CG174" s="87"/>
      <c r="CH174" s="87"/>
      <c r="CI174" s="87"/>
      <c r="CJ174" s="89"/>
      <c r="CK174" s="89"/>
      <c r="CL174" s="89"/>
      <c r="CM174" s="89"/>
      <c r="CN174" s="86"/>
    </row>
    <row r="175" spans="13:92" ht="19.2" customHeight="1">
      <c r="M175" s="86"/>
      <c r="N175" s="89"/>
      <c r="O175" s="89"/>
      <c r="P175" s="89"/>
      <c r="Q175" s="89"/>
      <c r="R175" s="87"/>
      <c r="S175" s="87"/>
      <c r="T175" s="87"/>
      <c r="U175" s="87"/>
      <c r="V175" s="87"/>
      <c r="W175" s="87"/>
      <c r="X175" s="89"/>
      <c r="Y175" s="89"/>
      <c r="Z175" s="89"/>
      <c r="AA175" s="89"/>
      <c r="AB175" s="86"/>
      <c r="AS175" s="86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6"/>
      <c r="BY175" s="86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6"/>
    </row>
    <row r="176" spans="13:92" ht="19.2" customHeight="1">
      <c r="M176" s="86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6"/>
      <c r="AS176" s="82"/>
      <c r="AT176" s="82"/>
      <c r="AU176" s="89"/>
      <c r="AV176" s="89"/>
      <c r="AW176" s="89"/>
      <c r="AX176" s="89"/>
      <c r="AY176" s="82"/>
      <c r="AZ176" s="82"/>
      <c r="BA176" s="82"/>
      <c r="BB176" s="82"/>
      <c r="BC176" s="89"/>
      <c r="BD176" s="89"/>
      <c r="BE176" s="89"/>
      <c r="BF176" s="89"/>
      <c r="BG176" s="82"/>
      <c r="BH176" s="86"/>
      <c r="BY176" s="82"/>
      <c r="BZ176" s="82"/>
      <c r="CA176" s="89"/>
      <c r="CB176" s="89"/>
      <c r="CC176" s="89"/>
      <c r="CD176" s="89"/>
      <c r="CE176" s="82"/>
      <c r="CF176" s="82"/>
      <c r="CG176" s="82"/>
      <c r="CH176" s="82"/>
      <c r="CI176" s="89"/>
      <c r="CJ176" s="89"/>
      <c r="CK176" s="89"/>
      <c r="CL176" s="89"/>
      <c r="CM176" s="82"/>
      <c r="CN176" s="86"/>
    </row>
    <row r="177" spans="11:94" ht="19.2" customHeight="1">
      <c r="M177" s="86"/>
      <c r="N177" s="82"/>
      <c r="O177" s="89"/>
      <c r="P177" s="89"/>
      <c r="Q177" s="89"/>
      <c r="R177" s="89"/>
      <c r="S177" s="82"/>
      <c r="T177" s="82"/>
      <c r="U177" s="82"/>
      <c r="V177" s="82"/>
      <c r="W177" s="89"/>
      <c r="X177" s="89"/>
      <c r="Y177" s="89"/>
      <c r="Z177" s="89"/>
      <c r="AA177" s="82"/>
      <c r="AB177" s="86"/>
      <c r="AQ177" s="86"/>
      <c r="AR177" s="82"/>
      <c r="AS177" s="84"/>
      <c r="AT177" s="82"/>
      <c r="AU177" s="89"/>
      <c r="AV177" s="89"/>
      <c r="AW177" s="89"/>
      <c r="AX177" s="89"/>
      <c r="AY177" s="82"/>
      <c r="AZ177" s="82"/>
      <c r="BA177" s="82"/>
      <c r="BB177" s="82"/>
      <c r="BC177" s="89"/>
      <c r="BD177" s="89"/>
      <c r="BE177" s="89"/>
      <c r="BF177" s="89"/>
      <c r="BG177" s="82"/>
      <c r="BH177" s="84"/>
      <c r="BI177" s="86"/>
      <c r="BJ177" s="86"/>
      <c r="BW177" s="86"/>
      <c r="BX177" s="82"/>
      <c r="BY177" s="84"/>
      <c r="BZ177" s="82"/>
      <c r="CA177" s="89"/>
      <c r="CB177" s="89"/>
      <c r="CC177" s="89"/>
      <c r="CD177" s="89"/>
      <c r="CE177" s="82"/>
      <c r="CF177" s="82"/>
      <c r="CG177" s="82"/>
      <c r="CH177" s="82"/>
      <c r="CI177" s="89"/>
      <c r="CJ177" s="89"/>
      <c r="CK177" s="89"/>
      <c r="CL177" s="89"/>
      <c r="CM177" s="82"/>
      <c r="CN177" s="84"/>
      <c r="CO177" s="86"/>
      <c r="CP177" s="86"/>
    </row>
    <row r="178" spans="11:94" ht="19.2" customHeight="1">
      <c r="K178" s="86"/>
      <c r="L178" s="82"/>
      <c r="M178" s="84"/>
      <c r="N178" s="82"/>
      <c r="O178" s="89"/>
      <c r="P178" s="89"/>
      <c r="Q178" s="89"/>
      <c r="R178" s="89"/>
      <c r="S178" s="82"/>
      <c r="T178" s="82"/>
      <c r="U178" s="82"/>
      <c r="V178" s="82"/>
      <c r="W178" s="89"/>
      <c r="X178" s="89"/>
      <c r="Y178" s="89"/>
      <c r="Z178" s="89"/>
      <c r="AA178" s="82"/>
      <c r="AB178" s="84"/>
      <c r="AC178" s="86"/>
      <c r="AD178" s="86"/>
      <c r="AR178" s="86"/>
      <c r="AS178" s="90"/>
      <c r="AT178" s="90"/>
      <c r="AU178" s="82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2"/>
      <c r="BG178" s="90"/>
      <c r="BH178" s="90"/>
      <c r="BI178" s="86"/>
      <c r="BX178" s="86"/>
      <c r="BY178" s="90"/>
      <c r="BZ178" s="90"/>
      <c r="CA178" s="82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2"/>
      <c r="CM178" s="90"/>
      <c r="CN178" s="90"/>
      <c r="CO178" s="86"/>
    </row>
    <row r="179" spans="11:94" ht="19.2" customHeight="1">
      <c r="L179" s="86"/>
      <c r="M179" s="90"/>
      <c r="N179" s="90"/>
      <c r="O179" s="82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2"/>
      <c r="AA179" s="90"/>
      <c r="AB179" s="90"/>
      <c r="AC179" s="86"/>
      <c r="AS179" s="86"/>
      <c r="AT179" s="90"/>
      <c r="AU179" s="90"/>
      <c r="AV179" s="82"/>
      <c r="AW179" s="82"/>
      <c r="AX179" s="89"/>
      <c r="AY179" s="89"/>
      <c r="AZ179" s="89"/>
      <c r="BA179" s="89"/>
      <c r="BB179" s="89"/>
      <c r="BC179" s="89"/>
      <c r="BD179" s="82"/>
      <c r="BE179" s="82"/>
      <c r="BF179" s="90"/>
      <c r="BG179" s="90"/>
      <c r="BH179" s="86"/>
      <c r="BY179" s="86"/>
      <c r="BZ179" s="90"/>
      <c r="CA179" s="90"/>
      <c r="CB179" s="82"/>
      <c r="CC179" s="82"/>
      <c r="CD179" s="89"/>
      <c r="CE179" s="89"/>
      <c r="CF179" s="89"/>
      <c r="CG179" s="89"/>
      <c r="CH179" s="89"/>
      <c r="CI179" s="89"/>
      <c r="CJ179" s="82"/>
      <c r="CK179" s="82"/>
      <c r="CL179" s="90"/>
      <c r="CM179" s="90"/>
      <c r="CN179" s="86"/>
    </row>
    <row r="180" spans="11:94" ht="19.2" customHeight="1">
      <c r="M180" s="86"/>
      <c r="N180" s="90"/>
      <c r="O180" s="90"/>
      <c r="P180" s="82"/>
      <c r="Q180" s="82"/>
      <c r="R180" s="89"/>
      <c r="S180" s="89"/>
      <c r="T180" s="89"/>
      <c r="U180" s="89"/>
      <c r="V180" s="89"/>
      <c r="W180" s="89"/>
      <c r="X180" s="82"/>
      <c r="Y180" s="82"/>
      <c r="Z180" s="90"/>
      <c r="AA180" s="90"/>
      <c r="AB180" s="86"/>
      <c r="AT180" s="86"/>
      <c r="AU180" s="82"/>
      <c r="AV180" s="90"/>
      <c r="AW180" s="90"/>
      <c r="AX180" s="82"/>
      <c r="AY180" s="82"/>
      <c r="AZ180" s="82"/>
      <c r="BA180" s="82"/>
      <c r="BB180" s="82"/>
      <c r="BC180" s="82"/>
      <c r="BD180" s="90"/>
      <c r="BE180" s="90"/>
      <c r="BF180" s="82"/>
      <c r="BG180" s="86"/>
      <c r="BZ180" s="86"/>
      <c r="CA180" s="82"/>
      <c r="CB180" s="90"/>
      <c r="CC180" s="90"/>
      <c r="CD180" s="82"/>
      <c r="CE180" s="82"/>
      <c r="CF180" s="82"/>
      <c r="CG180" s="82"/>
      <c r="CH180" s="82"/>
      <c r="CI180" s="82"/>
      <c r="CJ180" s="90"/>
      <c r="CK180" s="90"/>
      <c r="CL180" s="82"/>
      <c r="CM180" s="86"/>
    </row>
    <row r="181" spans="11:94" ht="19.2" customHeight="1">
      <c r="N181" s="86"/>
      <c r="O181" s="82"/>
      <c r="P181" s="90"/>
      <c r="Q181" s="90"/>
      <c r="R181" s="82"/>
      <c r="S181" s="82"/>
      <c r="T181" s="82"/>
      <c r="U181" s="82"/>
      <c r="V181" s="82"/>
      <c r="W181" s="82"/>
      <c r="X181" s="90"/>
      <c r="Y181" s="90"/>
      <c r="Z181" s="82"/>
      <c r="AA181" s="86"/>
      <c r="AT181" s="82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86"/>
      <c r="BZ181" s="82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86"/>
    </row>
    <row r="182" spans="11:94" ht="19.2" customHeight="1">
      <c r="N182" s="82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86"/>
      <c r="AU182" s="86"/>
      <c r="AV182" s="86"/>
      <c r="AW182" s="90"/>
      <c r="AX182" s="86"/>
      <c r="AY182" s="90"/>
      <c r="AZ182" s="90"/>
      <c r="BA182" s="90"/>
      <c r="BB182" s="90"/>
      <c r="BC182" s="86"/>
      <c r="BD182" s="90"/>
      <c r="BE182" s="86"/>
      <c r="BF182" s="86"/>
      <c r="CA182" s="86"/>
      <c r="CB182" s="86"/>
      <c r="CC182" s="90"/>
      <c r="CD182" s="86"/>
      <c r="CE182" s="90"/>
      <c r="CF182" s="90"/>
      <c r="CG182" s="90"/>
      <c r="CH182" s="90"/>
      <c r="CI182" s="86"/>
      <c r="CJ182" s="90"/>
      <c r="CK182" s="86"/>
      <c r="CL182" s="86"/>
    </row>
    <row r="183" spans="11:94" ht="19.2" customHeight="1">
      <c r="O183" s="86"/>
      <c r="P183" s="86"/>
      <c r="Q183" s="90"/>
      <c r="R183" s="86"/>
      <c r="S183" s="90"/>
      <c r="T183" s="90"/>
      <c r="U183" s="90"/>
      <c r="V183" s="90"/>
      <c r="W183" s="86"/>
      <c r="X183" s="90"/>
      <c r="Y183" s="86"/>
      <c r="Z183" s="86"/>
      <c r="AV183" s="86"/>
      <c r="AW183" s="86"/>
      <c r="AX183" s="90"/>
      <c r="AY183" s="86"/>
      <c r="AZ183" s="86"/>
      <c r="BA183" s="86"/>
      <c r="BB183" s="86"/>
      <c r="BC183" s="90"/>
      <c r="BD183" s="86"/>
      <c r="BE183" s="86"/>
      <c r="BF183" s="86"/>
      <c r="BG183" s="86"/>
      <c r="BZ183" s="86"/>
      <c r="CA183" s="86"/>
      <c r="CB183" s="86"/>
      <c r="CC183" s="86"/>
      <c r="CD183" s="91"/>
      <c r="CE183" s="86"/>
      <c r="CF183" s="86"/>
      <c r="CG183" s="86"/>
      <c r="CH183" s="86"/>
      <c r="CI183" s="91"/>
      <c r="CJ183" s="86"/>
      <c r="CK183" s="86"/>
    </row>
    <row r="184" spans="11:94" ht="19.2" customHeight="1">
      <c r="O184" s="86"/>
      <c r="P184" s="86"/>
      <c r="Q184" s="86"/>
      <c r="R184" s="90"/>
      <c r="S184" s="86"/>
      <c r="T184" s="86"/>
      <c r="U184" s="86"/>
      <c r="V184" s="86"/>
      <c r="W184" s="90"/>
      <c r="X184" s="86"/>
      <c r="Y184" s="86"/>
      <c r="Z184" s="86"/>
      <c r="AU184" s="86"/>
      <c r="AV184" s="91"/>
      <c r="AW184" s="92"/>
      <c r="AX184" s="86"/>
      <c r="AY184" s="91"/>
      <c r="AZ184" s="91"/>
      <c r="BA184" s="82"/>
      <c r="BB184" s="91"/>
      <c r="BC184" s="86"/>
      <c r="BD184" s="86"/>
      <c r="BE184" s="91"/>
      <c r="BF184" s="93"/>
      <c r="BG184" s="94"/>
      <c r="BH184" s="86"/>
      <c r="BY184" s="86"/>
      <c r="BZ184" s="94"/>
      <c r="CA184" s="93"/>
      <c r="CB184" s="91"/>
      <c r="CC184" s="86"/>
      <c r="CD184" s="86"/>
      <c r="CE184" s="91"/>
      <c r="CF184" s="91"/>
      <c r="CG184" s="82"/>
      <c r="CH184" s="91"/>
      <c r="CI184" s="91"/>
      <c r="CJ184" s="92"/>
      <c r="CK184" s="91"/>
      <c r="CL184" s="86"/>
    </row>
    <row r="185" spans="11:94" ht="19.2" customHeight="1">
      <c r="M185" s="90"/>
      <c r="N185" s="86"/>
      <c r="O185" s="92"/>
      <c r="P185" s="95"/>
      <c r="Q185" s="86"/>
      <c r="R185" s="86"/>
      <c r="S185" s="91"/>
      <c r="T185" s="91"/>
      <c r="U185" s="82"/>
      <c r="V185" s="91"/>
      <c r="W185" s="86"/>
      <c r="X185" s="86"/>
      <c r="Y185" s="95"/>
      <c r="Z185" s="92"/>
      <c r="AA185" s="86"/>
      <c r="AB185" s="90"/>
      <c r="AT185" s="86"/>
      <c r="AU185" s="91"/>
      <c r="AV185" s="92"/>
      <c r="AW185" s="86"/>
      <c r="AX185" s="82"/>
      <c r="AY185" s="91"/>
      <c r="AZ185" s="86"/>
      <c r="BA185" s="93"/>
      <c r="BB185" s="91"/>
      <c r="BC185" s="82"/>
      <c r="BE185" s="86"/>
      <c r="BF185" s="94"/>
      <c r="BG185" s="94"/>
      <c r="BH185" s="86"/>
      <c r="BY185" s="86"/>
      <c r="BZ185" s="94"/>
      <c r="CA185" s="94"/>
      <c r="CB185" s="86"/>
      <c r="CC185" s="91"/>
      <c r="CD185" s="82"/>
      <c r="CE185" s="91"/>
      <c r="CF185" s="86"/>
      <c r="CG185" s="93"/>
      <c r="CH185" s="91"/>
      <c r="CI185" s="86"/>
      <c r="CJ185" s="91"/>
      <c r="CK185" s="92"/>
      <c r="CL185" s="91"/>
      <c r="CM185" s="90"/>
    </row>
    <row r="186" spans="11:94" ht="19.2" customHeight="1">
      <c r="L186" s="90"/>
      <c r="M186" s="96"/>
      <c r="N186" s="93"/>
      <c r="O186" s="91"/>
      <c r="P186" s="86"/>
      <c r="Q186" s="91"/>
      <c r="R186" s="86"/>
      <c r="S186" s="91"/>
      <c r="T186" s="86"/>
      <c r="U186" s="93"/>
      <c r="V186" s="91"/>
      <c r="W186" s="86"/>
      <c r="Y186" s="86"/>
      <c r="Z186" s="91"/>
      <c r="AA186" s="93"/>
      <c r="AB186" s="96"/>
      <c r="AC186" s="90"/>
      <c r="AS186" s="86"/>
      <c r="AT186" s="96"/>
      <c r="AU186" s="94"/>
      <c r="AV186" s="91"/>
      <c r="AW186" s="86"/>
      <c r="AX186" s="82"/>
      <c r="AY186" s="86"/>
      <c r="AZ186" s="93"/>
      <c r="BA186" s="91"/>
      <c r="BB186" s="95"/>
      <c r="BC186" s="82"/>
      <c r="BF186" s="86"/>
      <c r="BG186" s="86"/>
      <c r="BZ186" s="86"/>
      <c r="CA186" s="86"/>
      <c r="CB186" s="95"/>
      <c r="CC186" s="91"/>
      <c r="CD186" s="82"/>
      <c r="CE186" s="86"/>
      <c r="CF186" s="93"/>
      <c r="CG186" s="91"/>
      <c r="CH186" s="95"/>
      <c r="CI186" s="86"/>
      <c r="CJ186" s="86"/>
      <c r="CK186" s="91"/>
      <c r="CL186" s="94"/>
      <c r="CM186" s="96"/>
      <c r="CN186" s="90"/>
    </row>
    <row r="187" spans="11:94" ht="19.2" customHeight="1">
      <c r="L187" s="90"/>
      <c r="M187" s="96"/>
      <c r="N187" s="94"/>
      <c r="O187" s="86"/>
      <c r="P187" s="95"/>
      <c r="Q187" s="91"/>
      <c r="R187" s="86"/>
      <c r="S187" s="86"/>
      <c r="T187" s="93"/>
      <c r="U187" s="91"/>
      <c r="V187" s="95"/>
      <c r="W187" s="86"/>
      <c r="Z187" s="86"/>
      <c r="AA187" s="94"/>
      <c r="AB187" s="96"/>
      <c r="AC187" s="90"/>
      <c r="AS187" s="86"/>
      <c r="AT187" s="96"/>
      <c r="AU187" s="96"/>
      <c r="AV187" s="86"/>
      <c r="AW187" s="93"/>
      <c r="AX187" s="86"/>
      <c r="AY187" s="93"/>
      <c r="AZ187" s="95"/>
      <c r="BA187" s="95"/>
      <c r="BB187" s="95"/>
      <c r="BC187" s="91"/>
      <c r="BD187" s="86"/>
      <c r="BZ187" s="91"/>
      <c r="CA187" s="92"/>
      <c r="CB187" s="87"/>
      <c r="CC187" s="82"/>
      <c r="CD187" s="86"/>
      <c r="CE187" s="93"/>
      <c r="CF187" s="95"/>
      <c r="CG187" s="95"/>
      <c r="CH187" s="95"/>
      <c r="CI187" s="91"/>
      <c r="CJ187" s="86"/>
      <c r="CK187" s="86"/>
      <c r="CL187" s="96"/>
      <c r="CM187" s="96"/>
      <c r="CN187" s="90"/>
    </row>
    <row r="188" spans="11:94" ht="19.2" customHeight="1">
      <c r="M188" s="86"/>
      <c r="N188" s="86"/>
      <c r="O188" s="92"/>
      <c r="P188" s="87"/>
      <c r="Q188" s="93"/>
      <c r="R188" s="86"/>
      <c r="S188" s="93"/>
      <c r="T188" s="95"/>
      <c r="U188" s="95"/>
      <c r="V188" s="95"/>
      <c r="W188" s="91"/>
      <c r="X188" s="86"/>
      <c r="AA188" s="86"/>
      <c r="AB188" s="86"/>
      <c r="AT188" s="86"/>
      <c r="AU188" s="86"/>
      <c r="AV188" s="93"/>
      <c r="AW188" s="93"/>
      <c r="AX188" s="86"/>
      <c r="AY188" s="95"/>
      <c r="AZ188" s="95"/>
      <c r="BA188" s="95"/>
      <c r="BB188" s="91"/>
      <c r="BC188" s="82"/>
      <c r="BD188" s="86"/>
      <c r="BZ188" s="91"/>
      <c r="CA188" s="87"/>
      <c r="CB188" s="93"/>
      <c r="CC188" s="82"/>
      <c r="CD188" s="86"/>
      <c r="CE188" s="91"/>
      <c r="CF188" s="95"/>
      <c r="CG188" s="95"/>
      <c r="CH188" s="91"/>
      <c r="CI188" s="93"/>
      <c r="CJ188" s="86"/>
      <c r="CL188" s="86"/>
      <c r="CM188" s="90"/>
    </row>
    <row r="189" spans="11:94" ht="19.2" customHeight="1">
      <c r="N189" s="86"/>
      <c r="O189" s="87"/>
      <c r="P189" s="93"/>
      <c r="Q189" s="93"/>
      <c r="R189" s="86"/>
      <c r="S189" s="95"/>
      <c r="T189" s="95"/>
      <c r="U189" s="95"/>
      <c r="V189" s="91"/>
      <c r="W189" s="93"/>
      <c r="X189" s="86"/>
      <c r="AT189" s="86"/>
      <c r="AU189" s="93"/>
      <c r="AV189" s="93"/>
      <c r="AW189" s="86"/>
      <c r="AX189" s="82"/>
      <c r="AY189" s="82"/>
      <c r="AZ189" s="82"/>
      <c r="BA189" s="82"/>
      <c r="BB189" s="82"/>
      <c r="BC189" s="82"/>
      <c r="BD189" s="82"/>
      <c r="BZ189" s="86"/>
      <c r="CA189" s="93"/>
      <c r="CB189" s="93"/>
      <c r="CC189" s="86"/>
      <c r="CD189" s="82"/>
      <c r="CE189" s="82"/>
      <c r="CF189" s="82"/>
      <c r="CG189" s="82"/>
      <c r="CH189" s="82"/>
      <c r="CI189" s="82"/>
      <c r="CJ189" s="82"/>
    </row>
    <row r="190" spans="11:94" ht="19.2" customHeight="1">
      <c r="N190" s="86"/>
      <c r="O190" s="93"/>
      <c r="P190" s="93"/>
      <c r="Q190" s="86"/>
      <c r="R190" s="82"/>
      <c r="S190" s="82"/>
      <c r="T190" s="82"/>
      <c r="U190" s="82"/>
      <c r="V190" s="82"/>
      <c r="W190" s="82"/>
      <c r="X190" s="82"/>
      <c r="AU190" s="86"/>
      <c r="AV190" s="86"/>
      <c r="AW190" s="86"/>
      <c r="AX190" s="90"/>
      <c r="AY190" s="90"/>
      <c r="AZ190" s="86"/>
      <c r="BA190" s="82"/>
      <c r="BB190" s="82"/>
      <c r="BC190" s="82"/>
      <c r="BD190" s="82"/>
      <c r="CA190" s="86"/>
      <c r="CB190" s="86"/>
      <c r="CC190" s="82"/>
      <c r="CD190" s="82"/>
      <c r="CE190" s="82"/>
      <c r="CF190" s="82"/>
      <c r="CG190" s="86"/>
      <c r="CH190" s="90"/>
      <c r="CI190" s="90"/>
      <c r="CJ190" s="86"/>
    </row>
    <row r="191" spans="11:94" ht="19.2" customHeight="1">
      <c r="O191" s="86"/>
      <c r="P191" s="86"/>
      <c r="Q191" s="86"/>
      <c r="R191" s="82"/>
      <c r="S191" s="82"/>
      <c r="T191" s="86"/>
      <c r="U191" s="86"/>
      <c r="V191" s="82"/>
      <c r="W191" s="82"/>
      <c r="X191" s="86"/>
      <c r="AX191" s="86"/>
      <c r="AY191" s="86"/>
      <c r="BB191" s="82"/>
      <c r="BC191" s="82"/>
      <c r="BD191" s="86"/>
      <c r="CC191" s="86"/>
      <c r="CD191" s="82"/>
      <c r="CE191" s="82"/>
      <c r="CH191" s="86"/>
      <c r="CI191" s="86"/>
    </row>
    <row r="192" spans="11:94" ht="19.2" customHeight="1">
      <c r="P192" s="86"/>
      <c r="Q192" s="93"/>
      <c r="R192" s="93"/>
      <c r="S192" s="86"/>
      <c r="V192" s="86"/>
      <c r="W192" s="93"/>
      <c r="X192" s="93"/>
      <c r="Y192" s="86"/>
      <c r="BA192" s="86"/>
      <c r="BB192" s="93"/>
      <c r="BC192" s="93"/>
      <c r="BD192" s="86"/>
      <c r="CC192" s="86"/>
      <c r="CD192" s="93"/>
      <c r="CE192" s="93"/>
      <c r="CF192" s="86"/>
    </row>
    <row r="193" spans="12:95" ht="19.2" customHeight="1">
      <c r="P193" s="86"/>
      <c r="Q193" s="84"/>
      <c r="R193" s="84"/>
      <c r="S193" s="86"/>
      <c r="V193" s="86"/>
      <c r="W193" s="84"/>
      <c r="X193" s="84"/>
      <c r="Y193" s="86"/>
      <c r="BA193" s="86"/>
      <c r="BB193" s="84"/>
      <c r="BC193" s="84"/>
      <c r="BD193" s="86"/>
      <c r="CC193" s="86"/>
      <c r="CD193" s="84"/>
      <c r="CE193" s="84"/>
      <c r="CF193" s="86"/>
    </row>
    <row r="194" spans="12:95" ht="19.2" customHeight="1">
      <c r="Q194" s="86"/>
      <c r="R194" s="86"/>
      <c r="W194" s="86"/>
      <c r="X194" s="86"/>
      <c r="BB194" s="86"/>
      <c r="BC194" s="86"/>
      <c r="CD194" s="86"/>
      <c r="CE194" s="86"/>
    </row>
    <row r="200" spans="12:95" ht="19.2" customHeight="1">
      <c r="AX200" s="93"/>
      <c r="AY200" s="93"/>
      <c r="AZ200" s="93"/>
      <c r="BA200" s="93"/>
      <c r="BB200" s="93"/>
      <c r="BC200" s="93"/>
      <c r="CD200" s="93"/>
      <c r="CE200" s="93"/>
      <c r="CF200" s="93"/>
      <c r="CG200" s="93"/>
      <c r="CH200" s="93"/>
      <c r="CI200" s="93"/>
    </row>
    <row r="201" spans="12:95" ht="19.2" customHeight="1">
      <c r="R201" s="93"/>
      <c r="S201" s="93"/>
      <c r="T201" s="93"/>
      <c r="U201" s="93"/>
      <c r="V201" s="93"/>
      <c r="W201" s="93"/>
      <c r="AV201" s="93"/>
      <c r="AW201" s="93"/>
      <c r="AX201" s="89"/>
      <c r="AY201" s="88"/>
      <c r="AZ201" s="88"/>
      <c r="BA201" s="88"/>
      <c r="BB201" s="88"/>
      <c r="BC201" s="89"/>
      <c r="BD201" s="93"/>
      <c r="BE201" s="93"/>
      <c r="CB201" s="93"/>
      <c r="CC201" s="93"/>
      <c r="CD201" s="89"/>
      <c r="CE201" s="88"/>
      <c r="CF201" s="88"/>
      <c r="CG201" s="88"/>
      <c r="CH201" s="88"/>
      <c r="CI201" s="89"/>
      <c r="CJ201" s="93"/>
      <c r="CK201" s="93"/>
    </row>
    <row r="202" spans="12:95" ht="19.2" customHeight="1">
      <c r="P202" s="93"/>
      <c r="Q202" s="93"/>
      <c r="R202" s="89"/>
      <c r="S202" s="88"/>
      <c r="T202" s="88"/>
      <c r="U202" s="88"/>
      <c r="V202" s="88"/>
      <c r="W202" s="89"/>
      <c r="X202" s="93"/>
      <c r="Y202" s="93"/>
      <c r="AU202" s="93"/>
      <c r="AV202" s="89"/>
      <c r="AW202" s="88"/>
      <c r="AX202" s="88"/>
      <c r="AY202" s="88"/>
      <c r="AZ202" s="85"/>
      <c r="BA202" s="85"/>
      <c r="BB202" s="88"/>
      <c r="BC202" s="88"/>
      <c r="BD202" s="88"/>
      <c r="BE202" s="89"/>
      <c r="BF202" s="93"/>
      <c r="CA202" s="93"/>
      <c r="CB202" s="89"/>
      <c r="CC202" s="88"/>
      <c r="CD202" s="88"/>
      <c r="CE202" s="88"/>
      <c r="CF202" s="85"/>
      <c r="CG202" s="85"/>
      <c r="CH202" s="88"/>
      <c r="CI202" s="88"/>
      <c r="CJ202" s="88"/>
      <c r="CK202" s="89"/>
      <c r="CL202" s="93"/>
    </row>
    <row r="203" spans="12:95" ht="19.2" customHeight="1">
      <c r="O203" s="93"/>
      <c r="P203" s="89"/>
      <c r="Q203" s="88"/>
      <c r="R203" s="88"/>
      <c r="S203" s="88"/>
      <c r="T203" s="85"/>
      <c r="U203" s="85"/>
      <c r="V203" s="88"/>
      <c r="W203" s="88"/>
      <c r="X203" s="88"/>
      <c r="Y203" s="89"/>
      <c r="Z203" s="93"/>
      <c r="AT203" s="86"/>
      <c r="AU203" s="89"/>
      <c r="AV203" s="88"/>
      <c r="AW203" s="83"/>
      <c r="AX203" s="83"/>
      <c r="AY203" s="83"/>
      <c r="AZ203" s="93"/>
      <c r="BA203" s="93"/>
      <c r="BB203" s="83"/>
      <c r="BC203" s="83"/>
      <c r="BD203" s="83"/>
      <c r="BE203" s="88"/>
      <c r="BF203" s="89"/>
      <c r="BG203" s="86"/>
      <c r="BZ203" s="86"/>
      <c r="CA203" s="89"/>
      <c r="CB203" s="88"/>
      <c r="CC203" s="83"/>
      <c r="CD203" s="83"/>
      <c r="CE203" s="83"/>
      <c r="CF203" s="93"/>
      <c r="CG203" s="93"/>
      <c r="CH203" s="83"/>
      <c r="CI203" s="83"/>
      <c r="CJ203" s="83"/>
      <c r="CK203" s="88"/>
      <c r="CL203" s="89"/>
      <c r="CM203" s="86"/>
    </row>
    <row r="204" spans="12:95" ht="19.2" customHeight="1">
      <c r="N204" s="86"/>
      <c r="O204" s="89"/>
      <c r="P204" s="88"/>
      <c r="Q204" s="83"/>
      <c r="R204" s="83"/>
      <c r="S204" s="83"/>
      <c r="T204" s="93"/>
      <c r="U204" s="93"/>
      <c r="V204" s="83"/>
      <c r="W204" s="83"/>
      <c r="X204" s="83"/>
      <c r="Y204" s="88"/>
      <c r="Z204" s="89"/>
      <c r="AA204" s="86"/>
      <c r="AT204" s="86"/>
      <c r="AU204" s="84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4"/>
      <c r="BG204" s="86"/>
      <c r="BZ204" s="86"/>
      <c r="CA204" s="84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4"/>
      <c r="CM204" s="86"/>
    </row>
    <row r="205" spans="12:95" ht="19.2" customHeight="1">
      <c r="N205" s="86"/>
      <c r="O205" s="84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4"/>
      <c r="AA205" s="86"/>
      <c r="AS205" s="86"/>
      <c r="AT205" s="89"/>
      <c r="AU205" s="84"/>
      <c r="AV205" s="83"/>
      <c r="AW205" s="83"/>
      <c r="AX205" s="83"/>
      <c r="AY205" s="93"/>
      <c r="AZ205" s="85"/>
      <c r="BA205" s="85"/>
      <c r="BB205" s="93"/>
      <c r="BC205" s="83"/>
      <c r="BD205" s="83"/>
      <c r="BE205" s="83"/>
      <c r="BF205" s="84"/>
      <c r="BG205" s="89"/>
      <c r="BH205" s="86"/>
      <c r="BY205" s="86"/>
      <c r="BZ205" s="89"/>
      <c r="CA205" s="84"/>
      <c r="CB205" s="83"/>
      <c r="CC205" s="83"/>
      <c r="CD205" s="83"/>
      <c r="CE205" s="93"/>
      <c r="CF205" s="85"/>
      <c r="CG205" s="85"/>
      <c r="CH205" s="93"/>
      <c r="CI205" s="83"/>
      <c r="CJ205" s="83"/>
      <c r="CK205" s="83"/>
      <c r="CL205" s="84"/>
      <c r="CM205" s="89"/>
      <c r="CN205" s="86"/>
    </row>
    <row r="206" spans="12:95" ht="19.2" customHeight="1">
      <c r="M206" s="86"/>
      <c r="N206" s="89"/>
      <c r="O206" s="84"/>
      <c r="P206" s="83"/>
      <c r="Q206" s="83"/>
      <c r="R206" s="83"/>
      <c r="S206" s="93"/>
      <c r="T206" s="85"/>
      <c r="U206" s="85"/>
      <c r="V206" s="93"/>
      <c r="W206" s="83"/>
      <c r="X206" s="83"/>
      <c r="Y206" s="83"/>
      <c r="Z206" s="84"/>
      <c r="AA206" s="89"/>
      <c r="AB206" s="86"/>
      <c r="AS206" s="86"/>
      <c r="AT206" s="84"/>
      <c r="AU206" s="84"/>
      <c r="AV206" s="84"/>
      <c r="AW206" s="83"/>
      <c r="AX206" s="82"/>
      <c r="AY206" s="82"/>
      <c r="AZ206" s="84"/>
      <c r="BA206" s="84"/>
      <c r="BB206" s="82"/>
      <c r="BC206" s="82"/>
      <c r="BD206" s="83"/>
      <c r="BE206" s="84"/>
      <c r="BF206" s="84"/>
      <c r="BG206" s="84"/>
      <c r="BH206" s="86"/>
      <c r="BY206" s="86"/>
      <c r="BZ206" s="84"/>
      <c r="CA206" s="84"/>
      <c r="CB206" s="84"/>
      <c r="CC206" s="83"/>
      <c r="CD206" s="82"/>
      <c r="CE206" s="82"/>
      <c r="CF206" s="84"/>
      <c r="CG206" s="84"/>
      <c r="CH206" s="82"/>
      <c r="CI206" s="82"/>
      <c r="CJ206" s="83"/>
      <c r="CK206" s="84"/>
      <c r="CL206" s="84"/>
      <c r="CM206" s="84"/>
      <c r="CN206" s="86"/>
    </row>
    <row r="207" spans="12:95" ht="19.2" customHeight="1">
      <c r="M207" s="86"/>
      <c r="N207" s="84"/>
      <c r="O207" s="84"/>
      <c r="P207" s="84"/>
      <c r="Q207" s="83"/>
      <c r="R207" s="82"/>
      <c r="S207" s="82"/>
      <c r="T207" s="84"/>
      <c r="U207" s="84"/>
      <c r="V207" s="82"/>
      <c r="W207" s="82"/>
      <c r="X207" s="83"/>
      <c r="Y207" s="84"/>
      <c r="Z207" s="84"/>
      <c r="AA207" s="84"/>
      <c r="AB207" s="86"/>
      <c r="AR207" s="82"/>
      <c r="AS207" s="93"/>
      <c r="AT207" s="84"/>
      <c r="AU207" s="84"/>
      <c r="AV207" s="84"/>
      <c r="AW207" s="84"/>
      <c r="AX207" s="82"/>
      <c r="AY207" s="84"/>
      <c r="AZ207" s="93"/>
      <c r="BA207" s="82"/>
      <c r="BB207" s="84"/>
      <c r="BC207" s="82"/>
      <c r="BD207" s="84"/>
      <c r="BE207" s="84"/>
      <c r="BF207" s="84"/>
      <c r="BG207" s="84"/>
      <c r="BH207" s="82"/>
      <c r="BI207" s="82"/>
      <c r="BX207" s="82"/>
      <c r="BY207" s="93"/>
      <c r="BZ207" s="84"/>
      <c r="CA207" s="84"/>
      <c r="CB207" s="84"/>
      <c r="CC207" s="84"/>
      <c r="CD207" s="82"/>
      <c r="CE207" s="84"/>
      <c r="CF207" s="93"/>
      <c r="CG207" s="82"/>
      <c r="CH207" s="84"/>
      <c r="CI207" s="82"/>
      <c r="CJ207" s="84"/>
      <c r="CK207" s="84"/>
      <c r="CL207" s="84"/>
      <c r="CM207" s="84"/>
      <c r="CN207" s="82"/>
      <c r="CO207" s="82"/>
    </row>
    <row r="208" spans="12:95" ht="19.2" customHeight="1">
      <c r="L208" s="82"/>
      <c r="M208" s="93"/>
      <c r="N208" s="84"/>
      <c r="O208" s="84"/>
      <c r="P208" s="84"/>
      <c r="Q208" s="84"/>
      <c r="R208" s="82"/>
      <c r="S208" s="84"/>
      <c r="T208" s="93"/>
      <c r="U208" s="82"/>
      <c r="V208" s="84"/>
      <c r="W208" s="82"/>
      <c r="X208" s="84"/>
      <c r="Y208" s="84"/>
      <c r="Z208" s="84"/>
      <c r="AA208" s="84"/>
      <c r="AB208" s="82"/>
      <c r="AC208" s="82"/>
      <c r="AP208" s="86"/>
      <c r="AQ208" s="82"/>
      <c r="AR208" s="84"/>
      <c r="AS208" s="90"/>
      <c r="AT208" s="86"/>
      <c r="AU208" s="90"/>
      <c r="AV208" s="84"/>
      <c r="AW208" s="84"/>
      <c r="AX208" s="84"/>
      <c r="AY208" s="82"/>
      <c r="AZ208" s="84"/>
      <c r="BA208" s="84"/>
      <c r="BB208" s="82"/>
      <c r="BC208" s="84"/>
      <c r="BD208" s="84"/>
      <c r="BE208" s="84"/>
      <c r="BF208" s="90"/>
      <c r="BG208" s="86"/>
      <c r="BH208" s="90"/>
      <c r="BI208" s="84"/>
      <c r="BJ208" s="82"/>
      <c r="BK208" s="86"/>
      <c r="BV208" s="86"/>
      <c r="BW208" s="82"/>
      <c r="BX208" s="84"/>
      <c r="BY208" s="90"/>
      <c r="BZ208" s="86"/>
      <c r="CA208" s="90"/>
      <c r="CB208" s="84"/>
      <c r="CC208" s="84"/>
      <c r="CD208" s="84"/>
      <c r="CE208" s="82"/>
      <c r="CF208" s="84"/>
      <c r="CG208" s="84"/>
      <c r="CH208" s="82"/>
      <c r="CI208" s="84"/>
      <c r="CJ208" s="84"/>
      <c r="CK208" s="84"/>
      <c r="CL208" s="90"/>
      <c r="CM208" s="86"/>
      <c r="CN208" s="90"/>
      <c r="CO208" s="84"/>
      <c r="CP208" s="82"/>
      <c r="CQ208" s="86"/>
    </row>
    <row r="209" spans="10:94" ht="19.2" customHeight="1">
      <c r="J209" s="86"/>
      <c r="K209" s="82"/>
      <c r="L209" s="84"/>
      <c r="M209" s="90"/>
      <c r="N209" s="86"/>
      <c r="O209" s="90"/>
      <c r="P209" s="84"/>
      <c r="Q209" s="84"/>
      <c r="R209" s="84"/>
      <c r="S209" s="82"/>
      <c r="T209" s="84"/>
      <c r="U209" s="84"/>
      <c r="V209" s="82"/>
      <c r="W209" s="84"/>
      <c r="X209" s="84"/>
      <c r="Y209" s="84"/>
      <c r="Z209" s="90"/>
      <c r="AA209" s="86"/>
      <c r="AB209" s="90"/>
      <c r="AC209" s="84"/>
      <c r="AD209" s="82"/>
      <c r="AE209" s="86"/>
      <c r="AQ209" s="86"/>
      <c r="AR209" s="90"/>
      <c r="AS209" s="90"/>
      <c r="AT209" s="90"/>
      <c r="AU209" s="86"/>
      <c r="AV209" s="93"/>
      <c r="AW209" s="93"/>
      <c r="AX209" s="85"/>
      <c r="AY209" s="85"/>
      <c r="AZ209" s="85"/>
      <c r="BA209" s="85"/>
      <c r="BB209" s="85"/>
      <c r="BC209" s="85"/>
      <c r="BD209" s="93"/>
      <c r="BE209" s="93"/>
      <c r="BF209" s="86"/>
      <c r="BG209" s="90"/>
      <c r="BH209" s="90"/>
      <c r="BI209" s="90"/>
      <c r="BJ209" s="86"/>
      <c r="BW209" s="86"/>
      <c r="BX209" s="90"/>
      <c r="BY209" s="90"/>
      <c r="BZ209" s="90"/>
      <c r="CA209" s="86"/>
      <c r="CB209" s="93"/>
      <c r="CC209" s="93"/>
      <c r="CD209" s="85"/>
      <c r="CE209" s="85"/>
      <c r="CF209" s="85"/>
      <c r="CG209" s="85"/>
      <c r="CH209" s="85"/>
      <c r="CI209" s="85"/>
      <c r="CJ209" s="93"/>
      <c r="CK209" s="93"/>
      <c r="CL209" s="86"/>
      <c r="CM209" s="90"/>
      <c r="CN209" s="90"/>
      <c r="CO209" s="90"/>
      <c r="CP209" s="86"/>
    </row>
    <row r="210" spans="10:94" ht="19.2" customHeight="1">
      <c r="K210" s="86"/>
      <c r="L210" s="90"/>
      <c r="M210" s="90"/>
      <c r="N210" s="90"/>
      <c r="O210" s="86"/>
      <c r="P210" s="93"/>
      <c r="Q210" s="93"/>
      <c r="R210" s="85"/>
      <c r="S210" s="85"/>
      <c r="T210" s="85"/>
      <c r="U210" s="85"/>
      <c r="V210" s="85"/>
      <c r="W210" s="85"/>
      <c r="X210" s="93"/>
      <c r="Y210" s="93"/>
      <c r="Z210" s="86"/>
      <c r="AA210" s="90"/>
      <c r="AB210" s="90"/>
      <c r="AC210" s="90"/>
      <c r="AD210" s="86"/>
      <c r="AR210" s="86"/>
      <c r="AS210" s="90"/>
      <c r="AT210" s="90"/>
      <c r="AU210" s="90"/>
      <c r="AV210" s="82"/>
      <c r="AW210" s="82"/>
      <c r="AX210" s="93"/>
      <c r="AY210" s="85"/>
      <c r="AZ210" s="85"/>
      <c r="BA210" s="85"/>
      <c r="BB210" s="85"/>
      <c r="BC210" s="93"/>
      <c r="BD210" s="82"/>
      <c r="BE210" s="82"/>
      <c r="BF210" s="90"/>
      <c r="BG210" s="90"/>
      <c r="BH210" s="90"/>
      <c r="BI210" s="86"/>
      <c r="BX210" s="86"/>
      <c r="BY210" s="90"/>
      <c r="BZ210" s="90"/>
      <c r="CA210" s="90"/>
      <c r="CB210" s="82"/>
      <c r="CC210" s="82"/>
      <c r="CD210" s="93"/>
      <c r="CE210" s="85"/>
      <c r="CF210" s="85"/>
      <c r="CG210" s="85"/>
      <c r="CH210" s="85"/>
      <c r="CI210" s="93"/>
      <c r="CJ210" s="82"/>
      <c r="CK210" s="82"/>
      <c r="CL210" s="90"/>
      <c r="CM210" s="90"/>
      <c r="CN210" s="90"/>
      <c r="CO210" s="86"/>
    </row>
    <row r="211" spans="10:94" ht="19.2" customHeight="1">
      <c r="L211" s="86"/>
      <c r="M211" s="90"/>
      <c r="N211" s="90"/>
      <c r="O211" s="90"/>
      <c r="P211" s="82"/>
      <c r="Q211" s="82"/>
      <c r="R211" s="93"/>
      <c r="S211" s="85"/>
      <c r="T211" s="85"/>
      <c r="U211" s="85"/>
      <c r="V211" s="85"/>
      <c r="W211" s="93"/>
      <c r="X211" s="82"/>
      <c r="Y211" s="82"/>
      <c r="Z211" s="90"/>
      <c r="AA211" s="90"/>
      <c r="AB211" s="90"/>
      <c r="AC211" s="86"/>
      <c r="AS211" s="86"/>
      <c r="AT211" s="82"/>
      <c r="AU211" s="82"/>
      <c r="AV211" s="94"/>
      <c r="AW211" s="88"/>
      <c r="AX211" s="82"/>
      <c r="AY211" s="82"/>
      <c r="AZ211" s="82"/>
      <c r="BA211" s="82"/>
      <c r="BB211" s="82"/>
      <c r="BC211" s="82"/>
      <c r="BD211" s="88"/>
      <c r="BE211" s="94"/>
      <c r="BF211" s="82"/>
      <c r="BG211" s="82"/>
      <c r="BH211" s="86"/>
      <c r="BY211" s="86"/>
      <c r="BZ211" s="82"/>
      <c r="CA211" s="82"/>
      <c r="CB211" s="94"/>
      <c r="CC211" s="88"/>
      <c r="CD211" s="82"/>
      <c r="CE211" s="82"/>
      <c r="CF211" s="82"/>
      <c r="CG211" s="82"/>
      <c r="CH211" s="82"/>
      <c r="CI211" s="82"/>
      <c r="CJ211" s="88"/>
      <c r="CK211" s="94"/>
      <c r="CL211" s="82"/>
      <c r="CM211" s="82"/>
      <c r="CN211" s="86"/>
    </row>
    <row r="212" spans="10:94" ht="19.2" customHeight="1">
      <c r="M212" s="86"/>
      <c r="N212" s="82"/>
      <c r="O212" s="82"/>
      <c r="P212" s="94"/>
      <c r="Q212" s="88"/>
      <c r="R212" s="82"/>
      <c r="S212" s="82"/>
      <c r="T212" s="82"/>
      <c r="U212" s="82"/>
      <c r="V212" s="82"/>
      <c r="W212" s="82"/>
      <c r="X212" s="88"/>
      <c r="Y212" s="94"/>
      <c r="Z212" s="82"/>
      <c r="AA212" s="82"/>
      <c r="AB212" s="86"/>
      <c r="AR212" s="86"/>
      <c r="AS212" s="82"/>
      <c r="AT212" s="90"/>
      <c r="AU212" s="90"/>
      <c r="AV212" s="96"/>
      <c r="AW212" s="88"/>
      <c r="AX212" s="86"/>
      <c r="AY212" s="96"/>
      <c r="AZ212" s="96"/>
      <c r="BA212" s="96"/>
      <c r="BB212" s="96"/>
      <c r="BC212" s="86"/>
      <c r="BD212" s="88"/>
      <c r="BE212" s="96"/>
      <c r="BF212" s="90"/>
      <c r="BG212" s="90"/>
      <c r="BH212" s="82"/>
      <c r="BI212" s="86"/>
      <c r="BX212" s="86"/>
      <c r="BY212" s="82"/>
      <c r="BZ212" s="90"/>
      <c r="CA212" s="90"/>
      <c r="CB212" s="96"/>
      <c r="CC212" s="88"/>
      <c r="CD212" s="86"/>
      <c r="CE212" s="96"/>
      <c r="CF212" s="96"/>
      <c r="CG212" s="96"/>
      <c r="CH212" s="96"/>
      <c r="CI212" s="86"/>
      <c r="CJ212" s="88"/>
      <c r="CK212" s="96"/>
      <c r="CL212" s="90"/>
      <c r="CM212" s="90"/>
      <c r="CN212" s="82"/>
      <c r="CO212" s="86"/>
    </row>
    <row r="213" spans="10:94" ht="19.2" customHeight="1">
      <c r="L213" s="86"/>
      <c r="M213" s="82"/>
      <c r="N213" s="90"/>
      <c r="O213" s="90"/>
      <c r="P213" s="96"/>
      <c r="Q213" s="88"/>
      <c r="R213" s="86"/>
      <c r="S213" s="96"/>
      <c r="T213" s="96"/>
      <c r="U213" s="96"/>
      <c r="V213" s="96"/>
      <c r="W213" s="86"/>
      <c r="X213" s="88"/>
      <c r="Y213" s="96"/>
      <c r="Z213" s="90"/>
      <c r="AA213" s="90"/>
      <c r="AB213" s="82"/>
      <c r="AC213" s="86"/>
      <c r="AS213" s="86"/>
      <c r="AT213" s="86"/>
      <c r="AU213" s="90"/>
      <c r="AV213" s="82"/>
      <c r="AW213" s="96"/>
      <c r="AX213" s="96"/>
      <c r="AY213" s="96"/>
      <c r="AZ213" s="96"/>
      <c r="BA213" s="96"/>
      <c r="BB213" s="96"/>
      <c r="BC213" s="96"/>
      <c r="BD213" s="96"/>
      <c r="BE213" s="82"/>
      <c r="BF213" s="90"/>
      <c r="BG213" s="86"/>
      <c r="BH213" s="86"/>
      <c r="BY213" s="86"/>
      <c r="BZ213" s="86"/>
      <c r="CA213" s="90"/>
      <c r="CB213" s="82"/>
      <c r="CC213" s="96"/>
      <c r="CD213" s="96"/>
      <c r="CE213" s="96"/>
      <c r="CF213" s="96"/>
      <c r="CG213" s="96"/>
      <c r="CH213" s="96"/>
      <c r="CI213" s="96"/>
      <c r="CJ213" s="96"/>
      <c r="CK213" s="82"/>
      <c r="CL213" s="90"/>
      <c r="CM213" s="86"/>
      <c r="CN213" s="86"/>
    </row>
    <row r="214" spans="10:94" ht="19.2" customHeight="1">
      <c r="M214" s="86"/>
      <c r="N214" s="86"/>
      <c r="O214" s="90"/>
      <c r="P214" s="82"/>
      <c r="Q214" s="96"/>
      <c r="R214" s="96"/>
      <c r="S214" s="96"/>
      <c r="T214" s="96"/>
      <c r="U214" s="96"/>
      <c r="V214" s="96"/>
      <c r="W214" s="96"/>
      <c r="X214" s="96"/>
      <c r="Y214" s="82"/>
      <c r="Z214" s="90"/>
      <c r="AA214" s="86"/>
      <c r="AB214" s="86"/>
      <c r="AT214" s="86"/>
      <c r="AU214" s="86"/>
      <c r="AV214" s="86"/>
      <c r="AW214" s="90"/>
      <c r="AX214" s="94"/>
      <c r="AY214" s="96"/>
      <c r="AZ214" s="94"/>
      <c r="BA214" s="94"/>
      <c r="BB214" s="96"/>
      <c r="BC214" s="94"/>
      <c r="BD214" s="90"/>
      <c r="BE214" s="86"/>
      <c r="BF214" s="86"/>
      <c r="CA214" s="86"/>
      <c r="CB214" s="86"/>
      <c r="CC214" s="90"/>
      <c r="CD214" s="94"/>
      <c r="CE214" s="96"/>
      <c r="CF214" s="94"/>
      <c r="CG214" s="94"/>
      <c r="CH214" s="96"/>
      <c r="CI214" s="94"/>
      <c r="CJ214" s="90"/>
      <c r="CK214" s="91"/>
      <c r="CL214" s="86"/>
      <c r="CM214" s="86"/>
    </row>
    <row r="215" spans="10:94" ht="19.2" customHeight="1">
      <c r="O215" s="86"/>
      <c r="P215" s="86"/>
      <c r="Q215" s="90"/>
      <c r="R215" s="94"/>
      <c r="S215" s="96"/>
      <c r="T215" s="94"/>
      <c r="U215" s="94"/>
      <c r="V215" s="96"/>
      <c r="W215" s="94"/>
      <c r="X215" s="90"/>
      <c r="Y215" s="86"/>
      <c r="Z215" s="86"/>
      <c r="AS215" s="86"/>
      <c r="AT215" s="94"/>
      <c r="AU215" s="94"/>
      <c r="AV215" s="93"/>
      <c r="AW215" s="95"/>
      <c r="AX215" s="86"/>
      <c r="AY215" s="86"/>
      <c r="AZ215" s="90"/>
      <c r="BA215" s="90"/>
      <c r="BB215" s="86"/>
      <c r="BC215" s="86"/>
      <c r="BD215" s="95"/>
      <c r="BE215" s="86"/>
      <c r="CB215" s="86"/>
      <c r="CC215" s="95"/>
      <c r="CD215" s="86"/>
      <c r="CE215" s="86"/>
      <c r="CF215" s="90"/>
      <c r="CG215" s="90"/>
      <c r="CH215" s="86"/>
      <c r="CI215" s="86"/>
      <c r="CJ215" s="93"/>
      <c r="CK215" s="91"/>
      <c r="CL215" s="93"/>
      <c r="CM215" s="94"/>
      <c r="CN215" s="86"/>
    </row>
    <row r="216" spans="10:94" ht="19.2" customHeight="1">
      <c r="P216" s="86"/>
      <c r="Q216" s="95"/>
      <c r="R216" s="86"/>
      <c r="S216" s="86"/>
      <c r="T216" s="90"/>
      <c r="U216" s="90"/>
      <c r="V216" s="86"/>
      <c r="W216" s="86"/>
      <c r="X216" s="95"/>
      <c r="Y216" s="86"/>
      <c r="AS216" s="86"/>
      <c r="AT216" s="94"/>
      <c r="AU216" s="94"/>
      <c r="AV216" s="86"/>
      <c r="AW216" s="91"/>
      <c r="AX216" s="86"/>
      <c r="AY216" s="82"/>
      <c r="AZ216" s="82"/>
      <c r="BA216" s="89"/>
      <c r="BB216" s="91"/>
      <c r="BC216" s="82"/>
      <c r="BD216" s="95"/>
      <c r="BE216" s="90"/>
      <c r="BF216" s="90"/>
      <c r="CA216" s="90"/>
      <c r="CB216" s="90"/>
      <c r="CC216" s="95"/>
      <c r="CD216" s="82"/>
      <c r="CE216" s="82"/>
      <c r="CF216" s="82"/>
      <c r="CG216" s="89"/>
      <c r="CH216" s="91"/>
      <c r="CI216" s="91"/>
      <c r="CJ216" s="86"/>
      <c r="CK216" s="86"/>
      <c r="CL216" s="94"/>
      <c r="CM216" s="94"/>
      <c r="CN216" s="86"/>
    </row>
    <row r="217" spans="10:94" ht="19.2" customHeight="1">
      <c r="M217" s="90"/>
      <c r="N217" s="86"/>
      <c r="O217" s="93"/>
      <c r="P217" s="95"/>
      <c r="Q217" s="86"/>
      <c r="R217" s="91"/>
      <c r="S217" s="82"/>
      <c r="T217" s="82"/>
      <c r="U217" s="87"/>
      <c r="V217" s="91"/>
      <c r="W217" s="91"/>
      <c r="X217" s="86"/>
      <c r="Y217" s="95"/>
      <c r="Z217" s="93"/>
      <c r="AA217" s="86"/>
      <c r="AB217" s="90"/>
      <c r="AT217" s="86"/>
      <c r="AU217" s="86"/>
      <c r="AX217" s="82"/>
      <c r="AY217" s="91"/>
      <c r="AZ217" s="82"/>
      <c r="BA217" s="82"/>
      <c r="BB217" s="91"/>
      <c r="BC217" s="93"/>
      <c r="BD217" s="93"/>
      <c r="BE217" s="96"/>
      <c r="BF217" s="96"/>
      <c r="BG217" s="90"/>
      <c r="BZ217" s="90"/>
      <c r="CA217" s="96"/>
      <c r="CB217" s="96"/>
      <c r="CC217" s="93"/>
      <c r="CD217" s="82"/>
      <c r="CE217" s="91"/>
      <c r="CF217" s="82"/>
      <c r="CG217" s="82"/>
      <c r="CH217" s="91"/>
      <c r="CI217" s="82"/>
      <c r="CJ217" s="95"/>
      <c r="CK217" s="86"/>
      <c r="CL217" s="86"/>
      <c r="CM217" s="86"/>
    </row>
    <row r="218" spans="10:94" ht="19.2" customHeight="1">
      <c r="L218" s="90"/>
      <c r="M218" s="96"/>
      <c r="N218" s="93"/>
      <c r="O218" s="93"/>
      <c r="P218" s="86"/>
      <c r="R218" s="82"/>
      <c r="S218" s="91"/>
      <c r="T218" s="82"/>
      <c r="U218" s="82"/>
      <c r="V218" s="91"/>
      <c r="W218" s="82"/>
      <c r="X218" s="95"/>
      <c r="Y218" s="86"/>
      <c r="Z218" s="93"/>
      <c r="AA218" s="93"/>
      <c r="AB218" s="96"/>
      <c r="AC218" s="90"/>
      <c r="AX218" s="82"/>
      <c r="AY218" s="95"/>
      <c r="AZ218" s="87"/>
      <c r="BA218" s="87"/>
      <c r="BB218" s="82"/>
      <c r="BC218" s="82"/>
      <c r="BD218" s="86"/>
      <c r="BE218" s="96"/>
      <c r="BF218" s="96"/>
      <c r="BG218" s="90"/>
      <c r="BZ218" s="90"/>
      <c r="CA218" s="96"/>
      <c r="CB218" s="96"/>
      <c r="CC218" s="86"/>
      <c r="CD218" s="82"/>
      <c r="CE218" s="95"/>
      <c r="CF218" s="87"/>
      <c r="CG218" s="87"/>
      <c r="CH218" s="82"/>
      <c r="CI218" s="82"/>
      <c r="CJ218" s="91"/>
      <c r="CK218" s="91"/>
      <c r="CL218" s="86"/>
    </row>
    <row r="219" spans="10:94" ht="19.2" customHeight="1">
      <c r="L219" s="90"/>
      <c r="M219" s="96"/>
      <c r="N219" s="94"/>
      <c r="O219" s="86"/>
      <c r="R219" s="82"/>
      <c r="S219" s="95"/>
      <c r="T219" s="87"/>
      <c r="U219" s="87"/>
      <c r="V219" s="82"/>
      <c r="W219" s="82"/>
      <c r="X219" s="95"/>
      <c r="Y219" s="95"/>
      <c r="Z219" s="86"/>
      <c r="AA219" s="94"/>
      <c r="AB219" s="96"/>
      <c r="AC219" s="90"/>
      <c r="AW219" s="82"/>
      <c r="AX219" s="95"/>
      <c r="AY219" s="87"/>
      <c r="AZ219" s="82"/>
      <c r="BA219" s="82"/>
      <c r="BB219" s="87"/>
      <c r="BC219" s="95"/>
      <c r="BD219" s="82"/>
      <c r="BE219" s="86"/>
      <c r="BF219" s="86"/>
      <c r="CA219" s="86"/>
      <c r="CB219" s="86"/>
      <c r="CC219" s="82"/>
      <c r="CD219" s="95"/>
      <c r="CE219" s="87"/>
      <c r="CF219" s="82"/>
      <c r="CG219" s="82"/>
      <c r="CH219" s="87"/>
      <c r="CI219" s="91"/>
      <c r="CJ219" s="82"/>
      <c r="CK219" s="95"/>
      <c r="CL219" s="92"/>
      <c r="CM219" s="91"/>
    </row>
    <row r="220" spans="10:94" ht="19.2" customHeight="1">
      <c r="M220" s="86"/>
      <c r="N220" s="86"/>
      <c r="Q220" s="82"/>
      <c r="R220" s="91"/>
      <c r="S220" s="87"/>
      <c r="T220" s="82"/>
      <c r="U220" s="82"/>
      <c r="V220" s="87"/>
      <c r="W220" s="91"/>
      <c r="X220" s="86"/>
      <c r="Y220" s="95"/>
      <c r="Z220" s="92"/>
      <c r="AA220" s="86"/>
      <c r="AB220" s="86"/>
      <c r="AW220" s="86"/>
      <c r="AX220" s="82"/>
      <c r="AY220" s="85"/>
      <c r="AZ220" s="85"/>
      <c r="BA220" s="85"/>
      <c r="BB220" s="85"/>
      <c r="BC220" s="82"/>
      <c r="BD220" s="82"/>
      <c r="BE220" s="87"/>
      <c r="BF220" s="92"/>
      <c r="BG220" s="86"/>
      <c r="CC220" s="82"/>
      <c r="CD220" s="82"/>
      <c r="CE220" s="85"/>
      <c r="CF220" s="85"/>
      <c r="CG220" s="85"/>
      <c r="CH220" s="85"/>
      <c r="CI220" s="82"/>
      <c r="CJ220" s="85"/>
      <c r="CK220" s="87"/>
      <c r="CL220" s="92"/>
      <c r="CM220" s="86"/>
    </row>
    <row r="221" spans="10:94" ht="19.2" customHeight="1">
      <c r="Q221" s="86"/>
      <c r="R221" s="82"/>
      <c r="S221" s="85"/>
      <c r="T221" s="85"/>
      <c r="U221" s="85"/>
      <c r="V221" s="85"/>
      <c r="W221" s="82"/>
      <c r="X221" s="93"/>
      <c r="Y221" s="87"/>
      <c r="Z221" s="92"/>
      <c r="AA221" s="91"/>
      <c r="AW221" s="86"/>
      <c r="AX221" s="82"/>
      <c r="AY221" s="82"/>
      <c r="AZ221" s="82"/>
      <c r="BA221" s="82"/>
      <c r="BB221" s="82"/>
      <c r="BC221" s="86"/>
      <c r="BD221" s="86"/>
      <c r="BE221" s="93"/>
      <c r="BF221" s="87"/>
      <c r="BG221" s="86"/>
      <c r="CC221" s="86"/>
      <c r="CD221" s="86"/>
      <c r="CE221" s="82"/>
      <c r="CF221" s="82"/>
      <c r="CG221" s="82"/>
      <c r="CH221" s="82"/>
      <c r="CI221" s="82"/>
      <c r="CJ221" s="86"/>
      <c r="CK221" s="93"/>
      <c r="CL221" s="87"/>
      <c r="CM221" s="86"/>
    </row>
    <row r="222" spans="10:94" ht="19.2" customHeight="1">
      <c r="Q222" s="86"/>
      <c r="R222" s="82"/>
      <c r="S222" s="82"/>
      <c r="T222" s="82"/>
      <c r="U222" s="82"/>
      <c r="V222" s="82"/>
      <c r="W222" s="82"/>
      <c r="X222" s="86"/>
      <c r="Y222" s="93"/>
      <c r="Z222" s="87"/>
      <c r="AA222" s="86"/>
      <c r="AX222" s="82"/>
      <c r="AY222" s="82"/>
      <c r="AZ222" s="86"/>
      <c r="BA222" s="86"/>
      <c r="BB222" s="90"/>
      <c r="BC222" s="90"/>
      <c r="BD222" s="86"/>
      <c r="BE222" s="86"/>
      <c r="BF222" s="86"/>
      <c r="CC222" s="86"/>
      <c r="CD222" s="90"/>
      <c r="CE222" s="90"/>
      <c r="CF222" s="86"/>
      <c r="CG222" s="86"/>
      <c r="CH222" s="82"/>
      <c r="CI222" s="82"/>
      <c r="CJ222" s="86"/>
      <c r="CK222" s="86"/>
      <c r="CL222" s="86"/>
    </row>
    <row r="223" spans="10:94" ht="19.2" customHeight="1">
      <c r="Q223" s="86"/>
      <c r="R223" s="82"/>
      <c r="S223" s="82"/>
      <c r="T223" s="86"/>
      <c r="U223" s="86"/>
      <c r="V223" s="82"/>
      <c r="W223" s="82"/>
      <c r="X223" s="86"/>
      <c r="Y223" s="86"/>
      <c r="Z223" s="86"/>
      <c r="AX223" s="86"/>
      <c r="AY223" s="82"/>
      <c r="AZ223" s="82"/>
      <c r="BB223" s="86"/>
      <c r="BC223" s="86"/>
      <c r="CD223" s="86"/>
      <c r="CE223" s="86"/>
      <c r="CG223" s="82"/>
      <c r="CH223" s="82"/>
      <c r="CI223" s="86"/>
    </row>
    <row r="224" spans="10:94" ht="19.2" customHeight="1">
      <c r="P224" s="86"/>
      <c r="Q224" s="84"/>
      <c r="R224" s="82"/>
      <c r="S224" s="86"/>
      <c r="V224" s="86"/>
      <c r="W224" s="82"/>
      <c r="X224" s="93"/>
      <c r="Y224" s="86"/>
      <c r="AW224" s="86"/>
      <c r="AX224" s="84"/>
      <c r="AY224" s="93"/>
      <c r="AZ224" s="86"/>
      <c r="CG224" s="86"/>
      <c r="CH224" s="93"/>
      <c r="CI224" s="84"/>
      <c r="CJ224" s="86"/>
    </row>
    <row r="225" spans="10:93" ht="19.2" customHeight="1">
      <c r="P225" s="86"/>
      <c r="Q225" s="83"/>
      <c r="R225" s="83"/>
      <c r="S225" s="86"/>
      <c r="V225" s="86"/>
      <c r="W225" s="83"/>
      <c r="X225" s="83"/>
      <c r="Y225" s="86"/>
      <c r="AW225" s="86"/>
      <c r="AX225" s="83"/>
      <c r="AY225" s="83"/>
      <c r="AZ225" s="86"/>
      <c r="CG225" s="86"/>
      <c r="CH225" s="83"/>
      <c r="CI225" s="83"/>
      <c r="CJ225" s="86"/>
    </row>
    <row r="226" spans="10:93" ht="19.2" customHeight="1">
      <c r="Q226" s="86"/>
      <c r="R226" s="86"/>
      <c r="W226" s="86"/>
      <c r="X226" s="86"/>
      <c r="AX226" s="86"/>
      <c r="AY226" s="86"/>
      <c r="CH226" s="86"/>
      <c r="CI226" s="86"/>
    </row>
    <row r="232" spans="10:93" ht="19.2" customHeight="1">
      <c r="AX232" s="82"/>
      <c r="AY232" s="82"/>
      <c r="AZ232" s="82"/>
      <c r="BA232" s="93"/>
      <c r="BB232" s="93"/>
      <c r="BC232" s="93"/>
      <c r="CD232" s="82"/>
      <c r="CE232" s="82"/>
      <c r="CF232" s="82"/>
      <c r="CG232" s="93"/>
      <c r="CH232" s="93"/>
      <c r="CI232" s="93"/>
    </row>
    <row r="233" spans="10:93" ht="19.2" customHeight="1">
      <c r="R233" s="82"/>
      <c r="S233" s="82"/>
      <c r="T233" s="82"/>
      <c r="U233" s="93"/>
      <c r="V233" s="93"/>
      <c r="W233" s="93"/>
      <c r="AV233" s="82"/>
      <c r="AW233" s="82"/>
      <c r="AX233" s="83"/>
      <c r="AY233" s="83"/>
      <c r="AZ233" s="83"/>
      <c r="BA233" s="88"/>
      <c r="BB233" s="88"/>
      <c r="BC233" s="89"/>
      <c r="BD233" s="93"/>
      <c r="BE233" s="93"/>
      <c r="CB233" s="82"/>
      <c r="CC233" s="82"/>
      <c r="CD233" s="83"/>
      <c r="CE233" s="83"/>
      <c r="CF233" s="83"/>
      <c r="CG233" s="88"/>
      <c r="CH233" s="88"/>
      <c r="CI233" s="89"/>
      <c r="CJ233" s="93"/>
      <c r="CK233" s="93"/>
    </row>
    <row r="234" spans="10:93" ht="19.2" customHeight="1">
      <c r="P234" s="82"/>
      <c r="Q234" s="82"/>
      <c r="R234" s="83"/>
      <c r="S234" s="83"/>
      <c r="T234" s="83"/>
      <c r="U234" s="88"/>
      <c r="V234" s="88"/>
      <c r="W234" s="89"/>
      <c r="X234" s="93"/>
      <c r="Y234" s="93"/>
      <c r="AU234" s="82"/>
      <c r="AV234" s="83"/>
      <c r="AW234" s="83"/>
      <c r="AX234" s="83"/>
      <c r="AY234" s="83"/>
      <c r="AZ234" s="85"/>
      <c r="BA234" s="85"/>
      <c r="BB234" s="88"/>
      <c r="BC234" s="88"/>
      <c r="BD234" s="88"/>
      <c r="BE234" s="89"/>
      <c r="BF234" s="93"/>
      <c r="CA234" s="82"/>
      <c r="CB234" s="83"/>
      <c r="CC234" s="83"/>
      <c r="CD234" s="83"/>
      <c r="CE234" s="83"/>
      <c r="CF234" s="85"/>
      <c r="CG234" s="85"/>
      <c r="CH234" s="88"/>
      <c r="CI234" s="88"/>
      <c r="CJ234" s="88"/>
      <c r="CK234" s="89"/>
      <c r="CL234" s="93"/>
    </row>
    <row r="235" spans="10:93" ht="19.2" customHeight="1">
      <c r="O235" s="82"/>
      <c r="P235" s="83"/>
      <c r="Q235" s="83"/>
      <c r="R235" s="83"/>
      <c r="S235" s="83"/>
      <c r="T235" s="85"/>
      <c r="U235" s="85"/>
      <c r="V235" s="88"/>
      <c r="W235" s="88"/>
      <c r="X235" s="88"/>
      <c r="Y235" s="89"/>
      <c r="Z235" s="93"/>
      <c r="AT235" s="86"/>
      <c r="AU235" s="84"/>
      <c r="AV235" s="83"/>
      <c r="AW235" s="83"/>
      <c r="AX235" s="83"/>
      <c r="AY235" s="83"/>
      <c r="AZ235" s="85"/>
      <c r="BA235" s="85"/>
      <c r="BB235" s="88"/>
      <c r="BC235" s="88"/>
      <c r="BD235" s="88"/>
      <c r="BE235" s="87"/>
      <c r="BF235" s="89"/>
      <c r="BG235" s="86"/>
      <c r="BZ235" s="86"/>
      <c r="CA235" s="84"/>
      <c r="CB235" s="83"/>
      <c r="CC235" s="83"/>
      <c r="CD235" s="83"/>
      <c r="CE235" s="83"/>
      <c r="CF235" s="85"/>
      <c r="CG235" s="85"/>
      <c r="CH235" s="88"/>
      <c r="CI235" s="88"/>
      <c r="CJ235" s="88"/>
      <c r="CK235" s="87"/>
      <c r="CL235" s="89"/>
      <c r="CM235" s="86"/>
    </row>
    <row r="236" spans="10:93" ht="19.2" customHeight="1">
      <c r="N236" s="86"/>
      <c r="O236" s="84"/>
      <c r="P236" s="83"/>
      <c r="Q236" s="83"/>
      <c r="R236" s="83"/>
      <c r="S236" s="83"/>
      <c r="T236" s="85"/>
      <c r="U236" s="85"/>
      <c r="V236" s="88"/>
      <c r="W236" s="88"/>
      <c r="X236" s="88"/>
      <c r="Y236" s="87"/>
      <c r="Z236" s="89"/>
      <c r="AA236" s="86"/>
      <c r="AT236" s="86"/>
      <c r="AU236" s="84"/>
      <c r="AV236" s="83"/>
      <c r="AW236" s="83"/>
      <c r="AX236" s="83"/>
      <c r="AY236" s="83"/>
      <c r="AZ236" s="83"/>
      <c r="BA236" s="88"/>
      <c r="BB236" s="88"/>
      <c r="BC236" s="88"/>
      <c r="BD236" s="88"/>
      <c r="BE236" s="87"/>
      <c r="BF236" s="89"/>
      <c r="BG236" s="86"/>
      <c r="BZ236" s="86"/>
      <c r="CA236" s="84"/>
      <c r="CB236" s="83"/>
      <c r="CC236" s="83"/>
      <c r="CD236" s="83"/>
      <c r="CE236" s="83"/>
      <c r="CF236" s="83"/>
      <c r="CG236" s="88"/>
      <c r="CH236" s="88"/>
      <c r="CI236" s="88"/>
      <c r="CJ236" s="88"/>
      <c r="CK236" s="87"/>
      <c r="CL236" s="89"/>
      <c r="CM236" s="86"/>
    </row>
    <row r="237" spans="10:93" ht="19.2" customHeight="1">
      <c r="N237" s="86"/>
      <c r="O237" s="84"/>
      <c r="P237" s="83"/>
      <c r="Q237" s="83"/>
      <c r="R237" s="83"/>
      <c r="S237" s="83"/>
      <c r="T237" s="83"/>
      <c r="U237" s="88"/>
      <c r="V237" s="88"/>
      <c r="W237" s="88"/>
      <c r="X237" s="88"/>
      <c r="Y237" s="87"/>
      <c r="Z237" s="89"/>
      <c r="AA237" s="86"/>
      <c r="AS237" s="86"/>
      <c r="AT237" s="85"/>
      <c r="AU237" s="85"/>
      <c r="AV237" s="84"/>
      <c r="AW237" s="83"/>
      <c r="AX237" s="83"/>
      <c r="AY237" s="83"/>
      <c r="AZ237" s="83"/>
      <c r="BA237" s="88"/>
      <c r="BB237" s="88"/>
      <c r="BC237" s="88"/>
      <c r="BD237" s="88"/>
      <c r="BE237" s="89"/>
      <c r="BF237" s="89"/>
      <c r="BG237" s="85"/>
      <c r="BH237" s="86"/>
      <c r="BY237" s="86"/>
      <c r="BZ237" s="85"/>
      <c r="CA237" s="85"/>
      <c r="CB237" s="84"/>
      <c r="CC237" s="83"/>
      <c r="CD237" s="83"/>
      <c r="CE237" s="83"/>
      <c r="CF237" s="83"/>
      <c r="CG237" s="88"/>
      <c r="CH237" s="88"/>
      <c r="CI237" s="88"/>
      <c r="CJ237" s="88"/>
      <c r="CK237" s="89"/>
      <c r="CL237" s="89"/>
      <c r="CM237" s="85"/>
      <c r="CN237" s="86"/>
    </row>
    <row r="238" spans="10:93" ht="19.2" customHeight="1">
      <c r="M238" s="86"/>
      <c r="N238" s="85"/>
      <c r="O238" s="85"/>
      <c r="P238" s="84"/>
      <c r="Q238" s="83"/>
      <c r="R238" s="83"/>
      <c r="S238" s="83"/>
      <c r="T238" s="83"/>
      <c r="U238" s="88"/>
      <c r="V238" s="88"/>
      <c r="W238" s="88"/>
      <c r="X238" s="88"/>
      <c r="Y238" s="89"/>
      <c r="Z238" s="89"/>
      <c r="AA238" s="85"/>
      <c r="AB238" s="86"/>
      <c r="AQ238" s="82"/>
      <c r="AR238" s="82"/>
      <c r="AS238" s="86"/>
      <c r="AT238" s="84"/>
      <c r="AU238" s="82"/>
      <c r="AV238" s="85"/>
      <c r="AW238" s="84"/>
      <c r="AX238" s="83"/>
      <c r="AY238" s="83"/>
      <c r="AZ238" s="83"/>
      <c r="BA238" s="88"/>
      <c r="BB238" s="88"/>
      <c r="BC238" s="88"/>
      <c r="BD238" s="87"/>
      <c r="BE238" s="89"/>
      <c r="BF238" s="85"/>
      <c r="BG238" s="82"/>
      <c r="BH238" s="90"/>
      <c r="BI238" s="82"/>
      <c r="BW238" s="82"/>
      <c r="BX238" s="82"/>
      <c r="BY238" s="86"/>
      <c r="BZ238" s="84"/>
      <c r="CA238" s="82"/>
      <c r="CB238" s="85"/>
      <c r="CC238" s="84"/>
      <c r="CD238" s="83"/>
      <c r="CE238" s="83"/>
      <c r="CF238" s="83"/>
      <c r="CG238" s="88"/>
      <c r="CH238" s="88"/>
      <c r="CI238" s="88"/>
      <c r="CJ238" s="87"/>
      <c r="CK238" s="89"/>
      <c r="CL238" s="85"/>
      <c r="CM238" s="82"/>
      <c r="CN238" s="90"/>
      <c r="CO238" s="82"/>
    </row>
    <row r="239" spans="10:93" ht="19.2" customHeight="1">
      <c r="K239" s="82"/>
      <c r="L239" s="82"/>
      <c r="M239" s="86"/>
      <c r="N239" s="84"/>
      <c r="O239" s="82"/>
      <c r="P239" s="85"/>
      <c r="Q239" s="84"/>
      <c r="R239" s="83"/>
      <c r="S239" s="83"/>
      <c r="T239" s="83"/>
      <c r="U239" s="88"/>
      <c r="V239" s="88"/>
      <c r="W239" s="88"/>
      <c r="X239" s="87"/>
      <c r="Y239" s="89"/>
      <c r="Z239" s="85"/>
      <c r="AA239" s="82"/>
      <c r="AB239" s="90"/>
      <c r="AC239" s="82"/>
      <c r="AP239" s="82"/>
      <c r="AQ239" s="85"/>
      <c r="AR239" s="85"/>
      <c r="AS239" s="93"/>
      <c r="AT239" s="82"/>
      <c r="AU239" s="84"/>
      <c r="AV239" s="82"/>
      <c r="AW239" s="84"/>
      <c r="AX239" s="84"/>
      <c r="AY239" s="84"/>
      <c r="AZ239" s="84"/>
      <c r="BA239" s="89"/>
      <c r="BB239" s="89"/>
      <c r="BC239" s="89"/>
      <c r="BD239" s="89"/>
      <c r="BE239" s="89"/>
      <c r="BF239" s="82"/>
      <c r="BG239" s="89"/>
      <c r="BH239" s="86"/>
      <c r="BV239" s="82"/>
      <c r="BW239" s="85"/>
      <c r="BX239" s="85"/>
      <c r="BY239" s="93"/>
      <c r="BZ239" s="82"/>
      <c r="CA239" s="84"/>
      <c r="CB239" s="82"/>
      <c r="CC239" s="84"/>
      <c r="CD239" s="84"/>
      <c r="CE239" s="84"/>
      <c r="CF239" s="84"/>
      <c r="CG239" s="89"/>
      <c r="CH239" s="89"/>
      <c r="CI239" s="89"/>
      <c r="CJ239" s="89"/>
      <c r="CK239" s="89"/>
      <c r="CL239" s="82"/>
      <c r="CM239" s="89"/>
      <c r="CN239" s="86"/>
    </row>
    <row r="240" spans="10:93" ht="19.2" customHeight="1">
      <c r="J240" s="82"/>
      <c r="K240" s="85"/>
      <c r="L240" s="85"/>
      <c r="M240" s="93"/>
      <c r="N240" s="82"/>
      <c r="O240" s="84"/>
      <c r="P240" s="82"/>
      <c r="Q240" s="84"/>
      <c r="R240" s="84"/>
      <c r="S240" s="84"/>
      <c r="T240" s="84"/>
      <c r="U240" s="89"/>
      <c r="V240" s="89"/>
      <c r="W240" s="89"/>
      <c r="X240" s="89"/>
      <c r="Y240" s="89"/>
      <c r="Z240" s="82"/>
      <c r="AA240" s="89"/>
      <c r="AB240" s="86"/>
      <c r="AO240" s="82"/>
      <c r="AP240" s="85"/>
      <c r="AQ240" s="85"/>
      <c r="AR240" s="85"/>
      <c r="AS240" s="93"/>
      <c r="AT240" s="84"/>
      <c r="AU240" s="90"/>
      <c r="AV240" s="82"/>
      <c r="AW240" s="84"/>
      <c r="AX240" s="84"/>
      <c r="AY240" s="84"/>
      <c r="AZ240" s="84"/>
      <c r="BA240" s="89"/>
      <c r="BB240" s="89"/>
      <c r="BC240" s="89"/>
      <c r="BD240" s="89"/>
      <c r="BE240" s="89"/>
      <c r="BF240" s="85"/>
      <c r="BG240" s="89"/>
      <c r="BH240" s="82"/>
      <c r="BI240" s="86"/>
      <c r="BU240" s="82"/>
      <c r="BV240" s="85"/>
      <c r="BW240" s="85"/>
      <c r="BX240" s="85"/>
      <c r="BY240" s="93"/>
      <c r="BZ240" s="84"/>
      <c r="CA240" s="90"/>
      <c r="CB240" s="82"/>
      <c r="CC240" s="84"/>
      <c r="CD240" s="84"/>
      <c r="CE240" s="84"/>
      <c r="CF240" s="84"/>
      <c r="CG240" s="89"/>
      <c r="CH240" s="89"/>
      <c r="CI240" s="89"/>
      <c r="CJ240" s="89"/>
      <c r="CK240" s="89"/>
      <c r="CL240" s="85"/>
      <c r="CM240" s="89"/>
      <c r="CN240" s="82"/>
      <c r="CO240" s="86"/>
    </row>
    <row r="241" spans="9:94" ht="19.2" customHeight="1">
      <c r="I241" s="82"/>
      <c r="J241" s="85"/>
      <c r="K241" s="85"/>
      <c r="L241" s="85"/>
      <c r="M241" s="93"/>
      <c r="N241" s="84"/>
      <c r="O241" s="90"/>
      <c r="P241" s="82"/>
      <c r="Q241" s="84"/>
      <c r="R241" s="84"/>
      <c r="S241" s="84"/>
      <c r="T241" s="84"/>
      <c r="U241" s="89"/>
      <c r="V241" s="89"/>
      <c r="W241" s="89"/>
      <c r="X241" s="89"/>
      <c r="Y241" s="89"/>
      <c r="Z241" s="85"/>
      <c r="AA241" s="89"/>
      <c r="AB241" s="82"/>
      <c r="AC241" s="86"/>
      <c r="AO241" s="82"/>
      <c r="AP241" s="85"/>
      <c r="AQ241" s="85"/>
      <c r="AR241" s="85"/>
      <c r="AS241" s="85"/>
      <c r="AT241" s="93"/>
      <c r="AU241" s="82"/>
      <c r="AV241" s="84"/>
      <c r="AW241" s="84"/>
      <c r="AX241" s="84"/>
      <c r="AY241" s="84"/>
      <c r="AZ241" s="84"/>
      <c r="BA241" s="89"/>
      <c r="BB241" s="89"/>
      <c r="BC241" s="89"/>
      <c r="BD241" s="89"/>
      <c r="BE241" s="89"/>
      <c r="BF241" s="89"/>
      <c r="BG241" s="90"/>
      <c r="BH241" s="86"/>
      <c r="BU241" s="82"/>
      <c r="BV241" s="85"/>
      <c r="BW241" s="85"/>
      <c r="BX241" s="85"/>
      <c r="BY241" s="85"/>
      <c r="BZ241" s="93"/>
      <c r="CA241" s="82"/>
      <c r="CB241" s="84"/>
      <c r="CC241" s="84"/>
      <c r="CD241" s="84"/>
      <c r="CE241" s="84"/>
      <c r="CF241" s="84"/>
      <c r="CG241" s="89"/>
      <c r="CH241" s="89"/>
      <c r="CI241" s="89"/>
      <c r="CJ241" s="89"/>
      <c r="CK241" s="89"/>
      <c r="CL241" s="89"/>
      <c r="CM241" s="90"/>
      <c r="CN241" s="86"/>
    </row>
    <row r="242" spans="9:94" ht="19.2" customHeight="1">
      <c r="I242" s="82"/>
      <c r="J242" s="85"/>
      <c r="K242" s="85"/>
      <c r="L242" s="85"/>
      <c r="M242" s="85"/>
      <c r="N242" s="93"/>
      <c r="O242" s="82"/>
      <c r="P242" s="84"/>
      <c r="Q242" s="84"/>
      <c r="R242" s="84"/>
      <c r="S242" s="84"/>
      <c r="T242" s="84"/>
      <c r="U242" s="89"/>
      <c r="V242" s="89"/>
      <c r="W242" s="89"/>
      <c r="X242" s="89"/>
      <c r="Y242" s="89"/>
      <c r="Z242" s="89"/>
      <c r="AA242" s="90"/>
      <c r="AB242" s="86"/>
      <c r="AP242" s="82"/>
      <c r="AQ242" s="85"/>
      <c r="AR242" s="85"/>
      <c r="AS242" s="85"/>
      <c r="AT242" s="85"/>
      <c r="AU242" s="93"/>
      <c r="AV242" s="93"/>
      <c r="AW242" s="84"/>
      <c r="AX242" s="84"/>
      <c r="AY242" s="84"/>
      <c r="AZ242" s="84"/>
      <c r="BA242" s="89"/>
      <c r="BB242" s="89"/>
      <c r="BC242" s="89"/>
      <c r="BD242" s="89"/>
      <c r="BE242" s="89"/>
      <c r="BF242" s="90"/>
      <c r="BG242" s="90"/>
      <c r="BH242" s="90"/>
      <c r="BI242" s="86"/>
      <c r="BV242" s="82"/>
      <c r="BW242" s="85"/>
      <c r="BX242" s="85"/>
      <c r="BY242" s="85"/>
      <c r="BZ242" s="85"/>
      <c r="CA242" s="93"/>
      <c r="CB242" s="93"/>
      <c r="CC242" s="84"/>
      <c r="CD242" s="84"/>
      <c r="CE242" s="84"/>
      <c r="CF242" s="84"/>
      <c r="CG242" s="89"/>
      <c r="CH242" s="89"/>
      <c r="CI242" s="89"/>
      <c r="CJ242" s="89"/>
      <c r="CK242" s="89"/>
      <c r="CL242" s="90"/>
      <c r="CM242" s="90"/>
      <c r="CN242" s="90"/>
      <c r="CO242" s="86"/>
    </row>
    <row r="243" spans="9:94" ht="19.2" customHeight="1">
      <c r="J243" s="82"/>
      <c r="K243" s="85"/>
      <c r="L243" s="85"/>
      <c r="M243" s="85"/>
      <c r="N243" s="85"/>
      <c r="O243" s="93"/>
      <c r="P243" s="93"/>
      <c r="Q243" s="84"/>
      <c r="R243" s="84"/>
      <c r="S243" s="84"/>
      <c r="T243" s="84"/>
      <c r="U243" s="89"/>
      <c r="V243" s="89"/>
      <c r="W243" s="89"/>
      <c r="X243" s="89"/>
      <c r="Y243" s="89"/>
      <c r="Z243" s="90"/>
      <c r="AA243" s="90"/>
      <c r="AB243" s="90"/>
      <c r="AC243" s="86"/>
      <c r="AQ243" s="82"/>
      <c r="AR243" s="82"/>
      <c r="AS243" s="82"/>
      <c r="AT243" s="82"/>
      <c r="AU243" s="82"/>
      <c r="AV243" s="82"/>
      <c r="AW243" s="86"/>
      <c r="AX243" s="88"/>
      <c r="AY243" s="90"/>
      <c r="AZ243" s="82"/>
      <c r="BA243" s="90"/>
      <c r="BB243" s="90"/>
      <c r="BC243" s="82"/>
      <c r="BD243" s="90"/>
      <c r="BE243" s="90"/>
      <c r="BF243" s="90"/>
      <c r="BG243" s="90"/>
      <c r="BH243" s="90"/>
      <c r="BI243" s="84"/>
      <c r="BJ243" s="86"/>
      <c r="BW243" s="82"/>
      <c r="BX243" s="82"/>
      <c r="BY243" s="82"/>
      <c r="BZ243" s="82"/>
      <c r="CA243" s="82"/>
      <c r="CB243" s="82"/>
      <c r="CC243" s="86"/>
      <c r="CD243" s="88"/>
      <c r="CE243" s="90"/>
      <c r="CF243" s="82"/>
      <c r="CG243" s="90"/>
      <c r="CH243" s="90"/>
      <c r="CI243" s="82"/>
      <c r="CJ243" s="90"/>
      <c r="CK243" s="90"/>
      <c r="CL243" s="90"/>
      <c r="CM243" s="90"/>
      <c r="CN243" s="90"/>
      <c r="CO243" s="84"/>
      <c r="CP243" s="86"/>
    </row>
    <row r="244" spans="9:94" ht="19.2" customHeight="1">
      <c r="K244" s="82"/>
      <c r="L244" s="82"/>
      <c r="M244" s="82"/>
      <c r="N244" s="82"/>
      <c r="O244" s="82"/>
      <c r="P244" s="82"/>
      <c r="Q244" s="86"/>
      <c r="R244" s="88"/>
      <c r="S244" s="90"/>
      <c r="T244" s="82"/>
      <c r="U244" s="90"/>
      <c r="V244" s="90"/>
      <c r="W244" s="82"/>
      <c r="X244" s="90"/>
      <c r="Y244" s="90"/>
      <c r="Z244" s="90"/>
      <c r="AA244" s="90"/>
      <c r="AB244" s="90"/>
      <c r="AC244" s="84"/>
      <c r="AD244" s="86"/>
      <c r="AT244" s="90"/>
      <c r="AU244" s="96"/>
      <c r="AV244" s="96"/>
      <c r="AW244" s="86"/>
      <c r="AX244" s="88"/>
      <c r="AY244" s="94"/>
      <c r="AZ244" s="82"/>
      <c r="BA244" s="82"/>
      <c r="BB244" s="90"/>
      <c r="BC244" s="90"/>
      <c r="BD244" s="82"/>
      <c r="BE244" s="90"/>
      <c r="BF244" s="90"/>
      <c r="BG244" s="90"/>
      <c r="BH244" s="86"/>
      <c r="BI244" s="86"/>
      <c r="BZ244" s="90"/>
      <c r="CA244" s="96"/>
      <c r="CB244" s="96"/>
      <c r="CC244" s="86"/>
      <c r="CD244" s="88"/>
      <c r="CE244" s="94"/>
      <c r="CF244" s="82"/>
      <c r="CG244" s="82"/>
      <c r="CH244" s="90"/>
      <c r="CI244" s="90"/>
      <c r="CJ244" s="82"/>
      <c r="CK244" s="90"/>
      <c r="CL244" s="90"/>
      <c r="CM244" s="90"/>
      <c r="CN244" s="86"/>
      <c r="CO244" s="86"/>
    </row>
    <row r="245" spans="9:94" ht="19.2" customHeight="1">
      <c r="N245" s="90"/>
      <c r="O245" s="96"/>
      <c r="P245" s="96"/>
      <c r="Q245" s="86"/>
      <c r="R245" s="88"/>
      <c r="S245" s="94"/>
      <c r="T245" s="82"/>
      <c r="U245" s="82"/>
      <c r="V245" s="90"/>
      <c r="W245" s="90"/>
      <c r="X245" s="82"/>
      <c r="Y245" s="90"/>
      <c r="Z245" s="90"/>
      <c r="AA245" s="90"/>
      <c r="AB245" s="86"/>
      <c r="AC245" s="86"/>
      <c r="AT245" s="94"/>
      <c r="AU245" s="96"/>
      <c r="AV245" s="96"/>
      <c r="AW245" s="96"/>
      <c r="AX245" s="96"/>
      <c r="AY245" s="94"/>
      <c r="AZ245" s="94"/>
      <c r="BA245" s="82"/>
      <c r="BB245" s="82"/>
      <c r="BC245" s="82"/>
      <c r="BD245" s="90"/>
      <c r="BE245" s="90"/>
      <c r="BF245" s="86"/>
      <c r="BG245" s="86"/>
      <c r="BZ245" s="94"/>
      <c r="CA245" s="96"/>
      <c r="CB245" s="96"/>
      <c r="CC245" s="96"/>
      <c r="CD245" s="96"/>
      <c r="CE245" s="94"/>
      <c r="CF245" s="94"/>
      <c r="CG245" s="82"/>
      <c r="CH245" s="82"/>
      <c r="CI245" s="82"/>
      <c r="CJ245" s="90"/>
      <c r="CK245" s="90"/>
      <c r="CL245" s="86"/>
      <c r="CM245" s="86"/>
    </row>
    <row r="246" spans="9:94" ht="19.2" customHeight="1">
      <c r="N246" s="94"/>
      <c r="O246" s="96"/>
      <c r="P246" s="96"/>
      <c r="Q246" s="96"/>
      <c r="R246" s="96"/>
      <c r="S246" s="94"/>
      <c r="T246" s="94"/>
      <c r="U246" s="82"/>
      <c r="V246" s="82"/>
      <c r="W246" s="82"/>
      <c r="X246" s="90"/>
      <c r="Y246" s="90"/>
      <c r="Z246" s="86"/>
      <c r="AA246" s="86"/>
      <c r="AU246" s="90"/>
      <c r="AV246" s="94"/>
      <c r="AW246" s="96"/>
      <c r="AX246" s="94"/>
      <c r="AY246" s="82"/>
      <c r="AZ246" s="82"/>
      <c r="BA246" s="90"/>
      <c r="BB246" s="90"/>
      <c r="BC246" s="90"/>
      <c r="BD246" s="86"/>
      <c r="BE246" s="90"/>
      <c r="BF246" s="90"/>
      <c r="BG246" s="86"/>
      <c r="CA246" s="90"/>
      <c r="CB246" s="94"/>
      <c r="CC246" s="96"/>
      <c r="CD246" s="94"/>
      <c r="CE246" s="82"/>
      <c r="CF246" s="82"/>
      <c r="CG246" s="90"/>
      <c r="CH246" s="90"/>
      <c r="CI246" s="90"/>
      <c r="CJ246" s="86"/>
      <c r="CK246" s="90"/>
      <c r="CL246" s="90"/>
      <c r="CM246" s="86"/>
    </row>
    <row r="247" spans="9:94" ht="19.2" customHeight="1">
      <c r="O247" s="90"/>
      <c r="P247" s="94"/>
      <c r="Q247" s="96"/>
      <c r="R247" s="94"/>
      <c r="S247" s="82"/>
      <c r="T247" s="82"/>
      <c r="U247" s="90"/>
      <c r="V247" s="90"/>
      <c r="W247" s="90"/>
      <c r="X247" s="86"/>
      <c r="Y247" s="90"/>
      <c r="Z247" s="90"/>
      <c r="AA247" s="86"/>
      <c r="AV247" s="86"/>
      <c r="AW247" s="86"/>
      <c r="AX247" s="90"/>
      <c r="AY247" s="86"/>
      <c r="AZ247" s="82"/>
      <c r="BA247" s="82"/>
      <c r="BB247" s="86"/>
      <c r="BC247" s="86"/>
      <c r="BE247" s="86"/>
      <c r="BF247" s="86"/>
      <c r="CB247" s="86"/>
      <c r="CC247" s="86"/>
      <c r="CD247" s="90"/>
      <c r="CE247" s="86"/>
      <c r="CF247" s="82"/>
      <c r="CG247" s="82"/>
      <c r="CH247" s="86"/>
      <c r="CI247" s="86"/>
      <c r="CJ247" s="86"/>
      <c r="CK247" s="86"/>
      <c r="CL247" s="86"/>
    </row>
    <row r="248" spans="9:94" ht="19.2" customHeight="1">
      <c r="P248" s="86"/>
      <c r="Q248" s="86"/>
      <c r="R248" s="90"/>
      <c r="S248" s="86"/>
      <c r="T248" s="82"/>
      <c r="U248" s="82"/>
      <c r="V248" s="86"/>
      <c r="W248" s="86"/>
      <c r="Y248" s="86"/>
      <c r="Z248" s="86"/>
      <c r="AV248" s="86"/>
      <c r="AW248" s="94"/>
      <c r="AX248" s="86"/>
      <c r="AY248" s="89"/>
      <c r="AZ248" s="91"/>
      <c r="BA248" s="91"/>
      <c r="BB248" s="86"/>
      <c r="CE248" s="86"/>
      <c r="CF248" s="91"/>
      <c r="CG248" s="91"/>
      <c r="CH248" s="82"/>
      <c r="CI248" s="91"/>
      <c r="CJ248" s="90"/>
      <c r="CK248" s="86"/>
    </row>
    <row r="249" spans="9:94" ht="19.2" customHeight="1">
      <c r="R249" s="86"/>
      <c r="S249" s="89"/>
      <c r="T249" s="91"/>
      <c r="U249" s="91"/>
      <c r="V249" s="86"/>
      <c r="AW249" s="86"/>
      <c r="AX249" s="86"/>
      <c r="AY249" s="91"/>
      <c r="AZ249" s="93"/>
      <c r="BA249" s="92"/>
      <c r="BB249" s="91"/>
      <c r="BC249" s="86"/>
      <c r="CD249" s="86"/>
      <c r="CE249" s="92"/>
      <c r="CF249" s="95"/>
      <c r="CG249" s="86"/>
      <c r="CH249" s="82"/>
      <c r="CI249" s="86"/>
      <c r="CJ249" s="94"/>
      <c r="CK249" s="86"/>
    </row>
    <row r="250" spans="9:94" ht="19.2" customHeight="1">
      <c r="R250" s="86"/>
      <c r="S250" s="91"/>
      <c r="T250" s="93"/>
      <c r="U250" s="92"/>
      <c r="V250" s="91"/>
      <c r="W250" s="86"/>
      <c r="AX250" s="89"/>
      <c r="AY250" s="91"/>
      <c r="AZ250" s="82"/>
      <c r="BA250" s="82"/>
      <c r="BB250" s="92"/>
      <c r="BC250" s="86"/>
      <c r="CB250" s="86"/>
      <c r="CC250" s="86"/>
      <c r="CD250" s="95"/>
      <c r="CE250" s="92"/>
      <c r="CF250" s="86"/>
      <c r="CG250" s="91"/>
      <c r="CH250" s="91"/>
      <c r="CI250" s="86"/>
      <c r="CJ250" s="86"/>
    </row>
    <row r="251" spans="9:94" ht="19.2" customHeight="1">
      <c r="R251" s="89"/>
      <c r="S251" s="91"/>
      <c r="T251" s="82"/>
      <c r="U251" s="92"/>
      <c r="V251" s="91"/>
      <c r="W251" s="86"/>
      <c r="AX251" s="82"/>
      <c r="AY251" s="82"/>
      <c r="AZ251" s="82"/>
      <c r="BA251" s="82"/>
      <c r="BB251" s="93"/>
      <c r="BC251" s="93"/>
      <c r="BD251" s="86"/>
      <c r="CA251" s="86"/>
      <c r="CB251" s="96"/>
      <c r="CC251" s="93"/>
      <c r="CD251" s="93"/>
      <c r="CE251" s="86"/>
      <c r="CF251" s="93"/>
      <c r="CG251" s="93"/>
      <c r="CH251" s="93"/>
      <c r="CI251" s="93"/>
    </row>
    <row r="252" spans="9:94" ht="19.2" customHeight="1">
      <c r="R252" s="82"/>
      <c r="S252" s="82"/>
      <c r="T252" s="82"/>
      <c r="U252" s="93"/>
      <c r="V252" s="82"/>
      <c r="W252" s="86"/>
      <c r="AW252" s="86"/>
      <c r="AX252" s="87"/>
      <c r="AY252" s="95"/>
      <c r="AZ252" s="95"/>
      <c r="BA252" s="93"/>
      <c r="BB252" s="82"/>
      <c r="BC252" s="93"/>
      <c r="BD252" s="96"/>
      <c r="BE252" s="86"/>
      <c r="CA252" s="86"/>
      <c r="CB252" s="94"/>
      <c r="CC252" s="96"/>
      <c r="CD252" s="86"/>
      <c r="CE252" s="95"/>
      <c r="CF252" s="95"/>
      <c r="CG252" s="95"/>
      <c r="CH252" s="95"/>
      <c r="CI252" s="89"/>
      <c r="CJ252" s="86"/>
    </row>
    <row r="253" spans="9:94" ht="19.2" customHeight="1">
      <c r="Q253" s="86"/>
      <c r="R253" s="87"/>
      <c r="S253" s="93"/>
      <c r="T253" s="96"/>
      <c r="U253" s="93"/>
      <c r="V253" s="85"/>
      <c r="W253" s="89"/>
      <c r="X253" s="86"/>
      <c r="AW253" s="86"/>
      <c r="AX253" s="87"/>
      <c r="AY253" s="95"/>
      <c r="AZ253" s="95"/>
      <c r="BA253" s="95"/>
      <c r="BB253" s="82"/>
      <c r="BC253" s="96"/>
      <c r="BD253" s="94"/>
      <c r="BE253" s="86"/>
      <c r="CB253" s="86"/>
      <c r="CC253" s="86"/>
      <c r="CD253" s="89"/>
      <c r="CE253" s="95"/>
      <c r="CF253" s="95"/>
      <c r="CG253" s="95"/>
      <c r="CH253" s="95"/>
      <c r="CI253" s="89"/>
      <c r="CJ253" s="86"/>
    </row>
    <row r="254" spans="9:94" ht="19.2" customHeight="1">
      <c r="Q254" s="86"/>
      <c r="R254" s="89"/>
      <c r="S254" s="85"/>
      <c r="T254" s="94"/>
      <c r="U254" s="96"/>
      <c r="V254" s="85"/>
      <c r="W254" s="89"/>
      <c r="X254" s="86"/>
      <c r="AX254" s="86"/>
      <c r="AY254" s="87"/>
      <c r="AZ254" s="87"/>
      <c r="BA254" s="87"/>
      <c r="BB254" s="86"/>
      <c r="BC254" s="86"/>
      <c r="BD254" s="82"/>
      <c r="CC254" s="82"/>
      <c r="CD254" s="86"/>
      <c r="CE254" s="89"/>
      <c r="CF254" s="89"/>
      <c r="CG254" s="89"/>
      <c r="CH254" s="89"/>
      <c r="CI254" s="82"/>
      <c r="CJ254" s="86"/>
    </row>
    <row r="255" spans="9:94" ht="19.2" customHeight="1">
      <c r="R255" s="82"/>
      <c r="S255" s="89"/>
      <c r="T255" s="85"/>
      <c r="U255" s="85"/>
      <c r="V255" s="89"/>
      <c r="W255" s="86"/>
      <c r="AW255" s="86"/>
      <c r="AX255" s="82"/>
      <c r="AY255" s="82"/>
      <c r="AZ255" s="82"/>
      <c r="BA255" s="86"/>
      <c r="BB255" s="86"/>
      <c r="BC255" s="82"/>
      <c r="BD255" s="86"/>
      <c r="BE255" s="86"/>
      <c r="CB255" s="86"/>
      <c r="CC255" s="82"/>
      <c r="CD255" s="82"/>
      <c r="CE255" s="86"/>
      <c r="CF255" s="86"/>
      <c r="CG255" s="86"/>
      <c r="CH255" s="82"/>
      <c r="CI255" s="82"/>
      <c r="CJ255" s="93"/>
      <c r="CK255" s="86"/>
    </row>
    <row r="256" spans="9:94" ht="19.2" customHeight="1">
      <c r="S256" s="86"/>
      <c r="T256" s="82"/>
      <c r="U256" s="82"/>
      <c r="V256" s="86"/>
      <c r="AU256" s="86"/>
      <c r="AV256" s="84"/>
      <c r="AW256" s="82"/>
      <c r="AX256" s="82"/>
      <c r="AY256" s="82"/>
      <c r="AZ256" s="86"/>
      <c r="BC256" s="86"/>
      <c r="BD256" s="86"/>
      <c r="CC256" s="86"/>
      <c r="CD256" s="86"/>
      <c r="CE256" s="86"/>
      <c r="CI256" s="86"/>
      <c r="CJ256" s="93"/>
      <c r="CK256" s="86"/>
    </row>
    <row r="257" spans="12:96" ht="19.2" customHeight="1">
      <c r="R257" s="86"/>
      <c r="S257" s="84"/>
      <c r="T257" s="84"/>
      <c r="U257" s="82"/>
      <c r="V257" s="86"/>
      <c r="AU257" s="86"/>
      <c r="AV257" s="82"/>
      <c r="AW257" s="84"/>
      <c r="AX257" s="82"/>
      <c r="AY257" s="86"/>
      <c r="CH257" s="86"/>
      <c r="CI257" s="84"/>
      <c r="CJ257" s="84"/>
      <c r="CK257" s="86"/>
    </row>
    <row r="258" spans="12:96" ht="19.2" customHeight="1">
      <c r="S258" s="86"/>
      <c r="T258" s="86"/>
      <c r="U258" s="86"/>
      <c r="AW258" s="86"/>
      <c r="AX258" s="86"/>
      <c r="CI258" s="86"/>
      <c r="CJ258" s="86"/>
    </row>
    <row r="264" spans="12:96" ht="19.2" customHeight="1">
      <c r="AX264" s="93"/>
      <c r="AY264" s="93"/>
      <c r="AZ264" s="93"/>
      <c r="BA264" s="82"/>
      <c r="BB264" s="82"/>
      <c r="BC264" s="82"/>
      <c r="CD264" s="93"/>
      <c r="CE264" s="93"/>
      <c r="CF264" s="93"/>
      <c r="CG264" s="82"/>
      <c r="CH264" s="82"/>
      <c r="CI264" s="82"/>
    </row>
    <row r="265" spans="12:96" ht="19.2" customHeight="1">
      <c r="R265" s="93"/>
      <c r="S265" s="93"/>
      <c r="T265" s="93"/>
      <c r="U265" s="82"/>
      <c r="V265" s="82"/>
      <c r="W265" s="82"/>
      <c r="AV265" s="93"/>
      <c r="AW265" s="93"/>
      <c r="AX265" s="89"/>
      <c r="AY265" s="88"/>
      <c r="AZ265" s="88"/>
      <c r="BA265" s="83"/>
      <c r="BB265" s="83"/>
      <c r="BC265" s="83"/>
      <c r="BD265" s="82"/>
      <c r="BE265" s="82"/>
      <c r="CB265" s="93"/>
      <c r="CC265" s="93"/>
      <c r="CD265" s="89"/>
      <c r="CE265" s="88"/>
      <c r="CF265" s="88"/>
      <c r="CG265" s="83"/>
      <c r="CH265" s="83"/>
      <c r="CI265" s="83"/>
      <c r="CJ265" s="82"/>
      <c r="CK265" s="82"/>
    </row>
    <row r="266" spans="12:96" ht="19.2" customHeight="1">
      <c r="P266" s="93"/>
      <c r="Q266" s="93"/>
      <c r="R266" s="89"/>
      <c r="S266" s="88"/>
      <c r="T266" s="88"/>
      <c r="U266" s="83"/>
      <c r="V266" s="83"/>
      <c r="W266" s="83"/>
      <c r="X266" s="82"/>
      <c r="Y266" s="82"/>
      <c r="AU266" s="93"/>
      <c r="AV266" s="87"/>
      <c r="AW266" s="88"/>
      <c r="AX266" s="88"/>
      <c r="AY266" s="88"/>
      <c r="AZ266" s="85"/>
      <c r="BA266" s="85"/>
      <c r="BB266" s="83"/>
      <c r="BC266" s="83"/>
      <c r="BD266" s="83"/>
      <c r="BE266" s="83"/>
      <c r="BF266" s="82"/>
      <c r="CA266" s="93"/>
      <c r="CB266" s="89"/>
      <c r="CC266" s="88"/>
      <c r="CD266" s="88"/>
      <c r="CE266" s="88"/>
      <c r="CF266" s="85"/>
      <c r="CG266" s="85"/>
      <c r="CH266" s="83"/>
      <c r="CI266" s="83"/>
      <c r="CJ266" s="83"/>
      <c r="CK266" s="83"/>
      <c r="CL266" s="82"/>
    </row>
    <row r="267" spans="12:96" ht="19.2" customHeight="1">
      <c r="O267" s="93"/>
      <c r="P267" s="89"/>
      <c r="Q267" s="88"/>
      <c r="R267" s="88"/>
      <c r="S267" s="88"/>
      <c r="T267" s="85"/>
      <c r="U267" s="85"/>
      <c r="V267" s="83"/>
      <c r="W267" s="83"/>
      <c r="X267" s="83"/>
      <c r="Y267" s="83"/>
      <c r="Z267" s="82"/>
      <c r="AT267" s="86"/>
      <c r="AU267" s="89"/>
      <c r="AV267" s="87"/>
      <c r="AW267" s="88"/>
      <c r="AX267" s="88"/>
      <c r="AY267" s="88"/>
      <c r="AZ267" s="85"/>
      <c r="BA267" s="85"/>
      <c r="BB267" s="83"/>
      <c r="BC267" s="83"/>
      <c r="BD267" s="83"/>
      <c r="BE267" s="83"/>
      <c r="BF267" s="84"/>
      <c r="BG267" s="86"/>
      <c r="BZ267" s="86"/>
      <c r="CA267" s="89"/>
      <c r="CB267" s="87"/>
      <c r="CC267" s="88"/>
      <c r="CD267" s="88"/>
      <c r="CE267" s="88"/>
      <c r="CF267" s="85"/>
      <c r="CG267" s="85"/>
      <c r="CH267" s="83"/>
      <c r="CI267" s="83"/>
      <c r="CJ267" s="83"/>
      <c r="CK267" s="83"/>
      <c r="CL267" s="84"/>
      <c r="CM267" s="86"/>
    </row>
    <row r="268" spans="12:96" ht="19.2" customHeight="1">
      <c r="N268" s="86"/>
      <c r="O268" s="89"/>
      <c r="P268" s="87"/>
      <c r="Q268" s="88"/>
      <c r="R268" s="88"/>
      <c r="S268" s="88"/>
      <c r="T268" s="85"/>
      <c r="U268" s="85"/>
      <c r="V268" s="83"/>
      <c r="W268" s="83"/>
      <c r="X268" s="83"/>
      <c r="Y268" s="83"/>
      <c r="Z268" s="84"/>
      <c r="AA268" s="86"/>
      <c r="AT268" s="86"/>
      <c r="AU268" s="89"/>
      <c r="AV268" s="87"/>
      <c r="AW268" s="88"/>
      <c r="AX268" s="88"/>
      <c r="AY268" s="88"/>
      <c r="AZ268" s="88"/>
      <c r="BA268" s="83"/>
      <c r="BB268" s="83"/>
      <c r="BC268" s="83"/>
      <c r="BD268" s="83"/>
      <c r="BE268" s="83"/>
      <c r="BF268" s="84"/>
      <c r="BG268" s="86"/>
      <c r="BZ268" s="86"/>
      <c r="CA268" s="89"/>
      <c r="CB268" s="87"/>
      <c r="CC268" s="88"/>
      <c r="CD268" s="88"/>
      <c r="CE268" s="88"/>
      <c r="CF268" s="88"/>
      <c r="CG268" s="83"/>
      <c r="CH268" s="83"/>
      <c r="CI268" s="83"/>
      <c r="CJ268" s="83"/>
      <c r="CK268" s="83"/>
      <c r="CL268" s="84"/>
      <c r="CM268" s="86"/>
    </row>
    <row r="269" spans="12:96" ht="19.2" customHeight="1">
      <c r="N269" s="86"/>
      <c r="O269" s="89"/>
      <c r="P269" s="87"/>
      <c r="Q269" s="88"/>
      <c r="R269" s="88"/>
      <c r="S269" s="88"/>
      <c r="T269" s="88"/>
      <c r="U269" s="83"/>
      <c r="V269" s="83"/>
      <c r="W269" s="83"/>
      <c r="X269" s="83"/>
      <c r="Y269" s="83"/>
      <c r="Z269" s="84"/>
      <c r="AA269" s="86"/>
      <c r="AS269" s="86"/>
      <c r="AT269" s="85"/>
      <c r="AU269" s="89"/>
      <c r="AV269" s="89"/>
      <c r="AW269" s="88"/>
      <c r="AX269" s="88"/>
      <c r="AY269" s="88"/>
      <c r="AZ269" s="88"/>
      <c r="BA269" s="83"/>
      <c r="BB269" s="83"/>
      <c r="BC269" s="83"/>
      <c r="BD269" s="83"/>
      <c r="BE269" s="84"/>
      <c r="BF269" s="85"/>
      <c r="BG269" s="85"/>
      <c r="BH269" s="86"/>
      <c r="BY269" s="86"/>
      <c r="BZ269" s="85"/>
      <c r="CA269" s="89"/>
      <c r="CB269" s="89"/>
      <c r="CC269" s="88"/>
      <c r="CD269" s="88"/>
      <c r="CE269" s="88"/>
      <c r="CF269" s="88"/>
      <c r="CG269" s="83"/>
      <c r="CH269" s="83"/>
      <c r="CI269" s="83"/>
      <c r="CJ269" s="83"/>
      <c r="CK269" s="84"/>
      <c r="CL269" s="85"/>
      <c r="CM269" s="85"/>
      <c r="CN269" s="86"/>
    </row>
    <row r="270" spans="12:96" ht="19.2" customHeight="1">
      <c r="M270" s="86"/>
      <c r="N270" s="85"/>
      <c r="O270" s="89"/>
      <c r="P270" s="89"/>
      <c r="Q270" s="88"/>
      <c r="R270" s="88"/>
      <c r="S270" s="88"/>
      <c r="T270" s="88"/>
      <c r="U270" s="83"/>
      <c r="V270" s="83"/>
      <c r="W270" s="83"/>
      <c r="X270" s="83"/>
      <c r="Y270" s="84"/>
      <c r="Z270" s="85"/>
      <c r="AA270" s="85"/>
      <c r="AB270" s="86"/>
      <c r="AR270" s="82"/>
      <c r="AS270" s="90"/>
      <c r="AT270" s="82"/>
      <c r="AU270" s="85"/>
      <c r="AV270" s="89"/>
      <c r="AW270" s="87"/>
      <c r="AX270" s="88"/>
      <c r="AY270" s="88"/>
      <c r="AZ270" s="88"/>
      <c r="BA270" s="83"/>
      <c r="BB270" s="83"/>
      <c r="BC270" s="83"/>
      <c r="BD270" s="84"/>
      <c r="BE270" s="85"/>
      <c r="BF270" s="82"/>
      <c r="BG270" s="84"/>
      <c r="BH270" s="86"/>
      <c r="BI270" s="82"/>
      <c r="BJ270" s="82"/>
      <c r="BX270" s="82"/>
      <c r="BY270" s="90"/>
      <c r="BZ270" s="82"/>
      <c r="CA270" s="85"/>
      <c r="CB270" s="89"/>
      <c r="CC270" s="87"/>
      <c r="CD270" s="88"/>
      <c r="CE270" s="88"/>
      <c r="CF270" s="88"/>
      <c r="CG270" s="83"/>
      <c r="CH270" s="83"/>
      <c r="CI270" s="83"/>
      <c r="CJ270" s="84"/>
      <c r="CK270" s="85"/>
      <c r="CL270" s="82"/>
      <c r="CM270" s="84"/>
      <c r="CN270" s="86"/>
      <c r="CO270" s="82"/>
      <c r="CP270" s="82"/>
    </row>
    <row r="271" spans="12:96" ht="19.2" customHeight="1">
      <c r="L271" s="82"/>
      <c r="M271" s="90"/>
      <c r="N271" s="82"/>
      <c r="O271" s="85"/>
      <c r="P271" s="89"/>
      <c r="Q271" s="87"/>
      <c r="R271" s="88"/>
      <c r="S271" s="88"/>
      <c r="T271" s="88"/>
      <c r="U271" s="83"/>
      <c r="V271" s="83"/>
      <c r="W271" s="83"/>
      <c r="X271" s="84"/>
      <c r="Y271" s="85"/>
      <c r="Z271" s="82"/>
      <c r="AA271" s="84"/>
      <c r="AB271" s="86"/>
      <c r="AC271" s="82"/>
      <c r="AD271" s="82"/>
      <c r="AS271" s="86"/>
      <c r="AT271" s="89"/>
      <c r="AU271" s="82"/>
      <c r="AV271" s="89"/>
      <c r="AW271" s="89"/>
      <c r="AX271" s="89"/>
      <c r="AY271" s="89"/>
      <c r="AZ271" s="89"/>
      <c r="BA271" s="84"/>
      <c r="BB271" s="84"/>
      <c r="BC271" s="84"/>
      <c r="BD271" s="84"/>
      <c r="BE271" s="82"/>
      <c r="BF271" s="84"/>
      <c r="BG271" s="82"/>
      <c r="BH271" s="93"/>
      <c r="BI271" s="85"/>
      <c r="BJ271" s="85"/>
      <c r="BK271" s="82"/>
      <c r="BY271" s="86"/>
      <c r="BZ271" s="89"/>
      <c r="CA271" s="82"/>
      <c r="CB271" s="89"/>
      <c r="CC271" s="89"/>
      <c r="CD271" s="89"/>
      <c r="CE271" s="89"/>
      <c r="CF271" s="89"/>
      <c r="CG271" s="84"/>
      <c r="CH271" s="84"/>
      <c r="CI271" s="84"/>
      <c r="CJ271" s="84"/>
      <c r="CK271" s="82"/>
      <c r="CL271" s="84"/>
      <c r="CM271" s="82"/>
      <c r="CN271" s="93"/>
      <c r="CO271" s="85"/>
      <c r="CP271" s="85"/>
      <c r="CQ271" s="82"/>
    </row>
    <row r="272" spans="12:96" ht="19.2" customHeight="1">
      <c r="M272" s="86"/>
      <c r="N272" s="89"/>
      <c r="O272" s="82"/>
      <c r="P272" s="89"/>
      <c r="Q272" s="89"/>
      <c r="R272" s="89"/>
      <c r="S272" s="89"/>
      <c r="T272" s="89"/>
      <c r="U272" s="84"/>
      <c r="V272" s="84"/>
      <c r="W272" s="84"/>
      <c r="X272" s="84"/>
      <c r="Y272" s="82"/>
      <c r="Z272" s="84"/>
      <c r="AA272" s="82"/>
      <c r="AB272" s="93"/>
      <c r="AC272" s="85"/>
      <c r="AD272" s="85"/>
      <c r="AE272" s="82"/>
      <c r="AR272" s="86"/>
      <c r="AS272" s="82"/>
      <c r="AT272" s="89"/>
      <c r="AU272" s="85"/>
      <c r="AV272" s="89"/>
      <c r="AW272" s="89"/>
      <c r="AX272" s="89"/>
      <c r="AY272" s="89"/>
      <c r="AZ272" s="89"/>
      <c r="BA272" s="84"/>
      <c r="BB272" s="84"/>
      <c r="BC272" s="84"/>
      <c r="BD272" s="84"/>
      <c r="BE272" s="82"/>
      <c r="BF272" s="90"/>
      <c r="BG272" s="84"/>
      <c r="BH272" s="93"/>
      <c r="BI272" s="85"/>
      <c r="BJ272" s="85"/>
      <c r="BK272" s="85"/>
      <c r="BL272" s="82"/>
      <c r="BX272" s="86"/>
      <c r="BY272" s="82"/>
      <c r="BZ272" s="89"/>
      <c r="CA272" s="85"/>
      <c r="CB272" s="89"/>
      <c r="CC272" s="89"/>
      <c r="CD272" s="89"/>
      <c r="CE272" s="89"/>
      <c r="CF272" s="89"/>
      <c r="CG272" s="84"/>
      <c r="CH272" s="84"/>
      <c r="CI272" s="84"/>
      <c r="CJ272" s="84"/>
      <c r="CK272" s="82"/>
      <c r="CL272" s="90"/>
      <c r="CM272" s="84"/>
      <c r="CN272" s="93"/>
      <c r="CO272" s="85"/>
      <c r="CP272" s="85"/>
      <c r="CQ272" s="85"/>
      <c r="CR272" s="82"/>
    </row>
    <row r="273" spans="11:96" ht="19.2" customHeight="1">
      <c r="L273" s="86"/>
      <c r="M273" s="82"/>
      <c r="N273" s="89"/>
      <c r="O273" s="85"/>
      <c r="P273" s="89"/>
      <c r="Q273" s="89"/>
      <c r="R273" s="89"/>
      <c r="S273" s="89"/>
      <c r="T273" s="89"/>
      <c r="U273" s="84"/>
      <c r="V273" s="84"/>
      <c r="W273" s="84"/>
      <c r="X273" s="84"/>
      <c r="Y273" s="82"/>
      <c r="Z273" s="90"/>
      <c r="AA273" s="84"/>
      <c r="AB273" s="93"/>
      <c r="AC273" s="85"/>
      <c r="AD273" s="85"/>
      <c r="AE273" s="85"/>
      <c r="AF273" s="82"/>
      <c r="AS273" s="86"/>
      <c r="AT273" s="90"/>
      <c r="AU273" s="89"/>
      <c r="AV273" s="89"/>
      <c r="AW273" s="89"/>
      <c r="AX273" s="89"/>
      <c r="AY273" s="89"/>
      <c r="AZ273" s="89"/>
      <c r="BA273" s="84"/>
      <c r="BB273" s="84"/>
      <c r="BC273" s="84"/>
      <c r="BD273" s="84"/>
      <c r="BE273" s="84"/>
      <c r="BF273" s="82"/>
      <c r="BG273" s="93"/>
      <c r="BH273" s="85"/>
      <c r="BI273" s="85"/>
      <c r="BJ273" s="85"/>
      <c r="BK273" s="85"/>
      <c r="BL273" s="82"/>
      <c r="BY273" s="86"/>
      <c r="BZ273" s="90"/>
      <c r="CA273" s="89"/>
      <c r="CB273" s="89"/>
      <c r="CC273" s="89"/>
      <c r="CD273" s="89"/>
      <c r="CE273" s="89"/>
      <c r="CF273" s="89"/>
      <c r="CG273" s="84"/>
      <c r="CH273" s="84"/>
      <c r="CI273" s="84"/>
      <c r="CJ273" s="84"/>
      <c r="CK273" s="84"/>
      <c r="CL273" s="82"/>
      <c r="CM273" s="93"/>
      <c r="CN273" s="85"/>
      <c r="CO273" s="85"/>
      <c r="CP273" s="85"/>
      <c r="CQ273" s="85"/>
      <c r="CR273" s="82"/>
    </row>
    <row r="274" spans="11:96" ht="19.2" customHeight="1">
      <c r="M274" s="86"/>
      <c r="N274" s="90"/>
      <c r="O274" s="89"/>
      <c r="P274" s="89"/>
      <c r="Q274" s="89"/>
      <c r="R274" s="89"/>
      <c r="S274" s="89"/>
      <c r="T274" s="89"/>
      <c r="U274" s="84"/>
      <c r="V274" s="84"/>
      <c r="W274" s="84"/>
      <c r="X274" s="84"/>
      <c r="Y274" s="84"/>
      <c r="Z274" s="82"/>
      <c r="AA274" s="93"/>
      <c r="AB274" s="85"/>
      <c r="AC274" s="85"/>
      <c r="AD274" s="85"/>
      <c r="AE274" s="85"/>
      <c r="AF274" s="82"/>
      <c r="AR274" s="86"/>
      <c r="AS274" s="90"/>
      <c r="AT274" s="90"/>
      <c r="AU274" s="90"/>
      <c r="AV274" s="89"/>
      <c r="AW274" s="89"/>
      <c r="AX274" s="89"/>
      <c r="AY274" s="89"/>
      <c r="AZ274" s="89"/>
      <c r="BA274" s="84"/>
      <c r="BB274" s="84"/>
      <c r="BC274" s="84"/>
      <c r="BD274" s="84"/>
      <c r="BE274" s="93"/>
      <c r="BF274" s="93"/>
      <c r="BG274" s="85"/>
      <c r="BH274" s="85"/>
      <c r="BI274" s="85"/>
      <c r="BJ274" s="85"/>
      <c r="BK274" s="82"/>
      <c r="BX274" s="86"/>
      <c r="BY274" s="90"/>
      <c r="BZ274" s="90"/>
      <c r="CA274" s="90"/>
      <c r="CB274" s="89"/>
      <c r="CC274" s="89"/>
      <c r="CD274" s="89"/>
      <c r="CE274" s="89"/>
      <c r="CF274" s="89"/>
      <c r="CG274" s="84"/>
      <c r="CH274" s="84"/>
      <c r="CI274" s="84"/>
      <c r="CJ274" s="84"/>
      <c r="CK274" s="93"/>
      <c r="CL274" s="93"/>
      <c r="CM274" s="85"/>
      <c r="CN274" s="85"/>
      <c r="CO274" s="85"/>
      <c r="CP274" s="85"/>
      <c r="CQ274" s="82"/>
    </row>
    <row r="275" spans="11:96" ht="19.2" customHeight="1">
      <c r="L275" s="86"/>
      <c r="M275" s="90"/>
      <c r="N275" s="90"/>
      <c r="O275" s="90"/>
      <c r="P275" s="89"/>
      <c r="Q275" s="89"/>
      <c r="R275" s="89"/>
      <c r="S275" s="89"/>
      <c r="T275" s="89"/>
      <c r="U275" s="84"/>
      <c r="V275" s="84"/>
      <c r="W275" s="84"/>
      <c r="X275" s="84"/>
      <c r="Y275" s="93"/>
      <c r="Z275" s="93"/>
      <c r="AA275" s="85"/>
      <c r="AB275" s="85"/>
      <c r="AC275" s="85"/>
      <c r="AD275" s="85"/>
      <c r="AE275" s="82"/>
      <c r="AQ275" s="86"/>
      <c r="AR275" s="84"/>
      <c r="AS275" s="90"/>
      <c r="AT275" s="90"/>
      <c r="AU275" s="90"/>
      <c r="AV275" s="90"/>
      <c r="AW275" s="90"/>
      <c r="AX275" s="82"/>
      <c r="AY275" s="90"/>
      <c r="AZ275" s="90"/>
      <c r="BA275" s="82"/>
      <c r="BB275" s="90"/>
      <c r="BC275" s="88"/>
      <c r="BD275" s="86"/>
      <c r="BE275" s="82"/>
      <c r="BF275" s="82"/>
      <c r="BG275" s="82"/>
      <c r="BH275" s="82"/>
      <c r="BI275" s="82"/>
      <c r="BJ275" s="82"/>
      <c r="BW275" s="86"/>
      <c r="BX275" s="84"/>
      <c r="BY275" s="90"/>
      <c r="BZ275" s="90"/>
      <c r="CA275" s="90"/>
      <c r="CB275" s="90"/>
      <c r="CC275" s="90"/>
      <c r="CD275" s="82"/>
      <c r="CE275" s="90"/>
      <c r="CF275" s="90"/>
      <c r="CG275" s="82"/>
      <c r="CH275" s="90"/>
      <c r="CI275" s="88"/>
      <c r="CJ275" s="86"/>
      <c r="CK275" s="82"/>
      <c r="CL275" s="82"/>
      <c r="CM275" s="82"/>
      <c r="CN275" s="82"/>
      <c r="CO275" s="82"/>
      <c r="CP275" s="82"/>
    </row>
    <row r="276" spans="11:96" ht="19.2" customHeight="1">
      <c r="K276" s="86"/>
      <c r="L276" s="84"/>
      <c r="M276" s="90"/>
      <c r="N276" s="90"/>
      <c r="O276" s="90"/>
      <c r="P276" s="90"/>
      <c r="Q276" s="90"/>
      <c r="R276" s="82"/>
      <c r="S276" s="90"/>
      <c r="T276" s="90"/>
      <c r="U276" s="82"/>
      <c r="V276" s="90"/>
      <c r="W276" s="88"/>
      <c r="X276" s="86"/>
      <c r="Y276" s="82"/>
      <c r="Z276" s="82"/>
      <c r="AA276" s="82"/>
      <c r="AB276" s="82"/>
      <c r="AC276" s="82"/>
      <c r="AD276" s="82"/>
      <c r="AR276" s="86"/>
      <c r="AS276" s="86"/>
      <c r="AT276" s="90"/>
      <c r="AU276" s="90"/>
      <c r="AV276" s="90"/>
      <c r="AW276" s="82"/>
      <c r="AX276" s="90"/>
      <c r="AY276" s="90"/>
      <c r="AZ276" s="82"/>
      <c r="BA276" s="82"/>
      <c r="BB276" s="94"/>
      <c r="BC276" s="88"/>
      <c r="BD276" s="86"/>
      <c r="BE276" s="96"/>
      <c r="BF276" s="96"/>
      <c r="BG276" s="90"/>
      <c r="BX276" s="86"/>
      <c r="BY276" s="86"/>
      <c r="BZ276" s="90"/>
      <c r="CA276" s="90"/>
      <c r="CB276" s="90"/>
      <c r="CC276" s="82"/>
      <c r="CD276" s="90"/>
      <c r="CE276" s="90"/>
      <c r="CF276" s="82"/>
      <c r="CG276" s="82"/>
      <c r="CH276" s="94"/>
      <c r="CI276" s="88"/>
      <c r="CJ276" s="86"/>
      <c r="CK276" s="96"/>
      <c r="CL276" s="96"/>
      <c r="CM276" s="90"/>
    </row>
    <row r="277" spans="11:96" ht="19.2" customHeight="1">
      <c r="L277" s="86"/>
      <c r="M277" s="86"/>
      <c r="N277" s="90"/>
      <c r="O277" s="90"/>
      <c r="P277" s="90"/>
      <c r="Q277" s="82"/>
      <c r="R277" s="90"/>
      <c r="S277" s="90"/>
      <c r="T277" s="82"/>
      <c r="U277" s="82"/>
      <c r="V277" s="94"/>
      <c r="W277" s="88"/>
      <c r="X277" s="86"/>
      <c r="Y277" s="96"/>
      <c r="Z277" s="96"/>
      <c r="AA277" s="90"/>
      <c r="AT277" s="86"/>
      <c r="AU277" s="86"/>
      <c r="AV277" s="90"/>
      <c r="AW277" s="90"/>
      <c r="AX277" s="82"/>
      <c r="AY277" s="82"/>
      <c r="AZ277" s="82"/>
      <c r="BA277" s="94"/>
      <c r="BB277" s="94"/>
      <c r="BC277" s="96"/>
      <c r="BD277" s="96"/>
      <c r="BE277" s="96"/>
      <c r="BF277" s="96"/>
      <c r="BG277" s="94"/>
      <c r="BZ277" s="86"/>
      <c r="CA277" s="86"/>
      <c r="CB277" s="90"/>
      <c r="CC277" s="90"/>
      <c r="CD277" s="82"/>
      <c r="CE277" s="82"/>
      <c r="CF277" s="82"/>
      <c r="CG277" s="94"/>
      <c r="CH277" s="94"/>
      <c r="CI277" s="96"/>
      <c r="CJ277" s="96"/>
      <c r="CK277" s="96"/>
      <c r="CL277" s="96"/>
      <c r="CM277" s="94"/>
    </row>
    <row r="278" spans="11:96" ht="19.2" customHeight="1">
      <c r="N278" s="86"/>
      <c r="O278" s="86"/>
      <c r="P278" s="90"/>
      <c r="Q278" s="90"/>
      <c r="R278" s="82"/>
      <c r="S278" s="82"/>
      <c r="T278" s="82"/>
      <c r="U278" s="94"/>
      <c r="V278" s="94"/>
      <c r="W278" s="96"/>
      <c r="X278" s="96"/>
      <c r="Y278" s="96"/>
      <c r="Z278" s="96"/>
      <c r="AA278" s="94"/>
      <c r="AT278" s="86"/>
      <c r="AU278" s="90"/>
      <c r="AV278" s="90"/>
      <c r="AW278" s="86"/>
      <c r="AX278" s="90"/>
      <c r="AY278" s="90"/>
      <c r="AZ278" s="90"/>
      <c r="BA278" s="82"/>
      <c r="BB278" s="82"/>
      <c r="BC278" s="94"/>
      <c r="BD278" s="96"/>
      <c r="BE278" s="94"/>
      <c r="BF278" s="90"/>
      <c r="BZ278" s="86"/>
      <c r="CA278" s="90"/>
      <c r="CB278" s="90"/>
      <c r="CC278" s="86"/>
      <c r="CD278" s="90"/>
      <c r="CE278" s="90"/>
      <c r="CF278" s="90"/>
      <c r="CG278" s="82"/>
      <c r="CH278" s="82"/>
      <c r="CI278" s="94"/>
      <c r="CJ278" s="96"/>
      <c r="CK278" s="94"/>
      <c r="CL278" s="90"/>
    </row>
    <row r="279" spans="11:96" ht="19.2" customHeight="1">
      <c r="N279" s="86"/>
      <c r="O279" s="90"/>
      <c r="P279" s="90"/>
      <c r="Q279" s="86"/>
      <c r="R279" s="90"/>
      <c r="S279" s="90"/>
      <c r="T279" s="90"/>
      <c r="U279" s="82"/>
      <c r="V279" s="82"/>
      <c r="W279" s="94"/>
      <c r="X279" s="96"/>
      <c r="Y279" s="94"/>
      <c r="Z279" s="90"/>
      <c r="AU279" s="86"/>
      <c r="AV279" s="86"/>
      <c r="AX279" s="86"/>
      <c r="AY279" s="86"/>
      <c r="AZ279" s="82"/>
      <c r="BA279" s="82"/>
      <c r="BB279" s="86"/>
      <c r="BC279" s="90"/>
      <c r="BD279" s="86"/>
      <c r="BE279" s="86"/>
      <c r="CA279" s="86"/>
      <c r="CB279" s="86"/>
      <c r="CC279" s="86"/>
      <c r="CD279" s="86"/>
      <c r="CE279" s="86"/>
      <c r="CF279" s="82"/>
      <c r="CG279" s="82"/>
      <c r="CH279" s="86"/>
      <c r="CI279" s="90"/>
      <c r="CJ279" s="86"/>
      <c r="CK279" s="86"/>
    </row>
    <row r="280" spans="11:96" ht="19.2" customHeight="1">
      <c r="O280" s="86"/>
      <c r="P280" s="86"/>
      <c r="R280" s="86"/>
      <c r="S280" s="86"/>
      <c r="T280" s="82"/>
      <c r="U280" s="82"/>
      <c r="V280" s="86"/>
      <c r="W280" s="90"/>
      <c r="X280" s="86"/>
      <c r="Y280" s="86"/>
      <c r="AY280" s="86"/>
      <c r="AZ280" s="91"/>
      <c r="BA280" s="91"/>
      <c r="BB280" s="89"/>
      <c r="BC280" s="86"/>
      <c r="BD280" s="94"/>
      <c r="BE280" s="86"/>
      <c r="CB280" s="86"/>
      <c r="CC280" s="90"/>
      <c r="CD280" s="91"/>
      <c r="CE280" s="82"/>
      <c r="CF280" s="91"/>
      <c r="CG280" s="91"/>
      <c r="CH280" s="86"/>
    </row>
    <row r="281" spans="11:96" ht="19.2" customHeight="1">
      <c r="S281" s="86"/>
      <c r="T281" s="91"/>
      <c r="U281" s="91"/>
      <c r="V281" s="89"/>
      <c r="W281" s="86"/>
      <c r="AX281" s="86"/>
      <c r="AY281" s="91"/>
      <c r="AZ281" s="92"/>
      <c r="BA281" s="93"/>
      <c r="BB281" s="91"/>
      <c r="BC281" s="86"/>
      <c r="BD281" s="86"/>
      <c r="CB281" s="86"/>
      <c r="CC281" s="94"/>
      <c r="CD281" s="86"/>
      <c r="CE281" s="82"/>
      <c r="CF281" s="86"/>
      <c r="CG281" s="92"/>
      <c r="CH281" s="92"/>
      <c r="CI281" s="86"/>
    </row>
    <row r="282" spans="11:96" ht="19.2" customHeight="1">
      <c r="R282" s="86"/>
      <c r="S282" s="91"/>
      <c r="T282" s="92"/>
      <c r="U282" s="93"/>
      <c r="V282" s="91"/>
      <c r="W282" s="86"/>
      <c r="AX282" s="86"/>
      <c r="AY282" s="92"/>
      <c r="AZ282" s="92"/>
      <c r="BA282" s="82"/>
      <c r="BB282" s="95"/>
      <c r="BC282" s="85"/>
      <c r="CC282" s="86"/>
      <c r="CD282" s="86"/>
      <c r="CE282" s="91"/>
      <c r="CF282" s="95"/>
      <c r="CG282" s="86"/>
      <c r="CH282" s="92"/>
      <c r="CI282" s="95"/>
      <c r="CJ282" s="86"/>
      <c r="CK282" s="86"/>
    </row>
    <row r="283" spans="11:96" ht="19.2" customHeight="1">
      <c r="R283" s="86"/>
      <c r="S283" s="91"/>
      <c r="T283" s="92"/>
      <c r="U283" s="82"/>
      <c r="V283" s="95"/>
      <c r="W283" s="85"/>
      <c r="AW283" s="86"/>
      <c r="AX283" s="93"/>
      <c r="AY283" s="93"/>
      <c r="AZ283" s="82"/>
      <c r="BA283" s="95"/>
      <c r="BB283" s="95"/>
      <c r="BC283" s="89"/>
      <c r="BD283" s="86"/>
      <c r="CD283" s="86"/>
      <c r="CE283" s="95"/>
      <c r="CF283" s="95"/>
      <c r="CG283" s="95"/>
      <c r="CH283" s="86"/>
      <c r="CI283" s="93"/>
      <c r="CJ283" s="93"/>
      <c r="CK283" s="96"/>
      <c r="CL283" s="86"/>
    </row>
    <row r="284" spans="11:96" ht="19.2" customHeight="1">
      <c r="Q284" s="86"/>
      <c r="R284" s="91"/>
      <c r="S284" s="82"/>
      <c r="T284" s="93"/>
      <c r="U284" s="82"/>
      <c r="V284" s="95"/>
      <c r="W284" s="89"/>
      <c r="X284" s="86"/>
      <c r="AV284" s="86"/>
      <c r="AW284" s="96"/>
      <c r="AX284" s="93"/>
      <c r="AY284" s="82"/>
      <c r="AZ284" s="93"/>
      <c r="BA284" s="95"/>
      <c r="BB284" s="95"/>
      <c r="BC284" s="89"/>
      <c r="BD284" s="86"/>
      <c r="CC284" s="86"/>
      <c r="CD284" s="91"/>
      <c r="CE284" s="95"/>
      <c r="CF284" s="95"/>
      <c r="CG284" s="95"/>
      <c r="CH284" s="86"/>
      <c r="CI284" s="82"/>
      <c r="CJ284" s="96"/>
      <c r="CK284" s="94"/>
      <c r="CL284" s="86"/>
    </row>
    <row r="285" spans="11:96" ht="19.2" customHeight="1">
      <c r="Q285" s="86"/>
      <c r="R285" s="82"/>
      <c r="S285" s="82"/>
      <c r="T285" s="93"/>
      <c r="U285" s="96"/>
      <c r="V285" s="93"/>
      <c r="W285" s="89"/>
      <c r="X285" s="86"/>
      <c r="AV285" s="86"/>
      <c r="AW285" s="94"/>
      <c r="AX285" s="96"/>
      <c r="AY285" s="82"/>
      <c r="AZ285" s="95"/>
      <c r="BA285" s="95"/>
      <c r="BB285" s="95"/>
      <c r="BC285" s="82"/>
      <c r="BD285" s="86"/>
      <c r="CC285" s="86"/>
      <c r="CD285" s="82"/>
      <c r="CE285" s="91"/>
      <c r="CF285" s="95"/>
      <c r="CG285" s="95"/>
      <c r="CH285" s="95"/>
      <c r="CI285" s="82"/>
      <c r="CJ285" s="86"/>
      <c r="CK285" s="86"/>
    </row>
    <row r="286" spans="11:96" ht="19.2" customHeight="1">
      <c r="Q286" s="86"/>
      <c r="R286" s="82"/>
      <c r="S286" s="82"/>
      <c r="T286" s="96"/>
      <c r="U286" s="94"/>
      <c r="V286" s="82"/>
      <c r="W286" s="82"/>
      <c r="X286" s="86"/>
      <c r="AW286" s="82"/>
      <c r="AX286" s="86"/>
      <c r="AY286" s="86"/>
      <c r="AZ286" s="82"/>
      <c r="BA286" s="82"/>
      <c r="BB286" s="82"/>
      <c r="BC286" s="86"/>
      <c r="CC286" s="86"/>
      <c r="CD286" s="82"/>
      <c r="CE286" s="82"/>
      <c r="CF286" s="82"/>
      <c r="CG286" s="82"/>
      <c r="CH286" s="82"/>
      <c r="CI286" s="86"/>
      <c r="CJ286" s="82"/>
    </row>
    <row r="287" spans="11:96" ht="19.2" customHeight="1">
      <c r="R287" s="86"/>
      <c r="S287" s="86"/>
      <c r="T287" s="82"/>
      <c r="U287" s="82"/>
      <c r="V287" s="93"/>
      <c r="W287" s="82"/>
      <c r="AV287" s="86"/>
      <c r="AW287" s="86"/>
      <c r="AX287" s="82"/>
      <c r="AY287" s="86"/>
      <c r="AZ287" s="86"/>
      <c r="BA287" s="82"/>
      <c r="BB287" s="82"/>
      <c r="BC287" s="82"/>
      <c r="BD287" s="86"/>
      <c r="CB287" s="86"/>
      <c r="CC287" s="93"/>
      <c r="CD287" s="82"/>
      <c r="CE287" s="82"/>
      <c r="CF287" s="86"/>
      <c r="CG287" s="86"/>
      <c r="CH287" s="86"/>
      <c r="CI287" s="82"/>
      <c r="CJ287" s="82"/>
      <c r="CK287" s="86"/>
    </row>
    <row r="288" spans="11:96" ht="19.2" customHeight="1">
      <c r="S288" s="86"/>
      <c r="T288" s="82"/>
      <c r="U288" s="82"/>
      <c r="V288" s="86"/>
      <c r="AW288" s="86"/>
      <c r="AX288" s="86"/>
      <c r="BA288" s="86"/>
      <c r="BB288" s="82"/>
      <c r="BC288" s="82"/>
      <c r="BD288" s="82"/>
      <c r="BE288" s="84"/>
      <c r="BF288" s="86"/>
      <c r="CB288" s="86"/>
      <c r="CC288" s="93"/>
      <c r="CD288" s="86"/>
      <c r="CH288" s="86"/>
      <c r="CI288" s="86"/>
      <c r="CJ288" s="86"/>
    </row>
    <row r="289" spans="5:83" ht="19.2" customHeight="1">
      <c r="S289" s="86"/>
      <c r="T289" s="82"/>
      <c r="U289" s="84"/>
      <c r="V289" s="84"/>
      <c r="W289" s="86"/>
      <c r="BB289" s="86"/>
      <c r="BC289" s="82"/>
      <c r="BD289" s="84"/>
      <c r="BE289" s="82"/>
      <c r="BF289" s="86"/>
      <c r="CB289" s="86"/>
      <c r="CC289" s="84"/>
      <c r="CD289" s="84"/>
      <c r="CE289" s="86"/>
    </row>
    <row r="290" spans="5:83" ht="19.2" customHeight="1">
      <c r="T290" s="86"/>
      <c r="U290" s="86"/>
      <c r="V290" s="86"/>
      <c r="BC290" s="86"/>
      <c r="BD290" s="86"/>
      <c r="CC290" s="86"/>
      <c r="CD290" s="86"/>
    </row>
    <row r="295" spans="5:83" ht="19.2" customHeight="1">
      <c r="E295" s="167"/>
      <c r="F295" s="172"/>
      <c r="G295" s="172"/>
      <c r="H295" s="174"/>
      <c r="I295" s="172"/>
      <c r="J295" s="172"/>
      <c r="K295" s="173"/>
      <c r="L295" s="172"/>
      <c r="M295" s="172"/>
      <c r="N295" s="172"/>
      <c r="O295" s="173"/>
      <c r="P295" s="172"/>
      <c r="Q295" s="172"/>
      <c r="R295" s="174"/>
      <c r="S295" s="172"/>
      <c r="T295" s="172"/>
      <c r="U295" s="167"/>
    </row>
    <row r="296" spans="5:83" ht="19.2" customHeight="1">
      <c r="E296" s="172"/>
      <c r="F296" s="166"/>
      <c r="G296" s="171"/>
      <c r="H296" s="174"/>
      <c r="I296" s="172"/>
      <c r="J296" s="173"/>
      <c r="K296" s="172"/>
      <c r="L296" s="173"/>
      <c r="M296" s="173"/>
      <c r="N296" s="173"/>
      <c r="O296" s="172"/>
      <c r="P296" s="173"/>
      <c r="Q296" s="172"/>
      <c r="R296" s="174"/>
      <c r="S296" s="172"/>
      <c r="T296" s="167"/>
      <c r="U296" s="172"/>
    </row>
    <row r="297" spans="5:83" ht="19.2" customHeight="1">
      <c r="E297" s="172"/>
      <c r="F297" s="171"/>
      <c r="G297" s="166"/>
      <c r="H297" s="172"/>
      <c r="I297" s="173"/>
      <c r="J297" s="172"/>
      <c r="K297" s="170"/>
      <c r="L297" s="170"/>
      <c r="M297" s="172"/>
      <c r="N297" s="170"/>
      <c r="O297" s="170"/>
      <c r="P297" s="172"/>
      <c r="Q297" s="173"/>
      <c r="R297" s="172"/>
      <c r="S297" s="167"/>
      <c r="T297" s="172"/>
      <c r="U297" s="172"/>
    </row>
    <row r="298" spans="5:83" ht="19.2" customHeight="1">
      <c r="E298" s="174"/>
      <c r="F298" s="174"/>
      <c r="G298" s="172"/>
      <c r="H298" s="167"/>
      <c r="I298" s="172"/>
      <c r="J298" s="170"/>
      <c r="K298" s="172"/>
      <c r="L298" s="172"/>
      <c r="M298" s="170"/>
      <c r="N298" s="172"/>
      <c r="O298" s="172"/>
      <c r="P298" s="170"/>
      <c r="Q298" s="172"/>
      <c r="R298" s="167"/>
      <c r="S298" s="172"/>
      <c r="T298" s="174"/>
      <c r="U298" s="174"/>
    </row>
    <row r="299" spans="5:83" ht="19.2" customHeight="1">
      <c r="E299" s="172"/>
      <c r="F299" s="172"/>
      <c r="G299" s="173"/>
      <c r="H299" s="172"/>
      <c r="I299" s="167"/>
      <c r="J299" s="172"/>
      <c r="K299" s="170"/>
      <c r="L299" s="170"/>
      <c r="M299" s="172"/>
      <c r="N299" s="170"/>
      <c r="O299" s="170"/>
      <c r="P299" s="172"/>
      <c r="Q299" s="167"/>
      <c r="R299" s="172"/>
      <c r="S299" s="173"/>
      <c r="T299" s="172"/>
      <c r="U299" s="172"/>
    </row>
    <row r="300" spans="5:83" ht="19.2" customHeight="1">
      <c r="E300" s="172"/>
      <c r="F300" s="173"/>
      <c r="G300" s="172"/>
      <c r="H300" s="170"/>
      <c r="I300" s="172"/>
      <c r="J300" s="167"/>
      <c r="K300" s="169"/>
      <c r="L300" s="169"/>
      <c r="M300" s="168"/>
      <c r="N300" s="169"/>
      <c r="O300" s="169"/>
      <c r="P300" s="167"/>
      <c r="Q300" s="172"/>
      <c r="R300" s="170"/>
      <c r="S300" s="172"/>
      <c r="T300" s="173"/>
      <c r="U300" s="172"/>
    </row>
    <row r="301" spans="5:83" ht="19.2" customHeight="1">
      <c r="E301" s="173"/>
      <c r="F301" s="172"/>
      <c r="G301" s="170"/>
      <c r="H301" s="172"/>
      <c r="I301" s="170"/>
      <c r="J301" s="169"/>
      <c r="K301" s="167"/>
      <c r="L301" s="168"/>
      <c r="M301" s="169"/>
      <c r="N301" s="168"/>
      <c r="O301" s="167"/>
      <c r="P301" s="169"/>
      <c r="Q301" s="170"/>
      <c r="R301" s="172"/>
      <c r="S301" s="170"/>
      <c r="T301" s="172"/>
      <c r="U301" s="173"/>
    </row>
    <row r="302" spans="5:83" ht="19.2" customHeight="1">
      <c r="E302" s="172"/>
      <c r="F302" s="173"/>
      <c r="G302" s="170"/>
      <c r="H302" s="172"/>
      <c r="I302" s="170"/>
      <c r="J302" s="169"/>
      <c r="K302" s="168"/>
      <c r="L302" s="167"/>
      <c r="M302" s="169"/>
      <c r="N302" s="167"/>
      <c r="O302" s="168"/>
      <c r="P302" s="169"/>
      <c r="Q302" s="170"/>
      <c r="R302" s="172"/>
      <c r="S302" s="170"/>
      <c r="T302" s="173"/>
      <c r="U302" s="172"/>
    </row>
    <row r="303" spans="5:83" ht="19.2" customHeight="1">
      <c r="E303" s="172"/>
      <c r="F303" s="173"/>
      <c r="G303" s="172"/>
      <c r="H303" s="170"/>
      <c r="I303" s="172"/>
      <c r="J303" s="168"/>
      <c r="K303" s="169"/>
      <c r="L303" s="169"/>
      <c r="M303" s="167"/>
      <c r="N303" s="169"/>
      <c r="O303" s="169"/>
      <c r="P303" s="168"/>
      <c r="Q303" s="172"/>
      <c r="R303" s="170"/>
      <c r="S303" s="172"/>
      <c r="T303" s="173"/>
      <c r="U303" s="172"/>
    </row>
    <row r="304" spans="5:83" ht="19.2" customHeight="1">
      <c r="E304" s="172"/>
      <c r="F304" s="173"/>
      <c r="G304" s="170"/>
      <c r="H304" s="172"/>
      <c r="I304" s="170"/>
      <c r="J304" s="169"/>
      <c r="K304" s="168"/>
      <c r="L304" s="167"/>
      <c r="M304" s="169"/>
      <c r="N304" s="167"/>
      <c r="O304" s="168"/>
      <c r="P304" s="169"/>
      <c r="Q304" s="170"/>
      <c r="R304" s="172"/>
      <c r="S304" s="170"/>
      <c r="T304" s="173"/>
      <c r="U304" s="172"/>
    </row>
    <row r="305" spans="5:21" ht="19.2" customHeight="1">
      <c r="E305" s="173"/>
      <c r="F305" s="172"/>
      <c r="G305" s="170"/>
      <c r="H305" s="172"/>
      <c r="I305" s="170"/>
      <c r="J305" s="169"/>
      <c r="K305" s="167"/>
      <c r="L305" s="168"/>
      <c r="M305" s="169"/>
      <c r="N305" s="168"/>
      <c r="O305" s="167"/>
      <c r="P305" s="169"/>
      <c r="Q305" s="170"/>
      <c r="R305" s="172"/>
      <c r="S305" s="170"/>
      <c r="T305" s="172"/>
      <c r="U305" s="173"/>
    </row>
    <row r="306" spans="5:21" ht="19.2" customHeight="1">
      <c r="E306" s="172"/>
      <c r="F306" s="173"/>
      <c r="G306" s="172"/>
      <c r="H306" s="170"/>
      <c r="I306" s="172"/>
      <c r="J306" s="167"/>
      <c r="K306" s="169"/>
      <c r="L306" s="169"/>
      <c r="M306" s="168"/>
      <c r="N306" s="169"/>
      <c r="O306" s="169"/>
      <c r="P306" s="167"/>
      <c r="Q306" s="172"/>
      <c r="R306" s="170"/>
      <c r="S306" s="172"/>
      <c r="T306" s="173"/>
      <c r="U306" s="172"/>
    </row>
    <row r="307" spans="5:21" ht="19.2" customHeight="1">
      <c r="E307" s="172"/>
      <c r="F307" s="172"/>
      <c r="G307" s="173"/>
      <c r="H307" s="172"/>
      <c r="I307" s="167"/>
      <c r="J307" s="172"/>
      <c r="K307" s="170"/>
      <c r="L307" s="170"/>
      <c r="M307" s="172"/>
      <c r="N307" s="170"/>
      <c r="O307" s="170"/>
      <c r="P307" s="172"/>
      <c r="Q307" s="167"/>
      <c r="R307" s="172"/>
      <c r="S307" s="173"/>
      <c r="T307" s="172"/>
      <c r="U307" s="172"/>
    </row>
    <row r="308" spans="5:21" ht="19.2" customHeight="1">
      <c r="E308" s="174"/>
      <c r="F308" s="174"/>
      <c r="G308" s="172"/>
      <c r="H308" s="167"/>
      <c r="I308" s="172"/>
      <c r="J308" s="170"/>
      <c r="K308" s="172"/>
      <c r="L308" s="172"/>
      <c r="M308" s="170"/>
      <c r="N308" s="172"/>
      <c r="O308" s="172"/>
      <c r="P308" s="170"/>
      <c r="Q308" s="172"/>
      <c r="R308" s="167"/>
      <c r="S308" s="172"/>
      <c r="T308" s="174"/>
      <c r="U308" s="174"/>
    </row>
    <row r="309" spans="5:21" ht="19.2" customHeight="1">
      <c r="E309" s="172"/>
      <c r="F309" s="172"/>
      <c r="G309" s="167"/>
      <c r="H309" s="172"/>
      <c r="I309" s="173"/>
      <c r="J309" s="172"/>
      <c r="K309" s="170"/>
      <c r="L309" s="170"/>
      <c r="M309" s="172"/>
      <c r="N309" s="170"/>
      <c r="O309" s="170"/>
      <c r="P309" s="172"/>
      <c r="Q309" s="173"/>
      <c r="R309" s="172"/>
      <c r="S309" s="167"/>
      <c r="T309" s="172"/>
      <c r="U309" s="172"/>
    </row>
    <row r="310" spans="5:21" ht="19.2" customHeight="1">
      <c r="E310" s="172"/>
      <c r="F310" s="167"/>
      <c r="G310" s="172"/>
      <c r="H310" s="174"/>
      <c r="I310" s="172"/>
      <c r="J310" s="173"/>
      <c r="K310" s="172"/>
      <c r="L310" s="173"/>
      <c r="M310" s="173"/>
      <c r="N310" s="173"/>
      <c r="O310" s="172"/>
      <c r="P310" s="173"/>
      <c r="Q310" s="172"/>
      <c r="R310" s="174"/>
      <c r="S310" s="172"/>
      <c r="T310" s="167"/>
      <c r="U310" s="172"/>
    </row>
    <row r="311" spans="5:21" ht="19.2" customHeight="1">
      <c r="E311" s="167"/>
      <c r="F311" s="172"/>
      <c r="G311" s="172"/>
      <c r="H311" s="174"/>
      <c r="I311" s="172"/>
      <c r="J311" s="172"/>
      <c r="K311" s="173"/>
      <c r="L311" s="172"/>
      <c r="M311" s="172"/>
      <c r="N311" s="172"/>
      <c r="O311" s="173"/>
      <c r="P311" s="172"/>
      <c r="Q311" s="172"/>
      <c r="R311" s="174"/>
      <c r="S311" s="172"/>
      <c r="T311" s="172"/>
      <c r="U311" s="167"/>
    </row>
    <row r="315" spans="5:21" ht="19.2" customHeight="1">
      <c r="E315" s="167"/>
      <c r="F315" s="11"/>
      <c r="G315" s="11"/>
      <c r="H315" s="174"/>
      <c r="I315" s="11"/>
      <c r="J315" s="11"/>
      <c r="K315" s="173"/>
      <c r="L315" s="11"/>
      <c r="M315" s="11"/>
      <c r="N315" s="11"/>
      <c r="O315" s="173"/>
      <c r="P315" s="11"/>
      <c r="Q315" s="11"/>
      <c r="R315" s="174"/>
      <c r="S315" s="11"/>
      <c r="T315" s="11"/>
      <c r="U315" s="167"/>
    </row>
    <row r="316" spans="5:21" ht="19.2" customHeight="1">
      <c r="E316" s="11"/>
      <c r="F316" s="166"/>
      <c r="G316" s="50"/>
      <c r="H316" s="174"/>
      <c r="I316" s="11"/>
      <c r="J316" s="173"/>
      <c r="K316" s="11"/>
      <c r="L316" s="173"/>
      <c r="M316" s="173"/>
      <c r="N316" s="173"/>
      <c r="O316" s="11"/>
      <c r="P316" s="173"/>
      <c r="Q316" s="11"/>
      <c r="R316" s="174"/>
      <c r="S316" s="11"/>
      <c r="T316" s="167"/>
      <c r="U316" s="11"/>
    </row>
    <row r="317" spans="5:21" ht="19.2" customHeight="1">
      <c r="E317" s="11"/>
      <c r="F317" s="50"/>
      <c r="G317" s="166"/>
      <c r="H317" s="11"/>
      <c r="I317" s="173"/>
      <c r="J317" s="11"/>
      <c r="K317" s="170"/>
      <c r="L317" s="170"/>
      <c r="M317" s="11"/>
      <c r="N317" s="170"/>
      <c r="O317" s="170"/>
      <c r="P317" s="11"/>
      <c r="Q317" s="173"/>
      <c r="R317" s="11"/>
      <c r="S317" s="167"/>
      <c r="T317" s="11"/>
      <c r="U317" s="11"/>
    </row>
    <row r="318" spans="5:21" ht="19.2" customHeight="1">
      <c r="E318" s="174"/>
      <c r="F318" s="174"/>
      <c r="G318" s="11"/>
      <c r="H318" s="167"/>
      <c r="I318" s="11"/>
      <c r="J318" s="170"/>
      <c r="K318" s="11"/>
      <c r="L318" s="11"/>
      <c r="M318" s="170"/>
      <c r="N318" s="11"/>
      <c r="O318" s="11"/>
      <c r="P318" s="170"/>
      <c r="Q318" s="11"/>
      <c r="R318" s="167"/>
      <c r="S318" s="11"/>
      <c r="T318" s="174"/>
      <c r="U318" s="174"/>
    </row>
    <row r="319" spans="5:21" ht="19.2" customHeight="1">
      <c r="E319" s="11"/>
      <c r="F319" s="11"/>
      <c r="G319" s="173"/>
      <c r="H319" s="11"/>
      <c r="I319" s="167"/>
      <c r="J319" s="11"/>
      <c r="K319" s="169"/>
      <c r="L319" s="169"/>
      <c r="M319" s="11"/>
      <c r="N319" s="169"/>
      <c r="O319" s="169"/>
      <c r="P319" s="11"/>
      <c r="Q319" s="167"/>
      <c r="R319" s="11"/>
      <c r="S319" s="173"/>
      <c r="T319" s="11"/>
      <c r="U319" s="11"/>
    </row>
    <row r="320" spans="5:21" ht="19.2" customHeight="1">
      <c r="E320" s="11"/>
      <c r="F320" s="173"/>
      <c r="G320" s="11"/>
      <c r="H320" s="170"/>
      <c r="I320" s="11"/>
      <c r="J320" s="167"/>
      <c r="K320" s="11"/>
      <c r="L320" s="11"/>
      <c r="M320" s="168"/>
      <c r="N320" s="11"/>
      <c r="O320" s="11"/>
      <c r="P320" s="167"/>
      <c r="Q320" s="11"/>
      <c r="R320" s="170"/>
      <c r="S320" s="11"/>
      <c r="T320" s="173"/>
      <c r="U320" s="11"/>
    </row>
    <row r="321" spans="5:21" ht="19.2" customHeight="1">
      <c r="E321" s="173"/>
      <c r="F321" s="11"/>
      <c r="G321" s="170"/>
      <c r="H321" s="11"/>
      <c r="I321" s="169"/>
      <c r="J321" s="11"/>
      <c r="K321" s="167"/>
      <c r="L321" s="168"/>
      <c r="M321" s="11"/>
      <c r="N321" s="168"/>
      <c r="O321" s="167"/>
      <c r="P321" s="11"/>
      <c r="Q321" s="169"/>
      <c r="R321" s="11"/>
      <c r="S321" s="170"/>
      <c r="T321" s="11"/>
      <c r="U321" s="173"/>
    </row>
    <row r="322" spans="5:21" ht="19.2" customHeight="1">
      <c r="E322" s="11"/>
      <c r="F322" s="173"/>
      <c r="G322" s="170"/>
      <c r="H322" s="11"/>
      <c r="I322" s="169"/>
      <c r="J322" s="11"/>
      <c r="K322" s="168"/>
      <c r="L322" s="167"/>
      <c r="M322" s="168"/>
      <c r="N322" s="167"/>
      <c r="O322" s="168"/>
      <c r="P322" s="11"/>
      <c r="Q322" s="169"/>
      <c r="R322" s="11"/>
      <c r="S322" s="170"/>
      <c r="T322" s="173"/>
      <c r="U322" s="11"/>
    </row>
    <row r="323" spans="5:21" ht="19.2" customHeight="1">
      <c r="E323" s="11"/>
      <c r="F323" s="173"/>
      <c r="G323" s="11"/>
      <c r="H323" s="170"/>
      <c r="I323" s="11"/>
      <c r="J323" s="168"/>
      <c r="K323" s="11"/>
      <c r="L323" s="168"/>
      <c r="M323" s="170"/>
      <c r="N323" s="168"/>
      <c r="O323" s="11"/>
      <c r="P323" s="168"/>
      <c r="Q323" s="11"/>
      <c r="R323" s="170"/>
      <c r="S323" s="11"/>
      <c r="T323" s="173"/>
      <c r="U323" s="11"/>
    </row>
    <row r="324" spans="5:21" ht="19.2" customHeight="1">
      <c r="E324" s="11"/>
      <c r="F324" s="173"/>
      <c r="G324" s="170"/>
      <c r="H324" s="11"/>
      <c r="I324" s="169"/>
      <c r="K324" s="168"/>
      <c r="L324" s="167"/>
      <c r="M324" s="168"/>
      <c r="N324" s="167"/>
      <c r="O324" s="168"/>
      <c r="P324" s="11"/>
      <c r="Q324" s="169"/>
      <c r="R324" s="11"/>
      <c r="S324" s="170"/>
      <c r="T324" s="173"/>
      <c r="U324" s="11"/>
    </row>
    <row r="325" spans="5:21" ht="19.2" customHeight="1">
      <c r="E325" s="173"/>
      <c r="F325" s="11"/>
      <c r="G325" s="170"/>
      <c r="H325" s="11"/>
      <c r="I325" s="169"/>
      <c r="K325" s="167"/>
      <c r="L325" s="168"/>
      <c r="M325" s="11"/>
      <c r="N325" s="168"/>
      <c r="O325" s="167"/>
      <c r="P325" s="11"/>
      <c r="Q325" s="169"/>
      <c r="R325" s="11"/>
      <c r="S325" s="170"/>
      <c r="T325" s="11"/>
      <c r="U325" s="173"/>
    </row>
    <row r="326" spans="5:21" ht="19.2" customHeight="1">
      <c r="E326" s="11"/>
      <c r="F326" s="173"/>
      <c r="G326" s="11"/>
      <c r="H326" s="170"/>
      <c r="I326" s="11"/>
      <c r="J326" s="167"/>
      <c r="K326" s="11"/>
      <c r="L326" s="11"/>
      <c r="M326" s="168"/>
      <c r="N326" s="11"/>
      <c r="O326" s="11"/>
      <c r="P326" s="167"/>
      <c r="Q326" s="11"/>
      <c r="R326" s="170"/>
      <c r="S326" s="11"/>
      <c r="T326" s="173"/>
      <c r="U326" s="11"/>
    </row>
    <row r="327" spans="5:21" ht="19.2" customHeight="1">
      <c r="E327" s="11"/>
      <c r="F327" s="11"/>
      <c r="G327" s="173"/>
      <c r="H327" s="11"/>
      <c r="I327" s="167"/>
      <c r="J327" s="11"/>
      <c r="K327" s="169"/>
      <c r="L327" s="169"/>
      <c r="M327" s="11"/>
      <c r="N327" s="169"/>
      <c r="O327" s="169"/>
      <c r="P327" s="11"/>
      <c r="Q327" s="167"/>
      <c r="R327" s="11"/>
      <c r="S327" s="173"/>
      <c r="T327" s="11"/>
      <c r="U327" s="11"/>
    </row>
    <row r="328" spans="5:21" ht="19.2" customHeight="1">
      <c r="E328" s="174"/>
      <c r="F328" s="174"/>
      <c r="G328" s="11"/>
      <c r="H328" s="167"/>
      <c r="I328" s="11"/>
      <c r="J328" s="170"/>
      <c r="K328" s="11"/>
      <c r="L328" s="11"/>
      <c r="M328" s="170"/>
      <c r="N328" s="11"/>
      <c r="O328" s="11"/>
      <c r="P328" s="170"/>
      <c r="Q328" s="11"/>
      <c r="R328" s="167"/>
      <c r="S328" s="11"/>
      <c r="T328" s="174"/>
      <c r="U328" s="174"/>
    </row>
    <row r="329" spans="5:21" ht="19.2" customHeight="1">
      <c r="E329" s="11"/>
      <c r="F329" s="11"/>
      <c r="G329" s="167"/>
      <c r="H329" s="11"/>
      <c r="I329" s="173"/>
      <c r="J329" s="11"/>
      <c r="K329" s="170"/>
      <c r="L329" s="170"/>
      <c r="M329" s="11"/>
      <c r="N329" s="170"/>
      <c r="O329" s="170"/>
      <c r="P329" s="11"/>
      <c r="Q329" s="173"/>
      <c r="R329" s="11"/>
      <c r="S329" s="167"/>
      <c r="T329" s="11"/>
      <c r="U329" s="11"/>
    </row>
    <row r="330" spans="5:21" ht="19.2" customHeight="1">
      <c r="E330" s="11"/>
      <c r="F330" s="167"/>
      <c r="G330" s="11"/>
      <c r="H330" s="174"/>
      <c r="I330" s="11"/>
      <c r="J330" s="173"/>
      <c r="K330" s="11"/>
      <c r="L330" s="173"/>
      <c r="M330" s="173"/>
      <c r="N330" s="173"/>
      <c r="O330" s="11"/>
      <c r="P330" s="173"/>
      <c r="Q330" s="11"/>
      <c r="R330" s="174"/>
      <c r="S330" s="11"/>
      <c r="T330" s="167"/>
      <c r="U330" s="11"/>
    </row>
    <row r="331" spans="5:21" ht="19.2" customHeight="1">
      <c r="E331" s="167"/>
      <c r="F331" s="11"/>
      <c r="G331" s="11"/>
      <c r="H331" s="174"/>
      <c r="I331" s="11"/>
      <c r="J331" s="11"/>
      <c r="K331" s="173"/>
      <c r="L331" s="11"/>
      <c r="M331" s="11"/>
      <c r="N331" s="11"/>
      <c r="O331" s="173"/>
      <c r="P331" s="11"/>
      <c r="Q331" s="11"/>
      <c r="R331" s="174"/>
      <c r="S331" s="11"/>
      <c r="T331" s="11"/>
      <c r="U331" s="16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5"/>
  </sheetPr>
  <dimension ref="B1:E23"/>
  <sheetViews>
    <sheetView topLeftCell="A3" zoomScale="85" zoomScaleNormal="85" workbookViewId="0">
      <selection activeCell="G13" sqref="A13:G14"/>
    </sheetView>
  </sheetViews>
  <sheetFormatPr baseColWidth="10" defaultRowHeight="14.4"/>
  <sheetData>
    <row r="1" spans="2:5" ht="15" thickBot="1"/>
    <row r="2" spans="2:5" ht="15" thickBot="1">
      <c r="B2" s="238" t="s">
        <v>1293</v>
      </c>
      <c r="C2" s="239"/>
      <c r="D2" s="239"/>
      <c r="E2" s="240"/>
    </row>
    <row r="3" spans="2:5">
      <c r="B3" s="203"/>
      <c r="C3" s="204"/>
      <c r="D3" s="203"/>
      <c r="E3" s="204"/>
    </row>
    <row r="4" spans="2:5">
      <c r="B4" s="205"/>
      <c r="C4" s="206"/>
      <c r="D4" s="205"/>
      <c r="E4" s="206"/>
    </row>
    <row r="5" spans="2:5">
      <c r="B5" s="205"/>
      <c r="C5" s="206"/>
      <c r="D5" s="205"/>
      <c r="E5" s="206"/>
    </row>
    <row r="6" spans="2:5" ht="15" thickBot="1">
      <c r="B6" s="205"/>
      <c r="C6" s="206"/>
      <c r="D6" s="207"/>
      <c r="E6" s="159"/>
    </row>
    <row r="7" spans="2:5">
      <c r="B7" s="205"/>
      <c r="C7" s="206"/>
    </row>
    <row r="8" spans="2:5">
      <c r="B8" s="205"/>
      <c r="C8" s="206"/>
    </row>
    <row r="9" spans="2:5">
      <c r="B9" s="205"/>
      <c r="C9" s="206"/>
    </row>
    <row r="10" spans="2:5">
      <c r="B10" s="205"/>
      <c r="C10" s="206"/>
    </row>
    <row r="11" spans="2:5">
      <c r="B11" s="205"/>
      <c r="C11" s="206"/>
    </row>
    <row r="12" spans="2:5">
      <c r="B12" s="205"/>
      <c r="C12" s="206"/>
    </row>
    <row r="13" spans="2:5" ht="15" thickBot="1">
      <c r="B13" s="207"/>
      <c r="C13" s="159"/>
    </row>
    <row r="14" spans="2:5" ht="15" thickBot="1"/>
    <row r="15" spans="2:5" ht="15" thickBot="1">
      <c r="B15" s="238" t="s">
        <v>1294</v>
      </c>
      <c r="C15" s="239"/>
      <c r="D15" s="239"/>
      <c r="E15" s="240"/>
    </row>
    <row r="22" spans="2:5" ht="15" thickBot="1"/>
    <row r="23" spans="2:5" ht="15" thickBot="1">
      <c r="B23" s="238" t="s">
        <v>1295</v>
      </c>
      <c r="C23" s="239"/>
      <c r="D23" s="239"/>
      <c r="E23" s="240"/>
    </row>
  </sheetData>
  <mergeCells count="3">
    <mergeCell ref="B2:E2"/>
    <mergeCell ref="B15:E15"/>
    <mergeCell ref="B23:E2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5"/>
  </sheetPr>
  <dimension ref="B1:H38"/>
  <sheetViews>
    <sheetView showGridLines="0" zoomScale="130" zoomScaleNormal="130" workbookViewId="0">
      <selection activeCell="E13" sqref="E13"/>
    </sheetView>
  </sheetViews>
  <sheetFormatPr baseColWidth="10" defaultRowHeight="14.4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/>
    <row r="2" spans="2:8" ht="15" thickBot="1">
      <c r="B2" s="97" t="s">
        <v>49</v>
      </c>
      <c r="C2" s="113" t="s">
        <v>47</v>
      </c>
      <c r="D2" s="114" t="s">
        <v>48</v>
      </c>
      <c r="F2" s="97" t="s">
        <v>49</v>
      </c>
      <c r="G2" s="113" t="s">
        <v>47</v>
      </c>
      <c r="H2" s="114" t="s">
        <v>48</v>
      </c>
    </row>
    <row r="3" spans="2:8">
      <c r="B3" s="102" t="s">
        <v>51</v>
      </c>
      <c r="C3" s="116">
        <v>4</v>
      </c>
      <c r="D3" s="110">
        <v>3</v>
      </c>
      <c r="F3" s="102" t="s">
        <v>51</v>
      </c>
      <c r="G3" s="116">
        <v>4</v>
      </c>
      <c r="H3" s="110">
        <v>3</v>
      </c>
    </row>
    <row r="4" spans="2:8">
      <c r="B4" s="103" t="s">
        <v>54</v>
      </c>
      <c r="C4" s="117">
        <v>3</v>
      </c>
      <c r="D4" s="111">
        <v>4</v>
      </c>
      <c r="F4" s="103" t="s">
        <v>54</v>
      </c>
      <c r="G4" s="117">
        <v>3</v>
      </c>
      <c r="H4" s="111">
        <v>4</v>
      </c>
    </row>
    <row r="5" spans="2:8">
      <c r="B5" s="103" t="s">
        <v>55</v>
      </c>
      <c r="C5" s="117">
        <v>0</v>
      </c>
      <c r="D5" s="111">
        <v>4</v>
      </c>
      <c r="F5" s="103" t="s">
        <v>55</v>
      </c>
      <c r="G5" s="117">
        <v>0</v>
      </c>
      <c r="H5" s="111">
        <v>4</v>
      </c>
    </row>
    <row r="6" spans="2:8">
      <c r="B6" s="103" t="s">
        <v>56</v>
      </c>
      <c r="C6" s="117">
        <v>3</v>
      </c>
      <c r="D6" s="111">
        <v>8</v>
      </c>
      <c r="F6" s="103" t="s">
        <v>56</v>
      </c>
      <c r="G6" s="117">
        <v>3</v>
      </c>
      <c r="H6" s="111">
        <v>8</v>
      </c>
    </row>
    <row r="7" spans="2:8">
      <c r="B7" s="103" t="s">
        <v>53</v>
      </c>
      <c r="C7" s="117">
        <v>29</v>
      </c>
      <c r="D7" s="111">
        <v>24</v>
      </c>
      <c r="F7" s="103" t="s">
        <v>53</v>
      </c>
      <c r="G7" s="117">
        <v>29</v>
      </c>
      <c r="H7" s="111">
        <v>24</v>
      </c>
    </row>
    <row r="8" spans="2:8" ht="15" thickBot="1">
      <c r="B8" s="104" t="s">
        <v>52</v>
      </c>
      <c r="C8" s="118">
        <v>128</v>
      </c>
      <c r="D8" s="112">
        <v>96</v>
      </c>
      <c r="F8" s="104" t="s">
        <v>52</v>
      </c>
      <c r="G8" s="118">
        <v>128</v>
      </c>
      <c r="H8" s="112">
        <v>96</v>
      </c>
    </row>
    <row r="9" spans="2:8">
      <c r="B9" s="126" t="s">
        <v>60</v>
      </c>
      <c r="C9" s="127" cm="1">
        <f t="array" ref="C9:D9">GetImageShape(C16,C18)</f>
        <v>4.4697583940294052</v>
      </c>
      <c r="D9" s="98">
        <v>3.3655665334065756</v>
      </c>
      <c r="F9" s="126" t="s">
        <v>60</v>
      </c>
      <c r="G9" s="127" cm="1">
        <f t="array" ref="G9:H9">GetImageShape(G16,G18)</f>
        <v>4.4697583940294052</v>
      </c>
      <c r="H9" s="98">
        <v>3.3655665334065756</v>
      </c>
    </row>
    <row r="10" spans="2:8">
      <c r="B10" s="129" t="s">
        <v>61</v>
      </c>
      <c r="C10" s="130" cm="1">
        <f t="array" ref="C10:D10">GetCropedShape(C16,C18,C7,D7,C8,D8)</f>
        <v>1.0126796361472872</v>
      </c>
      <c r="D10" s="131">
        <v>0.84139163335164391</v>
      </c>
      <c r="F10" s="129" t="s">
        <v>61</v>
      </c>
      <c r="G10" s="130" cm="1">
        <f t="array" ref="G10:H10">GetCropedShape(G16,G18,G7,H7,G8,H8)</f>
        <v>1.0126796361472872</v>
      </c>
      <c r="H10" s="131">
        <v>0.84139163335164391</v>
      </c>
    </row>
    <row r="11" spans="2:8">
      <c r="B11" s="109" t="s">
        <v>64</v>
      </c>
      <c r="C11" s="119">
        <v>1</v>
      </c>
      <c r="D11" s="99">
        <f>D7/C7*C11</f>
        <v>0.82758620689655171</v>
      </c>
      <c r="F11" s="109" t="s">
        <v>64</v>
      </c>
      <c r="G11" s="119">
        <v>1</v>
      </c>
      <c r="H11" s="99">
        <f>H7/G7*G11</f>
        <v>0.82758620689655171</v>
      </c>
    </row>
    <row r="12" spans="2:8" ht="15" thickBot="1">
      <c r="B12" s="128" t="s">
        <v>65</v>
      </c>
      <c r="C12" s="120">
        <f>(C8/C7)*C11</f>
        <v>4.4137931034482758</v>
      </c>
      <c r="D12" s="100">
        <f>D8/C8*C12</f>
        <v>3.3103448275862069</v>
      </c>
      <c r="F12" s="128" t="s">
        <v>65</v>
      </c>
      <c r="G12" s="120">
        <f>(G8/G7)*G11</f>
        <v>4.4137931034482758</v>
      </c>
      <c r="H12" s="100">
        <f>H8/G8*G12</f>
        <v>3.3103448275862069</v>
      </c>
    </row>
    <row r="13" spans="2:8" ht="15" thickBot="1">
      <c r="B13" s="105" t="s">
        <v>50</v>
      </c>
      <c r="C13" s="121" t="b">
        <f>(C4+C5+C6*(C3-1)+C7*C3)=C8</f>
        <v>1</v>
      </c>
      <c r="D13" s="101" t="b">
        <f>(D4+D5+D6*(D3-1)+D7*D3)=D8</f>
        <v>1</v>
      </c>
      <c r="F13" s="105" t="s">
        <v>50</v>
      </c>
      <c r="G13" s="121" t="b">
        <f>(G4+G5+G6*(G3-1)+G7*G3)=G8</f>
        <v>1</v>
      </c>
      <c r="H13" s="101" t="b">
        <f>(H4+H5+H6*(H3-1)+H7*H3)=H8</f>
        <v>1</v>
      </c>
    </row>
    <row r="14" spans="2:8">
      <c r="B14" s="124" t="s">
        <v>63</v>
      </c>
      <c r="C14" s="141">
        <v>0</v>
      </c>
      <c r="D14" s="142">
        <v>0</v>
      </c>
      <c r="F14" s="124" t="s">
        <v>63</v>
      </c>
      <c r="G14" s="141">
        <v>3</v>
      </c>
      <c r="H14" s="142">
        <v>2</v>
      </c>
    </row>
    <row r="15" spans="2:8" ht="15" thickBot="1">
      <c r="B15" s="125" t="s">
        <v>66</v>
      </c>
      <c r="C15" s="143">
        <v>0.2</v>
      </c>
      <c r="D15" s="144">
        <v>1</v>
      </c>
      <c r="F15" s="125" t="s">
        <v>66</v>
      </c>
      <c r="G15" s="143">
        <v>0.2</v>
      </c>
      <c r="H15" s="144">
        <v>1</v>
      </c>
    </row>
    <row r="16" spans="2:8">
      <c r="B16" s="106" t="s">
        <v>57</v>
      </c>
      <c r="C16" s="241" t="s">
        <v>62</v>
      </c>
      <c r="D16" s="242"/>
      <c r="F16" s="106" t="s">
        <v>57</v>
      </c>
      <c r="G16" s="241" t="s">
        <v>62</v>
      </c>
      <c r="H16" s="242"/>
    </row>
    <row r="17" spans="2:8">
      <c r="B17" s="107" t="s">
        <v>58</v>
      </c>
      <c r="C17" s="243" t="s">
        <v>45</v>
      </c>
      <c r="D17" s="244"/>
      <c r="F17" s="107" t="s">
        <v>58</v>
      </c>
      <c r="G17" s="243" t="s">
        <v>45</v>
      </c>
      <c r="H17" s="244"/>
    </row>
    <row r="18" spans="2:8" ht="15" thickBot="1">
      <c r="B18" s="108" t="s">
        <v>59</v>
      </c>
      <c r="C18" s="245" t="str">
        <f>C17&amp;"_Originel"</f>
        <v>Hero_Marche_Originel</v>
      </c>
      <c r="D18" s="246"/>
      <c r="F18" s="108" t="s">
        <v>59</v>
      </c>
      <c r="G18" s="245" t="str">
        <f>G17&amp;"_Originel"</f>
        <v>Hero_Marche_Originel</v>
      </c>
      <c r="H18" s="246"/>
    </row>
    <row r="19" spans="2:8">
      <c r="B19" s="138"/>
      <c r="C19" s="132"/>
      <c r="D19" s="133"/>
    </row>
    <row r="20" spans="2:8" ht="15" thickBot="1">
      <c r="B20" s="139"/>
      <c r="C20" s="136"/>
      <c r="D20" s="137"/>
    </row>
    <row r="21" spans="2:8">
      <c r="B21" s="140"/>
      <c r="C21" s="134"/>
      <c r="D21" s="135"/>
    </row>
    <row r="22" spans="2:8" ht="15" thickBot="1">
      <c r="B22" s="139"/>
      <c r="C22" s="136"/>
      <c r="D22" s="137"/>
    </row>
    <row r="24" spans="2:8" ht="15" thickBot="1"/>
    <row r="25" spans="2:8" ht="15" thickBot="1">
      <c r="B25" s="97" t="s">
        <v>49</v>
      </c>
      <c r="C25" s="113" t="s">
        <v>47</v>
      </c>
      <c r="D25" s="114" t="s">
        <v>48</v>
      </c>
    </row>
    <row r="26" spans="2:8">
      <c r="B26" s="102" t="s">
        <v>51</v>
      </c>
      <c r="C26" s="116">
        <v>4</v>
      </c>
      <c r="D26" s="110">
        <v>3</v>
      </c>
    </row>
    <row r="27" spans="2:8">
      <c r="B27" s="103" t="s">
        <v>54</v>
      </c>
      <c r="C27" s="117">
        <v>3</v>
      </c>
      <c r="D27" s="111">
        <v>4</v>
      </c>
    </row>
    <row r="28" spans="2:8">
      <c r="B28" s="103" t="s">
        <v>55</v>
      </c>
      <c r="C28" s="117">
        <v>0</v>
      </c>
      <c r="D28" s="111">
        <v>4</v>
      </c>
    </row>
    <row r="29" spans="2:8">
      <c r="B29" s="103" t="s">
        <v>56</v>
      </c>
      <c r="C29" s="117">
        <v>3</v>
      </c>
      <c r="D29" s="111">
        <v>8</v>
      </c>
    </row>
    <row r="30" spans="2:8">
      <c r="B30" s="103" t="s">
        <v>53</v>
      </c>
      <c r="C30" s="117">
        <v>29</v>
      </c>
      <c r="D30" s="111">
        <v>24</v>
      </c>
    </row>
    <row r="31" spans="2:8" ht="15" thickBot="1">
      <c r="B31" s="104" t="s">
        <v>52</v>
      </c>
      <c r="C31" s="118">
        <v>128</v>
      </c>
      <c r="D31" s="112">
        <v>96</v>
      </c>
    </row>
    <row r="32" spans="2:8">
      <c r="B32" s="109" t="s">
        <v>60</v>
      </c>
      <c r="C32" s="119" cm="1">
        <f t="array" ref="C32:D32">GetImageShape(C36,C37)</f>
        <v>1.0613111204571195</v>
      </c>
      <c r="D32" s="99">
        <v>0.87778610653347444</v>
      </c>
    </row>
    <row r="33" spans="2:4" ht="15" thickBot="1">
      <c r="B33" s="109" t="s">
        <v>61</v>
      </c>
      <c r="C33" s="120" cm="1">
        <f t="array" ref="C33:D33">GetCropedShape(C36,C38,C30,D30,C31,D31)</f>
        <v>1.0126796361472872</v>
      </c>
      <c r="D33" s="100">
        <v>0.84139163335164391</v>
      </c>
    </row>
    <row r="34" spans="2:4" ht="15" thickBot="1">
      <c r="B34" s="105" t="s">
        <v>50</v>
      </c>
      <c r="C34" s="121" t="b">
        <f>(C27+C28+C29*(C26-1)+C30*C26)=C31</f>
        <v>1</v>
      </c>
      <c r="D34" s="101" t="b">
        <f>(D27+D28+D29*(D26-1)+D30*D26)=D31</f>
        <v>1</v>
      </c>
    </row>
    <row r="35" spans="2:4" ht="15" thickBot="1">
      <c r="B35" s="115" t="s">
        <v>63</v>
      </c>
      <c r="C35" s="122">
        <v>2</v>
      </c>
      <c r="D35" s="123">
        <v>2</v>
      </c>
    </row>
    <row r="36" spans="2:4">
      <c r="B36" s="106" t="s">
        <v>57</v>
      </c>
      <c r="C36" s="241" t="s">
        <v>62</v>
      </c>
      <c r="D36" s="242"/>
    </row>
    <row r="37" spans="2:4">
      <c r="B37" s="107" t="s">
        <v>58</v>
      </c>
      <c r="C37" s="243" t="s">
        <v>45</v>
      </c>
      <c r="D37" s="244"/>
    </row>
    <row r="38" spans="2:4" ht="15" thickBot="1">
      <c r="B38" s="108" t="s">
        <v>59</v>
      </c>
      <c r="C38" s="245" t="str">
        <f>C37&amp;"_Originel"</f>
        <v>Hero_Marche_Originel</v>
      </c>
      <c r="D38" s="246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5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7.88671875" bestFit="1" customWidth="1"/>
    <col min="12" max="12" width="15.33203125" bestFit="1" customWidth="1"/>
  </cols>
  <sheetData>
    <row r="1" spans="2:12" ht="15" thickBot="1"/>
    <row r="2" spans="2:12" ht="15" customHeight="1" thickBot="1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15</v>
      </c>
      <c r="L2" s="5"/>
    </row>
    <row r="3" spans="2:12" ht="15.6" customHeight="1" thickTop="1" thickBot="1">
      <c r="B3" s="1">
        <v>0</v>
      </c>
      <c r="C3" s="1">
        <v>0</v>
      </c>
      <c r="D3" s="1">
        <v>0</v>
      </c>
      <c r="F3" s="1" t="str" cm="1">
        <f t="array" ref="F3:F18">TRANSPOSE(GetSheetsName())</f>
        <v>Create Sprite</v>
      </c>
      <c r="I3" s="6" t="s">
        <v>24</v>
      </c>
      <c r="J3" s="7">
        <v>15</v>
      </c>
      <c r="L3" s="1"/>
    </row>
    <row r="4" spans="2:12" ht="15" thickBot="1">
      <c r="B4" s="1">
        <v>1</v>
      </c>
      <c r="C4" s="1">
        <v>0.06</v>
      </c>
      <c r="D4" s="1">
        <v>0.6</v>
      </c>
      <c r="F4" s="1" t="str">
        <v>BDD_Sprite</v>
      </c>
    </row>
    <row r="5" spans="2:12" ht="16.2" thickBot="1">
      <c r="B5" s="1">
        <v>2</v>
      </c>
      <c r="C5" s="1">
        <v>0.13</v>
      </c>
      <c r="D5" s="1">
        <v>1.2</v>
      </c>
      <c r="F5" s="1" t="str">
        <v>Listes_Sprites</v>
      </c>
      <c r="I5" s="4" t="s">
        <v>25</v>
      </c>
      <c r="J5" s="3" t="s">
        <v>1319</v>
      </c>
    </row>
    <row r="6" spans="2:12" ht="15" thickBot="1">
      <c r="B6" s="1">
        <v>3</v>
      </c>
      <c r="C6" s="1">
        <v>0.19</v>
      </c>
      <c r="D6" s="1">
        <v>1.8</v>
      </c>
      <c r="F6" s="1" t="str">
        <v>Originel Sprites</v>
      </c>
    </row>
    <row r="7" spans="2:12" ht="16.2" thickBot="1">
      <c r="B7" s="1">
        <v>4</v>
      </c>
      <c r="C7" s="1">
        <v>0.25</v>
      </c>
      <c r="D7" s="1">
        <v>2.4</v>
      </c>
      <c r="F7" s="1" t="str">
        <v>Dimension Sprite</v>
      </c>
      <c r="I7" s="4" t="s">
        <v>26</v>
      </c>
      <c r="J7" s="3"/>
    </row>
    <row r="8" spans="2:12">
      <c r="B8" s="1">
        <v>5</v>
      </c>
      <c r="C8" s="1">
        <v>0.31</v>
      </c>
      <c r="D8" s="1">
        <v>3</v>
      </c>
      <c r="F8" s="1" t="str">
        <v>Taille Pixel</v>
      </c>
    </row>
    <row r="9" spans="2:12">
      <c r="B9" s="1">
        <v>6</v>
      </c>
      <c r="C9" s="1">
        <v>0.38</v>
      </c>
      <c r="D9" s="1">
        <v>3.6</v>
      </c>
      <c r="F9" s="1" t="str">
        <v>PAUSE</v>
      </c>
    </row>
    <row r="10" spans="2:12">
      <c r="B10" s="1">
        <v>7</v>
      </c>
      <c r="C10" s="1">
        <v>0.44</v>
      </c>
      <c r="D10" s="1">
        <v>4.2</v>
      </c>
      <c r="F10" s="1" t="str">
        <v>TODO LIST</v>
      </c>
    </row>
    <row r="11" spans="2:12">
      <c r="B11" s="1">
        <v>8</v>
      </c>
      <c r="C11" s="1">
        <v>0.5</v>
      </c>
      <c r="D11" s="1">
        <v>4.8</v>
      </c>
      <c r="F11" s="1" t="str">
        <v>Testing</v>
      </c>
    </row>
    <row r="12" spans="2:12">
      <c r="B12" s="1">
        <v>9</v>
      </c>
      <c r="C12" s="1">
        <v>0.56000000000000005</v>
      </c>
      <c r="D12" s="1">
        <v>5.4</v>
      </c>
      <c r="F12" s="1" t="str">
        <v>Testing KeyState</v>
      </c>
    </row>
    <row r="13" spans="2:12">
      <c r="B13" s="1">
        <v>10</v>
      </c>
      <c r="C13" s="1">
        <v>0.63</v>
      </c>
      <c r="D13" s="1">
        <v>6</v>
      </c>
      <c r="F13" s="1" t="str">
        <v>Credit</v>
      </c>
    </row>
    <row r="14" spans="2:12">
      <c r="B14" s="1">
        <v>11</v>
      </c>
      <c r="C14" s="1">
        <v>0.69</v>
      </c>
      <c r="D14" s="1">
        <v>6.6</v>
      </c>
      <c r="F14" s="1" t="str">
        <v>Liste Déroulante</v>
      </c>
    </row>
    <row r="15" spans="2:12">
      <c r="B15" s="1">
        <v>12</v>
      </c>
      <c r="C15" s="1">
        <v>0.75</v>
      </c>
      <c r="D15" s="1">
        <v>7.2</v>
      </c>
      <c r="F15" s="1" t="str">
        <v>Data Pokemon</v>
      </c>
    </row>
    <row r="16" spans="2:12">
      <c r="B16" s="1">
        <v>13</v>
      </c>
      <c r="C16" s="1">
        <v>0.81</v>
      </c>
      <c r="D16" s="1">
        <v>7.8</v>
      </c>
      <c r="F16" s="1" t="str">
        <v>Data Game</v>
      </c>
    </row>
    <row r="17" spans="2:6">
      <c r="B17" s="1">
        <v>14</v>
      </c>
      <c r="C17" s="1">
        <v>0.88</v>
      </c>
      <c r="D17" s="1">
        <v>8.4</v>
      </c>
      <c r="F17" s="1" t="str">
        <v>Map</v>
      </c>
    </row>
    <row r="18" spans="2:6">
      <c r="B18" s="1">
        <v>15</v>
      </c>
      <c r="C18" s="1">
        <v>0.94</v>
      </c>
      <c r="D18" s="1">
        <v>9</v>
      </c>
      <c r="F18" s="1" t="str">
        <v>Map Creation</v>
      </c>
    </row>
    <row r="19" spans="2:6">
      <c r="B19" s="1">
        <v>16</v>
      </c>
      <c r="C19" s="1">
        <v>1</v>
      </c>
      <c r="D19" s="1">
        <v>9.6</v>
      </c>
      <c r="F19" s="1"/>
    </row>
    <row r="20" spans="2:6">
      <c r="B20" s="1">
        <v>17</v>
      </c>
      <c r="C20" s="1">
        <v>1.1100000000000001</v>
      </c>
      <c r="D20" s="1">
        <v>10.199999999999999</v>
      </c>
      <c r="F20" s="1"/>
    </row>
    <row r="21" spans="2:6">
      <c r="B21" s="1">
        <v>18</v>
      </c>
      <c r="C21" s="1">
        <v>1.22</v>
      </c>
      <c r="D21" s="1">
        <v>10.8</v>
      </c>
      <c r="F21" s="1"/>
    </row>
    <row r="22" spans="2:6">
      <c r="B22" s="1">
        <v>19</v>
      </c>
      <c r="C22" s="1">
        <v>1.33</v>
      </c>
      <c r="D22" s="1">
        <v>11.4</v>
      </c>
      <c r="F22" s="1"/>
    </row>
    <row r="23" spans="2:6">
      <c r="B23" s="1">
        <v>20</v>
      </c>
      <c r="C23" s="1">
        <v>1.44</v>
      </c>
      <c r="D23" s="1">
        <v>12</v>
      </c>
      <c r="F23" s="1"/>
    </row>
    <row r="24" spans="2:6">
      <c r="B24" s="1">
        <v>21</v>
      </c>
      <c r="C24" s="1">
        <v>1.56</v>
      </c>
      <c r="D24" s="1">
        <v>12.6</v>
      </c>
      <c r="F24" s="1"/>
    </row>
    <row r="25" spans="2:6">
      <c r="B25" s="1">
        <v>22</v>
      </c>
      <c r="C25" s="1">
        <v>1.67</v>
      </c>
      <c r="D25" s="1">
        <v>13.2</v>
      </c>
      <c r="F25" s="1"/>
    </row>
    <row r="26" spans="2:6">
      <c r="B26" s="1">
        <v>23</v>
      </c>
      <c r="C26" s="1">
        <v>1.78</v>
      </c>
      <c r="D26" s="1">
        <v>13.8</v>
      </c>
      <c r="F26" s="1"/>
    </row>
    <row r="27" spans="2:6">
      <c r="B27" s="1">
        <v>24</v>
      </c>
      <c r="C27" s="1">
        <v>1.89</v>
      </c>
      <c r="D27" s="1">
        <v>14.4</v>
      </c>
      <c r="F27" s="1"/>
    </row>
    <row r="28" spans="2:6">
      <c r="B28" s="1">
        <v>25</v>
      </c>
      <c r="C28" s="1">
        <v>2</v>
      </c>
      <c r="D28" s="1">
        <v>15</v>
      </c>
      <c r="F28" s="1"/>
    </row>
    <row r="29" spans="2:6">
      <c r="B29" s="1">
        <v>26</v>
      </c>
      <c r="C29" s="1">
        <v>2.11</v>
      </c>
      <c r="D29" s="1">
        <v>15.6</v>
      </c>
      <c r="F29" s="1"/>
    </row>
    <row r="30" spans="2:6">
      <c r="B30" s="1">
        <v>27</v>
      </c>
      <c r="C30" s="1">
        <v>2.2200000000000002</v>
      </c>
      <c r="D30" s="1">
        <v>16.2</v>
      </c>
      <c r="F30" s="1"/>
    </row>
    <row r="31" spans="2:6">
      <c r="B31" s="1">
        <v>28</v>
      </c>
      <c r="C31" s="1">
        <v>2.33</v>
      </c>
      <c r="D31" s="1">
        <v>16.8</v>
      </c>
      <c r="F31" s="1"/>
    </row>
    <row r="32" spans="2:6">
      <c r="B32" s="1">
        <v>29</v>
      </c>
      <c r="C32" s="1">
        <v>2.44</v>
      </c>
      <c r="D32" s="1">
        <v>17.399999999999999</v>
      </c>
      <c r="F32" s="1"/>
    </row>
    <row r="33" spans="2:6">
      <c r="B33" s="1">
        <v>30</v>
      </c>
      <c r="C33" s="1">
        <v>2.56</v>
      </c>
      <c r="D33" s="1">
        <v>18</v>
      </c>
      <c r="F33" s="1"/>
    </row>
    <row r="34" spans="2:6">
      <c r="B34" s="1">
        <v>31</v>
      </c>
      <c r="C34" s="1">
        <v>2.67</v>
      </c>
      <c r="D34" s="1">
        <v>18.600000000000001</v>
      </c>
      <c r="F34" s="1"/>
    </row>
    <row r="35" spans="2:6">
      <c r="B35" s="1">
        <v>32</v>
      </c>
      <c r="C35" s="1">
        <v>2.78</v>
      </c>
      <c r="D35" s="1">
        <v>19.2</v>
      </c>
      <c r="F35" s="1"/>
    </row>
    <row r="36" spans="2:6">
      <c r="B36" s="1">
        <v>33</v>
      </c>
      <c r="C36" s="1">
        <v>2.89</v>
      </c>
      <c r="D36" s="1">
        <v>19.8</v>
      </c>
      <c r="F36" s="1"/>
    </row>
    <row r="37" spans="2:6">
      <c r="B37" s="1">
        <v>34</v>
      </c>
      <c r="C37" s="1">
        <v>3</v>
      </c>
      <c r="D37" s="1">
        <v>20.399999999999999</v>
      </c>
      <c r="F37" s="1"/>
    </row>
    <row r="38" spans="2:6">
      <c r="B38" s="1">
        <v>35</v>
      </c>
      <c r="C38" s="1">
        <v>3.11</v>
      </c>
      <c r="D38" s="1">
        <v>21</v>
      </c>
      <c r="F38" s="1"/>
    </row>
    <row r="39" spans="2:6">
      <c r="B39" s="1">
        <v>36</v>
      </c>
      <c r="C39" s="1">
        <v>3.22</v>
      </c>
      <c r="D39" s="1">
        <v>21.6</v>
      </c>
      <c r="F39" s="1"/>
    </row>
    <row r="40" spans="2:6">
      <c r="B40" s="1">
        <v>37</v>
      </c>
      <c r="C40" s="1">
        <v>3.33</v>
      </c>
      <c r="D40" s="1">
        <v>22.2</v>
      </c>
      <c r="F40" s="1"/>
    </row>
    <row r="41" spans="2:6">
      <c r="B41" s="1">
        <v>38</v>
      </c>
      <c r="C41" s="1">
        <v>3.44</v>
      </c>
      <c r="D41" s="1">
        <v>22.8</v>
      </c>
      <c r="F41" s="1"/>
    </row>
    <row r="42" spans="2:6">
      <c r="B42" s="1">
        <v>39</v>
      </c>
      <c r="C42" s="1">
        <v>3.56</v>
      </c>
      <c r="D42" s="1">
        <v>23.4</v>
      </c>
      <c r="F42" s="1"/>
    </row>
    <row r="43" spans="2:6">
      <c r="B43" s="1">
        <v>40</v>
      </c>
      <c r="C43" s="1">
        <v>3.67</v>
      </c>
      <c r="D43" s="1">
        <v>24</v>
      </c>
      <c r="F43" s="1"/>
    </row>
    <row r="44" spans="2:6">
      <c r="B44" s="1">
        <v>41</v>
      </c>
      <c r="C44" s="1">
        <v>3.78</v>
      </c>
      <c r="D44" s="1">
        <v>24.6</v>
      </c>
      <c r="F44" s="1"/>
    </row>
    <row r="45" spans="2:6">
      <c r="B45" s="1">
        <v>42</v>
      </c>
      <c r="C45" s="1">
        <v>3.89</v>
      </c>
      <c r="D45" s="1">
        <v>25.2</v>
      </c>
      <c r="F45" s="1"/>
    </row>
    <row r="46" spans="2:6">
      <c r="B46" s="1">
        <v>43</v>
      </c>
      <c r="C46" s="1">
        <v>4</v>
      </c>
      <c r="D46" s="1">
        <v>25.8</v>
      </c>
      <c r="F46" s="1"/>
    </row>
    <row r="47" spans="2:6">
      <c r="B47" s="1">
        <v>44</v>
      </c>
      <c r="C47" s="1">
        <v>4.1100000000000003</v>
      </c>
      <c r="D47" s="1">
        <v>26.4</v>
      </c>
      <c r="F47" s="1"/>
    </row>
    <row r="48" spans="2:6">
      <c r="B48" s="1">
        <v>45</v>
      </c>
      <c r="C48" s="1">
        <v>4.22</v>
      </c>
      <c r="D48" s="1">
        <v>27</v>
      </c>
      <c r="F48" s="1"/>
    </row>
    <row r="49" spans="2:6">
      <c r="B49" s="1">
        <v>46</v>
      </c>
      <c r="C49" s="1">
        <v>4.33</v>
      </c>
      <c r="D49" s="1">
        <v>27.6</v>
      </c>
      <c r="F49" s="1"/>
    </row>
    <row r="50" spans="2:6">
      <c r="B50" s="1">
        <v>47</v>
      </c>
      <c r="C50" s="1">
        <v>4.4400000000000004</v>
      </c>
      <c r="D50" s="1">
        <v>28.2</v>
      </c>
      <c r="F50" s="1"/>
    </row>
    <row r="51" spans="2:6">
      <c r="B51" s="1">
        <v>48</v>
      </c>
      <c r="C51" s="1">
        <v>4.5599999999999996</v>
      </c>
      <c r="D51" s="1">
        <v>28.8</v>
      </c>
      <c r="F51" s="1"/>
    </row>
    <row r="52" spans="2:6">
      <c r="B52" s="1">
        <v>49</v>
      </c>
      <c r="C52" s="1">
        <v>4.67</v>
      </c>
      <c r="D52" s="1">
        <v>29.4</v>
      </c>
      <c r="F52" s="1"/>
    </row>
    <row r="53" spans="2:6">
      <c r="B53" s="1">
        <v>50</v>
      </c>
      <c r="C53" s="1">
        <v>4.78</v>
      </c>
      <c r="D53" s="1">
        <v>30</v>
      </c>
      <c r="F53" s="1"/>
    </row>
    <row r="54" spans="2:6">
      <c r="B54" s="1">
        <v>51</v>
      </c>
      <c r="C54" s="1">
        <v>4.8899999999999997</v>
      </c>
      <c r="D54" s="1">
        <v>30.6</v>
      </c>
      <c r="F54" s="1"/>
    </row>
    <row r="55" spans="2:6">
      <c r="B55" s="1">
        <v>52</v>
      </c>
      <c r="C55" s="1">
        <v>5</v>
      </c>
      <c r="D55" s="1">
        <v>31.2</v>
      </c>
      <c r="F55" s="1"/>
    </row>
    <row r="56" spans="2:6">
      <c r="B56" s="1">
        <v>53</v>
      </c>
      <c r="C56" s="1">
        <v>5.1100000000000003</v>
      </c>
      <c r="D56" s="1">
        <v>31.8</v>
      </c>
      <c r="F56" s="1"/>
    </row>
    <row r="57" spans="2:6">
      <c r="B57" s="1">
        <v>54</v>
      </c>
      <c r="C57" s="1">
        <v>5.22</v>
      </c>
      <c r="D57" s="1">
        <v>32.4</v>
      </c>
      <c r="F57" s="1"/>
    </row>
    <row r="58" spans="2:6">
      <c r="B58" s="1">
        <v>55</v>
      </c>
      <c r="C58" s="1">
        <v>5.33</v>
      </c>
      <c r="D58" s="1">
        <v>33</v>
      </c>
      <c r="F58" s="1"/>
    </row>
    <row r="59" spans="2:6">
      <c r="B59" s="1">
        <v>56</v>
      </c>
      <c r="C59" s="1">
        <v>5.44</v>
      </c>
      <c r="D59" s="1">
        <v>33.6</v>
      </c>
      <c r="F59" s="1"/>
    </row>
    <row r="60" spans="2:6">
      <c r="B60" s="1">
        <v>57</v>
      </c>
      <c r="C60" s="1">
        <v>5.56</v>
      </c>
      <c r="D60" s="1">
        <v>34.200000000000003</v>
      </c>
      <c r="F60" s="1"/>
    </row>
    <row r="61" spans="2:6">
      <c r="B61" s="1">
        <v>58</v>
      </c>
      <c r="C61" s="1">
        <v>5.67</v>
      </c>
      <c r="D61" s="1">
        <v>34.799999999999997</v>
      </c>
      <c r="F61" s="1"/>
    </row>
    <row r="62" spans="2:6">
      <c r="B62" s="1">
        <v>59</v>
      </c>
      <c r="C62" s="1">
        <v>5.78</v>
      </c>
      <c r="D62" s="1">
        <v>35.4</v>
      </c>
      <c r="F62" s="1"/>
    </row>
    <row r="63" spans="2:6">
      <c r="B63" s="1">
        <v>60</v>
      </c>
      <c r="C63" s="1">
        <v>5.89</v>
      </c>
      <c r="D63" s="1">
        <v>36</v>
      </c>
      <c r="F63" s="1"/>
    </row>
    <row r="64" spans="2:6">
      <c r="B64" s="1">
        <v>61</v>
      </c>
      <c r="C64" s="1">
        <v>6</v>
      </c>
      <c r="D64" s="1">
        <v>36.6</v>
      </c>
      <c r="F64" s="1"/>
    </row>
    <row r="65" spans="2:6">
      <c r="B65" s="1">
        <v>62</v>
      </c>
      <c r="C65" s="1">
        <v>6.11</v>
      </c>
      <c r="D65" s="1">
        <v>37.200000000000003</v>
      </c>
      <c r="F65" s="1"/>
    </row>
    <row r="66" spans="2:6">
      <c r="B66" s="1">
        <v>63</v>
      </c>
      <c r="C66" s="1">
        <v>6.22</v>
      </c>
      <c r="D66" s="1">
        <v>37.799999999999997</v>
      </c>
      <c r="F66" s="1"/>
    </row>
    <row r="67" spans="2:6">
      <c r="B67" s="1">
        <v>64</v>
      </c>
      <c r="C67" s="1">
        <v>6.33</v>
      </c>
      <c r="D67" s="1">
        <v>38.4</v>
      </c>
      <c r="F67" s="1"/>
    </row>
    <row r="68" spans="2:6">
      <c r="B68" s="1">
        <v>65</v>
      </c>
      <c r="C68" s="1">
        <v>6.44</v>
      </c>
      <c r="D68" s="1">
        <v>39</v>
      </c>
      <c r="F68" s="1"/>
    </row>
    <row r="69" spans="2:6">
      <c r="B69" s="1">
        <v>66</v>
      </c>
      <c r="C69" s="1">
        <v>6.56</v>
      </c>
      <c r="D69" s="1">
        <v>39.6</v>
      </c>
      <c r="F69" s="1"/>
    </row>
    <row r="70" spans="2:6">
      <c r="B70" s="1">
        <v>67</v>
      </c>
      <c r="C70" s="1">
        <v>6.67</v>
      </c>
      <c r="D70" s="1">
        <v>40.200000000000003</v>
      </c>
      <c r="F70" s="1"/>
    </row>
    <row r="71" spans="2:6">
      <c r="B71" s="1">
        <v>68</v>
      </c>
      <c r="C71" s="1">
        <v>6.78</v>
      </c>
      <c r="D71" s="1">
        <v>40.799999999999997</v>
      </c>
      <c r="F71" s="1"/>
    </row>
    <row r="72" spans="2:6">
      <c r="B72" s="1">
        <v>69</v>
      </c>
      <c r="C72" s="1">
        <v>6.89</v>
      </c>
      <c r="D72" s="1">
        <v>41.4</v>
      </c>
      <c r="F72" s="1"/>
    </row>
    <row r="73" spans="2:6">
      <c r="B73" s="1">
        <v>70</v>
      </c>
      <c r="C73" s="1">
        <v>7</v>
      </c>
      <c r="D73" s="1">
        <v>42</v>
      </c>
      <c r="F73" s="1"/>
    </row>
    <row r="74" spans="2:6">
      <c r="B74" s="1">
        <v>71</v>
      </c>
      <c r="C74" s="1">
        <v>7.11</v>
      </c>
      <c r="D74" s="1">
        <v>42.6</v>
      </c>
      <c r="F74" s="1"/>
    </row>
    <row r="75" spans="2:6">
      <c r="B75" s="1">
        <v>72</v>
      </c>
      <c r="C75" s="1">
        <v>7.22</v>
      </c>
      <c r="D75" s="1">
        <v>43.2</v>
      </c>
      <c r="F75" s="1"/>
    </row>
    <row r="76" spans="2:6">
      <c r="B76" s="1">
        <v>73</v>
      </c>
      <c r="C76" s="1">
        <v>7.33</v>
      </c>
      <c r="D76" s="1">
        <v>43.8</v>
      </c>
      <c r="F76" s="1"/>
    </row>
    <row r="77" spans="2:6">
      <c r="B77" s="1">
        <v>74</v>
      </c>
      <c r="C77" s="1">
        <v>7.44</v>
      </c>
      <c r="D77" s="1">
        <v>44.4</v>
      </c>
      <c r="F77" s="1"/>
    </row>
    <row r="78" spans="2:6">
      <c r="B78" s="1">
        <v>75</v>
      </c>
      <c r="C78" s="1">
        <v>7.56</v>
      </c>
      <c r="D78" s="1">
        <v>45</v>
      </c>
      <c r="F78" s="1"/>
    </row>
    <row r="79" spans="2:6">
      <c r="B79" s="1">
        <v>76</v>
      </c>
      <c r="C79" s="1">
        <v>7.67</v>
      </c>
      <c r="D79" s="1">
        <v>45.6</v>
      </c>
      <c r="F79" s="1"/>
    </row>
    <row r="80" spans="2:6">
      <c r="B80" s="1">
        <v>77</v>
      </c>
      <c r="C80" s="1">
        <v>7.78</v>
      </c>
      <c r="D80" s="1">
        <v>46.2</v>
      </c>
      <c r="F80" s="1"/>
    </row>
    <row r="81" spans="2:6">
      <c r="B81" s="1">
        <v>78</v>
      </c>
      <c r="C81" s="1">
        <v>7.89</v>
      </c>
      <c r="D81" s="1">
        <v>46.8</v>
      </c>
      <c r="F81" s="1"/>
    </row>
    <row r="82" spans="2:6">
      <c r="B82" s="1">
        <v>79</v>
      </c>
      <c r="C82" s="1">
        <v>8</v>
      </c>
      <c r="D82" s="1">
        <v>47.4</v>
      </c>
      <c r="F82" s="1"/>
    </row>
    <row r="83" spans="2:6">
      <c r="B83" s="1">
        <v>80</v>
      </c>
      <c r="C83" s="1">
        <v>8.11</v>
      </c>
      <c r="D83" s="1">
        <v>48</v>
      </c>
      <c r="F83" s="1"/>
    </row>
    <row r="84" spans="2:6">
      <c r="B84" s="1">
        <v>81</v>
      </c>
      <c r="C84" s="1">
        <v>8.2200000000000006</v>
      </c>
      <c r="D84" s="1">
        <v>48.6</v>
      </c>
      <c r="F84" s="1"/>
    </row>
    <row r="85" spans="2:6">
      <c r="B85" s="1">
        <v>82</v>
      </c>
      <c r="C85" s="1">
        <v>8.33</v>
      </c>
      <c r="D85" s="1">
        <v>49.2</v>
      </c>
      <c r="F85" s="1"/>
    </row>
    <row r="86" spans="2:6">
      <c r="B86" s="1">
        <v>83</v>
      </c>
      <c r="C86" s="1">
        <v>8.44</v>
      </c>
      <c r="D86" s="1">
        <v>49.8</v>
      </c>
      <c r="F86" s="1"/>
    </row>
    <row r="87" spans="2:6">
      <c r="B87" s="1">
        <v>84</v>
      </c>
      <c r="C87" s="1">
        <v>8.56</v>
      </c>
      <c r="D87" s="1">
        <v>50.4</v>
      </c>
      <c r="F87" s="1"/>
    </row>
    <row r="88" spans="2:6">
      <c r="B88" s="1">
        <v>85</v>
      </c>
      <c r="C88" s="1">
        <v>8.67</v>
      </c>
      <c r="D88" s="1">
        <v>51</v>
      </c>
      <c r="F88" s="1"/>
    </row>
    <row r="89" spans="2:6">
      <c r="B89" s="1">
        <v>86</v>
      </c>
      <c r="C89" s="1">
        <v>8.7799999999999994</v>
      </c>
      <c r="D89" s="1">
        <v>51.6</v>
      </c>
      <c r="F89" s="1"/>
    </row>
    <row r="90" spans="2:6">
      <c r="B90" s="1">
        <v>87</v>
      </c>
      <c r="C90" s="1">
        <v>8.89</v>
      </c>
      <c r="D90" s="1">
        <v>52.2</v>
      </c>
      <c r="F90" s="1"/>
    </row>
    <row r="91" spans="2:6">
      <c r="B91" s="1">
        <v>88</v>
      </c>
      <c r="C91" s="1">
        <v>9</v>
      </c>
      <c r="D91" s="1">
        <v>52.8</v>
      </c>
      <c r="F91" s="1"/>
    </row>
    <row r="92" spans="2:6">
      <c r="B92" s="1">
        <v>89</v>
      </c>
      <c r="C92" s="1">
        <v>9.11</v>
      </c>
      <c r="D92" s="1">
        <v>53.4</v>
      </c>
      <c r="F92" s="1"/>
    </row>
    <row r="93" spans="2:6">
      <c r="B93" s="1">
        <v>90</v>
      </c>
      <c r="C93" s="1">
        <v>9.2200000000000006</v>
      </c>
      <c r="D93" s="1">
        <v>54</v>
      </c>
      <c r="F93" s="1"/>
    </row>
    <row r="94" spans="2:6">
      <c r="B94" s="1">
        <v>91</v>
      </c>
      <c r="C94" s="1">
        <v>9.33</v>
      </c>
      <c r="D94" s="1">
        <v>54.6</v>
      </c>
      <c r="F94" s="1"/>
    </row>
    <row r="95" spans="2:6">
      <c r="B95" s="1">
        <v>92</v>
      </c>
      <c r="C95" s="1">
        <v>9.44</v>
      </c>
      <c r="D95" s="1">
        <v>55.2</v>
      </c>
      <c r="F95" s="1"/>
    </row>
    <row r="96" spans="2:6">
      <c r="B96" s="1">
        <v>93</v>
      </c>
      <c r="C96" s="1">
        <v>9.56</v>
      </c>
      <c r="D96" s="1">
        <v>55.8</v>
      </c>
      <c r="F96" s="1"/>
    </row>
    <row r="97" spans="2:6">
      <c r="B97" s="1">
        <v>94</v>
      </c>
      <c r="C97" s="1">
        <v>9.67</v>
      </c>
      <c r="D97" s="1">
        <v>56.4</v>
      </c>
      <c r="F97" s="1"/>
    </row>
    <row r="98" spans="2:6">
      <c r="B98" s="1">
        <v>95</v>
      </c>
      <c r="C98" s="1">
        <v>9.7799999999999994</v>
      </c>
      <c r="D98" s="1">
        <v>57</v>
      </c>
      <c r="F98" s="1"/>
    </row>
    <row r="99" spans="2:6">
      <c r="B99" s="1">
        <v>96</v>
      </c>
      <c r="C99" s="1">
        <v>9.89</v>
      </c>
      <c r="D99" s="1">
        <v>57.6</v>
      </c>
      <c r="F99" s="1"/>
    </row>
    <row r="100" spans="2:6">
      <c r="B100" s="1">
        <v>97</v>
      </c>
      <c r="C100" s="1">
        <v>10</v>
      </c>
      <c r="D100" s="1">
        <v>58.2</v>
      </c>
      <c r="F100" s="1"/>
    </row>
    <row r="101" spans="2:6">
      <c r="B101" s="1">
        <v>98</v>
      </c>
      <c r="C101" s="1">
        <v>10.11</v>
      </c>
      <c r="D101" s="1">
        <v>58.8</v>
      </c>
      <c r="F101" s="1"/>
    </row>
    <row r="102" spans="2:6">
      <c r="B102" s="1">
        <v>99</v>
      </c>
      <c r="C102" s="1">
        <v>10.220000000000001</v>
      </c>
      <c r="D102" s="1">
        <v>59.4</v>
      </c>
      <c r="F102" s="1"/>
    </row>
    <row r="103" spans="2:6">
      <c r="B103" s="1">
        <v>100</v>
      </c>
      <c r="C103" s="1">
        <v>10.33</v>
      </c>
      <c r="D103" s="1">
        <v>60</v>
      </c>
      <c r="F103" s="1"/>
    </row>
    <row r="104" spans="2:6">
      <c r="B104" s="1">
        <v>101</v>
      </c>
      <c r="C104" s="1">
        <v>10.44</v>
      </c>
      <c r="D104" s="1">
        <v>60.6</v>
      </c>
      <c r="F104" s="1"/>
    </row>
    <row r="105" spans="2:6">
      <c r="B105" s="1">
        <v>102</v>
      </c>
      <c r="C105" s="1">
        <v>10.56</v>
      </c>
      <c r="D105" s="1">
        <v>61.2</v>
      </c>
      <c r="F105" s="1"/>
    </row>
    <row r="106" spans="2:6">
      <c r="B106" s="1">
        <v>103</v>
      </c>
      <c r="C106" s="1">
        <v>10.67</v>
      </c>
      <c r="D106" s="1">
        <v>61.8</v>
      </c>
      <c r="F106" s="1"/>
    </row>
    <row r="107" spans="2:6">
      <c r="B107" s="1">
        <v>104</v>
      </c>
      <c r="C107" s="1">
        <v>10.78</v>
      </c>
      <c r="D107" s="1">
        <v>62.4</v>
      </c>
      <c r="F107" s="1"/>
    </row>
    <row r="108" spans="2:6">
      <c r="B108" s="1">
        <v>105</v>
      </c>
      <c r="C108" s="1">
        <v>10.89</v>
      </c>
      <c r="D108" s="1">
        <v>63</v>
      </c>
      <c r="F108" s="1"/>
    </row>
    <row r="109" spans="2:6">
      <c r="B109" s="1">
        <v>106</v>
      </c>
      <c r="C109" s="1">
        <v>11</v>
      </c>
      <c r="D109" s="1">
        <v>63.6</v>
      </c>
      <c r="F109" s="1"/>
    </row>
    <row r="110" spans="2:6">
      <c r="B110" s="1">
        <v>107</v>
      </c>
      <c r="C110" s="1">
        <v>11.11</v>
      </c>
      <c r="D110" s="1">
        <v>64.2</v>
      </c>
      <c r="F110" s="1"/>
    </row>
    <row r="111" spans="2:6">
      <c r="B111" s="1">
        <v>108</v>
      </c>
      <c r="C111" s="1">
        <v>11.22</v>
      </c>
      <c r="D111" s="1">
        <v>64.8</v>
      </c>
      <c r="F111" s="1"/>
    </row>
    <row r="112" spans="2:6">
      <c r="B112" s="1">
        <v>109</v>
      </c>
      <c r="C112" s="1">
        <v>11.33</v>
      </c>
      <c r="D112" s="1">
        <v>65.400000000000006</v>
      </c>
      <c r="F112" s="1"/>
    </row>
    <row r="113" spans="2:6">
      <c r="B113" s="1">
        <v>110</v>
      </c>
      <c r="C113" s="1">
        <v>11.44</v>
      </c>
      <c r="D113" s="1">
        <v>66</v>
      </c>
      <c r="F113" s="1"/>
    </row>
    <row r="114" spans="2:6">
      <c r="B114" s="1">
        <v>111</v>
      </c>
      <c r="C114" s="1">
        <v>11.56</v>
      </c>
      <c r="D114" s="1">
        <v>66.599999999999994</v>
      </c>
      <c r="F114" s="1"/>
    </row>
    <row r="115" spans="2:6">
      <c r="B115" s="1">
        <v>112</v>
      </c>
      <c r="C115" s="1">
        <v>11.67</v>
      </c>
      <c r="D115" s="1">
        <v>67.2</v>
      </c>
      <c r="F115" s="1"/>
    </row>
    <row r="116" spans="2:6">
      <c r="B116" s="1">
        <v>113</v>
      </c>
      <c r="C116" s="1">
        <v>11.78</v>
      </c>
      <c r="D116" s="1">
        <v>67.8</v>
      </c>
      <c r="F116" s="1"/>
    </row>
    <row r="117" spans="2:6">
      <c r="B117" s="1">
        <v>114</v>
      </c>
      <c r="C117" s="1">
        <v>11.89</v>
      </c>
      <c r="D117" s="1">
        <v>68.400000000000006</v>
      </c>
      <c r="F117" s="1"/>
    </row>
    <row r="118" spans="2:6">
      <c r="B118" s="1">
        <v>115</v>
      </c>
      <c r="C118" s="1">
        <v>12</v>
      </c>
      <c r="D118" s="1">
        <v>69</v>
      </c>
      <c r="F118" s="1"/>
    </row>
    <row r="119" spans="2:6">
      <c r="B119" s="1">
        <v>116</v>
      </c>
      <c r="C119" s="1">
        <v>12.11</v>
      </c>
      <c r="D119" s="1">
        <v>69.599999999999994</v>
      </c>
      <c r="F119" s="1"/>
    </row>
    <row r="120" spans="2:6">
      <c r="B120" s="1">
        <v>117</v>
      </c>
      <c r="C120" s="1">
        <v>12.22</v>
      </c>
      <c r="D120" s="1">
        <v>70.2</v>
      </c>
      <c r="F120" s="1"/>
    </row>
    <row r="121" spans="2:6">
      <c r="B121" s="1">
        <v>118</v>
      </c>
      <c r="C121" s="1">
        <v>12.33</v>
      </c>
      <c r="D121" s="1">
        <v>70.8</v>
      </c>
      <c r="F121" s="1"/>
    </row>
    <row r="122" spans="2:6">
      <c r="B122" s="1">
        <v>119</v>
      </c>
      <c r="C122" s="1">
        <v>12.44</v>
      </c>
      <c r="D122" s="1">
        <v>71.400000000000006</v>
      </c>
      <c r="F122" s="1"/>
    </row>
    <row r="123" spans="2:6">
      <c r="B123" s="1">
        <v>120</v>
      </c>
      <c r="C123" s="1">
        <v>12.56</v>
      </c>
      <c r="D123" s="1">
        <v>72</v>
      </c>
      <c r="F123" s="1"/>
    </row>
    <row r="124" spans="2:6">
      <c r="B124" s="1">
        <v>121</v>
      </c>
      <c r="C124" s="1">
        <v>12.67</v>
      </c>
      <c r="D124" s="1">
        <v>72.599999999999994</v>
      </c>
      <c r="F124" s="1"/>
    </row>
    <row r="125" spans="2:6">
      <c r="B125" s="1">
        <v>122</v>
      </c>
      <c r="C125" s="1">
        <v>12.78</v>
      </c>
      <c r="D125" s="1">
        <v>73.2</v>
      </c>
      <c r="F125" s="1"/>
    </row>
    <row r="126" spans="2:6">
      <c r="B126" s="1">
        <v>123</v>
      </c>
      <c r="C126" s="1">
        <v>12.89</v>
      </c>
      <c r="D126" s="1">
        <v>73.8</v>
      </c>
      <c r="F126" s="1"/>
    </row>
    <row r="127" spans="2:6">
      <c r="B127" s="1">
        <v>124</v>
      </c>
      <c r="C127" s="1">
        <v>13</v>
      </c>
      <c r="D127" s="1">
        <v>74.400000000000006</v>
      </c>
      <c r="F127" s="1"/>
    </row>
    <row r="128" spans="2:6">
      <c r="B128" s="1">
        <v>125</v>
      </c>
      <c r="C128" s="1">
        <v>13.11</v>
      </c>
      <c r="D128" s="1">
        <v>75</v>
      </c>
      <c r="F128" s="1"/>
    </row>
    <row r="129" spans="2:6">
      <c r="B129" s="1">
        <v>126</v>
      </c>
      <c r="C129" s="1">
        <v>13.22</v>
      </c>
      <c r="D129" s="1">
        <v>75.599999999999994</v>
      </c>
      <c r="F129" s="1"/>
    </row>
    <row r="130" spans="2:6">
      <c r="B130" s="1">
        <v>127</v>
      </c>
      <c r="C130" s="1">
        <v>13.33</v>
      </c>
      <c r="D130" s="1">
        <v>76.2</v>
      </c>
      <c r="F130" s="1"/>
    </row>
    <row r="131" spans="2:6">
      <c r="B131" s="1">
        <v>128</v>
      </c>
      <c r="C131" s="1">
        <v>13.44</v>
      </c>
      <c r="D131" s="1">
        <v>76.8</v>
      </c>
      <c r="F131" s="1"/>
    </row>
    <row r="132" spans="2:6">
      <c r="B132" s="1">
        <v>129</v>
      </c>
      <c r="C132" s="1">
        <v>13.56</v>
      </c>
      <c r="D132" s="1">
        <v>77.400000000000006</v>
      </c>
      <c r="F132" s="1"/>
    </row>
    <row r="133" spans="2:6">
      <c r="B133" s="1">
        <v>130</v>
      </c>
      <c r="C133" s="1">
        <v>13.67</v>
      </c>
      <c r="D133" s="1">
        <v>78</v>
      </c>
      <c r="F133" s="1"/>
    </row>
    <row r="134" spans="2:6">
      <c r="B134" s="1">
        <v>131</v>
      </c>
      <c r="C134" s="1">
        <v>13.78</v>
      </c>
      <c r="D134" s="1">
        <v>78.599999999999994</v>
      </c>
      <c r="F134" s="1"/>
    </row>
    <row r="135" spans="2:6">
      <c r="B135" s="1">
        <v>132</v>
      </c>
      <c r="C135" s="1">
        <v>13.89</v>
      </c>
      <c r="D135" s="1">
        <v>79.2</v>
      </c>
      <c r="F135" s="1"/>
    </row>
    <row r="136" spans="2:6">
      <c r="B136" s="1">
        <v>133</v>
      </c>
      <c r="C136" s="1">
        <v>14</v>
      </c>
      <c r="D136" s="1">
        <v>79.8</v>
      </c>
      <c r="F136" s="1"/>
    </row>
    <row r="137" spans="2:6">
      <c r="B137" s="1">
        <v>134</v>
      </c>
      <c r="C137" s="1">
        <v>14.11</v>
      </c>
      <c r="D137" s="1">
        <v>80.400000000000006</v>
      </c>
      <c r="F137" s="1"/>
    </row>
    <row r="138" spans="2:6">
      <c r="B138" s="1">
        <v>135</v>
      </c>
      <c r="C138" s="1">
        <v>14.22</v>
      </c>
      <c r="D138" s="1">
        <v>81</v>
      </c>
      <c r="F138" s="1"/>
    </row>
    <row r="139" spans="2:6">
      <c r="B139" s="1">
        <v>136</v>
      </c>
      <c r="C139" s="1">
        <v>14.33</v>
      </c>
      <c r="D139" s="1">
        <v>81.599999999999994</v>
      </c>
      <c r="F139" s="1"/>
    </row>
    <row r="140" spans="2:6">
      <c r="B140" s="1">
        <v>137</v>
      </c>
      <c r="C140" s="1">
        <v>14.44</v>
      </c>
      <c r="D140" s="1">
        <v>82.2</v>
      </c>
      <c r="F140" s="1"/>
    </row>
    <row r="141" spans="2:6">
      <c r="B141" s="1">
        <v>138</v>
      </c>
      <c r="C141" s="1">
        <v>14.56</v>
      </c>
      <c r="D141" s="1">
        <v>82.8</v>
      </c>
      <c r="F141" s="1"/>
    </row>
    <row r="142" spans="2:6">
      <c r="B142" s="1">
        <v>139</v>
      </c>
      <c r="C142" s="1">
        <v>14.67</v>
      </c>
      <c r="D142" s="1">
        <v>83.4</v>
      </c>
      <c r="F142" s="1"/>
    </row>
    <row r="143" spans="2:6">
      <c r="B143" s="1">
        <v>140</v>
      </c>
      <c r="C143" s="1">
        <v>14.78</v>
      </c>
      <c r="D143" s="1">
        <v>84</v>
      </c>
      <c r="F143" s="1"/>
    </row>
    <row r="144" spans="2:6">
      <c r="B144" s="1">
        <v>141</v>
      </c>
      <c r="C144" s="1">
        <v>14.89</v>
      </c>
      <c r="D144" s="1">
        <v>84.6</v>
      </c>
      <c r="F144" s="1"/>
    </row>
    <row r="145" spans="2:6">
      <c r="B145" s="1">
        <v>142</v>
      </c>
      <c r="C145" s="1">
        <v>15</v>
      </c>
      <c r="D145" s="1">
        <v>85.2</v>
      </c>
      <c r="F145" s="1"/>
    </row>
    <row r="146" spans="2:6">
      <c r="B146" s="1">
        <v>143</v>
      </c>
      <c r="C146" s="1">
        <v>15.11</v>
      </c>
      <c r="D146" s="1">
        <v>85.8</v>
      </c>
      <c r="F146" s="1"/>
    </row>
    <row r="147" spans="2:6">
      <c r="B147" s="1">
        <v>144</v>
      </c>
      <c r="C147" s="1">
        <v>15.22</v>
      </c>
      <c r="D147" s="1">
        <v>86.4</v>
      </c>
      <c r="F147" s="1"/>
    </row>
    <row r="148" spans="2:6">
      <c r="B148" s="1">
        <v>145</v>
      </c>
      <c r="C148" s="1">
        <v>15.33</v>
      </c>
      <c r="D148" s="1">
        <v>87</v>
      </c>
      <c r="F148" s="1"/>
    </row>
    <row r="149" spans="2:6">
      <c r="B149" s="1">
        <v>146</v>
      </c>
      <c r="C149" s="1">
        <v>15.44</v>
      </c>
      <c r="D149" s="1">
        <v>87.6</v>
      </c>
      <c r="F149" s="1"/>
    </row>
    <row r="150" spans="2:6">
      <c r="B150" s="1">
        <v>147</v>
      </c>
      <c r="C150" s="1">
        <v>15.56</v>
      </c>
      <c r="D150" s="1">
        <v>88.2</v>
      </c>
      <c r="F150" s="1"/>
    </row>
    <row r="151" spans="2:6">
      <c r="B151" s="1">
        <v>148</v>
      </c>
      <c r="C151" s="1">
        <v>15.67</v>
      </c>
      <c r="D151" s="1">
        <v>88.8</v>
      </c>
      <c r="F151" s="1"/>
    </row>
    <row r="152" spans="2:6">
      <c r="B152" s="1">
        <v>149</v>
      </c>
      <c r="C152" s="1">
        <v>15.78</v>
      </c>
      <c r="D152" s="1">
        <v>89.4</v>
      </c>
      <c r="F152" s="1"/>
    </row>
    <row r="153" spans="2:6">
      <c r="B153" s="1">
        <v>150</v>
      </c>
      <c r="C153" s="1">
        <v>15.89</v>
      </c>
      <c r="D153" s="1">
        <v>90</v>
      </c>
      <c r="F153" s="1"/>
    </row>
    <row r="154" spans="2:6">
      <c r="B154" s="1">
        <v>151</v>
      </c>
      <c r="C154" s="1">
        <v>16</v>
      </c>
      <c r="D154" s="1">
        <v>90.6</v>
      </c>
      <c r="F154" s="1"/>
    </row>
    <row r="155" spans="2:6">
      <c r="B155" s="1">
        <v>152</v>
      </c>
      <c r="C155" s="1">
        <v>16.11</v>
      </c>
      <c r="D155" s="1">
        <v>91.2</v>
      </c>
      <c r="F155" s="1"/>
    </row>
    <row r="156" spans="2:6">
      <c r="B156" s="1">
        <v>153</v>
      </c>
      <c r="C156" s="1">
        <v>16.22</v>
      </c>
      <c r="D156" s="1">
        <v>91.8</v>
      </c>
      <c r="F156" s="1"/>
    </row>
    <row r="157" spans="2:6">
      <c r="B157" s="1">
        <v>154</v>
      </c>
      <c r="C157" s="1">
        <v>16.329999999999998</v>
      </c>
      <c r="D157" s="1">
        <v>92.4</v>
      </c>
      <c r="F157" s="1"/>
    </row>
    <row r="158" spans="2:6">
      <c r="B158" s="1">
        <v>155</v>
      </c>
      <c r="C158" s="1">
        <v>16.440000000000001</v>
      </c>
      <c r="D158" s="1">
        <v>93</v>
      </c>
      <c r="F158" s="1"/>
    </row>
    <row r="159" spans="2:6">
      <c r="B159" s="1">
        <v>156</v>
      </c>
      <c r="C159" s="1">
        <v>16.559999999999999</v>
      </c>
      <c r="D159" s="1">
        <v>93.6</v>
      </c>
      <c r="F159" s="1"/>
    </row>
    <row r="160" spans="2:6">
      <c r="B160" s="1">
        <v>157</v>
      </c>
      <c r="C160" s="1">
        <v>16.670000000000002</v>
      </c>
      <c r="D160" s="1">
        <v>94.2</v>
      </c>
      <c r="F160" s="1"/>
    </row>
    <row r="161" spans="2:6">
      <c r="B161" s="1">
        <v>158</v>
      </c>
      <c r="C161" s="1">
        <v>16.78</v>
      </c>
      <c r="D161" s="1">
        <v>94.8</v>
      </c>
      <c r="F161" s="1"/>
    </row>
    <row r="162" spans="2:6">
      <c r="B162" s="1">
        <v>159</v>
      </c>
      <c r="C162" s="1">
        <v>16.89</v>
      </c>
      <c r="D162" s="1">
        <v>95.4</v>
      </c>
      <c r="F162" s="1"/>
    </row>
    <row r="163" spans="2:6">
      <c r="B163" s="1">
        <v>160</v>
      </c>
      <c r="C163" s="1">
        <v>17</v>
      </c>
      <c r="D163" s="1">
        <v>96</v>
      </c>
      <c r="F163" s="1"/>
    </row>
    <row r="164" spans="2:6">
      <c r="B164" s="1">
        <v>161</v>
      </c>
      <c r="C164" s="1">
        <v>17.11</v>
      </c>
      <c r="D164" s="1">
        <v>96.6</v>
      </c>
      <c r="F164" s="1"/>
    </row>
    <row r="165" spans="2:6">
      <c r="B165" s="1">
        <v>162</v>
      </c>
      <c r="C165" s="1">
        <v>17.22</v>
      </c>
      <c r="D165" s="1">
        <v>97.2</v>
      </c>
      <c r="F165" s="1"/>
    </row>
    <row r="166" spans="2:6">
      <c r="B166" s="1">
        <v>163</v>
      </c>
      <c r="C166" s="1">
        <v>17.329999999999998</v>
      </c>
      <c r="D166" s="1">
        <v>97.8</v>
      </c>
      <c r="F166" s="1"/>
    </row>
    <row r="167" spans="2:6">
      <c r="B167" s="1">
        <v>164</v>
      </c>
      <c r="C167" s="1">
        <v>17.440000000000001</v>
      </c>
      <c r="D167" s="1">
        <v>98.4</v>
      </c>
      <c r="F167" s="1"/>
    </row>
    <row r="168" spans="2:6">
      <c r="B168" s="1">
        <v>165</v>
      </c>
      <c r="C168" s="1">
        <v>17.559999999999999</v>
      </c>
      <c r="D168" s="1">
        <v>99</v>
      </c>
      <c r="F168" s="1"/>
    </row>
    <row r="169" spans="2:6">
      <c r="B169" s="1">
        <v>166</v>
      </c>
      <c r="C169" s="1">
        <v>17.670000000000002</v>
      </c>
      <c r="D169" s="1">
        <v>99.6</v>
      </c>
      <c r="F169" s="1"/>
    </row>
    <row r="170" spans="2:6">
      <c r="B170" s="1">
        <v>167</v>
      </c>
      <c r="C170" s="1">
        <v>17.78</v>
      </c>
      <c r="D170" s="1">
        <v>100.2</v>
      </c>
      <c r="F170" s="1"/>
    </row>
    <row r="171" spans="2:6">
      <c r="B171" s="1">
        <v>168</v>
      </c>
      <c r="C171" s="1">
        <v>17.89</v>
      </c>
      <c r="D171" s="1">
        <v>100.8</v>
      </c>
      <c r="F171" s="1"/>
    </row>
    <row r="172" spans="2:6">
      <c r="B172" s="1">
        <v>169</v>
      </c>
      <c r="C172" s="1">
        <v>18</v>
      </c>
      <c r="D172" s="1">
        <v>101.4</v>
      </c>
      <c r="F172" s="1"/>
    </row>
    <row r="173" spans="2:6">
      <c r="B173" s="1">
        <v>170</v>
      </c>
      <c r="C173" s="1">
        <v>18.11</v>
      </c>
      <c r="D173" s="1">
        <v>102</v>
      </c>
      <c r="F173" s="1"/>
    </row>
    <row r="174" spans="2:6">
      <c r="B174" s="1">
        <v>171</v>
      </c>
      <c r="C174" s="1">
        <v>18.22</v>
      </c>
      <c r="D174" s="1">
        <v>102.6</v>
      </c>
      <c r="F174" s="1"/>
    </row>
    <row r="175" spans="2:6">
      <c r="B175" s="1">
        <v>172</v>
      </c>
      <c r="C175" s="1">
        <v>18.329999999999998</v>
      </c>
      <c r="D175" s="1">
        <v>103.2</v>
      </c>
      <c r="F175" s="1"/>
    </row>
    <row r="176" spans="2:6">
      <c r="B176" s="1">
        <v>173</v>
      </c>
      <c r="C176" s="1">
        <v>18.440000000000001</v>
      </c>
      <c r="D176" s="1">
        <v>103.8</v>
      </c>
      <c r="F176" s="1"/>
    </row>
    <row r="177" spans="2:6">
      <c r="B177" s="1">
        <v>174</v>
      </c>
      <c r="C177" s="1">
        <v>18.559999999999999</v>
      </c>
      <c r="D177" s="1">
        <v>104.4</v>
      </c>
      <c r="F177" s="1"/>
    </row>
    <row r="178" spans="2:6">
      <c r="B178" s="1">
        <v>175</v>
      </c>
      <c r="C178" s="1">
        <v>18.670000000000002</v>
      </c>
      <c r="D178" s="1">
        <v>105</v>
      </c>
      <c r="F178" s="1"/>
    </row>
    <row r="179" spans="2:6">
      <c r="B179" s="1">
        <v>176</v>
      </c>
      <c r="C179" s="1">
        <v>18.78</v>
      </c>
      <c r="D179" s="1">
        <v>105.6</v>
      </c>
      <c r="F179" s="1"/>
    </row>
    <row r="180" spans="2:6">
      <c r="B180" s="1">
        <v>177</v>
      </c>
      <c r="C180" s="1">
        <v>18.89</v>
      </c>
      <c r="D180" s="1">
        <v>106.2</v>
      </c>
      <c r="F180" s="1"/>
    </row>
    <row r="181" spans="2:6">
      <c r="B181" s="1">
        <v>178</v>
      </c>
      <c r="C181" s="1">
        <v>19</v>
      </c>
      <c r="D181" s="1">
        <v>106.8</v>
      </c>
      <c r="F181" s="1"/>
    </row>
    <row r="182" spans="2:6">
      <c r="B182" s="1">
        <v>179</v>
      </c>
      <c r="C182" s="1">
        <v>19.11</v>
      </c>
      <c r="D182" s="1">
        <v>107.4</v>
      </c>
      <c r="F182" s="1"/>
    </row>
    <row r="183" spans="2:6">
      <c r="B183" s="1">
        <v>180</v>
      </c>
      <c r="C183" s="1">
        <v>19.22</v>
      </c>
      <c r="D183" s="1">
        <v>108</v>
      </c>
      <c r="F183" s="1"/>
    </row>
    <row r="184" spans="2:6">
      <c r="B184" s="1">
        <v>181</v>
      </c>
      <c r="C184" s="1">
        <v>19.329999999999998</v>
      </c>
      <c r="D184" s="1">
        <v>108.6</v>
      </c>
      <c r="F184" s="1"/>
    </row>
    <row r="185" spans="2:6">
      <c r="B185" s="1">
        <v>182</v>
      </c>
      <c r="C185" s="1">
        <v>19.440000000000001</v>
      </c>
      <c r="D185" s="1">
        <v>109.2</v>
      </c>
      <c r="F185" s="1"/>
    </row>
    <row r="186" spans="2:6">
      <c r="B186" s="1">
        <v>183</v>
      </c>
      <c r="C186" s="1">
        <v>19.559999999999999</v>
      </c>
      <c r="D186" s="1">
        <v>109.8</v>
      </c>
      <c r="F186" s="1"/>
    </row>
    <row r="187" spans="2:6">
      <c r="B187" s="1">
        <v>184</v>
      </c>
      <c r="C187" s="1">
        <v>19.670000000000002</v>
      </c>
      <c r="D187" s="1">
        <v>110.4</v>
      </c>
      <c r="F187" s="1"/>
    </row>
    <row r="188" spans="2:6">
      <c r="B188" s="1">
        <v>185</v>
      </c>
      <c r="C188" s="1">
        <v>19.78</v>
      </c>
      <c r="D188" s="1">
        <v>111</v>
      </c>
      <c r="F188" s="1"/>
    </row>
    <row r="189" spans="2:6">
      <c r="B189" s="1">
        <v>186</v>
      </c>
      <c r="C189" s="1">
        <v>19.89</v>
      </c>
      <c r="D189" s="1">
        <v>111.6</v>
      </c>
      <c r="F189" s="1"/>
    </row>
    <row r="190" spans="2:6">
      <c r="B190" s="1">
        <v>187</v>
      </c>
      <c r="C190" s="1">
        <v>20</v>
      </c>
      <c r="D190" s="1">
        <v>112.2</v>
      </c>
      <c r="F190" s="1"/>
    </row>
    <row r="191" spans="2:6">
      <c r="B191" s="1">
        <v>188</v>
      </c>
      <c r="C191" s="1">
        <v>20.11</v>
      </c>
      <c r="D191" s="1">
        <v>112.8</v>
      </c>
      <c r="F191" s="1"/>
    </row>
    <row r="192" spans="2:6">
      <c r="B192" s="1">
        <v>189</v>
      </c>
      <c r="C192" s="1">
        <v>20.22</v>
      </c>
      <c r="D192" s="1">
        <v>113.4</v>
      </c>
      <c r="F192" s="1"/>
    </row>
    <row r="193" spans="2:4">
      <c r="B193" s="1">
        <v>190</v>
      </c>
      <c r="C193" s="1">
        <v>20.329999999999998</v>
      </c>
      <c r="D193" s="1">
        <v>114</v>
      </c>
    </row>
    <row r="194" spans="2:4">
      <c r="B194" s="1">
        <v>191</v>
      </c>
      <c r="C194" s="1">
        <v>20.440000000000001</v>
      </c>
      <c r="D194" s="1">
        <v>114.6</v>
      </c>
    </row>
    <row r="195" spans="2:4">
      <c r="B195" s="1">
        <v>192</v>
      </c>
      <c r="C195" s="1">
        <v>20.56</v>
      </c>
      <c r="D195" s="1">
        <v>115.2</v>
      </c>
    </row>
    <row r="196" spans="2:4">
      <c r="B196" s="1">
        <v>193</v>
      </c>
      <c r="C196" s="1">
        <v>20.67</v>
      </c>
      <c r="D196" s="1">
        <v>115.8</v>
      </c>
    </row>
    <row r="197" spans="2:4">
      <c r="B197" s="1">
        <v>194</v>
      </c>
      <c r="C197" s="1">
        <v>20.78</v>
      </c>
      <c r="D197" s="1">
        <v>116.4</v>
      </c>
    </row>
    <row r="198" spans="2:4">
      <c r="B198" s="1">
        <v>195</v>
      </c>
      <c r="C198" s="1">
        <v>20.89</v>
      </c>
      <c r="D198" s="1">
        <v>117</v>
      </c>
    </row>
    <row r="199" spans="2:4">
      <c r="B199" s="1">
        <v>196</v>
      </c>
      <c r="C199" s="1">
        <v>21</v>
      </c>
      <c r="D199" s="1">
        <v>117.6</v>
      </c>
    </row>
    <row r="200" spans="2:4">
      <c r="B200" s="1">
        <v>197</v>
      </c>
      <c r="C200" s="1">
        <v>21.11</v>
      </c>
      <c r="D200" s="1">
        <v>118.2</v>
      </c>
    </row>
    <row r="201" spans="2:4">
      <c r="B201" s="1">
        <v>198</v>
      </c>
      <c r="C201" s="1">
        <v>21.22</v>
      </c>
      <c r="D201" s="1">
        <v>118.8</v>
      </c>
    </row>
    <row r="202" spans="2:4">
      <c r="B202" s="1">
        <v>199</v>
      </c>
      <c r="C202" s="1">
        <v>21.33</v>
      </c>
      <c r="D202" s="1">
        <v>119.4</v>
      </c>
    </row>
    <row r="203" spans="2:4">
      <c r="B203" s="1">
        <v>200</v>
      </c>
      <c r="C203" s="1">
        <v>21.44</v>
      </c>
      <c r="D203" s="1">
        <v>120</v>
      </c>
    </row>
    <row r="204" spans="2:4">
      <c r="B204" s="1">
        <v>201</v>
      </c>
      <c r="C204" s="1">
        <v>21.56</v>
      </c>
      <c r="D204" s="1">
        <v>120.6</v>
      </c>
    </row>
    <row r="205" spans="2:4">
      <c r="B205" s="1">
        <v>202</v>
      </c>
      <c r="C205" s="1">
        <v>21.67</v>
      </c>
      <c r="D205" s="1">
        <v>121.2</v>
      </c>
    </row>
    <row r="206" spans="2:4">
      <c r="B206" s="1">
        <v>203</v>
      </c>
      <c r="C206" s="1">
        <v>21.78</v>
      </c>
      <c r="D206" s="1">
        <v>121.8</v>
      </c>
    </row>
    <row r="207" spans="2:4">
      <c r="B207" s="1">
        <v>204</v>
      </c>
      <c r="C207" s="1">
        <v>21.89</v>
      </c>
      <c r="D207" s="1">
        <v>122.4</v>
      </c>
    </row>
    <row r="208" spans="2:4">
      <c r="B208" s="1">
        <v>205</v>
      </c>
      <c r="C208" s="1">
        <v>22</v>
      </c>
      <c r="D208" s="1">
        <v>123</v>
      </c>
    </row>
    <row r="209" spans="2:4">
      <c r="B209" s="1">
        <v>206</v>
      </c>
      <c r="C209" s="1">
        <v>22.11</v>
      </c>
      <c r="D209" s="1">
        <v>123.6</v>
      </c>
    </row>
    <row r="210" spans="2:4">
      <c r="B210" s="1">
        <v>207</v>
      </c>
      <c r="C210" s="1">
        <v>22.22</v>
      </c>
      <c r="D210" s="1">
        <v>124.2</v>
      </c>
    </row>
    <row r="211" spans="2:4">
      <c r="B211" s="1">
        <v>208</v>
      </c>
      <c r="C211" s="1">
        <v>22.33</v>
      </c>
      <c r="D211" s="1">
        <v>124.8</v>
      </c>
    </row>
    <row r="212" spans="2:4">
      <c r="B212" s="1">
        <v>209</v>
      </c>
      <c r="C212" s="1">
        <v>22.44</v>
      </c>
      <c r="D212" s="1">
        <v>125.4</v>
      </c>
    </row>
    <row r="213" spans="2:4">
      <c r="B213" s="1">
        <v>210</v>
      </c>
      <c r="C213" s="1">
        <v>22.56</v>
      </c>
      <c r="D213" s="1">
        <v>126</v>
      </c>
    </row>
    <row r="214" spans="2:4">
      <c r="B214" s="1">
        <v>211</v>
      </c>
      <c r="C214" s="1">
        <v>22.67</v>
      </c>
      <c r="D214" s="1">
        <v>126.6</v>
      </c>
    </row>
    <row r="215" spans="2:4">
      <c r="B215" s="1">
        <v>212</v>
      </c>
      <c r="C215" s="1">
        <v>22.78</v>
      </c>
      <c r="D215" s="1">
        <v>127.2</v>
      </c>
    </row>
    <row r="216" spans="2:4">
      <c r="B216" s="1">
        <v>213</v>
      </c>
      <c r="C216" s="1">
        <v>22.89</v>
      </c>
      <c r="D216" s="1">
        <v>127.8</v>
      </c>
    </row>
    <row r="217" spans="2:4">
      <c r="B217" s="1">
        <v>214</v>
      </c>
      <c r="C217" s="1">
        <v>23</v>
      </c>
      <c r="D217" s="1">
        <v>128.4</v>
      </c>
    </row>
    <row r="218" spans="2:4">
      <c r="B218" s="1">
        <v>215</v>
      </c>
      <c r="C218" s="1">
        <v>23.11</v>
      </c>
      <c r="D218" s="1">
        <v>129</v>
      </c>
    </row>
    <row r="219" spans="2:4">
      <c r="B219" s="1">
        <v>216</v>
      </c>
      <c r="C219" s="1">
        <v>23.22</v>
      </c>
      <c r="D219" s="1">
        <v>129.6</v>
      </c>
    </row>
    <row r="220" spans="2:4">
      <c r="B220" s="1">
        <v>217</v>
      </c>
      <c r="C220" s="1">
        <v>23.33</v>
      </c>
      <c r="D220" s="1">
        <v>130.19999999999999</v>
      </c>
    </row>
    <row r="221" spans="2:4">
      <c r="B221" s="1">
        <v>218</v>
      </c>
      <c r="C221" s="1">
        <v>23.44</v>
      </c>
      <c r="D221" s="1">
        <v>130.80000000000001</v>
      </c>
    </row>
    <row r="222" spans="2:4">
      <c r="B222" s="1">
        <v>219</v>
      </c>
      <c r="C222" s="1">
        <v>23.56</v>
      </c>
      <c r="D222" s="1">
        <v>131.4</v>
      </c>
    </row>
    <row r="223" spans="2:4">
      <c r="B223" s="1">
        <v>220</v>
      </c>
      <c r="C223" s="1">
        <v>23.67</v>
      </c>
      <c r="D223" s="1">
        <v>132</v>
      </c>
    </row>
    <row r="224" spans="2:4">
      <c r="B224" s="1">
        <v>221</v>
      </c>
      <c r="C224" s="1">
        <v>23.78</v>
      </c>
      <c r="D224" s="1">
        <v>132.6</v>
      </c>
    </row>
    <row r="225" spans="2:4">
      <c r="B225" s="1">
        <v>222</v>
      </c>
      <c r="C225" s="1">
        <v>23.89</v>
      </c>
      <c r="D225" s="1">
        <v>133.19999999999999</v>
      </c>
    </row>
    <row r="226" spans="2:4">
      <c r="B226" s="1">
        <v>223</v>
      </c>
      <c r="C226" s="1">
        <v>24</v>
      </c>
      <c r="D226" s="1">
        <v>133.80000000000001</v>
      </c>
    </row>
    <row r="227" spans="2:4">
      <c r="B227" s="1">
        <v>224</v>
      </c>
      <c r="C227" s="1">
        <v>24.11</v>
      </c>
      <c r="D227" s="1">
        <v>134.4</v>
      </c>
    </row>
    <row r="228" spans="2:4">
      <c r="B228" s="1">
        <v>225</v>
      </c>
      <c r="C228" s="1">
        <v>24.22</v>
      </c>
      <c r="D228" s="1">
        <v>135</v>
      </c>
    </row>
    <row r="229" spans="2:4">
      <c r="B229" s="1">
        <v>226</v>
      </c>
      <c r="C229" s="1">
        <v>24.33</v>
      </c>
      <c r="D229" s="1">
        <v>135.6</v>
      </c>
    </row>
    <row r="230" spans="2:4">
      <c r="B230" s="1">
        <v>227</v>
      </c>
      <c r="C230" s="1">
        <v>24.44</v>
      </c>
      <c r="D230" s="1">
        <v>136.19999999999999</v>
      </c>
    </row>
    <row r="231" spans="2:4">
      <c r="B231" s="1">
        <v>228</v>
      </c>
      <c r="C231" s="1">
        <v>24.56</v>
      </c>
      <c r="D231" s="1">
        <v>136.80000000000001</v>
      </c>
    </row>
    <row r="232" spans="2:4">
      <c r="B232" s="1">
        <v>229</v>
      </c>
      <c r="C232" s="1">
        <v>24.67</v>
      </c>
      <c r="D232" s="1">
        <v>137.4</v>
      </c>
    </row>
    <row r="233" spans="2:4">
      <c r="B233" s="1">
        <v>230</v>
      </c>
      <c r="C233" s="1">
        <v>24.78</v>
      </c>
      <c r="D233" s="1">
        <v>138</v>
      </c>
    </row>
    <row r="234" spans="2:4">
      <c r="B234" s="1">
        <v>231</v>
      </c>
      <c r="C234" s="1">
        <v>24.89</v>
      </c>
      <c r="D234" s="1">
        <v>138.6</v>
      </c>
    </row>
    <row r="235" spans="2:4">
      <c r="B235" s="1">
        <v>232</v>
      </c>
      <c r="C235" s="1">
        <v>25</v>
      </c>
      <c r="D235" s="1">
        <v>139.19999999999999</v>
      </c>
    </row>
    <row r="236" spans="2:4">
      <c r="B236" s="1">
        <v>233</v>
      </c>
      <c r="C236" s="1">
        <v>25.11</v>
      </c>
      <c r="D236" s="1">
        <v>139.80000000000001</v>
      </c>
    </row>
    <row r="237" spans="2:4">
      <c r="B237" s="1">
        <v>234</v>
      </c>
      <c r="C237" s="1">
        <v>25.22</v>
      </c>
      <c r="D237" s="1">
        <v>140.4</v>
      </c>
    </row>
    <row r="238" spans="2:4">
      <c r="B238" s="1">
        <v>235</v>
      </c>
      <c r="C238" s="1">
        <v>25.33</v>
      </c>
      <c r="D238" s="1">
        <v>141</v>
      </c>
    </row>
    <row r="239" spans="2:4">
      <c r="B239" s="1">
        <v>236</v>
      </c>
      <c r="C239" s="1">
        <v>25.44</v>
      </c>
      <c r="D239" s="1">
        <v>141.6</v>
      </c>
    </row>
    <row r="240" spans="2:4">
      <c r="B240" s="1">
        <v>237</v>
      </c>
      <c r="C240" s="1">
        <v>25.56</v>
      </c>
      <c r="D240" s="1">
        <v>142.19999999999999</v>
      </c>
    </row>
    <row r="241" spans="2:4">
      <c r="B241" s="1">
        <v>238</v>
      </c>
      <c r="C241" s="1">
        <v>25.67</v>
      </c>
      <c r="D241" s="1">
        <v>142.80000000000001</v>
      </c>
    </row>
    <row r="242" spans="2:4">
      <c r="B242" s="1">
        <v>239</v>
      </c>
      <c r="C242" s="1">
        <v>25.78</v>
      </c>
      <c r="D242" s="1">
        <v>143.4</v>
      </c>
    </row>
    <row r="243" spans="2:4">
      <c r="B243" s="1">
        <v>240</v>
      </c>
      <c r="C243" s="1">
        <v>25.89</v>
      </c>
      <c r="D243" s="1">
        <v>144</v>
      </c>
    </row>
    <row r="244" spans="2:4">
      <c r="B244" s="1">
        <v>241</v>
      </c>
      <c r="C244" s="1">
        <v>26</v>
      </c>
      <c r="D244" s="1">
        <v>144.6</v>
      </c>
    </row>
    <row r="245" spans="2:4">
      <c r="B245" s="1">
        <v>242</v>
      </c>
      <c r="C245" s="1">
        <v>26.11</v>
      </c>
      <c r="D245" s="1">
        <v>145.19999999999999</v>
      </c>
    </row>
    <row r="246" spans="2:4">
      <c r="B246" s="1">
        <v>243</v>
      </c>
      <c r="C246" s="1">
        <v>26.22</v>
      </c>
      <c r="D246" s="1">
        <v>145.80000000000001</v>
      </c>
    </row>
    <row r="247" spans="2:4">
      <c r="B247" s="1">
        <v>244</v>
      </c>
      <c r="C247" s="1">
        <v>26.33</v>
      </c>
      <c r="D247" s="1">
        <v>146.4</v>
      </c>
    </row>
    <row r="248" spans="2:4">
      <c r="B248" s="1">
        <v>245</v>
      </c>
      <c r="C248" s="1">
        <v>26.44</v>
      </c>
      <c r="D248" s="1">
        <v>147</v>
      </c>
    </row>
    <row r="249" spans="2:4">
      <c r="B249" s="1">
        <v>246</v>
      </c>
      <c r="C249" s="1">
        <v>26.56</v>
      </c>
      <c r="D249" s="1">
        <v>147.6</v>
      </c>
    </row>
    <row r="250" spans="2:4">
      <c r="B250" s="1">
        <v>247</v>
      </c>
      <c r="C250" s="1">
        <v>26.67</v>
      </c>
      <c r="D250" s="1">
        <v>148.19999999999999</v>
      </c>
    </row>
    <row r="251" spans="2:4">
      <c r="B251" s="1">
        <v>248</v>
      </c>
      <c r="C251" s="1">
        <v>26.78</v>
      </c>
      <c r="D251" s="1">
        <v>148.80000000000001</v>
      </c>
    </row>
    <row r="252" spans="2:4">
      <c r="B252" s="1">
        <v>249</v>
      </c>
      <c r="C252" s="1">
        <v>26.89</v>
      </c>
      <c r="D252" s="1">
        <v>149.4</v>
      </c>
    </row>
    <row r="253" spans="2:4">
      <c r="B253" s="1">
        <v>250</v>
      </c>
      <c r="C253" s="1">
        <v>27</v>
      </c>
      <c r="D253" s="1">
        <v>150</v>
      </c>
    </row>
    <row r="254" spans="2:4">
      <c r="B254" s="1">
        <v>251</v>
      </c>
      <c r="C254" s="1">
        <v>27.11</v>
      </c>
      <c r="D254" s="1">
        <v>150.6</v>
      </c>
    </row>
    <row r="255" spans="2:4">
      <c r="B255" s="1">
        <v>252</v>
      </c>
      <c r="C255" s="1">
        <v>27.22</v>
      </c>
      <c r="D255" s="1">
        <v>151.19999999999999</v>
      </c>
    </row>
    <row r="256" spans="2:4">
      <c r="B256" s="1">
        <v>253</v>
      </c>
      <c r="C256" s="1">
        <v>27.33</v>
      </c>
      <c r="D256" s="1">
        <v>151.80000000000001</v>
      </c>
    </row>
    <row r="257" spans="2:4">
      <c r="B257" s="1">
        <v>254</v>
      </c>
      <c r="C257" s="1">
        <v>27.44</v>
      </c>
      <c r="D257" s="1">
        <v>152.4</v>
      </c>
    </row>
    <row r="258" spans="2:4">
      <c r="B258" s="1">
        <v>255</v>
      </c>
      <c r="C258" s="1">
        <v>27.56</v>
      </c>
      <c r="D258" s="1">
        <v>153</v>
      </c>
    </row>
    <row r="259" spans="2:4">
      <c r="B259" s="1">
        <v>256</v>
      </c>
      <c r="C259" s="1">
        <v>27.67</v>
      </c>
      <c r="D259" s="1">
        <v>153.6</v>
      </c>
    </row>
    <row r="260" spans="2:4">
      <c r="B260" s="1">
        <v>257</v>
      </c>
      <c r="C260" s="1">
        <v>27.78</v>
      </c>
      <c r="D260" s="1">
        <v>154.19999999999999</v>
      </c>
    </row>
    <row r="261" spans="2:4">
      <c r="B261" s="1">
        <v>258</v>
      </c>
      <c r="C261" s="1">
        <v>27.89</v>
      </c>
      <c r="D261" s="1">
        <v>154.80000000000001</v>
      </c>
    </row>
    <row r="262" spans="2:4">
      <c r="B262" s="1">
        <v>259</v>
      </c>
      <c r="C262" s="1">
        <v>28</v>
      </c>
      <c r="D262" s="1">
        <v>155.4</v>
      </c>
    </row>
    <row r="263" spans="2:4">
      <c r="B263" s="1">
        <v>260</v>
      </c>
      <c r="C263" s="1">
        <v>28.11</v>
      </c>
      <c r="D263" s="1">
        <v>156</v>
      </c>
    </row>
    <row r="264" spans="2:4">
      <c r="B264" s="1">
        <v>261</v>
      </c>
      <c r="C264" s="1">
        <v>28.22</v>
      </c>
      <c r="D264" s="1">
        <v>156.6</v>
      </c>
    </row>
    <row r="265" spans="2:4">
      <c r="B265" s="1">
        <v>262</v>
      </c>
      <c r="C265" s="1">
        <v>28.33</v>
      </c>
      <c r="D265" s="1">
        <v>157.19999999999999</v>
      </c>
    </row>
    <row r="266" spans="2:4">
      <c r="B266" s="1">
        <v>263</v>
      </c>
      <c r="C266" s="1">
        <v>28.44</v>
      </c>
      <c r="D266" s="1">
        <v>157.80000000000001</v>
      </c>
    </row>
    <row r="267" spans="2:4">
      <c r="B267" s="1">
        <v>264</v>
      </c>
      <c r="C267" s="1">
        <v>28.56</v>
      </c>
      <c r="D267" s="1">
        <v>158.4</v>
      </c>
    </row>
    <row r="268" spans="2:4">
      <c r="B268" s="1">
        <v>265</v>
      </c>
      <c r="C268" s="1">
        <v>28.67</v>
      </c>
      <c r="D268" s="1">
        <v>159</v>
      </c>
    </row>
    <row r="269" spans="2:4">
      <c r="B269" s="1">
        <v>266</v>
      </c>
      <c r="C269" s="1">
        <v>28.78</v>
      </c>
      <c r="D269" s="1">
        <v>159.6</v>
      </c>
    </row>
    <row r="270" spans="2:4">
      <c r="B270" s="1">
        <v>267</v>
      </c>
      <c r="C270" s="1">
        <v>28.89</v>
      </c>
      <c r="D270" s="1">
        <v>160.19999999999999</v>
      </c>
    </row>
    <row r="271" spans="2:4">
      <c r="B271" s="1">
        <v>268</v>
      </c>
      <c r="C271" s="1">
        <v>29</v>
      </c>
      <c r="D271" s="1">
        <v>160.80000000000001</v>
      </c>
    </row>
    <row r="272" spans="2:4">
      <c r="B272" s="1">
        <v>269</v>
      </c>
      <c r="C272" s="1">
        <v>29.11</v>
      </c>
      <c r="D272" s="1">
        <v>161.4</v>
      </c>
    </row>
    <row r="273" spans="2:4">
      <c r="B273" s="1">
        <v>270</v>
      </c>
      <c r="C273" s="1">
        <v>29.22</v>
      </c>
      <c r="D273" s="1">
        <v>162</v>
      </c>
    </row>
    <row r="274" spans="2:4">
      <c r="B274" s="1">
        <v>271</v>
      </c>
      <c r="C274" s="1">
        <v>29.33</v>
      </c>
      <c r="D274" s="1">
        <v>162.6</v>
      </c>
    </row>
    <row r="275" spans="2:4">
      <c r="B275" s="1">
        <v>272</v>
      </c>
      <c r="C275" s="1">
        <v>29.44</v>
      </c>
      <c r="D275" s="1">
        <v>163.19999999999999</v>
      </c>
    </row>
    <row r="276" spans="2:4">
      <c r="B276" s="1">
        <v>273</v>
      </c>
      <c r="C276" s="1">
        <v>29.56</v>
      </c>
      <c r="D276" s="1">
        <v>163.80000000000001</v>
      </c>
    </row>
    <row r="277" spans="2:4">
      <c r="B277" s="1">
        <v>274</v>
      </c>
      <c r="C277" s="1">
        <v>29.67</v>
      </c>
      <c r="D277" s="1">
        <v>164.4</v>
      </c>
    </row>
    <row r="278" spans="2:4">
      <c r="B278" s="1">
        <v>275</v>
      </c>
      <c r="C278" s="1">
        <v>29.78</v>
      </c>
      <c r="D278" s="1">
        <v>165</v>
      </c>
    </row>
    <row r="279" spans="2:4">
      <c r="B279" s="1">
        <v>276</v>
      </c>
      <c r="C279" s="1">
        <v>29.89</v>
      </c>
      <c r="D279" s="1">
        <v>165.6</v>
      </c>
    </row>
    <row r="280" spans="2:4">
      <c r="B280" s="1">
        <v>277</v>
      </c>
      <c r="C280" s="1">
        <v>30</v>
      </c>
      <c r="D280" s="1">
        <v>166.2</v>
      </c>
    </row>
    <row r="281" spans="2:4">
      <c r="B281" s="1">
        <v>278</v>
      </c>
      <c r="C281" s="1">
        <v>30.11</v>
      </c>
      <c r="D281" s="1">
        <v>166.8</v>
      </c>
    </row>
    <row r="282" spans="2:4">
      <c r="B282" s="1">
        <v>279</v>
      </c>
      <c r="C282" s="1">
        <v>30.22</v>
      </c>
      <c r="D282" s="1">
        <v>167.4</v>
      </c>
    </row>
    <row r="283" spans="2:4">
      <c r="B283" s="1">
        <v>280</v>
      </c>
      <c r="C283" s="1">
        <v>30.33</v>
      </c>
      <c r="D283" s="1">
        <v>168</v>
      </c>
    </row>
    <row r="284" spans="2:4">
      <c r="B284" s="1">
        <v>281</v>
      </c>
      <c r="C284" s="1">
        <v>30.44</v>
      </c>
      <c r="D284" s="1">
        <v>168.6</v>
      </c>
    </row>
    <row r="285" spans="2:4">
      <c r="B285" s="1">
        <v>282</v>
      </c>
      <c r="C285" s="1">
        <v>30.56</v>
      </c>
      <c r="D285" s="1">
        <v>169.2</v>
      </c>
    </row>
    <row r="286" spans="2:4">
      <c r="B286" s="1">
        <v>283</v>
      </c>
      <c r="C286" s="1">
        <v>30.67</v>
      </c>
      <c r="D286" s="1">
        <v>169.8</v>
      </c>
    </row>
    <row r="287" spans="2:4">
      <c r="B287" s="1">
        <v>284</v>
      </c>
      <c r="C287" s="1">
        <v>30.78</v>
      </c>
      <c r="D287" s="1">
        <v>170.4</v>
      </c>
    </row>
    <row r="288" spans="2:4">
      <c r="B288" s="1">
        <v>285</v>
      </c>
      <c r="C288" s="1">
        <v>30.89</v>
      </c>
      <c r="D288" s="1">
        <v>171</v>
      </c>
    </row>
    <row r="289" spans="2:4">
      <c r="B289" s="1">
        <v>286</v>
      </c>
      <c r="C289" s="1">
        <v>31</v>
      </c>
      <c r="D289" s="1">
        <v>171.6</v>
      </c>
    </row>
    <row r="290" spans="2:4">
      <c r="B290" s="1">
        <v>287</v>
      </c>
      <c r="C290" s="1">
        <v>31.11</v>
      </c>
      <c r="D290" s="1">
        <v>172.2</v>
      </c>
    </row>
    <row r="291" spans="2:4">
      <c r="B291" s="1">
        <v>288</v>
      </c>
      <c r="C291" s="1">
        <v>31.22</v>
      </c>
      <c r="D291" s="1">
        <v>172.8</v>
      </c>
    </row>
    <row r="292" spans="2:4">
      <c r="B292" s="1">
        <v>289</v>
      </c>
      <c r="C292" s="1">
        <v>31.33</v>
      </c>
      <c r="D292" s="1">
        <v>173.4</v>
      </c>
    </row>
    <row r="293" spans="2:4">
      <c r="B293" s="1">
        <v>290</v>
      </c>
      <c r="C293" s="1">
        <v>31.44</v>
      </c>
      <c r="D293" s="1">
        <v>174</v>
      </c>
    </row>
    <row r="294" spans="2:4">
      <c r="B294" s="1">
        <v>291</v>
      </c>
      <c r="C294" s="1">
        <v>31.56</v>
      </c>
      <c r="D294" s="1">
        <v>174.6</v>
      </c>
    </row>
    <row r="295" spans="2:4">
      <c r="B295" s="1">
        <v>292</v>
      </c>
      <c r="C295" s="1">
        <v>31.67</v>
      </c>
      <c r="D295" s="1">
        <v>175.2</v>
      </c>
    </row>
    <row r="296" spans="2:4">
      <c r="B296" s="1">
        <v>293</v>
      </c>
      <c r="C296" s="1">
        <v>31.78</v>
      </c>
      <c r="D296" s="1">
        <v>175.8</v>
      </c>
    </row>
    <row r="297" spans="2:4">
      <c r="B297" s="1">
        <v>294</v>
      </c>
      <c r="C297" s="1">
        <v>31.89</v>
      </c>
      <c r="D297" s="1">
        <v>176.4</v>
      </c>
    </row>
    <row r="298" spans="2:4">
      <c r="B298" s="1">
        <v>295</v>
      </c>
      <c r="C298" s="1">
        <v>32</v>
      </c>
      <c r="D298" s="1">
        <v>177</v>
      </c>
    </row>
    <row r="299" spans="2:4">
      <c r="B299" s="1">
        <v>296</v>
      </c>
      <c r="C299" s="1">
        <v>32.11</v>
      </c>
      <c r="D299" s="1">
        <v>177.6</v>
      </c>
    </row>
    <row r="300" spans="2:4">
      <c r="B300" s="1">
        <v>297</v>
      </c>
      <c r="C300" s="1">
        <v>32.22</v>
      </c>
      <c r="D300" s="1">
        <v>178.2</v>
      </c>
    </row>
    <row r="301" spans="2:4">
      <c r="B301" s="1">
        <v>298</v>
      </c>
      <c r="C301" s="1">
        <v>32.33</v>
      </c>
      <c r="D301" s="1">
        <v>178.8</v>
      </c>
    </row>
    <row r="302" spans="2:4">
      <c r="B302" s="1">
        <v>299</v>
      </c>
      <c r="C302" s="1">
        <v>32.44</v>
      </c>
      <c r="D302" s="1">
        <v>179.4</v>
      </c>
    </row>
    <row r="303" spans="2:4">
      <c r="B303" s="1">
        <v>300</v>
      </c>
      <c r="C303" s="1">
        <v>32.56</v>
      </c>
      <c r="D303" s="1">
        <v>180</v>
      </c>
    </row>
    <row r="304" spans="2:4">
      <c r="B304" s="1">
        <v>301</v>
      </c>
      <c r="C304" s="1">
        <v>32.67</v>
      </c>
      <c r="D304" s="1">
        <v>180.6</v>
      </c>
    </row>
    <row r="305" spans="2:4">
      <c r="B305" s="1">
        <v>302</v>
      </c>
      <c r="C305" s="1">
        <v>32.78</v>
      </c>
      <c r="D305" s="1">
        <v>181.2</v>
      </c>
    </row>
    <row r="306" spans="2:4">
      <c r="B306" s="1">
        <v>303</v>
      </c>
      <c r="C306" s="1">
        <v>32.89</v>
      </c>
      <c r="D306" s="1">
        <v>181.8</v>
      </c>
    </row>
    <row r="307" spans="2:4">
      <c r="B307" s="1">
        <v>304</v>
      </c>
      <c r="C307" s="1">
        <v>33</v>
      </c>
      <c r="D307" s="1">
        <v>182.4</v>
      </c>
    </row>
    <row r="308" spans="2:4">
      <c r="B308" s="1">
        <v>305</v>
      </c>
      <c r="C308" s="1">
        <v>33.11</v>
      </c>
      <c r="D308" s="1">
        <v>183</v>
      </c>
    </row>
    <row r="309" spans="2:4">
      <c r="B309" s="1">
        <v>306</v>
      </c>
      <c r="C309" s="1">
        <v>33.22</v>
      </c>
      <c r="D309" s="1">
        <v>183.6</v>
      </c>
    </row>
    <row r="310" spans="2:4">
      <c r="B310" s="1">
        <v>307</v>
      </c>
      <c r="C310" s="1">
        <v>33.33</v>
      </c>
      <c r="D310" s="1">
        <v>184.2</v>
      </c>
    </row>
    <row r="311" spans="2:4">
      <c r="B311" s="1">
        <v>308</v>
      </c>
      <c r="C311" s="1">
        <v>33.44</v>
      </c>
      <c r="D311" s="1">
        <v>184.8</v>
      </c>
    </row>
    <row r="312" spans="2:4">
      <c r="B312" s="1">
        <v>309</v>
      </c>
      <c r="C312" s="1">
        <v>33.56</v>
      </c>
      <c r="D312" s="1">
        <v>185.4</v>
      </c>
    </row>
    <row r="313" spans="2:4">
      <c r="B313" s="1">
        <v>310</v>
      </c>
      <c r="C313" s="1">
        <v>33.67</v>
      </c>
      <c r="D313" s="1">
        <v>186</v>
      </c>
    </row>
    <row r="314" spans="2:4">
      <c r="B314" s="1">
        <v>311</v>
      </c>
      <c r="C314" s="1">
        <v>33.78</v>
      </c>
      <c r="D314" s="1">
        <v>186.6</v>
      </c>
    </row>
    <row r="315" spans="2:4">
      <c r="B315" s="1">
        <v>312</v>
      </c>
      <c r="C315" s="1">
        <v>33.89</v>
      </c>
      <c r="D315" s="1">
        <v>187.2</v>
      </c>
    </row>
    <row r="316" spans="2:4">
      <c r="B316" s="1">
        <v>313</v>
      </c>
      <c r="C316" s="1">
        <v>34</v>
      </c>
      <c r="D316" s="1">
        <v>187.8</v>
      </c>
    </row>
    <row r="317" spans="2:4">
      <c r="B317" s="1">
        <v>314</v>
      </c>
      <c r="C317" s="1">
        <v>34.11</v>
      </c>
      <c r="D317" s="1">
        <v>188.4</v>
      </c>
    </row>
    <row r="318" spans="2:4">
      <c r="B318" s="1">
        <v>315</v>
      </c>
      <c r="C318" s="1">
        <v>34.22</v>
      </c>
      <c r="D318" s="1">
        <v>189</v>
      </c>
    </row>
    <row r="319" spans="2:4">
      <c r="B319" s="1">
        <v>316</v>
      </c>
      <c r="C319" s="1">
        <v>34.33</v>
      </c>
      <c r="D319" s="1">
        <v>189.6</v>
      </c>
    </row>
    <row r="320" spans="2:4">
      <c r="B320" s="1">
        <v>317</v>
      </c>
      <c r="C320" s="1">
        <v>34.44</v>
      </c>
      <c r="D320" s="1">
        <v>190.2</v>
      </c>
    </row>
    <row r="321" spans="2:4">
      <c r="B321" s="1">
        <v>318</v>
      </c>
      <c r="C321" s="1">
        <v>34.56</v>
      </c>
      <c r="D321" s="1">
        <v>190.8</v>
      </c>
    </row>
    <row r="322" spans="2:4">
      <c r="B322" s="1">
        <v>319</v>
      </c>
      <c r="C322" s="1">
        <v>34.67</v>
      </c>
      <c r="D322" s="1">
        <v>191.4</v>
      </c>
    </row>
    <row r="323" spans="2:4">
      <c r="B323" s="1">
        <v>320</v>
      </c>
      <c r="C323" s="1">
        <v>34.78</v>
      </c>
      <c r="D323" s="1">
        <v>192</v>
      </c>
    </row>
    <row r="324" spans="2:4">
      <c r="B324" s="1">
        <v>321</v>
      </c>
      <c r="C324" s="1">
        <v>34.89</v>
      </c>
      <c r="D324" s="1">
        <v>192.6</v>
      </c>
    </row>
    <row r="325" spans="2:4">
      <c r="B325" s="1">
        <v>322</v>
      </c>
      <c r="C325" s="1">
        <v>35</v>
      </c>
      <c r="D325" s="1">
        <v>193.2</v>
      </c>
    </row>
    <row r="326" spans="2:4">
      <c r="B326" s="1">
        <v>323</v>
      </c>
      <c r="C326" s="1">
        <v>35.11</v>
      </c>
      <c r="D326" s="1">
        <v>193.8</v>
      </c>
    </row>
    <row r="327" spans="2:4">
      <c r="B327" s="1">
        <v>324</v>
      </c>
      <c r="C327" s="1">
        <v>35.22</v>
      </c>
      <c r="D327" s="1">
        <v>194.4</v>
      </c>
    </row>
    <row r="328" spans="2:4">
      <c r="B328" s="1">
        <v>325</v>
      </c>
      <c r="C328" s="1">
        <v>35.33</v>
      </c>
      <c r="D328" s="1">
        <v>195</v>
      </c>
    </row>
    <row r="329" spans="2:4">
      <c r="B329" s="1">
        <v>326</v>
      </c>
      <c r="C329" s="1">
        <v>35.44</v>
      </c>
      <c r="D329" s="1">
        <v>195.6</v>
      </c>
    </row>
    <row r="330" spans="2:4">
      <c r="B330" s="1">
        <v>327</v>
      </c>
      <c r="C330" s="1">
        <v>35.56</v>
      </c>
      <c r="D330" s="1">
        <v>196.2</v>
      </c>
    </row>
    <row r="331" spans="2:4">
      <c r="B331" s="1">
        <v>328</v>
      </c>
      <c r="C331" s="1">
        <v>35.67</v>
      </c>
      <c r="D331" s="1">
        <v>196.8</v>
      </c>
    </row>
    <row r="332" spans="2:4">
      <c r="B332" s="1">
        <v>329</v>
      </c>
      <c r="C332" s="1">
        <v>35.78</v>
      </c>
      <c r="D332" s="1">
        <v>197.4</v>
      </c>
    </row>
    <row r="333" spans="2:4">
      <c r="B333" s="1">
        <v>330</v>
      </c>
      <c r="C333" s="1">
        <v>35.89</v>
      </c>
      <c r="D333" s="1">
        <v>198</v>
      </c>
    </row>
    <row r="334" spans="2:4">
      <c r="B334" s="1">
        <v>331</v>
      </c>
      <c r="C334" s="1">
        <v>36</v>
      </c>
      <c r="D334" s="1">
        <v>198.6</v>
      </c>
    </row>
    <row r="335" spans="2:4">
      <c r="B335" s="1">
        <v>332</v>
      </c>
      <c r="C335" s="1">
        <v>36.11</v>
      </c>
      <c r="D335" s="1">
        <v>199.2</v>
      </c>
    </row>
    <row r="336" spans="2:4">
      <c r="B336" s="1">
        <v>333</v>
      </c>
      <c r="C336" s="1">
        <v>36.22</v>
      </c>
      <c r="D336" s="1">
        <v>199.8</v>
      </c>
    </row>
    <row r="337" spans="2:4">
      <c r="B337" s="1">
        <v>334</v>
      </c>
      <c r="C337" s="1">
        <v>36.33</v>
      </c>
      <c r="D337" s="1">
        <v>200.4</v>
      </c>
    </row>
    <row r="338" spans="2:4">
      <c r="B338" s="1">
        <v>335</v>
      </c>
      <c r="C338" s="1">
        <v>36.44</v>
      </c>
      <c r="D338" s="1">
        <v>201</v>
      </c>
    </row>
    <row r="339" spans="2:4">
      <c r="B339" s="1">
        <v>336</v>
      </c>
      <c r="C339" s="1">
        <v>36.56</v>
      </c>
      <c r="D339" s="1">
        <v>201.6</v>
      </c>
    </row>
    <row r="340" spans="2:4">
      <c r="B340" s="1">
        <v>337</v>
      </c>
      <c r="C340" s="1">
        <v>36.67</v>
      </c>
      <c r="D340" s="1">
        <v>202.2</v>
      </c>
    </row>
    <row r="341" spans="2:4">
      <c r="B341" s="1">
        <v>338</v>
      </c>
      <c r="C341" s="1">
        <v>36.78</v>
      </c>
      <c r="D341" s="1">
        <v>202.8</v>
      </c>
    </row>
    <row r="342" spans="2:4">
      <c r="B342" s="1">
        <v>339</v>
      </c>
      <c r="C342" s="1">
        <v>36.89</v>
      </c>
      <c r="D342" s="1">
        <v>203.4</v>
      </c>
    </row>
    <row r="343" spans="2:4">
      <c r="B343" s="1">
        <v>340</v>
      </c>
      <c r="C343" s="1">
        <v>37</v>
      </c>
      <c r="D343" s="1">
        <v>204</v>
      </c>
    </row>
    <row r="344" spans="2:4">
      <c r="B344" s="1">
        <v>341</v>
      </c>
      <c r="C344" s="1">
        <v>37.11</v>
      </c>
      <c r="D344" s="1">
        <v>204.6</v>
      </c>
    </row>
    <row r="345" spans="2:4">
      <c r="B345" s="1">
        <v>342</v>
      </c>
      <c r="C345" s="1">
        <v>37.22</v>
      </c>
      <c r="D345" s="1">
        <v>205.2</v>
      </c>
    </row>
    <row r="346" spans="2:4">
      <c r="B346" s="1">
        <v>343</v>
      </c>
      <c r="C346" s="1">
        <v>37.33</v>
      </c>
      <c r="D346" s="1">
        <v>205.8</v>
      </c>
    </row>
    <row r="347" spans="2:4">
      <c r="B347" s="1">
        <v>344</v>
      </c>
      <c r="C347" s="1">
        <v>37.44</v>
      </c>
      <c r="D347" s="1">
        <v>206.4</v>
      </c>
    </row>
    <row r="348" spans="2:4">
      <c r="B348" s="1">
        <v>345</v>
      </c>
      <c r="C348" s="1">
        <v>37.56</v>
      </c>
      <c r="D348" s="1">
        <v>207</v>
      </c>
    </row>
    <row r="349" spans="2:4">
      <c r="B349" s="1">
        <v>346</v>
      </c>
      <c r="C349" s="1">
        <v>37.67</v>
      </c>
      <c r="D349" s="1">
        <v>207.6</v>
      </c>
    </row>
    <row r="350" spans="2:4">
      <c r="B350" s="1">
        <v>347</v>
      </c>
      <c r="C350" s="1">
        <v>37.78</v>
      </c>
      <c r="D350" s="1">
        <v>208.2</v>
      </c>
    </row>
    <row r="351" spans="2:4">
      <c r="B351" s="1">
        <v>348</v>
      </c>
      <c r="C351" s="1">
        <v>37.89</v>
      </c>
      <c r="D351" s="1">
        <v>208.8</v>
      </c>
    </row>
    <row r="352" spans="2:4">
      <c r="B352" s="1">
        <v>349</v>
      </c>
      <c r="C352" s="1">
        <v>38</v>
      </c>
      <c r="D352" s="1">
        <v>209.4</v>
      </c>
    </row>
    <row r="353" spans="2:4">
      <c r="B353" s="1">
        <v>350</v>
      </c>
      <c r="C353" s="1">
        <v>38.11</v>
      </c>
      <c r="D353" s="1">
        <v>210</v>
      </c>
    </row>
    <row r="354" spans="2:4">
      <c r="B354" s="1">
        <v>351</v>
      </c>
      <c r="C354" s="1">
        <v>38.22</v>
      </c>
      <c r="D354" s="1">
        <v>210.6</v>
      </c>
    </row>
    <row r="355" spans="2:4">
      <c r="B355" s="1">
        <v>352</v>
      </c>
      <c r="C355" s="1">
        <v>38.33</v>
      </c>
      <c r="D355" s="1">
        <v>211.2</v>
      </c>
    </row>
    <row r="356" spans="2:4">
      <c r="B356" s="1">
        <v>353</v>
      </c>
      <c r="C356" s="1">
        <v>38.44</v>
      </c>
      <c r="D356" s="1">
        <v>211.8</v>
      </c>
    </row>
    <row r="357" spans="2:4">
      <c r="B357" s="1">
        <v>354</v>
      </c>
      <c r="C357" s="1">
        <v>38.56</v>
      </c>
      <c r="D357" s="1">
        <v>212.4</v>
      </c>
    </row>
    <row r="358" spans="2:4">
      <c r="B358" s="1">
        <v>355</v>
      </c>
      <c r="C358" s="1">
        <v>38.67</v>
      </c>
      <c r="D358" s="1">
        <v>213</v>
      </c>
    </row>
    <row r="359" spans="2:4">
      <c r="B359" s="1">
        <v>356</v>
      </c>
      <c r="C359" s="1">
        <v>38.78</v>
      </c>
      <c r="D359" s="1">
        <v>213.6</v>
      </c>
    </row>
    <row r="360" spans="2:4">
      <c r="B360" s="1">
        <v>357</v>
      </c>
      <c r="C360" s="1">
        <v>38.89</v>
      </c>
      <c r="D360" s="1">
        <v>214.2</v>
      </c>
    </row>
    <row r="361" spans="2:4">
      <c r="B361" s="1">
        <v>358</v>
      </c>
      <c r="C361" s="1">
        <v>39</v>
      </c>
      <c r="D361" s="1">
        <v>214.8</v>
      </c>
    </row>
    <row r="362" spans="2:4">
      <c r="B362" s="1">
        <v>359</v>
      </c>
      <c r="C362" s="1">
        <v>39.11</v>
      </c>
      <c r="D362" s="1">
        <v>215.4</v>
      </c>
    </row>
    <row r="363" spans="2:4">
      <c r="B363" s="1">
        <v>360</v>
      </c>
      <c r="C363" s="1">
        <v>39.22</v>
      </c>
      <c r="D363" s="1">
        <v>216</v>
      </c>
    </row>
    <row r="364" spans="2:4">
      <c r="B364" s="1">
        <v>361</v>
      </c>
      <c r="C364" s="1">
        <v>39.33</v>
      </c>
      <c r="D364" s="1">
        <v>216.6</v>
      </c>
    </row>
    <row r="365" spans="2:4">
      <c r="B365" s="1">
        <v>362</v>
      </c>
      <c r="C365" s="1">
        <v>39.44</v>
      </c>
      <c r="D365" s="1">
        <v>217.2</v>
      </c>
    </row>
    <row r="366" spans="2:4">
      <c r="B366" s="1">
        <v>363</v>
      </c>
      <c r="C366" s="1">
        <v>39.56</v>
      </c>
      <c r="D366" s="1">
        <v>217.8</v>
      </c>
    </row>
    <row r="367" spans="2:4">
      <c r="B367" s="1">
        <v>364</v>
      </c>
      <c r="C367" s="1">
        <v>39.67</v>
      </c>
      <c r="D367" s="1">
        <v>218.4</v>
      </c>
    </row>
    <row r="368" spans="2:4">
      <c r="B368" s="1">
        <v>365</v>
      </c>
      <c r="C368" s="1">
        <v>39.78</v>
      </c>
      <c r="D368" s="1">
        <v>219</v>
      </c>
    </row>
    <row r="369" spans="2:4">
      <c r="B369" s="1">
        <v>366</v>
      </c>
      <c r="C369" s="1">
        <v>39.89</v>
      </c>
      <c r="D369" s="1">
        <v>219.6</v>
      </c>
    </row>
    <row r="370" spans="2:4">
      <c r="B370" s="1">
        <v>367</v>
      </c>
      <c r="C370" s="1">
        <v>40</v>
      </c>
      <c r="D370" s="1">
        <v>220.2</v>
      </c>
    </row>
    <row r="371" spans="2:4">
      <c r="B371" s="1">
        <v>368</v>
      </c>
      <c r="C371" s="1">
        <v>40.11</v>
      </c>
      <c r="D371" s="1">
        <v>220.8</v>
      </c>
    </row>
    <row r="372" spans="2:4">
      <c r="B372" s="1">
        <v>369</v>
      </c>
      <c r="C372" s="1">
        <v>40.22</v>
      </c>
      <c r="D372" s="1">
        <v>221.4</v>
      </c>
    </row>
    <row r="373" spans="2:4">
      <c r="B373" s="1">
        <v>370</v>
      </c>
      <c r="C373" s="1">
        <v>40.33</v>
      </c>
      <c r="D373" s="1">
        <v>222</v>
      </c>
    </row>
    <row r="374" spans="2:4">
      <c r="B374" s="1">
        <v>371</v>
      </c>
      <c r="C374" s="1">
        <v>40.44</v>
      </c>
      <c r="D374" s="1">
        <v>222.6</v>
      </c>
    </row>
    <row r="375" spans="2:4">
      <c r="B375" s="1">
        <v>372</v>
      </c>
      <c r="C375" s="1">
        <v>40.56</v>
      </c>
      <c r="D375" s="1">
        <v>223.2</v>
      </c>
    </row>
    <row r="376" spans="2:4">
      <c r="B376" s="1">
        <v>373</v>
      </c>
      <c r="C376" s="1">
        <v>40.67</v>
      </c>
      <c r="D376" s="1">
        <v>223.8</v>
      </c>
    </row>
    <row r="377" spans="2:4">
      <c r="B377" s="1">
        <v>374</v>
      </c>
      <c r="C377" s="1">
        <v>40.78</v>
      </c>
      <c r="D377" s="1">
        <v>224.4</v>
      </c>
    </row>
    <row r="378" spans="2:4">
      <c r="B378" s="1">
        <v>375</v>
      </c>
      <c r="C378" s="1">
        <v>40.89</v>
      </c>
      <c r="D378" s="1">
        <v>225</v>
      </c>
    </row>
    <row r="379" spans="2:4">
      <c r="B379" s="1">
        <v>376</v>
      </c>
      <c r="C379" s="1">
        <v>41</v>
      </c>
      <c r="D379" s="1">
        <v>225.6</v>
      </c>
    </row>
    <row r="380" spans="2:4">
      <c r="B380" s="1">
        <v>377</v>
      </c>
      <c r="C380" s="1">
        <v>41.11</v>
      </c>
      <c r="D380" s="1">
        <v>226.2</v>
      </c>
    </row>
    <row r="381" spans="2:4">
      <c r="B381" s="1">
        <v>378</v>
      </c>
      <c r="C381" s="1">
        <v>41.22</v>
      </c>
      <c r="D381" s="1">
        <v>226.8</v>
      </c>
    </row>
    <row r="382" spans="2:4">
      <c r="B382" s="1">
        <v>379</v>
      </c>
      <c r="C382" s="1">
        <v>41.33</v>
      </c>
      <c r="D382" s="1">
        <v>227.4</v>
      </c>
    </row>
    <row r="383" spans="2:4">
      <c r="B383" s="1">
        <v>380</v>
      </c>
      <c r="C383" s="1">
        <v>41.44</v>
      </c>
      <c r="D383" s="1">
        <v>228</v>
      </c>
    </row>
    <row r="384" spans="2:4">
      <c r="B384" s="1">
        <v>381</v>
      </c>
      <c r="C384" s="1">
        <v>41.56</v>
      </c>
      <c r="D384" s="1">
        <v>228.6</v>
      </c>
    </row>
    <row r="385" spans="2:4">
      <c r="B385" s="1">
        <v>382</v>
      </c>
      <c r="C385" s="1">
        <v>41.67</v>
      </c>
      <c r="D385" s="1">
        <v>229.2</v>
      </c>
    </row>
    <row r="386" spans="2:4">
      <c r="B386" s="1">
        <v>383</v>
      </c>
      <c r="C386" s="1">
        <v>41.78</v>
      </c>
      <c r="D386" s="1">
        <v>229.8</v>
      </c>
    </row>
    <row r="387" spans="2:4">
      <c r="B387" s="1">
        <v>384</v>
      </c>
      <c r="C387" s="1">
        <v>41.89</v>
      </c>
      <c r="D387" s="1">
        <v>230.4</v>
      </c>
    </row>
    <row r="388" spans="2:4">
      <c r="B388" s="1">
        <v>385</v>
      </c>
      <c r="C388" s="1">
        <v>42</v>
      </c>
      <c r="D388" s="1">
        <v>231</v>
      </c>
    </row>
    <row r="389" spans="2:4">
      <c r="B389" s="1">
        <v>386</v>
      </c>
      <c r="C389" s="1">
        <v>42.11</v>
      </c>
      <c r="D389" s="1">
        <v>231.6</v>
      </c>
    </row>
    <row r="390" spans="2:4">
      <c r="B390" s="1">
        <v>387</v>
      </c>
      <c r="C390" s="1">
        <v>42.22</v>
      </c>
      <c r="D390" s="1">
        <v>232.2</v>
      </c>
    </row>
    <row r="391" spans="2:4">
      <c r="B391" s="1">
        <v>388</v>
      </c>
      <c r="C391" s="1">
        <v>42.33</v>
      </c>
      <c r="D391" s="1">
        <v>232.8</v>
      </c>
    </row>
    <row r="392" spans="2:4">
      <c r="B392" s="1">
        <v>389</v>
      </c>
      <c r="C392" s="1">
        <v>42.44</v>
      </c>
      <c r="D392" s="1">
        <v>233.4</v>
      </c>
    </row>
    <row r="393" spans="2:4">
      <c r="B393" s="1">
        <v>390</v>
      </c>
      <c r="C393" s="1">
        <v>42.56</v>
      </c>
      <c r="D393" s="1">
        <v>234</v>
      </c>
    </row>
    <row r="394" spans="2:4">
      <c r="B394" s="1">
        <v>391</v>
      </c>
      <c r="C394" s="1">
        <v>42.67</v>
      </c>
      <c r="D394" s="1">
        <v>234.6</v>
      </c>
    </row>
    <row r="395" spans="2:4">
      <c r="B395" s="1">
        <v>392</v>
      </c>
      <c r="C395" s="1">
        <v>42.78</v>
      </c>
      <c r="D395" s="1">
        <v>235.2</v>
      </c>
    </row>
    <row r="396" spans="2:4">
      <c r="B396" s="1">
        <v>393</v>
      </c>
      <c r="C396" s="1">
        <v>42.89</v>
      </c>
      <c r="D396" s="1">
        <v>235.8</v>
      </c>
    </row>
    <row r="397" spans="2:4">
      <c r="B397" s="1">
        <v>394</v>
      </c>
      <c r="C397" s="1">
        <v>43</v>
      </c>
      <c r="D397" s="1">
        <v>236.4</v>
      </c>
    </row>
    <row r="398" spans="2:4">
      <c r="B398" s="1">
        <v>395</v>
      </c>
      <c r="C398" s="1">
        <v>43.11</v>
      </c>
      <c r="D398" s="1">
        <v>237</v>
      </c>
    </row>
    <row r="399" spans="2:4">
      <c r="B399" s="1">
        <v>396</v>
      </c>
      <c r="C399" s="1">
        <v>43.22</v>
      </c>
      <c r="D399" s="1">
        <v>237.6</v>
      </c>
    </row>
    <row r="400" spans="2:4">
      <c r="B400" s="1">
        <v>397</v>
      </c>
      <c r="C400" s="1">
        <v>43.33</v>
      </c>
      <c r="D400" s="1">
        <v>238.2</v>
      </c>
    </row>
    <row r="401" spans="2:4">
      <c r="B401" s="1">
        <v>398</v>
      </c>
      <c r="C401" s="1">
        <v>43.44</v>
      </c>
      <c r="D401" s="1">
        <v>238.8</v>
      </c>
    </row>
    <row r="402" spans="2:4">
      <c r="B402" s="1">
        <v>399</v>
      </c>
      <c r="C402" s="1">
        <v>43.56</v>
      </c>
      <c r="D402" s="1">
        <v>239.4</v>
      </c>
    </row>
    <row r="403" spans="2:4">
      <c r="B403" s="1">
        <v>400</v>
      </c>
      <c r="C403" s="1">
        <v>43.67</v>
      </c>
      <c r="D403" s="1">
        <v>240</v>
      </c>
    </row>
    <row r="404" spans="2:4">
      <c r="B404" s="1">
        <v>401</v>
      </c>
      <c r="C404" s="1">
        <v>43.78</v>
      </c>
      <c r="D404" s="1">
        <v>240.6</v>
      </c>
    </row>
    <row r="405" spans="2:4">
      <c r="B405" s="1">
        <v>402</v>
      </c>
      <c r="C405" s="1">
        <v>43.89</v>
      </c>
      <c r="D405" s="1">
        <v>241.2</v>
      </c>
    </row>
    <row r="406" spans="2:4">
      <c r="B406" s="1">
        <v>403</v>
      </c>
      <c r="C406" s="1">
        <v>44</v>
      </c>
      <c r="D406" s="1">
        <v>241.8</v>
      </c>
    </row>
    <row r="407" spans="2:4">
      <c r="B407" s="1">
        <v>404</v>
      </c>
      <c r="C407" s="1">
        <v>44.11</v>
      </c>
      <c r="D407" s="1">
        <v>242.4</v>
      </c>
    </row>
    <row r="408" spans="2:4">
      <c r="B408" s="1">
        <v>405</v>
      </c>
      <c r="C408" s="1">
        <v>44.22</v>
      </c>
      <c r="D408" s="1">
        <v>243</v>
      </c>
    </row>
    <row r="409" spans="2:4">
      <c r="B409" s="1">
        <v>406</v>
      </c>
      <c r="C409" s="1">
        <v>44.33</v>
      </c>
      <c r="D409" s="1">
        <v>243.6</v>
      </c>
    </row>
    <row r="410" spans="2:4">
      <c r="B410" s="1">
        <v>407</v>
      </c>
      <c r="C410" s="1">
        <v>44.44</v>
      </c>
      <c r="D410" s="1">
        <v>244.2</v>
      </c>
    </row>
    <row r="411" spans="2:4">
      <c r="B411" s="1">
        <v>408</v>
      </c>
      <c r="C411" s="1">
        <v>44.56</v>
      </c>
      <c r="D411" s="1">
        <v>244.8</v>
      </c>
    </row>
    <row r="412" spans="2:4">
      <c r="B412" s="1">
        <v>409</v>
      </c>
      <c r="C412" s="1">
        <v>44.67</v>
      </c>
      <c r="D412" s="1">
        <v>245.4</v>
      </c>
    </row>
    <row r="413" spans="2:4">
      <c r="B413" s="1">
        <v>410</v>
      </c>
      <c r="C413" s="1">
        <v>44.78</v>
      </c>
      <c r="D413" s="1">
        <v>246</v>
      </c>
    </row>
    <row r="414" spans="2:4">
      <c r="B414" s="1">
        <v>411</v>
      </c>
      <c r="C414" s="1">
        <v>44.89</v>
      </c>
      <c r="D414" s="1">
        <v>246.6</v>
      </c>
    </row>
    <row r="415" spans="2:4">
      <c r="B415" s="1">
        <v>412</v>
      </c>
      <c r="C415" s="1">
        <v>45</v>
      </c>
      <c r="D415" s="1">
        <v>247.2</v>
      </c>
    </row>
    <row r="416" spans="2:4">
      <c r="B416" s="1">
        <v>413</v>
      </c>
      <c r="C416" s="1">
        <v>45.11</v>
      </c>
      <c r="D416" s="1">
        <v>247.8</v>
      </c>
    </row>
    <row r="417" spans="2:4">
      <c r="B417" s="1">
        <v>414</v>
      </c>
      <c r="C417" s="1">
        <v>45.22</v>
      </c>
      <c r="D417" s="1">
        <v>248.4</v>
      </c>
    </row>
    <row r="418" spans="2:4">
      <c r="B418" s="1">
        <v>415</v>
      </c>
      <c r="C418" s="1">
        <v>45.33</v>
      </c>
      <c r="D418" s="1">
        <v>249</v>
      </c>
    </row>
    <row r="419" spans="2:4">
      <c r="B419" s="1">
        <v>416</v>
      </c>
      <c r="C419" s="1">
        <v>45.44</v>
      </c>
      <c r="D419" s="1">
        <v>249.6</v>
      </c>
    </row>
    <row r="420" spans="2:4">
      <c r="B420" s="1">
        <v>417</v>
      </c>
      <c r="C420" s="1">
        <v>45.56</v>
      </c>
      <c r="D420" s="1">
        <v>250.2</v>
      </c>
    </row>
    <row r="421" spans="2:4">
      <c r="B421" s="1">
        <v>418</v>
      </c>
      <c r="C421" s="1">
        <v>45.67</v>
      </c>
      <c r="D421" s="1">
        <v>250.8</v>
      </c>
    </row>
    <row r="422" spans="2:4">
      <c r="B422" s="1">
        <v>419</v>
      </c>
      <c r="C422" s="1">
        <v>45.78</v>
      </c>
      <c r="D422" s="1">
        <v>251.4</v>
      </c>
    </row>
    <row r="423" spans="2:4">
      <c r="B423" s="1">
        <v>420</v>
      </c>
      <c r="C423" s="1">
        <v>45.89</v>
      </c>
      <c r="D423" s="1">
        <v>252</v>
      </c>
    </row>
    <row r="424" spans="2:4">
      <c r="B424" s="1">
        <v>421</v>
      </c>
      <c r="C424" s="1">
        <v>46</v>
      </c>
      <c r="D424" s="1">
        <v>252.6</v>
      </c>
    </row>
    <row r="425" spans="2:4">
      <c r="B425" s="1">
        <v>422</v>
      </c>
      <c r="C425" s="1">
        <v>46.11</v>
      </c>
      <c r="D425" s="1">
        <v>253.2</v>
      </c>
    </row>
    <row r="426" spans="2:4">
      <c r="B426" s="1">
        <v>423</v>
      </c>
      <c r="C426" s="1">
        <v>46.22</v>
      </c>
      <c r="D426" s="1">
        <v>253.8</v>
      </c>
    </row>
    <row r="427" spans="2:4">
      <c r="B427" s="1">
        <v>424</v>
      </c>
      <c r="C427" s="1">
        <v>46.33</v>
      </c>
      <c r="D427" s="1">
        <v>254.4</v>
      </c>
    </row>
    <row r="428" spans="2:4">
      <c r="B428" s="1">
        <v>425</v>
      </c>
      <c r="C428" s="1">
        <v>46.44</v>
      </c>
      <c r="D428" s="1">
        <v>255</v>
      </c>
    </row>
    <row r="429" spans="2:4">
      <c r="B429" s="1">
        <v>426</v>
      </c>
      <c r="C429" s="1">
        <v>46.56</v>
      </c>
      <c r="D429" s="1">
        <v>255.6</v>
      </c>
    </row>
    <row r="430" spans="2:4">
      <c r="B430" s="1">
        <v>427</v>
      </c>
      <c r="C430" s="1">
        <v>46.67</v>
      </c>
      <c r="D430" s="1">
        <v>256.2</v>
      </c>
    </row>
    <row r="431" spans="2:4">
      <c r="B431" s="1">
        <v>428</v>
      </c>
      <c r="C431" s="1">
        <v>46.78</v>
      </c>
      <c r="D431" s="1">
        <v>256.8</v>
      </c>
    </row>
    <row r="432" spans="2:4">
      <c r="B432" s="1">
        <v>429</v>
      </c>
      <c r="C432" s="1">
        <v>46.89</v>
      </c>
      <c r="D432" s="1">
        <v>257.39999999999998</v>
      </c>
    </row>
    <row r="433" spans="2:4">
      <c r="B433" s="1">
        <v>430</v>
      </c>
      <c r="C433" s="1">
        <v>47</v>
      </c>
      <c r="D433" s="1">
        <v>258</v>
      </c>
    </row>
    <row r="434" spans="2:4">
      <c r="B434" s="1">
        <v>431</v>
      </c>
      <c r="C434" s="1">
        <v>47.11</v>
      </c>
      <c r="D434" s="1">
        <v>258.60000000000002</v>
      </c>
    </row>
    <row r="435" spans="2:4">
      <c r="B435" s="1">
        <v>432</v>
      </c>
      <c r="C435" s="1">
        <v>47.22</v>
      </c>
      <c r="D435" s="1">
        <v>259.2</v>
      </c>
    </row>
    <row r="436" spans="2:4">
      <c r="B436" s="1">
        <v>433</v>
      </c>
      <c r="C436" s="1">
        <v>47.33</v>
      </c>
      <c r="D436" s="1">
        <v>259.8</v>
      </c>
    </row>
    <row r="437" spans="2:4">
      <c r="B437" s="1">
        <v>434</v>
      </c>
      <c r="C437" s="1">
        <v>47.44</v>
      </c>
      <c r="D437" s="1">
        <v>260.39999999999998</v>
      </c>
    </row>
    <row r="438" spans="2:4">
      <c r="B438" s="1">
        <v>435</v>
      </c>
      <c r="C438" s="1">
        <v>47.56</v>
      </c>
      <c r="D438" s="1">
        <v>261</v>
      </c>
    </row>
    <row r="439" spans="2:4">
      <c r="B439" s="1">
        <v>436</v>
      </c>
      <c r="C439" s="1">
        <v>47.67</v>
      </c>
      <c r="D439" s="1">
        <v>261.60000000000002</v>
      </c>
    </row>
    <row r="440" spans="2:4">
      <c r="B440" s="1">
        <v>437</v>
      </c>
      <c r="C440" s="1">
        <v>47.78</v>
      </c>
      <c r="D440" s="1">
        <v>262.2</v>
      </c>
    </row>
    <row r="441" spans="2:4">
      <c r="B441" s="1">
        <v>438</v>
      </c>
      <c r="C441" s="1">
        <v>47.89</v>
      </c>
      <c r="D441" s="1">
        <v>262.8</v>
      </c>
    </row>
    <row r="442" spans="2:4">
      <c r="B442" s="1">
        <v>439</v>
      </c>
      <c r="C442" s="1">
        <v>48</v>
      </c>
      <c r="D442" s="1">
        <v>263.39999999999998</v>
      </c>
    </row>
    <row r="443" spans="2:4">
      <c r="B443" s="1">
        <v>440</v>
      </c>
      <c r="C443" s="1">
        <v>48.11</v>
      </c>
      <c r="D443" s="1">
        <v>264</v>
      </c>
    </row>
    <row r="444" spans="2:4">
      <c r="B444" s="1">
        <v>441</v>
      </c>
      <c r="C444" s="1">
        <v>48.22</v>
      </c>
      <c r="D444" s="1">
        <v>264.60000000000002</v>
      </c>
    </row>
    <row r="445" spans="2:4">
      <c r="B445" s="1">
        <v>442</v>
      </c>
      <c r="C445" s="1">
        <v>48.33</v>
      </c>
      <c r="D445" s="1">
        <v>265.2</v>
      </c>
    </row>
    <row r="446" spans="2:4">
      <c r="B446" s="1">
        <v>443</v>
      </c>
      <c r="C446" s="1">
        <v>48.44</v>
      </c>
      <c r="D446" s="1">
        <v>265.8</v>
      </c>
    </row>
    <row r="447" spans="2:4">
      <c r="B447" s="1">
        <v>444</v>
      </c>
      <c r="C447" s="1">
        <v>48.56</v>
      </c>
      <c r="D447" s="1">
        <v>266.39999999999998</v>
      </c>
    </row>
    <row r="448" spans="2:4">
      <c r="B448" s="1">
        <v>445</v>
      </c>
      <c r="C448" s="1">
        <v>48.67</v>
      </c>
      <c r="D448" s="1">
        <v>267</v>
      </c>
    </row>
    <row r="449" spans="2:4">
      <c r="B449" s="1">
        <v>446</v>
      </c>
      <c r="C449" s="1">
        <v>48.78</v>
      </c>
      <c r="D449" s="1">
        <v>267.60000000000002</v>
      </c>
    </row>
    <row r="450" spans="2:4">
      <c r="B450" s="1">
        <v>447</v>
      </c>
      <c r="C450" s="1">
        <v>48.89</v>
      </c>
      <c r="D450" s="1">
        <v>268.2</v>
      </c>
    </row>
    <row r="451" spans="2:4">
      <c r="B451" s="1">
        <v>448</v>
      </c>
      <c r="C451" s="1">
        <v>49</v>
      </c>
      <c r="D451" s="1">
        <v>268.8</v>
      </c>
    </row>
    <row r="452" spans="2:4">
      <c r="B452" s="1">
        <v>449</v>
      </c>
      <c r="C452" s="1">
        <v>49.11</v>
      </c>
      <c r="D452" s="1">
        <v>269.39999999999998</v>
      </c>
    </row>
    <row r="453" spans="2:4">
      <c r="B453" s="1">
        <v>450</v>
      </c>
      <c r="C453" s="1">
        <v>49.22</v>
      </c>
      <c r="D453" s="1">
        <v>270</v>
      </c>
    </row>
    <row r="454" spans="2:4">
      <c r="B454" s="1">
        <v>451</v>
      </c>
      <c r="C454" s="1">
        <v>49.33</v>
      </c>
      <c r="D454" s="1">
        <v>270.60000000000002</v>
      </c>
    </row>
    <row r="455" spans="2:4">
      <c r="B455" s="1">
        <v>452</v>
      </c>
      <c r="C455" s="1">
        <v>49.44</v>
      </c>
      <c r="D455" s="1">
        <v>271.2</v>
      </c>
    </row>
    <row r="456" spans="2:4">
      <c r="B456" s="1">
        <v>453</v>
      </c>
      <c r="C456" s="1">
        <v>49.56</v>
      </c>
      <c r="D456" s="1">
        <v>271.8</v>
      </c>
    </row>
    <row r="457" spans="2:4">
      <c r="B457" s="1">
        <v>454</v>
      </c>
      <c r="C457" s="1">
        <v>49.67</v>
      </c>
      <c r="D457" s="1">
        <v>272.39999999999998</v>
      </c>
    </row>
    <row r="458" spans="2:4">
      <c r="B458" s="1">
        <v>455</v>
      </c>
      <c r="C458" s="1">
        <v>49.78</v>
      </c>
      <c r="D458" s="1">
        <v>273</v>
      </c>
    </row>
    <row r="459" spans="2:4">
      <c r="B459" s="1">
        <v>456</v>
      </c>
      <c r="C459" s="1">
        <v>49.89</v>
      </c>
      <c r="D459" s="1">
        <v>273.60000000000002</v>
      </c>
    </row>
    <row r="460" spans="2:4">
      <c r="B460" s="1">
        <v>457</v>
      </c>
      <c r="C460" s="1">
        <v>50</v>
      </c>
      <c r="D460" s="1">
        <v>274.2</v>
      </c>
    </row>
    <row r="461" spans="2:4">
      <c r="B461" s="1">
        <v>458</v>
      </c>
      <c r="C461" s="1">
        <v>50.11</v>
      </c>
      <c r="D461" s="1">
        <v>274.8</v>
      </c>
    </row>
    <row r="462" spans="2:4">
      <c r="B462" s="1">
        <v>459</v>
      </c>
      <c r="C462" s="1">
        <v>50.22</v>
      </c>
      <c r="D462" s="1">
        <v>275.39999999999998</v>
      </c>
    </row>
    <row r="463" spans="2:4">
      <c r="B463" s="1">
        <v>460</v>
      </c>
      <c r="C463" s="1">
        <v>50.33</v>
      </c>
      <c r="D463" s="1">
        <v>276</v>
      </c>
    </row>
    <row r="464" spans="2:4">
      <c r="B464" s="1">
        <v>461</v>
      </c>
      <c r="C464" s="1">
        <v>50.44</v>
      </c>
      <c r="D464" s="1">
        <v>276.60000000000002</v>
      </c>
    </row>
    <row r="465" spans="2:4">
      <c r="B465" s="1">
        <v>462</v>
      </c>
      <c r="C465" s="1">
        <v>50.56</v>
      </c>
      <c r="D465" s="1">
        <v>277.2</v>
      </c>
    </row>
    <row r="466" spans="2:4">
      <c r="B466" s="1">
        <v>463</v>
      </c>
      <c r="C466" s="1">
        <v>50.67</v>
      </c>
      <c r="D466" s="1">
        <v>277.8</v>
      </c>
    </row>
    <row r="467" spans="2:4">
      <c r="B467" s="1">
        <v>464</v>
      </c>
      <c r="C467" s="1">
        <v>50.78</v>
      </c>
      <c r="D467" s="1">
        <v>278.39999999999998</v>
      </c>
    </row>
    <row r="468" spans="2:4">
      <c r="B468" s="1">
        <v>465</v>
      </c>
      <c r="C468" s="1">
        <v>50.89</v>
      </c>
      <c r="D468" s="1">
        <v>279</v>
      </c>
    </row>
    <row r="469" spans="2:4">
      <c r="B469" s="1">
        <v>466</v>
      </c>
      <c r="C469" s="1">
        <v>51</v>
      </c>
      <c r="D469" s="1">
        <v>279.60000000000002</v>
      </c>
    </row>
    <row r="470" spans="2:4">
      <c r="B470" s="1">
        <v>467</v>
      </c>
      <c r="C470" s="1">
        <v>51.11</v>
      </c>
      <c r="D470" s="1">
        <v>280.2</v>
      </c>
    </row>
    <row r="471" spans="2:4">
      <c r="B471" s="1">
        <v>468</v>
      </c>
      <c r="C471" s="1">
        <v>51.22</v>
      </c>
      <c r="D471" s="1">
        <v>280.8</v>
      </c>
    </row>
    <row r="472" spans="2:4">
      <c r="B472" s="1">
        <v>469</v>
      </c>
      <c r="C472" s="1">
        <v>51.33</v>
      </c>
      <c r="D472" s="1">
        <v>281.39999999999998</v>
      </c>
    </row>
    <row r="473" spans="2:4">
      <c r="B473" s="1">
        <v>470</v>
      </c>
      <c r="C473" s="1">
        <v>51.44</v>
      </c>
      <c r="D473" s="1">
        <v>282</v>
      </c>
    </row>
    <row r="474" spans="2:4">
      <c r="B474" s="1">
        <v>471</v>
      </c>
      <c r="C474" s="1">
        <v>51.56</v>
      </c>
      <c r="D474" s="1">
        <v>282.60000000000002</v>
      </c>
    </row>
    <row r="475" spans="2:4">
      <c r="B475" s="1">
        <v>472</v>
      </c>
      <c r="C475" s="1">
        <v>51.67</v>
      </c>
      <c r="D475" s="1">
        <v>283.2</v>
      </c>
    </row>
    <row r="476" spans="2:4">
      <c r="B476" s="1">
        <v>473</v>
      </c>
      <c r="C476" s="1">
        <v>51.78</v>
      </c>
      <c r="D476" s="1">
        <v>283.8</v>
      </c>
    </row>
    <row r="477" spans="2:4">
      <c r="B477" s="1">
        <v>474</v>
      </c>
      <c r="C477" s="1">
        <v>51.89</v>
      </c>
      <c r="D477" s="1">
        <v>284.39999999999998</v>
      </c>
    </row>
    <row r="478" spans="2:4">
      <c r="B478" s="1">
        <v>475</v>
      </c>
      <c r="C478" s="1">
        <v>52</v>
      </c>
      <c r="D478" s="1">
        <v>285</v>
      </c>
    </row>
    <row r="479" spans="2:4">
      <c r="B479" s="1">
        <v>476</v>
      </c>
      <c r="C479" s="1">
        <v>52.11</v>
      </c>
      <c r="D479" s="1">
        <v>285.60000000000002</v>
      </c>
    </row>
    <row r="480" spans="2:4">
      <c r="B480" s="1">
        <v>477</v>
      </c>
      <c r="C480" s="1">
        <v>52.22</v>
      </c>
      <c r="D480" s="1">
        <v>286.2</v>
      </c>
    </row>
    <row r="481" spans="2:4">
      <c r="B481" s="1">
        <v>478</v>
      </c>
      <c r="C481" s="1">
        <v>52.33</v>
      </c>
      <c r="D481" s="1">
        <v>286.8</v>
      </c>
    </row>
    <row r="482" spans="2:4">
      <c r="B482" s="1">
        <v>479</v>
      </c>
      <c r="C482" s="1">
        <v>52.44</v>
      </c>
      <c r="D482" s="1">
        <v>287.39999999999998</v>
      </c>
    </row>
    <row r="483" spans="2:4">
      <c r="B483" s="1">
        <v>480</v>
      </c>
      <c r="C483" s="1">
        <v>52.56</v>
      </c>
      <c r="D483" s="1">
        <v>288</v>
      </c>
    </row>
    <row r="484" spans="2:4">
      <c r="B484" s="1">
        <v>481</v>
      </c>
      <c r="C484" s="1">
        <v>52.67</v>
      </c>
      <c r="D484" s="1">
        <v>288.60000000000002</v>
      </c>
    </row>
    <row r="485" spans="2:4">
      <c r="B485" s="1">
        <v>482</v>
      </c>
      <c r="C485" s="1">
        <v>52.78</v>
      </c>
      <c r="D485" s="1">
        <v>289.2</v>
      </c>
    </row>
    <row r="486" spans="2:4">
      <c r="B486" s="1">
        <v>483</v>
      </c>
      <c r="C486" s="1">
        <v>52.89</v>
      </c>
      <c r="D486" s="1">
        <v>289.8</v>
      </c>
    </row>
    <row r="487" spans="2:4">
      <c r="B487" s="1">
        <v>484</v>
      </c>
      <c r="C487" s="1">
        <v>53</v>
      </c>
      <c r="D487" s="1">
        <v>290.39999999999998</v>
      </c>
    </row>
    <row r="488" spans="2:4">
      <c r="B488" s="1">
        <v>485</v>
      </c>
      <c r="C488" s="1">
        <v>53.11</v>
      </c>
      <c r="D488" s="1">
        <v>291</v>
      </c>
    </row>
    <row r="489" spans="2:4">
      <c r="B489" s="1">
        <v>486</v>
      </c>
      <c r="C489" s="1">
        <v>53.22</v>
      </c>
      <c r="D489" s="1">
        <v>291.60000000000002</v>
      </c>
    </row>
    <row r="490" spans="2:4">
      <c r="B490" s="1">
        <v>487</v>
      </c>
      <c r="C490" s="1">
        <v>53.33</v>
      </c>
      <c r="D490" s="1">
        <v>292.2</v>
      </c>
    </row>
    <row r="491" spans="2:4">
      <c r="B491" s="1">
        <v>488</v>
      </c>
      <c r="C491" s="1">
        <v>53.44</v>
      </c>
      <c r="D491" s="1">
        <v>292.8</v>
      </c>
    </row>
    <row r="492" spans="2:4">
      <c r="B492" s="1">
        <v>489</v>
      </c>
      <c r="C492" s="1">
        <v>53.56</v>
      </c>
      <c r="D492" s="1">
        <v>293.39999999999998</v>
      </c>
    </row>
    <row r="493" spans="2:4">
      <c r="B493" s="1">
        <v>490</v>
      </c>
      <c r="C493" s="1">
        <v>53.67</v>
      </c>
      <c r="D493" s="1">
        <v>294</v>
      </c>
    </row>
    <row r="494" spans="2:4">
      <c r="B494" s="1">
        <v>491</v>
      </c>
      <c r="C494" s="1">
        <v>53.78</v>
      </c>
      <c r="D494" s="1">
        <v>294.60000000000002</v>
      </c>
    </row>
    <row r="495" spans="2:4">
      <c r="B495" s="1">
        <v>492</v>
      </c>
      <c r="C495" s="1">
        <v>53.89</v>
      </c>
      <c r="D495" s="1">
        <v>295.2</v>
      </c>
    </row>
    <row r="496" spans="2:4">
      <c r="B496" s="1">
        <v>493</v>
      </c>
      <c r="C496" s="1">
        <v>54</v>
      </c>
      <c r="D496" s="1">
        <v>295.8</v>
      </c>
    </row>
    <row r="497" spans="2:4">
      <c r="B497" s="1">
        <v>494</v>
      </c>
      <c r="C497" s="1">
        <v>54.11</v>
      </c>
      <c r="D497" s="1">
        <v>296.39999999999998</v>
      </c>
    </row>
    <row r="498" spans="2:4">
      <c r="B498" s="1">
        <v>495</v>
      </c>
      <c r="C498" s="1">
        <v>54.22</v>
      </c>
      <c r="D498" s="1">
        <v>297</v>
      </c>
    </row>
    <row r="499" spans="2:4">
      <c r="B499" s="1">
        <v>496</v>
      </c>
      <c r="C499" s="1">
        <v>54.33</v>
      </c>
      <c r="D499" s="1">
        <v>297.60000000000002</v>
      </c>
    </row>
    <row r="500" spans="2:4">
      <c r="B500" s="1">
        <v>497</v>
      </c>
      <c r="C500" s="1">
        <v>54.44</v>
      </c>
      <c r="D500" s="1">
        <v>298.2</v>
      </c>
    </row>
    <row r="501" spans="2:4">
      <c r="B501" s="1">
        <v>498</v>
      </c>
      <c r="C501" s="1">
        <v>54.56</v>
      </c>
      <c r="D501" s="1">
        <v>298.8</v>
      </c>
    </row>
    <row r="502" spans="2:4">
      <c r="B502" s="1">
        <v>499</v>
      </c>
      <c r="C502" s="1">
        <v>54.67</v>
      </c>
      <c r="D502" s="1">
        <v>299.39999999999998</v>
      </c>
    </row>
    <row r="503" spans="2:4">
      <c r="B503" s="1">
        <v>500</v>
      </c>
      <c r="C503" s="1">
        <v>54.78</v>
      </c>
      <c r="D503" s="1">
        <v>300</v>
      </c>
    </row>
    <row r="504" spans="2:4">
      <c r="B504" s="1">
        <v>501</v>
      </c>
      <c r="C504" s="1">
        <v>54.89</v>
      </c>
      <c r="D504" s="1">
        <v>300.60000000000002</v>
      </c>
    </row>
    <row r="505" spans="2:4">
      <c r="B505" s="1">
        <v>502</v>
      </c>
      <c r="C505" s="1">
        <v>55</v>
      </c>
      <c r="D505" s="1">
        <v>301.2</v>
      </c>
    </row>
    <row r="506" spans="2:4">
      <c r="B506" s="1">
        <v>503</v>
      </c>
      <c r="C506" s="1">
        <v>55.11</v>
      </c>
      <c r="D506" s="1">
        <v>301.8</v>
      </c>
    </row>
    <row r="507" spans="2:4">
      <c r="B507" s="1">
        <v>504</v>
      </c>
      <c r="C507" s="1">
        <v>55.22</v>
      </c>
      <c r="D507" s="1">
        <v>302.39999999999998</v>
      </c>
    </row>
    <row r="508" spans="2:4">
      <c r="B508" s="1">
        <v>505</v>
      </c>
      <c r="C508" s="1">
        <v>55.33</v>
      </c>
      <c r="D508" s="1">
        <v>303</v>
      </c>
    </row>
    <row r="509" spans="2:4">
      <c r="B509" s="1">
        <v>506</v>
      </c>
      <c r="C509" s="1">
        <v>55.44</v>
      </c>
      <c r="D509" s="1">
        <v>303.60000000000002</v>
      </c>
    </row>
    <row r="510" spans="2:4">
      <c r="B510" s="1">
        <v>507</v>
      </c>
      <c r="C510" s="1">
        <v>55.56</v>
      </c>
      <c r="D510" s="1">
        <v>304.2</v>
      </c>
    </row>
    <row r="511" spans="2:4">
      <c r="B511" s="1">
        <v>508</v>
      </c>
      <c r="C511" s="1">
        <v>55.67</v>
      </c>
      <c r="D511" s="1">
        <v>304.8</v>
      </c>
    </row>
    <row r="512" spans="2:4">
      <c r="B512" s="1">
        <v>509</v>
      </c>
      <c r="C512" s="1">
        <v>55.78</v>
      </c>
      <c r="D512" s="1">
        <v>305.39999999999998</v>
      </c>
    </row>
    <row r="513" spans="2:4">
      <c r="B513" s="1">
        <v>510</v>
      </c>
      <c r="C513" s="1">
        <v>55.89</v>
      </c>
      <c r="D513" s="1">
        <v>306</v>
      </c>
    </row>
    <row r="514" spans="2:4">
      <c r="B514" s="1">
        <v>511</v>
      </c>
      <c r="C514" s="1">
        <v>56</v>
      </c>
      <c r="D514" s="1">
        <v>306.60000000000002</v>
      </c>
    </row>
    <row r="515" spans="2:4">
      <c r="B515" s="1">
        <v>512</v>
      </c>
      <c r="C515" s="1">
        <v>56.11</v>
      </c>
      <c r="D515" s="1">
        <v>307.2</v>
      </c>
    </row>
    <row r="516" spans="2:4">
      <c r="B516" s="1">
        <v>513</v>
      </c>
      <c r="C516" s="1">
        <v>56.22</v>
      </c>
      <c r="D516" s="1">
        <v>307.8</v>
      </c>
    </row>
    <row r="517" spans="2:4">
      <c r="B517" s="1">
        <v>514</v>
      </c>
      <c r="C517" s="1">
        <v>56.33</v>
      </c>
      <c r="D517" s="1">
        <v>308.39999999999998</v>
      </c>
    </row>
    <row r="518" spans="2:4">
      <c r="B518" s="1">
        <v>515</v>
      </c>
      <c r="C518" s="1">
        <v>56.44</v>
      </c>
      <c r="D518" s="1">
        <v>309</v>
      </c>
    </row>
    <row r="519" spans="2:4">
      <c r="B519" s="1">
        <v>516</v>
      </c>
      <c r="C519" s="1">
        <v>56.56</v>
      </c>
      <c r="D519" s="1">
        <v>309.60000000000002</v>
      </c>
    </row>
    <row r="520" spans="2:4">
      <c r="B520" s="1">
        <v>517</v>
      </c>
      <c r="C520" s="1">
        <v>56.67</v>
      </c>
      <c r="D520" s="1">
        <v>310.2</v>
      </c>
    </row>
    <row r="521" spans="2:4">
      <c r="B521" s="1">
        <v>518</v>
      </c>
      <c r="C521" s="1">
        <v>56.78</v>
      </c>
      <c r="D521" s="1">
        <v>310.8</v>
      </c>
    </row>
    <row r="522" spans="2:4">
      <c r="B522" s="1">
        <v>519</v>
      </c>
      <c r="C522" s="1">
        <v>56.89</v>
      </c>
      <c r="D522" s="1">
        <v>311.39999999999998</v>
      </c>
    </row>
    <row r="523" spans="2:4">
      <c r="B523" s="1">
        <v>520</v>
      </c>
      <c r="C523" s="1">
        <v>57</v>
      </c>
      <c r="D523" s="1">
        <v>312</v>
      </c>
    </row>
    <row r="524" spans="2:4">
      <c r="B524" s="1">
        <v>521</v>
      </c>
      <c r="C524" s="1">
        <v>57.11</v>
      </c>
      <c r="D524" s="1">
        <v>312.60000000000002</v>
      </c>
    </row>
    <row r="525" spans="2:4">
      <c r="B525" s="1">
        <v>522</v>
      </c>
      <c r="C525" s="1">
        <v>57.22</v>
      </c>
      <c r="D525" s="1">
        <v>313.2</v>
      </c>
    </row>
    <row r="526" spans="2:4">
      <c r="B526" s="1">
        <v>523</v>
      </c>
      <c r="C526" s="1">
        <v>57.33</v>
      </c>
      <c r="D526" s="1">
        <v>313.8</v>
      </c>
    </row>
    <row r="527" spans="2:4">
      <c r="B527" s="1">
        <v>524</v>
      </c>
      <c r="C527" s="1">
        <v>57.44</v>
      </c>
      <c r="D527" s="1">
        <v>314.39999999999998</v>
      </c>
    </row>
    <row r="528" spans="2:4">
      <c r="B528" s="1">
        <v>525</v>
      </c>
      <c r="C528" s="1">
        <v>57.56</v>
      </c>
      <c r="D528" s="1">
        <v>315</v>
      </c>
    </row>
    <row r="529" spans="2:4">
      <c r="B529" s="1">
        <v>526</v>
      </c>
      <c r="C529" s="1">
        <v>57.67</v>
      </c>
      <c r="D529" s="1">
        <v>315.60000000000002</v>
      </c>
    </row>
    <row r="530" spans="2:4">
      <c r="B530" s="1">
        <v>527</v>
      </c>
      <c r="C530" s="1">
        <v>57.78</v>
      </c>
      <c r="D530" s="1">
        <v>316.2</v>
      </c>
    </row>
    <row r="531" spans="2:4">
      <c r="B531" s="1">
        <v>528</v>
      </c>
      <c r="C531" s="1">
        <v>57.89</v>
      </c>
      <c r="D531" s="1">
        <v>316.8</v>
      </c>
    </row>
    <row r="532" spans="2:4">
      <c r="B532" s="1">
        <v>529</v>
      </c>
      <c r="C532" s="1">
        <v>58</v>
      </c>
      <c r="D532" s="1">
        <v>317.39999999999998</v>
      </c>
    </row>
    <row r="533" spans="2:4">
      <c r="B533" s="1">
        <v>530</v>
      </c>
      <c r="C533" s="1">
        <v>58.11</v>
      </c>
      <c r="D533" s="1">
        <v>318</v>
      </c>
    </row>
    <row r="534" spans="2:4">
      <c r="B534" s="1">
        <v>531</v>
      </c>
      <c r="C534" s="1">
        <v>58.22</v>
      </c>
      <c r="D534" s="1">
        <v>318.60000000000002</v>
      </c>
    </row>
    <row r="535" spans="2:4">
      <c r="B535" s="1">
        <v>532</v>
      </c>
      <c r="C535" s="1">
        <v>58.33</v>
      </c>
      <c r="D535" s="1">
        <v>319.2</v>
      </c>
    </row>
    <row r="536" spans="2:4">
      <c r="B536" s="1">
        <v>533</v>
      </c>
      <c r="C536" s="1">
        <v>58.44</v>
      </c>
      <c r="D536" s="1">
        <v>319.8</v>
      </c>
    </row>
    <row r="537" spans="2:4">
      <c r="B537" s="1">
        <v>534</v>
      </c>
      <c r="C537" s="1">
        <v>58.56</v>
      </c>
      <c r="D537" s="1">
        <v>320.39999999999998</v>
      </c>
    </row>
    <row r="538" spans="2:4">
      <c r="B538" s="1">
        <v>535</v>
      </c>
      <c r="C538" s="1">
        <v>58.67</v>
      </c>
      <c r="D538" s="1">
        <v>321</v>
      </c>
    </row>
    <row r="539" spans="2:4">
      <c r="B539" s="1">
        <v>536</v>
      </c>
      <c r="C539" s="1">
        <v>58.78</v>
      </c>
      <c r="D539" s="1">
        <v>321.60000000000002</v>
      </c>
    </row>
    <row r="540" spans="2:4">
      <c r="B540" s="1">
        <v>537</v>
      </c>
      <c r="C540" s="1">
        <v>58.89</v>
      </c>
      <c r="D540" s="1">
        <v>322.2</v>
      </c>
    </row>
    <row r="541" spans="2:4">
      <c r="B541" s="1">
        <v>538</v>
      </c>
      <c r="C541" s="1">
        <v>59</v>
      </c>
      <c r="D541" s="1">
        <v>322.8</v>
      </c>
    </row>
    <row r="542" spans="2:4">
      <c r="B542" s="1">
        <v>539</v>
      </c>
      <c r="C542" s="1">
        <v>59.11</v>
      </c>
      <c r="D542" s="1">
        <v>323.39999999999998</v>
      </c>
    </row>
    <row r="543" spans="2:4">
      <c r="B543" s="1">
        <v>540</v>
      </c>
      <c r="C543" s="1">
        <v>59.22</v>
      </c>
      <c r="D543" s="1">
        <v>324</v>
      </c>
    </row>
    <row r="544" spans="2:4">
      <c r="B544" s="1">
        <v>541</v>
      </c>
      <c r="C544" s="1">
        <v>59.33</v>
      </c>
      <c r="D544" s="1">
        <v>324.60000000000002</v>
      </c>
    </row>
    <row r="545" spans="2:4">
      <c r="B545" s="1">
        <v>542</v>
      </c>
      <c r="C545" s="1">
        <v>59.44</v>
      </c>
      <c r="D545" s="1">
        <v>325.2</v>
      </c>
    </row>
    <row r="546" spans="2:4">
      <c r="B546" s="1">
        <v>543</v>
      </c>
      <c r="C546" s="1">
        <v>59.56</v>
      </c>
      <c r="D546" s="1">
        <v>325.8</v>
      </c>
    </row>
    <row r="547" spans="2:4">
      <c r="B547" s="1">
        <v>544</v>
      </c>
      <c r="C547" s="1">
        <v>59.67</v>
      </c>
      <c r="D547" s="1">
        <v>326.39999999999998</v>
      </c>
    </row>
    <row r="548" spans="2:4">
      <c r="B548" s="1">
        <v>545</v>
      </c>
      <c r="C548" s="1">
        <v>59.78</v>
      </c>
      <c r="D548" s="1">
        <v>327</v>
      </c>
    </row>
    <row r="549" spans="2:4">
      <c r="B549" s="1">
        <v>546</v>
      </c>
      <c r="C549" s="1">
        <v>59.89</v>
      </c>
      <c r="D549" s="1">
        <v>327.60000000000002</v>
      </c>
    </row>
    <row r="550" spans="2:4">
      <c r="B550" s="1">
        <v>547</v>
      </c>
      <c r="C550" s="1">
        <v>60</v>
      </c>
      <c r="D550" s="1">
        <v>328.2</v>
      </c>
    </row>
    <row r="551" spans="2:4">
      <c r="B551" s="1">
        <v>548</v>
      </c>
      <c r="C551" s="1">
        <v>60.11</v>
      </c>
      <c r="D551" s="1">
        <v>328.8</v>
      </c>
    </row>
    <row r="552" spans="2:4">
      <c r="B552" s="1">
        <v>549</v>
      </c>
      <c r="C552" s="1">
        <v>60.22</v>
      </c>
      <c r="D552" s="1">
        <v>329.4</v>
      </c>
    </row>
    <row r="553" spans="2:4">
      <c r="B553" s="1">
        <v>550</v>
      </c>
      <c r="C553" s="1">
        <v>60.33</v>
      </c>
      <c r="D553" s="1">
        <v>330</v>
      </c>
    </row>
    <row r="554" spans="2:4">
      <c r="B554" s="1">
        <v>551</v>
      </c>
      <c r="C554" s="1">
        <v>60.44</v>
      </c>
      <c r="D554" s="1">
        <v>330.6</v>
      </c>
    </row>
    <row r="555" spans="2:4">
      <c r="B555" s="1">
        <v>552</v>
      </c>
      <c r="C555" s="1">
        <v>60.56</v>
      </c>
      <c r="D555" s="1">
        <v>331.2</v>
      </c>
    </row>
    <row r="556" spans="2:4">
      <c r="B556" s="1">
        <v>553</v>
      </c>
      <c r="C556" s="1">
        <v>60.67</v>
      </c>
      <c r="D556" s="1">
        <v>331.8</v>
      </c>
    </row>
    <row r="557" spans="2:4">
      <c r="B557" s="1">
        <v>554</v>
      </c>
      <c r="C557" s="1">
        <v>60.78</v>
      </c>
      <c r="D557" s="1">
        <v>332.4</v>
      </c>
    </row>
    <row r="558" spans="2:4">
      <c r="B558" s="1">
        <v>555</v>
      </c>
      <c r="C558" s="1">
        <v>60.89</v>
      </c>
      <c r="D558" s="1">
        <v>333</v>
      </c>
    </row>
    <row r="559" spans="2:4">
      <c r="B559" s="1">
        <v>556</v>
      </c>
      <c r="C559" s="1">
        <v>61</v>
      </c>
      <c r="D559" s="1">
        <v>333.6</v>
      </c>
    </row>
    <row r="560" spans="2:4">
      <c r="B560" s="1">
        <v>557</v>
      </c>
      <c r="C560" s="1">
        <v>61.11</v>
      </c>
      <c r="D560" s="1">
        <v>334.2</v>
      </c>
    </row>
    <row r="561" spans="2:4">
      <c r="B561" s="1">
        <v>558</v>
      </c>
      <c r="C561" s="1">
        <v>61.22</v>
      </c>
      <c r="D561" s="1">
        <v>334.8</v>
      </c>
    </row>
    <row r="562" spans="2:4">
      <c r="B562" s="1">
        <v>559</v>
      </c>
      <c r="C562" s="1">
        <v>61.33</v>
      </c>
      <c r="D562" s="1">
        <v>335.4</v>
      </c>
    </row>
    <row r="563" spans="2:4">
      <c r="B563" s="1">
        <v>560</v>
      </c>
      <c r="C563" s="1">
        <v>61.44</v>
      </c>
      <c r="D563" s="1">
        <v>336</v>
      </c>
    </row>
    <row r="564" spans="2:4">
      <c r="B564" s="1">
        <v>561</v>
      </c>
      <c r="C564" s="1">
        <v>61.56</v>
      </c>
      <c r="D564" s="1">
        <v>336.6</v>
      </c>
    </row>
    <row r="565" spans="2:4">
      <c r="B565" s="1">
        <v>562</v>
      </c>
      <c r="C565" s="1">
        <v>61.67</v>
      </c>
      <c r="D565" s="1">
        <v>337.2</v>
      </c>
    </row>
    <row r="566" spans="2:4">
      <c r="B566" s="1">
        <v>563</v>
      </c>
      <c r="C566" s="1">
        <v>61.78</v>
      </c>
      <c r="D566" s="1">
        <v>337.8</v>
      </c>
    </row>
    <row r="567" spans="2:4">
      <c r="B567" s="1">
        <v>564</v>
      </c>
      <c r="C567" s="1">
        <v>61.89</v>
      </c>
      <c r="D567" s="1">
        <v>338.4</v>
      </c>
    </row>
    <row r="568" spans="2:4">
      <c r="B568" s="1">
        <v>565</v>
      </c>
      <c r="C568" s="1">
        <v>62</v>
      </c>
      <c r="D568" s="1">
        <v>339</v>
      </c>
    </row>
    <row r="569" spans="2:4">
      <c r="B569" s="1">
        <v>566</v>
      </c>
      <c r="C569" s="1">
        <v>62.11</v>
      </c>
      <c r="D569" s="1">
        <v>339.6</v>
      </c>
    </row>
    <row r="570" spans="2:4">
      <c r="B570" s="1">
        <v>567</v>
      </c>
      <c r="C570" s="1">
        <v>62.22</v>
      </c>
      <c r="D570" s="1">
        <v>340.2</v>
      </c>
    </row>
    <row r="571" spans="2:4">
      <c r="B571" s="1">
        <v>568</v>
      </c>
      <c r="C571" s="1">
        <v>62.33</v>
      </c>
      <c r="D571" s="1">
        <v>340.8</v>
      </c>
    </row>
    <row r="572" spans="2:4">
      <c r="B572" s="1">
        <v>569</v>
      </c>
      <c r="C572" s="1">
        <v>62.44</v>
      </c>
      <c r="D572" s="1">
        <v>341.4</v>
      </c>
    </row>
    <row r="573" spans="2:4">
      <c r="B573" s="1">
        <v>570</v>
      </c>
      <c r="C573" s="1">
        <v>62.56</v>
      </c>
      <c r="D573" s="1">
        <v>342</v>
      </c>
    </row>
    <row r="574" spans="2:4">
      <c r="B574" s="1">
        <v>571</v>
      </c>
      <c r="C574" s="1">
        <v>62.67</v>
      </c>
      <c r="D574" s="1">
        <v>342.6</v>
      </c>
    </row>
    <row r="575" spans="2:4">
      <c r="B575" s="1">
        <v>572</v>
      </c>
      <c r="C575" s="1">
        <v>62.78</v>
      </c>
      <c r="D575" s="1">
        <v>343.2</v>
      </c>
    </row>
    <row r="576" spans="2:4">
      <c r="B576" s="1">
        <v>573</v>
      </c>
      <c r="C576" s="1">
        <v>62.89</v>
      </c>
      <c r="D576" s="1">
        <v>343.8</v>
      </c>
    </row>
    <row r="577" spans="2:4">
      <c r="B577" s="1">
        <v>574</v>
      </c>
      <c r="C577" s="1">
        <v>63</v>
      </c>
      <c r="D577" s="1">
        <v>344.4</v>
      </c>
    </row>
    <row r="578" spans="2:4">
      <c r="B578" s="1">
        <v>575</v>
      </c>
      <c r="C578" s="1">
        <v>63.11</v>
      </c>
      <c r="D578" s="1">
        <v>345</v>
      </c>
    </row>
    <row r="579" spans="2:4">
      <c r="B579" s="1">
        <v>576</v>
      </c>
      <c r="C579" s="1">
        <v>63.22</v>
      </c>
      <c r="D579" s="1">
        <v>345.6</v>
      </c>
    </row>
    <row r="580" spans="2:4">
      <c r="B580" s="1">
        <v>577</v>
      </c>
      <c r="C580" s="1">
        <v>63.33</v>
      </c>
      <c r="D580" s="1">
        <v>346.2</v>
      </c>
    </row>
    <row r="581" spans="2:4">
      <c r="B581" s="1">
        <v>578</v>
      </c>
      <c r="C581" s="1">
        <v>63.44</v>
      </c>
      <c r="D581" s="1">
        <v>346.8</v>
      </c>
    </row>
    <row r="582" spans="2:4">
      <c r="B582" s="1">
        <v>579</v>
      </c>
      <c r="C582" s="1">
        <v>63.56</v>
      </c>
      <c r="D582" s="1">
        <v>347.4</v>
      </c>
    </row>
    <row r="583" spans="2:4">
      <c r="B583" s="1">
        <v>580</v>
      </c>
      <c r="C583" s="1">
        <v>63.67</v>
      </c>
      <c r="D583" s="1">
        <v>348</v>
      </c>
    </row>
    <row r="584" spans="2:4">
      <c r="B584" s="1">
        <v>581</v>
      </c>
      <c r="C584" s="1">
        <v>63.78</v>
      </c>
      <c r="D584" s="1">
        <v>348.6</v>
      </c>
    </row>
    <row r="585" spans="2:4">
      <c r="B585" s="1">
        <v>582</v>
      </c>
      <c r="C585" s="1">
        <v>63.89</v>
      </c>
      <c r="D585" s="1">
        <v>349.2</v>
      </c>
    </row>
    <row r="586" spans="2:4">
      <c r="B586" s="1">
        <v>583</v>
      </c>
      <c r="C586" s="1">
        <v>64</v>
      </c>
      <c r="D586" s="1">
        <v>349.8</v>
      </c>
    </row>
    <row r="587" spans="2:4">
      <c r="B587" s="1">
        <v>584</v>
      </c>
      <c r="C587" s="1">
        <v>64.11</v>
      </c>
      <c r="D587" s="1">
        <v>350.4</v>
      </c>
    </row>
    <row r="588" spans="2:4">
      <c r="B588" s="1">
        <v>585</v>
      </c>
      <c r="C588" s="1">
        <v>64.22</v>
      </c>
      <c r="D588" s="1">
        <v>351</v>
      </c>
    </row>
    <row r="589" spans="2:4">
      <c r="B589" s="1">
        <v>586</v>
      </c>
      <c r="C589" s="1">
        <v>64.33</v>
      </c>
      <c r="D589" s="1">
        <v>351.6</v>
      </c>
    </row>
    <row r="590" spans="2:4">
      <c r="B590" s="1">
        <v>587</v>
      </c>
      <c r="C590" s="1">
        <v>64.44</v>
      </c>
      <c r="D590" s="1">
        <v>352.2</v>
      </c>
    </row>
    <row r="591" spans="2:4">
      <c r="B591" s="1">
        <v>588</v>
      </c>
      <c r="C591" s="1">
        <v>64.56</v>
      </c>
      <c r="D591" s="1">
        <v>352.8</v>
      </c>
    </row>
    <row r="592" spans="2:4">
      <c r="B592" s="1">
        <v>589</v>
      </c>
      <c r="C592" s="1">
        <v>64.67</v>
      </c>
      <c r="D592" s="1">
        <v>353.4</v>
      </c>
    </row>
    <row r="593" spans="2:4">
      <c r="B593" s="1">
        <v>590</v>
      </c>
      <c r="C593" s="1">
        <v>64.78</v>
      </c>
      <c r="D593" s="1">
        <v>354</v>
      </c>
    </row>
    <row r="594" spans="2:4">
      <c r="B594" s="1">
        <v>591</v>
      </c>
      <c r="C594" s="1">
        <v>64.89</v>
      </c>
      <c r="D594" s="1">
        <v>354.6</v>
      </c>
    </row>
    <row r="595" spans="2:4">
      <c r="B595" s="1">
        <v>592</v>
      </c>
      <c r="C595" s="1">
        <v>65</v>
      </c>
      <c r="D595" s="1">
        <v>355.2</v>
      </c>
    </row>
    <row r="596" spans="2:4">
      <c r="B596" s="1">
        <v>593</v>
      </c>
      <c r="C596" s="1">
        <v>65.11</v>
      </c>
      <c r="D596" s="1">
        <v>355.8</v>
      </c>
    </row>
    <row r="597" spans="2:4">
      <c r="B597" s="1">
        <v>594</v>
      </c>
      <c r="C597" s="1">
        <v>65.22</v>
      </c>
      <c r="D597" s="1">
        <v>356.4</v>
      </c>
    </row>
    <row r="598" spans="2:4">
      <c r="B598" s="1">
        <v>595</v>
      </c>
      <c r="C598" s="1">
        <v>65.33</v>
      </c>
      <c r="D598" s="1">
        <v>357</v>
      </c>
    </row>
    <row r="599" spans="2:4">
      <c r="B599" s="1">
        <v>596</v>
      </c>
      <c r="C599" s="1">
        <v>65.44</v>
      </c>
      <c r="D599" s="1">
        <v>357.6</v>
      </c>
    </row>
    <row r="600" spans="2:4">
      <c r="B600" s="1">
        <v>597</v>
      </c>
      <c r="C600" s="1">
        <v>65.56</v>
      </c>
      <c r="D600" s="1">
        <v>358.2</v>
      </c>
    </row>
    <row r="601" spans="2:4">
      <c r="B601" s="1">
        <v>598</v>
      </c>
      <c r="C601" s="1">
        <v>65.67</v>
      </c>
      <c r="D601" s="1">
        <v>358.8</v>
      </c>
    </row>
    <row r="602" spans="2:4">
      <c r="B602" s="1">
        <v>599</v>
      </c>
      <c r="C602" s="1">
        <v>65.78</v>
      </c>
      <c r="D602" s="1">
        <v>359.4</v>
      </c>
    </row>
    <row r="603" spans="2:4">
      <c r="B603" s="1">
        <v>600</v>
      </c>
      <c r="C603" s="1">
        <v>65.89</v>
      </c>
      <c r="D603" s="1">
        <v>360</v>
      </c>
    </row>
    <row r="604" spans="2:4">
      <c r="B604" s="1">
        <v>601</v>
      </c>
      <c r="C604" s="1">
        <v>66</v>
      </c>
      <c r="D604" s="1">
        <v>360.6</v>
      </c>
    </row>
    <row r="605" spans="2:4">
      <c r="B605" s="1">
        <v>602</v>
      </c>
      <c r="C605" s="1">
        <v>66.11</v>
      </c>
      <c r="D605" s="1">
        <v>361.2</v>
      </c>
    </row>
    <row r="606" spans="2:4">
      <c r="B606" s="1">
        <v>603</v>
      </c>
      <c r="C606" s="1">
        <v>66.22</v>
      </c>
      <c r="D606" s="1">
        <v>361.8</v>
      </c>
    </row>
    <row r="607" spans="2:4">
      <c r="B607" s="1">
        <v>604</v>
      </c>
      <c r="C607" s="1">
        <v>66.33</v>
      </c>
      <c r="D607" s="1">
        <v>362.4</v>
      </c>
    </row>
    <row r="608" spans="2:4">
      <c r="B608" s="1">
        <v>605</v>
      </c>
      <c r="C608" s="1">
        <v>66.44</v>
      </c>
      <c r="D608" s="1">
        <v>363</v>
      </c>
    </row>
    <row r="609" spans="2:4">
      <c r="B609" s="1">
        <v>606</v>
      </c>
      <c r="C609" s="1">
        <v>66.56</v>
      </c>
      <c r="D609" s="1">
        <v>363.6</v>
      </c>
    </row>
    <row r="610" spans="2:4">
      <c r="B610" s="1">
        <v>607</v>
      </c>
      <c r="C610" s="1">
        <v>66.67</v>
      </c>
      <c r="D610" s="1">
        <v>364.2</v>
      </c>
    </row>
    <row r="611" spans="2:4">
      <c r="B611" s="1">
        <v>608</v>
      </c>
      <c r="C611" s="1">
        <v>66.78</v>
      </c>
      <c r="D611" s="1">
        <v>364.8</v>
      </c>
    </row>
    <row r="612" spans="2:4">
      <c r="B612" s="1">
        <v>609</v>
      </c>
      <c r="C612" s="1">
        <v>66.89</v>
      </c>
      <c r="D612" s="1">
        <v>365.4</v>
      </c>
    </row>
    <row r="613" spans="2:4">
      <c r="B613" s="1">
        <v>610</v>
      </c>
      <c r="C613" s="1">
        <v>67</v>
      </c>
      <c r="D613" s="1">
        <v>366</v>
      </c>
    </row>
    <row r="614" spans="2:4">
      <c r="B614" s="1">
        <v>611</v>
      </c>
      <c r="C614" s="1">
        <v>67.11</v>
      </c>
      <c r="D614" s="1">
        <v>366.6</v>
      </c>
    </row>
    <row r="615" spans="2:4">
      <c r="B615" s="1">
        <v>612</v>
      </c>
      <c r="C615" s="1">
        <v>67.22</v>
      </c>
      <c r="D615" s="1">
        <v>367.2</v>
      </c>
    </row>
    <row r="616" spans="2:4">
      <c r="B616" s="1">
        <v>613</v>
      </c>
      <c r="C616" s="1">
        <v>67.33</v>
      </c>
      <c r="D616" s="1">
        <v>367.8</v>
      </c>
    </row>
    <row r="617" spans="2:4">
      <c r="B617" s="1">
        <v>614</v>
      </c>
      <c r="C617" s="1">
        <v>67.44</v>
      </c>
      <c r="D617" s="1">
        <v>368.4</v>
      </c>
    </row>
    <row r="618" spans="2:4">
      <c r="B618" s="1">
        <v>615</v>
      </c>
      <c r="C618" s="1">
        <v>67.56</v>
      </c>
      <c r="D618" s="1">
        <v>369</v>
      </c>
    </row>
    <row r="619" spans="2:4">
      <c r="B619" s="1">
        <v>616</v>
      </c>
      <c r="C619" s="1">
        <v>67.67</v>
      </c>
      <c r="D619" s="1">
        <v>369.6</v>
      </c>
    </row>
    <row r="620" spans="2:4">
      <c r="B620" s="1">
        <v>617</v>
      </c>
      <c r="C620" s="1">
        <v>67.78</v>
      </c>
      <c r="D620" s="1">
        <v>370.2</v>
      </c>
    </row>
    <row r="621" spans="2:4">
      <c r="B621" s="1">
        <v>618</v>
      </c>
      <c r="C621" s="1">
        <v>67.89</v>
      </c>
      <c r="D621" s="1">
        <v>370.8</v>
      </c>
    </row>
    <row r="622" spans="2:4">
      <c r="B622" s="1">
        <v>619</v>
      </c>
      <c r="C622" s="1">
        <v>68</v>
      </c>
      <c r="D622" s="1">
        <v>371.4</v>
      </c>
    </row>
    <row r="623" spans="2:4">
      <c r="B623" s="1">
        <v>620</v>
      </c>
      <c r="C623" s="1">
        <v>68.11</v>
      </c>
      <c r="D623" s="1">
        <v>372</v>
      </c>
    </row>
    <row r="624" spans="2:4">
      <c r="B624" s="1">
        <v>621</v>
      </c>
      <c r="C624" s="1">
        <v>68.22</v>
      </c>
      <c r="D624" s="1">
        <v>372.6</v>
      </c>
    </row>
    <row r="625" spans="2:4">
      <c r="B625" s="1">
        <v>622</v>
      </c>
      <c r="C625" s="1">
        <v>68.33</v>
      </c>
      <c r="D625" s="1">
        <v>373.2</v>
      </c>
    </row>
    <row r="626" spans="2:4">
      <c r="B626" s="1">
        <v>623</v>
      </c>
      <c r="C626" s="1">
        <v>68.44</v>
      </c>
      <c r="D626" s="1">
        <v>373.8</v>
      </c>
    </row>
    <row r="627" spans="2:4">
      <c r="B627" s="1">
        <v>624</v>
      </c>
      <c r="C627" s="1">
        <v>68.56</v>
      </c>
      <c r="D627" s="1">
        <v>374.4</v>
      </c>
    </row>
    <row r="628" spans="2:4">
      <c r="B628" s="1">
        <v>625</v>
      </c>
      <c r="C628" s="1">
        <v>68.67</v>
      </c>
      <c r="D628" s="1">
        <v>375</v>
      </c>
    </row>
    <row r="629" spans="2:4">
      <c r="B629" s="1">
        <v>626</v>
      </c>
      <c r="C629" s="1">
        <v>68.78</v>
      </c>
      <c r="D629" s="1">
        <v>375.6</v>
      </c>
    </row>
    <row r="630" spans="2:4">
      <c r="B630" s="1">
        <v>627</v>
      </c>
      <c r="C630" s="1">
        <v>68.89</v>
      </c>
      <c r="D630" s="1">
        <v>376.2</v>
      </c>
    </row>
    <row r="631" spans="2:4">
      <c r="B631" s="1">
        <v>628</v>
      </c>
      <c r="C631" s="1">
        <v>69</v>
      </c>
      <c r="D631" s="1">
        <v>376.8</v>
      </c>
    </row>
    <row r="632" spans="2:4">
      <c r="B632" s="1">
        <v>629</v>
      </c>
      <c r="C632" s="1">
        <v>69.11</v>
      </c>
      <c r="D632" s="1">
        <v>377.4</v>
      </c>
    </row>
    <row r="633" spans="2:4">
      <c r="B633" s="1">
        <v>630</v>
      </c>
      <c r="C633" s="1">
        <v>69.22</v>
      </c>
      <c r="D633" s="1">
        <v>378</v>
      </c>
    </row>
    <row r="634" spans="2:4">
      <c r="B634" s="1">
        <v>631</v>
      </c>
      <c r="C634" s="1">
        <v>69.33</v>
      </c>
      <c r="D634" s="1">
        <v>378.6</v>
      </c>
    </row>
    <row r="635" spans="2:4">
      <c r="B635" s="1">
        <v>632</v>
      </c>
      <c r="C635" s="1">
        <v>69.44</v>
      </c>
      <c r="D635" s="1">
        <v>379.2</v>
      </c>
    </row>
    <row r="636" spans="2:4">
      <c r="B636" s="1">
        <v>633</v>
      </c>
      <c r="C636" s="1">
        <v>69.56</v>
      </c>
      <c r="D636" s="1">
        <v>379.8</v>
      </c>
    </row>
    <row r="637" spans="2:4">
      <c r="B637" s="1">
        <v>634</v>
      </c>
      <c r="C637" s="1">
        <v>69.67</v>
      </c>
      <c r="D637" s="1">
        <v>380.4</v>
      </c>
    </row>
    <row r="638" spans="2:4">
      <c r="B638" s="1">
        <v>635</v>
      </c>
      <c r="C638" s="1">
        <v>69.78</v>
      </c>
      <c r="D638" s="1">
        <v>381</v>
      </c>
    </row>
    <row r="639" spans="2:4">
      <c r="B639" s="1">
        <v>636</v>
      </c>
      <c r="C639" s="1">
        <v>69.89</v>
      </c>
      <c r="D639" s="1">
        <v>381.6</v>
      </c>
    </row>
    <row r="640" spans="2:4">
      <c r="B640" s="1">
        <v>637</v>
      </c>
      <c r="C640" s="1">
        <v>70</v>
      </c>
      <c r="D640" s="1">
        <v>382.2</v>
      </c>
    </row>
    <row r="641" spans="2:4">
      <c r="B641" s="1">
        <v>638</v>
      </c>
      <c r="C641" s="1">
        <v>70.11</v>
      </c>
      <c r="D641" s="1">
        <v>382.8</v>
      </c>
    </row>
    <row r="642" spans="2:4">
      <c r="B642" s="1">
        <v>639</v>
      </c>
      <c r="C642" s="1">
        <v>70.22</v>
      </c>
      <c r="D642" s="1">
        <v>383.4</v>
      </c>
    </row>
    <row r="643" spans="2:4">
      <c r="B643" s="1">
        <v>640</v>
      </c>
      <c r="C643" s="1">
        <v>70.33</v>
      </c>
      <c r="D643" s="1">
        <v>384</v>
      </c>
    </row>
    <row r="644" spans="2:4">
      <c r="B644" s="1">
        <v>641</v>
      </c>
      <c r="C644" s="1">
        <v>70.44</v>
      </c>
      <c r="D644" s="1">
        <v>384.6</v>
      </c>
    </row>
    <row r="645" spans="2:4">
      <c r="B645" s="1">
        <v>642</v>
      </c>
      <c r="C645" s="1">
        <v>70.56</v>
      </c>
      <c r="D645" s="1">
        <v>385.2</v>
      </c>
    </row>
    <row r="646" spans="2:4">
      <c r="B646" s="1">
        <v>643</v>
      </c>
      <c r="C646" s="1">
        <v>70.67</v>
      </c>
      <c r="D646" s="1">
        <v>385.8</v>
      </c>
    </row>
    <row r="647" spans="2:4">
      <c r="B647" s="1">
        <v>644</v>
      </c>
      <c r="C647" s="1">
        <v>70.78</v>
      </c>
      <c r="D647" s="1">
        <v>386.4</v>
      </c>
    </row>
    <row r="648" spans="2:4">
      <c r="B648" s="1">
        <v>645</v>
      </c>
      <c r="C648" s="1">
        <v>70.89</v>
      </c>
      <c r="D648" s="1">
        <v>387</v>
      </c>
    </row>
    <row r="649" spans="2:4">
      <c r="B649" s="1">
        <v>646</v>
      </c>
      <c r="C649" s="1">
        <v>71</v>
      </c>
      <c r="D649" s="1">
        <v>387.6</v>
      </c>
    </row>
    <row r="650" spans="2:4">
      <c r="B650" s="1">
        <v>647</v>
      </c>
      <c r="C650" s="1">
        <v>71.11</v>
      </c>
      <c r="D650" s="1">
        <v>388.2</v>
      </c>
    </row>
    <row r="651" spans="2:4">
      <c r="B651" s="1">
        <v>648</v>
      </c>
      <c r="C651" s="1">
        <v>71.22</v>
      </c>
      <c r="D651" s="1">
        <v>388.8</v>
      </c>
    </row>
    <row r="652" spans="2:4">
      <c r="B652" s="1">
        <v>649</v>
      </c>
      <c r="C652" s="1">
        <v>71.33</v>
      </c>
      <c r="D652" s="1">
        <v>389.4</v>
      </c>
    </row>
    <row r="653" spans="2:4">
      <c r="B653" s="1">
        <v>650</v>
      </c>
      <c r="C653" s="1">
        <v>71.44</v>
      </c>
      <c r="D653" s="1">
        <v>390</v>
      </c>
    </row>
    <row r="654" spans="2:4">
      <c r="B654" s="1">
        <v>651</v>
      </c>
      <c r="C654" s="1">
        <v>71.56</v>
      </c>
      <c r="D654" s="1">
        <v>390.6</v>
      </c>
    </row>
    <row r="655" spans="2:4">
      <c r="B655" s="1">
        <v>652</v>
      </c>
      <c r="C655" s="1">
        <v>71.67</v>
      </c>
      <c r="D655" s="1">
        <v>391.2</v>
      </c>
    </row>
    <row r="656" spans="2:4">
      <c r="B656" s="1">
        <v>653</v>
      </c>
      <c r="C656" s="1">
        <v>71.78</v>
      </c>
      <c r="D656" s="1">
        <v>391.8</v>
      </c>
    </row>
    <row r="657" spans="2:4">
      <c r="B657" s="1">
        <v>654</v>
      </c>
      <c r="C657" s="1">
        <v>71.89</v>
      </c>
      <c r="D657" s="1">
        <v>392.4</v>
      </c>
    </row>
    <row r="658" spans="2:4">
      <c r="B658" s="1">
        <v>655</v>
      </c>
      <c r="C658" s="1">
        <v>72</v>
      </c>
      <c r="D658" s="1">
        <v>393</v>
      </c>
    </row>
    <row r="659" spans="2:4">
      <c r="B659" s="1">
        <v>656</v>
      </c>
      <c r="C659" s="1">
        <v>72.11</v>
      </c>
      <c r="D659" s="1">
        <v>393.6</v>
      </c>
    </row>
    <row r="660" spans="2:4">
      <c r="B660" s="1">
        <v>657</v>
      </c>
      <c r="C660" s="1">
        <v>72.22</v>
      </c>
      <c r="D660" s="1">
        <v>394.2</v>
      </c>
    </row>
    <row r="661" spans="2:4">
      <c r="B661" s="1">
        <v>658</v>
      </c>
      <c r="C661" s="1">
        <v>72.33</v>
      </c>
      <c r="D661" s="1">
        <v>394.8</v>
      </c>
    </row>
    <row r="662" spans="2:4">
      <c r="B662" s="1">
        <v>659</v>
      </c>
      <c r="C662" s="1">
        <v>72.44</v>
      </c>
      <c r="D662" s="1">
        <v>395.4</v>
      </c>
    </row>
    <row r="663" spans="2:4">
      <c r="B663" s="1">
        <v>660</v>
      </c>
      <c r="C663" s="1">
        <v>72.56</v>
      </c>
      <c r="D663" s="1">
        <v>396</v>
      </c>
    </row>
    <row r="664" spans="2:4">
      <c r="B664" s="1">
        <v>661</v>
      </c>
      <c r="C664" s="1">
        <v>72.67</v>
      </c>
      <c r="D664" s="1">
        <v>396.6</v>
      </c>
    </row>
    <row r="665" spans="2:4">
      <c r="B665" s="1">
        <v>662</v>
      </c>
      <c r="C665" s="1">
        <v>72.78</v>
      </c>
      <c r="D665" s="1">
        <v>397.2</v>
      </c>
    </row>
    <row r="666" spans="2:4">
      <c r="B666" s="1">
        <v>663</v>
      </c>
      <c r="C666" s="1">
        <v>72.89</v>
      </c>
      <c r="D666" s="1">
        <v>397.8</v>
      </c>
    </row>
    <row r="667" spans="2:4">
      <c r="B667" s="1">
        <v>664</v>
      </c>
      <c r="C667" s="1">
        <v>73</v>
      </c>
      <c r="D667" s="1">
        <v>398.4</v>
      </c>
    </row>
    <row r="668" spans="2:4">
      <c r="B668" s="1">
        <v>665</v>
      </c>
      <c r="C668" s="1">
        <v>73.11</v>
      </c>
      <c r="D668" s="1">
        <v>399</v>
      </c>
    </row>
    <row r="669" spans="2:4">
      <c r="B669" s="1">
        <v>666</v>
      </c>
      <c r="C669" s="1">
        <v>73.22</v>
      </c>
      <c r="D669" s="1">
        <v>399.6</v>
      </c>
    </row>
    <row r="670" spans="2:4">
      <c r="B670" s="1">
        <v>667</v>
      </c>
      <c r="C670" s="1">
        <v>73.33</v>
      </c>
      <c r="D670" s="1">
        <v>400.2</v>
      </c>
    </row>
    <row r="671" spans="2:4">
      <c r="B671" s="1">
        <v>668</v>
      </c>
      <c r="C671" s="1">
        <v>73.44</v>
      </c>
      <c r="D671" s="1">
        <v>400.8</v>
      </c>
    </row>
    <row r="672" spans="2:4">
      <c r="B672" s="1">
        <v>669</v>
      </c>
      <c r="C672" s="1">
        <v>73.56</v>
      </c>
      <c r="D672" s="1">
        <v>401.4</v>
      </c>
    </row>
    <row r="673" spans="2:4">
      <c r="B673" s="1">
        <v>670</v>
      </c>
      <c r="C673" s="1">
        <v>73.67</v>
      </c>
      <c r="D673" s="1">
        <v>402</v>
      </c>
    </row>
    <row r="674" spans="2:4">
      <c r="B674" s="1">
        <v>671</v>
      </c>
      <c r="C674" s="1">
        <v>73.78</v>
      </c>
      <c r="D674" s="1">
        <v>402.6</v>
      </c>
    </row>
    <row r="675" spans="2:4">
      <c r="B675" s="1">
        <v>672</v>
      </c>
      <c r="C675" s="1">
        <v>73.89</v>
      </c>
      <c r="D675" s="1">
        <v>403.2</v>
      </c>
    </row>
    <row r="676" spans="2:4">
      <c r="B676" s="1">
        <v>673</v>
      </c>
      <c r="C676" s="1">
        <v>74</v>
      </c>
      <c r="D676" s="1">
        <v>403.8</v>
      </c>
    </row>
    <row r="677" spans="2:4">
      <c r="B677" s="1">
        <v>674</v>
      </c>
      <c r="C677" s="1">
        <v>74.11</v>
      </c>
      <c r="D677" s="1">
        <v>404.4</v>
      </c>
    </row>
    <row r="678" spans="2:4">
      <c r="B678" s="1">
        <v>675</v>
      </c>
      <c r="C678" s="1">
        <v>74.22</v>
      </c>
      <c r="D678" s="1">
        <v>405</v>
      </c>
    </row>
    <row r="679" spans="2:4">
      <c r="B679" s="1">
        <v>676</v>
      </c>
      <c r="C679" s="1">
        <v>74.33</v>
      </c>
      <c r="D679" s="1">
        <v>405.6</v>
      </c>
    </row>
    <row r="680" spans="2:4">
      <c r="B680" s="1">
        <v>677</v>
      </c>
      <c r="C680" s="1">
        <v>74.44</v>
      </c>
      <c r="D680" s="1">
        <v>406.2</v>
      </c>
    </row>
    <row r="681" spans="2:4">
      <c r="B681" s="1">
        <v>678</v>
      </c>
      <c r="C681" s="1">
        <v>74.56</v>
      </c>
      <c r="D681" s="1">
        <v>406.8</v>
      </c>
    </row>
    <row r="682" spans="2:4">
      <c r="B682" s="1">
        <v>679</v>
      </c>
      <c r="C682" s="1">
        <v>74.67</v>
      </c>
      <c r="D682" s="1">
        <v>407.4</v>
      </c>
    </row>
    <row r="683" spans="2:4">
      <c r="B683" s="1">
        <v>680</v>
      </c>
      <c r="C683" s="1">
        <v>74.78</v>
      </c>
      <c r="D683" s="1">
        <v>408</v>
      </c>
    </row>
    <row r="684" spans="2:4">
      <c r="B684" s="1">
        <v>681</v>
      </c>
      <c r="C684" s="1">
        <v>74.89</v>
      </c>
      <c r="D684" s="1">
        <v>408.6</v>
      </c>
    </row>
    <row r="685" spans="2:4">
      <c r="D685" s="1"/>
    </row>
    <row r="686" spans="2:4">
      <c r="B686" s="1">
        <v>682</v>
      </c>
      <c r="C686" s="1">
        <v>75</v>
      </c>
      <c r="D686" s="1"/>
    </row>
    <row r="687" spans="2:4">
      <c r="B687" s="1">
        <v>683</v>
      </c>
      <c r="C687" s="1">
        <v>75.11</v>
      </c>
      <c r="D687" s="1"/>
    </row>
    <row r="688" spans="2:4">
      <c r="B688" s="1">
        <v>684</v>
      </c>
      <c r="C688" s="1">
        <v>75.22</v>
      </c>
      <c r="D688" s="1"/>
    </row>
    <row r="689" spans="2:4">
      <c r="B689" s="1">
        <v>685</v>
      </c>
      <c r="C689" s="1">
        <v>75.33</v>
      </c>
      <c r="D689" s="1"/>
    </row>
    <row r="690" spans="2:4">
      <c r="B690" s="1">
        <v>686</v>
      </c>
      <c r="C690" s="1">
        <v>75.44</v>
      </c>
      <c r="D690" s="1"/>
    </row>
    <row r="691" spans="2:4">
      <c r="B691" s="1">
        <v>687</v>
      </c>
      <c r="C691" s="1">
        <v>75.56</v>
      </c>
      <c r="D691" s="1"/>
    </row>
    <row r="692" spans="2:4">
      <c r="B692" s="1">
        <v>688</v>
      </c>
      <c r="C692" s="1">
        <v>75.67</v>
      </c>
      <c r="D692" s="1"/>
    </row>
    <row r="693" spans="2:4">
      <c r="B693" s="1">
        <v>689</v>
      </c>
      <c r="C693" s="1">
        <v>75.78</v>
      </c>
      <c r="D693" s="1"/>
    </row>
    <row r="694" spans="2:4">
      <c r="B694" s="1">
        <v>690</v>
      </c>
      <c r="C694" s="1">
        <v>75.89</v>
      </c>
      <c r="D694" s="1"/>
    </row>
    <row r="695" spans="2:4">
      <c r="B695" s="1">
        <v>691</v>
      </c>
      <c r="C695" s="1">
        <v>76</v>
      </c>
      <c r="D695" s="1"/>
    </row>
    <row r="696" spans="2:4">
      <c r="B696" s="1">
        <v>692</v>
      </c>
      <c r="C696" s="1">
        <v>76.11</v>
      </c>
      <c r="D696" s="1"/>
    </row>
    <row r="697" spans="2:4">
      <c r="B697" s="1">
        <v>693</v>
      </c>
      <c r="C697" s="1">
        <v>76.22</v>
      </c>
      <c r="D697" s="1"/>
    </row>
    <row r="698" spans="2:4">
      <c r="B698" s="1">
        <v>694</v>
      </c>
      <c r="C698" s="1">
        <v>76.33</v>
      </c>
      <c r="D698" s="1"/>
    </row>
    <row r="699" spans="2:4">
      <c r="B699" s="1">
        <v>695</v>
      </c>
      <c r="C699" s="1">
        <v>76.44</v>
      </c>
      <c r="D699" s="1"/>
    </row>
    <row r="700" spans="2:4">
      <c r="B700" s="1">
        <v>696</v>
      </c>
      <c r="C700" s="1">
        <v>76.56</v>
      </c>
      <c r="D700" s="1"/>
    </row>
    <row r="701" spans="2:4">
      <c r="B701" s="1">
        <v>697</v>
      </c>
      <c r="C701" s="1">
        <v>76.67</v>
      </c>
      <c r="D701" s="1"/>
    </row>
    <row r="702" spans="2:4">
      <c r="B702" s="1">
        <v>698</v>
      </c>
      <c r="C702" s="1">
        <v>76.78</v>
      </c>
      <c r="D702" s="1"/>
    </row>
    <row r="703" spans="2:4">
      <c r="B703" s="1">
        <v>699</v>
      </c>
      <c r="C703" s="1">
        <v>76.89</v>
      </c>
      <c r="D703" s="1"/>
    </row>
    <row r="704" spans="2:4">
      <c r="B704" s="1">
        <v>700</v>
      </c>
      <c r="C704" s="1">
        <v>77</v>
      </c>
      <c r="D704" s="1"/>
    </row>
    <row r="705" spans="2:4">
      <c r="B705" s="1">
        <v>701</v>
      </c>
      <c r="C705" s="1">
        <v>77.11</v>
      </c>
      <c r="D705" s="1"/>
    </row>
    <row r="706" spans="2:4">
      <c r="B706" s="1">
        <v>702</v>
      </c>
      <c r="C706" s="1">
        <v>77.22</v>
      </c>
      <c r="D706" s="1"/>
    </row>
    <row r="707" spans="2:4">
      <c r="B707" s="1">
        <v>703</v>
      </c>
      <c r="C707" s="1">
        <v>77.33</v>
      </c>
      <c r="D707" s="1"/>
    </row>
    <row r="708" spans="2:4">
      <c r="B708" s="1">
        <v>704</v>
      </c>
      <c r="C708" s="1">
        <v>77.44</v>
      </c>
      <c r="D708" s="1"/>
    </row>
    <row r="709" spans="2:4">
      <c r="B709" s="1">
        <v>705</v>
      </c>
      <c r="C709" s="1">
        <v>77.56</v>
      </c>
      <c r="D709" s="1"/>
    </row>
    <row r="710" spans="2:4">
      <c r="B710" s="1">
        <v>706</v>
      </c>
      <c r="C710" s="1">
        <v>77.67</v>
      </c>
      <c r="D710" s="1"/>
    </row>
    <row r="711" spans="2:4">
      <c r="B711" s="1">
        <v>707</v>
      </c>
      <c r="C711" s="1">
        <v>77.78</v>
      </c>
      <c r="D711" s="1"/>
    </row>
    <row r="712" spans="2:4">
      <c r="B712" s="1">
        <v>708</v>
      </c>
      <c r="C712" s="1">
        <v>77.89</v>
      </c>
      <c r="D712" s="1"/>
    </row>
    <row r="713" spans="2:4">
      <c r="B713" s="1">
        <v>709</v>
      </c>
      <c r="C713" s="1">
        <v>78</v>
      </c>
      <c r="D713" s="1"/>
    </row>
    <row r="714" spans="2:4">
      <c r="B714" s="1">
        <v>710</v>
      </c>
      <c r="C714" s="1">
        <v>78.11</v>
      </c>
      <c r="D714" s="1"/>
    </row>
    <row r="715" spans="2:4">
      <c r="B715" s="1">
        <v>711</v>
      </c>
      <c r="C715" s="1">
        <v>78.22</v>
      </c>
      <c r="D715" s="1"/>
    </row>
    <row r="716" spans="2:4">
      <c r="B716" s="1">
        <v>712</v>
      </c>
      <c r="C716" s="1">
        <v>78.33</v>
      </c>
      <c r="D716" s="1"/>
    </row>
    <row r="717" spans="2:4">
      <c r="B717" s="1">
        <v>713</v>
      </c>
      <c r="C717" s="1">
        <v>78.44</v>
      </c>
      <c r="D717" s="1"/>
    </row>
    <row r="718" spans="2:4">
      <c r="B718" s="1">
        <v>714</v>
      </c>
      <c r="C718" s="1">
        <v>78.56</v>
      </c>
      <c r="D718" s="1"/>
    </row>
    <row r="719" spans="2:4">
      <c r="B719" s="1">
        <v>715</v>
      </c>
      <c r="C719" s="1">
        <v>78.67</v>
      </c>
      <c r="D719" s="1"/>
    </row>
    <row r="720" spans="2:4">
      <c r="B720" s="1">
        <v>716</v>
      </c>
      <c r="C720" s="1">
        <v>78.78</v>
      </c>
      <c r="D720" s="1"/>
    </row>
    <row r="721" spans="2:4">
      <c r="B721" s="1">
        <v>717</v>
      </c>
      <c r="C721" s="1">
        <v>78.89</v>
      </c>
      <c r="D721" s="1"/>
    </row>
    <row r="722" spans="2:4">
      <c r="B722" s="1">
        <v>718</v>
      </c>
      <c r="C722" s="1">
        <v>79</v>
      </c>
      <c r="D722" s="1"/>
    </row>
    <row r="723" spans="2:4">
      <c r="B723" s="1">
        <v>719</v>
      </c>
      <c r="C723" s="1">
        <v>79.11</v>
      </c>
      <c r="D723" s="1"/>
    </row>
    <row r="724" spans="2:4">
      <c r="B724" s="1">
        <v>720</v>
      </c>
      <c r="C724" s="1">
        <v>79.22</v>
      </c>
      <c r="D724" s="1"/>
    </row>
    <row r="725" spans="2:4">
      <c r="B725" s="1">
        <v>721</v>
      </c>
      <c r="C725" s="1">
        <v>79.33</v>
      </c>
      <c r="D725" s="1"/>
    </row>
    <row r="726" spans="2:4">
      <c r="B726" s="1">
        <v>722</v>
      </c>
      <c r="C726" s="1">
        <v>79.44</v>
      </c>
      <c r="D726" s="1"/>
    </row>
    <row r="727" spans="2:4">
      <c r="B727" s="1">
        <v>723</v>
      </c>
      <c r="C727" s="1">
        <v>79.56</v>
      </c>
      <c r="D727" s="1"/>
    </row>
    <row r="728" spans="2:4">
      <c r="B728" s="1">
        <v>724</v>
      </c>
      <c r="C728" s="1">
        <v>79.67</v>
      </c>
      <c r="D728" s="1"/>
    </row>
    <row r="729" spans="2:4">
      <c r="B729" s="1">
        <v>725</v>
      </c>
      <c r="C729" s="1">
        <v>79.78</v>
      </c>
      <c r="D729" s="1"/>
    </row>
    <row r="730" spans="2:4">
      <c r="B730" s="1">
        <v>726</v>
      </c>
      <c r="C730" s="1">
        <v>79.89</v>
      </c>
      <c r="D730" s="1"/>
    </row>
    <row r="731" spans="2:4">
      <c r="B731" s="1">
        <v>727</v>
      </c>
      <c r="C731" s="1">
        <v>80</v>
      </c>
      <c r="D731" s="1"/>
    </row>
    <row r="732" spans="2:4">
      <c r="B732" s="1">
        <v>728</v>
      </c>
      <c r="C732" s="1">
        <v>80.11</v>
      </c>
      <c r="D732" s="1"/>
    </row>
    <row r="733" spans="2:4">
      <c r="B733" s="1">
        <v>729</v>
      </c>
      <c r="C733" s="1">
        <v>80.22</v>
      </c>
      <c r="D733" s="1"/>
    </row>
    <row r="734" spans="2:4">
      <c r="B734" s="1">
        <v>730</v>
      </c>
      <c r="C734" s="1">
        <v>80.33</v>
      </c>
      <c r="D734" s="1"/>
    </row>
    <row r="735" spans="2:4">
      <c r="B735" s="1">
        <v>731</v>
      </c>
      <c r="C735" s="1">
        <v>80.44</v>
      </c>
      <c r="D735" s="1"/>
    </row>
    <row r="736" spans="2:4">
      <c r="B736" s="1">
        <v>732</v>
      </c>
      <c r="C736" s="1">
        <v>80.56</v>
      </c>
      <c r="D736" s="1"/>
    </row>
    <row r="737" spans="2:4">
      <c r="B737" s="1">
        <v>733</v>
      </c>
      <c r="C737" s="1">
        <v>80.67</v>
      </c>
      <c r="D737" s="1"/>
    </row>
    <row r="738" spans="2:4">
      <c r="B738" s="1">
        <v>734</v>
      </c>
      <c r="C738" s="1">
        <v>80.78</v>
      </c>
      <c r="D738" s="1"/>
    </row>
    <row r="739" spans="2:4">
      <c r="B739" s="1">
        <v>735</v>
      </c>
      <c r="C739" s="1">
        <v>80.89</v>
      </c>
      <c r="D739" s="1"/>
    </row>
    <row r="740" spans="2:4">
      <c r="B740" s="1">
        <v>736</v>
      </c>
      <c r="C740" s="1">
        <v>81</v>
      </c>
      <c r="D740" s="1"/>
    </row>
    <row r="741" spans="2:4">
      <c r="B741" s="1">
        <v>737</v>
      </c>
      <c r="C741" s="1">
        <v>81.11</v>
      </c>
      <c r="D741" s="1"/>
    </row>
    <row r="742" spans="2:4">
      <c r="B742" s="1">
        <v>738</v>
      </c>
      <c r="C742" s="1">
        <v>81.22</v>
      </c>
      <c r="D742" s="1"/>
    </row>
    <row r="743" spans="2:4">
      <c r="B743" s="1">
        <v>739</v>
      </c>
      <c r="C743" s="1">
        <v>81.33</v>
      </c>
      <c r="D743" s="1"/>
    </row>
    <row r="744" spans="2:4">
      <c r="B744" s="1">
        <v>740</v>
      </c>
      <c r="C744" s="1">
        <v>81.44</v>
      </c>
      <c r="D744" s="1"/>
    </row>
    <row r="745" spans="2:4">
      <c r="B745" s="1">
        <v>741</v>
      </c>
      <c r="C745" s="1">
        <v>81.56</v>
      </c>
      <c r="D745" s="1"/>
    </row>
    <row r="746" spans="2:4">
      <c r="B746" s="1">
        <v>742</v>
      </c>
      <c r="C746" s="1">
        <v>81.67</v>
      </c>
      <c r="D746" s="1"/>
    </row>
    <row r="747" spans="2:4">
      <c r="B747" s="1">
        <v>743</v>
      </c>
      <c r="C747" s="1">
        <v>81.78</v>
      </c>
      <c r="D747" s="1"/>
    </row>
    <row r="748" spans="2:4">
      <c r="B748" s="1">
        <v>744</v>
      </c>
      <c r="C748" s="1">
        <v>81.89</v>
      </c>
      <c r="D748" s="1"/>
    </row>
    <row r="749" spans="2:4">
      <c r="B749" s="1">
        <v>745</v>
      </c>
      <c r="C749" s="1">
        <v>82</v>
      </c>
      <c r="D749" s="1"/>
    </row>
    <row r="750" spans="2:4">
      <c r="B750" s="1">
        <v>746</v>
      </c>
      <c r="C750" s="1">
        <v>82.11</v>
      </c>
      <c r="D750" s="1"/>
    </row>
    <row r="751" spans="2:4">
      <c r="B751" s="1">
        <v>747</v>
      </c>
      <c r="C751" s="1">
        <v>82.22</v>
      </c>
      <c r="D751" s="1"/>
    </row>
    <row r="752" spans="2:4">
      <c r="B752" s="1">
        <v>748</v>
      </c>
      <c r="C752" s="1">
        <v>82.33</v>
      </c>
      <c r="D752" s="1"/>
    </row>
    <row r="753" spans="2:4">
      <c r="B753" s="1">
        <v>749</v>
      </c>
      <c r="C753" s="1">
        <v>82.44</v>
      </c>
      <c r="D753" s="1"/>
    </row>
    <row r="754" spans="2:4">
      <c r="B754" s="1">
        <v>750</v>
      </c>
      <c r="C754" s="1">
        <v>82.56</v>
      </c>
      <c r="D754" s="1"/>
    </row>
    <row r="755" spans="2:4">
      <c r="B755" s="1">
        <v>751</v>
      </c>
      <c r="C755" s="1">
        <v>82.67</v>
      </c>
      <c r="D755" s="1"/>
    </row>
    <row r="756" spans="2:4">
      <c r="B756" s="1">
        <v>752</v>
      </c>
      <c r="C756" s="1">
        <v>82.78</v>
      </c>
      <c r="D756" s="1"/>
    </row>
    <row r="757" spans="2:4">
      <c r="B757" s="1">
        <v>753</v>
      </c>
      <c r="C757" s="1">
        <v>82.89</v>
      </c>
      <c r="D757" s="1"/>
    </row>
    <row r="758" spans="2:4">
      <c r="B758" s="1">
        <v>754</v>
      </c>
      <c r="C758" s="1">
        <v>83</v>
      </c>
      <c r="D758" s="1"/>
    </row>
    <row r="759" spans="2:4">
      <c r="B759" s="1">
        <v>755</v>
      </c>
      <c r="C759" s="1">
        <v>83.11</v>
      </c>
      <c r="D759" s="1"/>
    </row>
    <row r="760" spans="2:4">
      <c r="B760" s="1">
        <v>756</v>
      </c>
      <c r="C760" s="1">
        <v>83.22</v>
      </c>
      <c r="D760" s="1"/>
    </row>
    <row r="761" spans="2:4">
      <c r="B761" s="1">
        <v>757</v>
      </c>
      <c r="C761" s="1">
        <v>83.33</v>
      </c>
      <c r="D761" s="1"/>
    </row>
    <row r="762" spans="2:4">
      <c r="B762" s="1">
        <v>758</v>
      </c>
      <c r="C762" s="1">
        <v>83.44</v>
      </c>
      <c r="D762" s="1"/>
    </row>
    <row r="763" spans="2:4">
      <c r="B763" s="1">
        <v>759</v>
      </c>
      <c r="C763" s="1">
        <v>83.56</v>
      </c>
      <c r="D763" s="1"/>
    </row>
    <row r="764" spans="2:4">
      <c r="B764" s="1">
        <v>760</v>
      </c>
      <c r="C764" s="1">
        <v>83.67</v>
      </c>
      <c r="D764" s="1"/>
    </row>
    <row r="765" spans="2:4">
      <c r="B765" s="1">
        <v>761</v>
      </c>
      <c r="C765" s="1">
        <v>83.78</v>
      </c>
      <c r="D765" s="1"/>
    </row>
    <row r="766" spans="2:4">
      <c r="B766" s="1">
        <v>762</v>
      </c>
      <c r="C766" s="1">
        <v>83.89</v>
      </c>
      <c r="D766" s="1"/>
    </row>
    <row r="767" spans="2:4">
      <c r="B767" s="1">
        <v>763</v>
      </c>
      <c r="C767" s="1">
        <v>84</v>
      </c>
      <c r="D767" s="1"/>
    </row>
    <row r="768" spans="2:4">
      <c r="B768" s="1">
        <v>764</v>
      </c>
      <c r="C768" s="1">
        <v>84.11</v>
      </c>
      <c r="D768" s="1"/>
    </row>
    <row r="769" spans="2:4">
      <c r="B769" s="1">
        <v>765</v>
      </c>
      <c r="C769" s="1">
        <v>84.22</v>
      </c>
      <c r="D769" s="1"/>
    </row>
    <row r="770" spans="2:4">
      <c r="B770" s="1">
        <v>766</v>
      </c>
      <c r="C770" s="1">
        <v>84.33</v>
      </c>
      <c r="D770" s="1"/>
    </row>
    <row r="771" spans="2:4">
      <c r="B771" s="1">
        <v>767</v>
      </c>
      <c r="C771" s="1">
        <v>84.44</v>
      </c>
      <c r="D771" s="1"/>
    </row>
    <row r="772" spans="2:4">
      <c r="B772" s="1">
        <v>768</v>
      </c>
      <c r="C772" s="1">
        <v>84.56</v>
      </c>
      <c r="D772" s="1"/>
    </row>
    <row r="773" spans="2:4">
      <c r="B773" s="1">
        <v>769</v>
      </c>
      <c r="C773" s="1">
        <v>84.67</v>
      </c>
      <c r="D773" s="1"/>
    </row>
    <row r="774" spans="2:4">
      <c r="B774" s="1">
        <v>770</v>
      </c>
      <c r="C774" s="1">
        <v>84.78</v>
      </c>
      <c r="D774" s="1"/>
    </row>
    <row r="775" spans="2:4">
      <c r="B775" s="1">
        <v>771</v>
      </c>
      <c r="C775" s="1">
        <v>84.89</v>
      </c>
      <c r="D775" s="1"/>
    </row>
    <row r="776" spans="2:4">
      <c r="B776" s="1">
        <v>772</v>
      </c>
      <c r="C776" s="1">
        <v>85</v>
      </c>
      <c r="D776" s="1"/>
    </row>
    <row r="777" spans="2:4">
      <c r="B777" s="1">
        <v>773</v>
      </c>
      <c r="C777" s="1">
        <v>85.11</v>
      </c>
      <c r="D777" s="1"/>
    </row>
    <row r="778" spans="2:4">
      <c r="B778" s="1">
        <v>774</v>
      </c>
      <c r="C778" s="1">
        <v>85.22</v>
      </c>
      <c r="D778" s="1"/>
    </row>
    <row r="779" spans="2:4">
      <c r="B779" s="1">
        <v>775</v>
      </c>
      <c r="C779" s="1">
        <v>85.33</v>
      </c>
      <c r="D779" s="1"/>
    </row>
    <row r="780" spans="2:4">
      <c r="B780" s="1">
        <v>776</v>
      </c>
      <c r="C780" s="1">
        <v>85.44</v>
      </c>
      <c r="D780" s="1"/>
    </row>
    <row r="781" spans="2:4">
      <c r="B781" s="1">
        <v>777</v>
      </c>
      <c r="C781" s="1">
        <v>85.56</v>
      </c>
      <c r="D781" s="1"/>
    </row>
    <row r="782" spans="2:4">
      <c r="B782" s="1">
        <v>778</v>
      </c>
      <c r="C782" s="1">
        <v>85.67</v>
      </c>
      <c r="D782" s="1"/>
    </row>
    <row r="783" spans="2:4">
      <c r="B783" s="1">
        <v>779</v>
      </c>
      <c r="C783" s="1">
        <v>85.78</v>
      </c>
      <c r="D783" s="1"/>
    </row>
    <row r="784" spans="2:4">
      <c r="B784" s="1">
        <v>780</v>
      </c>
      <c r="C784" s="1">
        <v>85.89</v>
      </c>
      <c r="D784" s="1"/>
    </row>
    <row r="785" spans="2:4">
      <c r="B785" s="1">
        <v>781</v>
      </c>
      <c r="C785" s="1">
        <v>86</v>
      </c>
      <c r="D785" s="1"/>
    </row>
    <row r="786" spans="2:4">
      <c r="B786" s="1">
        <v>782</v>
      </c>
      <c r="C786" s="1">
        <v>86.11</v>
      </c>
      <c r="D786" s="1"/>
    </row>
    <row r="787" spans="2:4">
      <c r="B787" s="1">
        <v>783</v>
      </c>
      <c r="C787" s="1">
        <v>86.22</v>
      </c>
      <c r="D787" s="1"/>
    </row>
    <row r="788" spans="2:4">
      <c r="B788" s="1">
        <v>784</v>
      </c>
      <c r="C788" s="1">
        <v>86.33</v>
      </c>
      <c r="D788" s="1"/>
    </row>
    <row r="789" spans="2:4">
      <c r="B789" s="1">
        <v>785</v>
      </c>
      <c r="C789" s="1">
        <v>86.44</v>
      </c>
      <c r="D789" s="1"/>
    </row>
    <row r="790" spans="2:4">
      <c r="B790" s="1">
        <v>786</v>
      </c>
      <c r="C790" s="1">
        <v>86.56</v>
      </c>
      <c r="D790" s="1"/>
    </row>
    <row r="791" spans="2:4">
      <c r="B791" s="1">
        <v>787</v>
      </c>
      <c r="C791" s="1">
        <v>86.67</v>
      </c>
      <c r="D791" s="1"/>
    </row>
    <row r="792" spans="2:4">
      <c r="B792" s="1">
        <v>788</v>
      </c>
      <c r="C792" s="1">
        <v>86.78</v>
      </c>
      <c r="D792" s="1"/>
    </row>
    <row r="793" spans="2:4">
      <c r="B793" s="1">
        <v>789</v>
      </c>
      <c r="C793" s="1">
        <v>86.89</v>
      </c>
      <c r="D793" s="1"/>
    </row>
    <row r="794" spans="2:4">
      <c r="B794" s="1">
        <v>790</v>
      </c>
      <c r="C794" s="1">
        <v>87</v>
      </c>
      <c r="D794" s="1"/>
    </row>
    <row r="795" spans="2:4">
      <c r="B795" s="1">
        <v>791</v>
      </c>
      <c r="C795" s="1">
        <v>87.11</v>
      </c>
      <c r="D795" s="1"/>
    </row>
    <row r="796" spans="2:4">
      <c r="B796" s="1">
        <v>792</v>
      </c>
      <c r="C796" s="1">
        <v>87.22</v>
      </c>
      <c r="D796" s="1"/>
    </row>
    <row r="797" spans="2:4">
      <c r="B797" s="1">
        <v>793</v>
      </c>
      <c r="C797" s="1">
        <v>87.33</v>
      </c>
      <c r="D797" s="1"/>
    </row>
    <row r="798" spans="2:4">
      <c r="B798" s="1">
        <v>794</v>
      </c>
      <c r="C798" s="1">
        <v>87.44</v>
      </c>
      <c r="D798" s="1"/>
    </row>
    <row r="799" spans="2:4">
      <c r="B799" s="1">
        <v>795</v>
      </c>
      <c r="C799" s="1">
        <v>87.56</v>
      </c>
      <c r="D799" s="1"/>
    </row>
    <row r="800" spans="2:4">
      <c r="B800" s="1">
        <v>796</v>
      </c>
      <c r="C800" s="1">
        <v>87.67</v>
      </c>
      <c r="D800" s="1"/>
    </row>
    <row r="801" spans="2:4">
      <c r="B801" s="1">
        <v>797</v>
      </c>
      <c r="C801" s="1">
        <v>87.78</v>
      </c>
      <c r="D801" s="1"/>
    </row>
    <row r="802" spans="2:4">
      <c r="B802" s="1">
        <v>798</v>
      </c>
      <c r="C802" s="1">
        <v>87.89</v>
      </c>
      <c r="D802" s="1"/>
    </row>
    <row r="803" spans="2:4">
      <c r="B803" s="1">
        <v>799</v>
      </c>
      <c r="C803" s="1">
        <v>88</v>
      </c>
      <c r="D803" s="1"/>
    </row>
    <row r="804" spans="2:4">
      <c r="B804" s="1">
        <v>800</v>
      </c>
      <c r="C804" s="1">
        <v>88.11</v>
      </c>
      <c r="D804" s="1"/>
    </row>
    <row r="805" spans="2:4">
      <c r="B805" s="1">
        <v>801</v>
      </c>
      <c r="C805" s="1">
        <v>88.22</v>
      </c>
      <c r="D805" s="1"/>
    </row>
    <row r="806" spans="2:4">
      <c r="B806" s="1">
        <v>802</v>
      </c>
      <c r="C806" s="1">
        <v>88.33</v>
      </c>
      <c r="D806" s="1"/>
    </row>
    <row r="807" spans="2:4">
      <c r="B807" s="1">
        <v>803</v>
      </c>
      <c r="C807" s="1">
        <v>88.44</v>
      </c>
      <c r="D807" s="1"/>
    </row>
    <row r="808" spans="2:4">
      <c r="B808" s="1">
        <v>804</v>
      </c>
      <c r="C808" s="1">
        <v>88.56</v>
      </c>
      <c r="D808" s="1"/>
    </row>
    <row r="809" spans="2:4">
      <c r="B809" s="1">
        <v>805</v>
      </c>
      <c r="C809" s="1">
        <v>88.67</v>
      </c>
      <c r="D809" s="1"/>
    </row>
    <row r="810" spans="2:4">
      <c r="B810" s="1">
        <v>806</v>
      </c>
      <c r="C810" s="1">
        <v>88.78</v>
      </c>
      <c r="D810" s="1"/>
    </row>
    <row r="811" spans="2:4">
      <c r="B811" s="1">
        <v>807</v>
      </c>
      <c r="C811" s="1">
        <v>88.89</v>
      </c>
      <c r="D811" s="1"/>
    </row>
    <row r="812" spans="2:4">
      <c r="B812" s="1">
        <v>808</v>
      </c>
      <c r="C812" s="1">
        <v>89</v>
      </c>
      <c r="D812" s="1"/>
    </row>
    <row r="813" spans="2:4">
      <c r="B813" s="1">
        <v>809</v>
      </c>
      <c r="C813" s="1">
        <v>89.11</v>
      </c>
      <c r="D813" s="1"/>
    </row>
    <row r="814" spans="2:4">
      <c r="B814" s="1">
        <v>810</v>
      </c>
      <c r="C814" s="1">
        <v>89.22</v>
      </c>
      <c r="D814" s="1"/>
    </row>
    <row r="815" spans="2:4">
      <c r="B815" s="1">
        <v>811</v>
      </c>
      <c r="C815" s="1">
        <v>89.33</v>
      </c>
      <c r="D815" s="1"/>
    </row>
    <row r="816" spans="2:4">
      <c r="B816" s="1">
        <v>812</v>
      </c>
      <c r="C816" s="1">
        <v>89.44</v>
      </c>
      <c r="D816" s="1"/>
    </row>
    <row r="817" spans="2:4">
      <c r="B817" s="1">
        <v>813</v>
      </c>
      <c r="C817" s="1">
        <v>89.56</v>
      </c>
      <c r="D817" s="1"/>
    </row>
    <row r="818" spans="2:4">
      <c r="B818" s="1">
        <v>814</v>
      </c>
      <c r="C818" s="1">
        <v>89.67</v>
      </c>
      <c r="D818" s="1"/>
    </row>
    <row r="819" spans="2:4">
      <c r="B819" s="1">
        <v>815</v>
      </c>
      <c r="C819" s="1">
        <v>89.78</v>
      </c>
      <c r="D819" s="1"/>
    </row>
    <row r="820" spans="2:4">
      <c r="B820" s="1">
        <v>816</v>
      </c>
      <c r="C820" s="1">
        <v>89.89</v>
      </c>
      <c r="D820" s="1"/>
    </row>
    <row r="821" spans="2:4">
      <c r="B821" s="1">
        <v>817</v>
      </c>
      <c r="C821" s="1">
        <v>90</v>
      </c>
      <c r="D821" s="1"/>
    </row>
    <row r="822" spans="2:4">
      <c r="B822" s="1">
        <v>818</v>
      </c>
      <c r="C822" s="1">
        <v>90.11</v>
      </c>
      <c r="D822" s="1"/>
    </row>
    <row r="823" spans="2:4">
      <c r="B823" s="1">
        <v>819</v>
      </c>
      <c r="C823" s="1">
        <v>90.22</v>
      </c>
      <c r="D823" s="1"/>
    </row>
    <row r="824" spans="2:4">
      <c r="B824" s="1">
        <v>820</v>
      </c>
      <c r="C824" s="1">
        <v>90.33</v>
      </c>
      <c r="D824" s="1"/>
    </row>
    <row r="825" spans="2:4">
      <c r="B825" s="1">
        <v>821</v>
      </c>
      <c r="C825" s="1">
        <v>90.44</v>
      </c>
      <c r="D825" s="1"/>
    </row>
    <row r="826" spans="2:4">
      <c r="B826" s="1">
        <v>822</v>
      </c>
      <c r="C826" s="1">
        <v>90.56</v>
      </c>
      <c r="D826" s="1"/>
    </row>
    <row r="827" spans="2:4">
      <c r="B827" s="1">
        <v>823</v>
      </c>
      <c r="C827" s="1">
        <v>90.67</v>
      </c>
      <c r="D827" s="1"/>
    </row>
    <row r="828" spans="2:4">
      <c r="B828" s="1">
        <v>824</v>
      </c>
      <c r="C828" s="1">
        <v>90.78</v>
      </c>
      <c r="D828" s="1"/>
    </row>
    <row r="829" spans="2:4">
      <c r="B829" s="1">
        <v>825</v>
      </c>
      <c r="C829" s="1">
        <v>90.89</v>
      </c>
      <c r="D829" s="1"/>
    </row>
    <row r="830" spans="2:4">
      <c r="B830" s="1">
        <v>826</v>
      </c>
      <c r="C830" s="1">
        <v>91</v>
      </c>
      <c r="D830" s="1"/>
    </row>
    <row r="831" spans="2:4">
      <c r="B831" s="1">
        <v>827</v>
      </c>
      <c r="C831" s="1">
        <v>91.11</v>
      </c>
      <c r="D831" s="1"/>
    </row>
    <row r="832" spans="2:4">
      <c r="B832" s="1">
        <v>828</v>
      </c>
      <c r="C832" s="1">
        <v>91.22</v>
      </c>
      <c r="D832" s="1"/>
    </row>
    <row r="833" spans="2:4">
      <c r="B833" s="1">
        <v>829</v>
      </c>
      <c r="C833" s="1">
        <v>91.33</v>
      </c>
      <c r="D833" s="1"/>
    </row>
    <row r="834" spans="2:4">
      <c r="B834" s="1">
        <v>830</v>
      </c>
      <c r="C834" s="1">
        <v>91.44</v>
      </c>
      <c r="D834" s="1"/>
    </row>
    <row r="835" spans="2:4">
      <c r="B835" s="1">
        <v>831</v>
      </c>
      <c r="C835" s="1">
        <v>91.56</v>
      </c>
      <c r="D835" s="1"/>
    </row>
    <row r="836" spans="2:4">
      <c r="B836" s="1">
        <v>832</v>
      </c>
      <c r="C836" s="1">
        <v>91.67</v>
      </c>
      <c r="D836" s="1"/>
    </row>
    <row r="837" spans="2:4">
      <c r="B837" s="1">
        <v>833</v>
      </c>
      <c r="C837" s="1">
        <v>91.78</v>
      </c>
      <c r="D837" s="1"/>
    </row>
    <row r="838" spans="2:4">
      <c r="B838" s="1">
        <v>834</v>
      </c>
      <c r="C838" s="1">
        <v>91.89</v>
      </c>
      <c r="D838" s="1"/>
    </row>
    <row r="839" spans="2:4">
      <c r="B839" s="1">
        <v>835</v>
      </c>
      <c r="C839" s="1">
        <v>92</v>
      </c>
      <c r="D839" s="1"/>
    </row>
    <row r="840" spans="2:4">
      <c r="B840" s="1">
        <v>836</v>
      </c>
      <c r="C840" s="1">
        <v>92.11</v>
      </c>
      <c r="D840" s="1"/>
    </row>
    <row r="841" spans="2:4">
      <c r="B841" s="1">
        <v>837</v>
      </c>
      <c r="C841" s="1">
        <v>92.22</v>
      </c>
      <c r="D841" s="1"/>
    </row>
    <row r="842" spans="2:4">
      <c r="B842" s="1">
        <v>838</v>
      </c>
      <c r="C842" s="1">
        <v>92.33</v>
      </c>
      <c r="D842" s="1"/>
    </row>
    <row r="843" spans="2:4">
      <c r="B843" s="1">
        <v>839</v>
      </c>
      <c r="C843" s="1">
        <v>92.44</v>
      </c>
      <c r="D843" s="1"/>
    </row>
    <row r="844" spans="2:4">
      <c r="B844" s="1">
        <v>840</v>
      </c>
      <c r="C844" s="1">
        <v>92.56</v>
      </c>
      <c r="D844" s="1"/>
    </row>
    <row r="845" spans="2:4">
      <c r="B845" s="1">
        <v>841</v>
      </c>
      <c r="C845" s="1">
        <v>92.67</v>
      </c>
      <c r="D845" s="1"/>
    </row>
    <row r="846" spans="2:4">
      <c r="B846" s="1">
        <v>842</v>
      </c>
      <c r="C846" s="1">
        <v>92.78</v>
      </c>
      <c r="D846" s="1"/>
    </row>
    <row r="847" spans="2:4">
      <c r="B847" s="1">
        <v>843</v>
      </c>
      <c r="C847" s="1">
        <v>92.89</v>
      </c>
      <c r="D847" s="1"/>
    </row>
    <row r="848" spans="2:4">
      <c r="B848" s="1">
        <v>844</v>
      </c>
      <c r="C848" s="1">
        <v>93</v>
      </c>
      <c r="D848" s="1"/>
    </row>
    <row r="849" spans="2:4">
      <c r="B849" s="1">
        <v>845</v>
      </c>
      <c r="C849" s="1">
        <v>93.11</v>
      </c>
      <c r="D849" s="1"/>
    </row>
    <row r="850" spans="2:4">
      <c r="B850" s="1">
        <v>846</v>
      </c>
      <c r="C850" s="1">
        <v>93.22</v>
      </c>
      <c r="D850" s="1"/>
    </row>
    <row r="851" spans="2:4">
      <c r="B851" s="1">
        <v>847</v>
      </c>
      <c r="C851" s="1">
        <v>93.33</v>
      </c>
      <c r="D851" s="1"/>
    </row>
    <row r="852" spans="2:4">
      <c r="B852" s="1">
        <v>848</v>
      </c>
      <c r="C852" s="1">
        <v>93.44</v>
      </c>
      <c r="D852" s="1"/>
    </row>
    <row r="853" spans="2:4">
      <c r="B853" s="1">
        <v>849</v>
      </c>
      <c r="C853" s="1">
        <v>93.56</v>
      </c>
      <c r="D853" s="1"/>
    </row>
    <row r="854" spans="2:4">
      <c r="B854" s="1">
        <v>850</v>
      </c>
      <c r="C854" s="1">
        <v>93.67</v>
      </c>
      <c r="D854" s="1"/>
    </row>
    <row r="855" spans="2:4">
      <c r="B855" s="1">
        <v>851</v>
      </c>
      <c r="C855" s="1">
        <v>93.78</v>
      </c>
      <c r="D855" s="1"/>
    </row>
    <row r="856" spans="2:4">
      <c r="B856" s="1">
        <v>852</v>
      </c>
      <c r="C856" s="1">
        <v>93.89</v>
      </c>
      <c r="D856" s="1"/>
    </row>
    <row r="857" spans="2:4">
      <c r="B857" s="1">
        <v>853</v>
      </c>
      <c r="C857" s="1">
        <v>94</v>
      </c>
      <c r="D857" s="1"/>
    </row>
    <row r="858" spans="2:4">
      <c r="B858" s="1">
        <v>854</v>
      </c>
      <c r="C858" s="1">
        <v>94.11</v>
      </c>
      <c r="D858" s="1"/>
    </row>
    <row r="859" spans="2:4">
      <c r="B859" s="1">
        <v>855</v>
      </c>
      <c r="C859" s="1">
        <v>94.22</v>
      </c>
      <c r="D859" s="1"/>
    </row>
    <row r="860" spans="2:4">
      <c r="B860" s="1">
        <v>856</v>
      </c>
      <c r="C860" s="1">
        <v>94.33</v>
      </c>
      <c r="D860" s="1"/>
    </row>
    <row r="861" spans="2:4">
      <c r="B861" s="1">
        <v>857</v>
      </c>
      <c r="C861" s="1">
        <v>94.44</v>
      </c>
      <c r="D861" s="1"/>
    </row>
    <row r="862" spans="2:4">
      <c r="B862" s="1">
        <v>858</v>
      </c>
      <c r="C862" s="1">
        <v>94.56</v>
      </c>
      <c r="D862" s="1"/>
    </row>
    <row r="863" spans="2:4">
      <c r="B863" s="1">
        <v>859</v>
      </c>
      <c r="C863" s="1">
        <v>94.67</v>
      </c>
      <c r="D863" s="1"/>
    </row>
    <row r="864" spans="2:4">
      <c r="B864" s="1">
        <v>860</v>
      </c>
      <c r="C864" s="1">
        <v>94.78</v>
      </c>
      <c r="D864" s="1"/>
    </row>
    <row r="865" spans="2:4">
      <c r="B865" s="1">
        <v>861</v>
      </c>
      <c r="C865" s="1">
        <v>94.89</v>
      </c>
      <c r="D865" s="1"/>
    </row>
    <row r="866" spans="2:4">
      <c r="B866" s="1">
        <v>862</v>
      </c>
      <c r="C866" s="1">
        <v>95</v>
      </c>
      <c r="D866" s="1"/>
    </row>
    <row r="867" spans="2:4">
      <c r="B867" s="1">
        <v>863</v>
      </c>
      <c r="C867" s="1">
        <v>95.11</v>
      </c>
      <c r="D867" s="1"/>
    </row>
    <row r="868" spans="2:4">
      <c r="B868" s="1">
        <v>864</v>
      </c>
      <c r="C868" s="1">
        <v>95.22</v>
      </c>
      <c r="D868" s="1"/>
    </row>
    <row r="869" spans="2:4">
      <c r="B869" s="1">
        <v>865</v>
      </c>
      <c r="C869" s="1">
        <v>95.33</v>
      </c>
      <c r="D869" s="1"/>
    </row>
    <row r="870" spans="2:4">
      <c r="B870" s="1">
        <v>866</v>
      </c>
      <c r="C870" s="1">
        <v>95.44</v>
      </c>
      <c r="D870" s="1"/>
    </row>
    <row r="871" spans="2:4">
      <c r="B871" s="1">
        <v>867</v>
      </c>
      <c r="C871" s="1">
        <v>95.56</v>
      </c>
      <c r="D871" s="1"/>
    </row>
    <row r="872" spans="2:4">
      <c r="B872" s="1">
        <v>868</v>
      </c>
      <c r="C872" s="1">
        <v>95.67</v>
      </c>
      <c r="D872" s="1"/>
    </row>
    <row r="873" spans="2:4">
      <c r="B873" s="1">
        <v>869</v>
      </c>
      <c r="C873" s="1">
        <v>95.78</v>
      </c>
      <c r="D873" s="1"/>
    </row>
    <row r="874" spans="2:4">
      <c r="B874" s="1">
        <v>870</v>
      </c>
      <c r="C874" s="1">
        <v>95.89</v>
      </c>
      <c r="D874" s="1"/>
    </row>
    <row r="875" spans="2:4">
      <c r="B875" s="1">
        <v>871</v>
      </c>
      <c r="C875" s="1">
        <v>96</v>
      </c>
      <c r="D875" s="1"/>
    </row>
    <row r="876" spans="2:4">
      <c r="B876" s="1">
        <v>872</v>
      </c>
      <c r="C876" s="1">
        <v>96.11</v>
      </c>
      <c r="D876" s="1"/>
    </row>
    <row r="877" spans="2:4">
      <c r="B877" s="1">
        <v>873</v>
      </c>
      <c r="C877" s="1">
        <v>96.22</v>
      </c>
      <c r="D877" s="1"/>
    </row>
    <row r="878" spans="2:4">
      <c r="B878" s="1">
        <v>874</v>
      </c>
      <c r="C878" s="1">
        <v>96.33</v>
      </c>
      <c r="D878" s="1"/>
    </row>
    <row r="879" spans="2:4">
      <c r="B879" s="1">
        <v>875</v>
      </c>
      <c r="C879" s="1">
        <v>96.44</v>
      </c>
      <c r="D879" s="1"/>
    </row>
    <row r="880" spans="2:4">
      <c r="B880" s="1">
        <v>876</v>
      </c>
      <c r="C880" s="1">
        <v>96.56</v>
      </c>
      <c r="D880" s="1"/>
    </row>
    <row r="881" spans="2:4">
      <c r="B881" s="1">
        <v>877</v>
      </c>
      <c r="C881" s="1">
        <v>96.67</v>
      </c>
      <c r="D881" s="1"/>
    </row>
    <row r="882" spans="2:4">
      <c r="B882" s="1">
        <v>878</v>
      </c>
      <c r="C882" s="1">
        <v>96.78</v>
      </c>
      <c r="D882" s="1"/>
    </row>
    <row r="883" spans="2:4">
      <c r="B883" s="1">
        <v>879</v>
      </c>
      <c r="C883" s="1">
        <v>96.89</v>
      </c>
      <c r="D883" s="1"/>
    </row>
    <row r="884" spans="2:4">
      <c r="B884" s="1">
        <v>880</v>
      </c>
      <c r="C884" s="1">
        <v>97</v>
      </c>
      <c r="D884" s="1"/>
    </row>
    <row r="885" spans="2:4">
      <c r="B885" s="1">
        <v>881</v>
      </c>
      <c r="C885" s="1">
        <v>97.11</v>
      </c>
      <c r="D885" s="1"/>
    </row>
    <row r="886" spans="2:4">
      <c r="B886" s="1">
        <v>882</v>
      </c>
      <c r="C886" s="1">
        <v>97.22</v>
      </c>
      <c r="D886" s="1"/>
    </row>
    <row r="887" spans="2:4">
      <c r="B887" s="1">
        <v>883</v>
      </c>
      <c r="C887" s="1">
        <v>97.33</v>
      </c>
      <c r="D887" s="1"/>
    </row>
    <row r="888" spans="2:4">
      <c r="B888" s="1">
        <v>884</v>
      </c>
      <c r="C888" s="1">
        <v>97.44</v>
      </c>
      <c r="D888" s="1"/>
    </row>
    <row r="889" spans="2:4">
      <c r="B889" s="1">
        <v>885</v>
      </c>
      <c r="C889" s="1">
        <v>97.56</v>
      </c>
      <c r="D889" s="1"/>
    </row>
    <row r="890" spans="2:4">
      <c r="B890" s="1">
        <v>886</v>
      </c>
      <c r="C890" s="1">
        <v>97.67</v>
      </c>
      <c r="D890" s="1"/>
    </row>
    <row r="891" spans="2:4">
      <c r="B891" s="1">
        <v>887</v>
      </c>
      <c r="C891" s="1">
        <v>97.78</v>
      </c>
      <c r="D891" s="1"/>
    </row>
    <row r="892" spans="2:4">
      <c r="B892" s="1">
        <v>888</v>
      </c>
      <c r="C892" s="1">
        <v>97.89</v>
      </c>
      <c r="D892" s="1"/>
    </row>
    <row r="893" spans="2:4">
      <c r="B893" s="1">
        <v>889</v>
      </c>
      <c r="C893" s="1">
        <v>98</v>
      </c>
      <c r="D893" s="1"/>
    </row>
    <row r="894" spans="2:4">
      <c r="B894" s="1">
        <v>890</v>
      </c>
      <c r="C894" s="1">
        <v>98.11</v>
      </c>
      <c r="D894" s="1"/>
    </row>
    <row r="895" spans="2:4">
      <c r="B895" s="1">
        <v>891</v>
      </c>
      <c r="C895" s="1">
        <v>98.22</v>
      </c>
      <c r="D895" s="1"/>
    </row>
    <row r="896" spans="2:4">
      <c r="B896" s="1">
        <v>892</v>
      </c>
      <c r="C896" s="1">
        <v>98.33</v>
      </c>
      <c r="D896" s="1"/>
    </row>
    <row r="897" spans="2:4">
      <c r="B897" s="1">
        <v>893</v>
      </c>
      <c r="C897" s="1">
        <v>98.44</v>
      </c>
      <c r="D897" s="1"/>
    </row>
    <row r="898" spans="2:4">
      <c r="B898" s="1">
        <v>894</v>
      </c>
      <c r="C898" s="1">
        <v>98.56</v>
      </c>
      <c r="D898" s="1"/>
    </row>
    <row r="899" spans="2:4">
      <c r="B899" s="1">
        <v>895</v>
      </c>
      <c r="C899" s="1">
        <v>98.67</v>
      </c>
      <c r="D899" s="1"/>
    </row>
    <row r="900" spans="2:4">
      <c r="B900" s="1">
        <v>896</v>
      </c>
      <c r="C900" s="1">
        <v>98.78</v>
      </c>
      <c r="D900" s="1"/>
    </row>
    <row r="901" spans="2:4">
      <c r="B901" s="1">
        <v>897</v>
      </c>
      <c r="C901" s="1">
        <v>98.89</v>
      </c>
      <c r="D901" s="1"/>
    </row>
    <row r="902" spans="2:4">
      <c r="B902" s="1">
        <v>898</v>
      </c>
      <c r="C902" s="1">
        <v>99</v>
      </c>
      <c r="D902" s="1"/>
    </row>
    <row r="903" spans="2:4">
      <c r="B903" s="1">
        <v>899</v>
      </c>
      <c r="C903" s="1">
        <v>99.11</v>
      </c>
      <c r="D903" s="1"/>
    </row>
    <row r="904" spans="2:4">
      <c r="B904" s="1">
        <v>900</v>
      </c>
      <c r="C904" s="1">
        <v>99.22</v>
      </c>
      <c r="D904" s="1"/>
    </row>
    <row r="905" spans="2:4">
      <c r="B905" s="1">
        <v>901</v>
      </c>
      <c r="C905" s="1">
        <v>99.33</v>
      </c>
      <c r="D905" s="1"/>
    </row>
    <row r="906" spans="2:4">
      <c r="B906" s="1">
        <v>902</v>
      </c>
      <c r="C906" s="1">
        <v>99.44</v>
      </c>
      <c r="D906" s="1"/>
    </row>
    <row r="907" spans="2:4">
      <c r="B907" s="1">
        <v>903</v>
      </c>
      <c r="C907" s="1">
        <v>99.56</v>
      </c>
      <c r="D907" s="1"/>
    </row>
    <row r="908" spans="2:4">
      <c r="B908" s="1">
        <v>904</v>
      </c>
      <c r="C908" s="1">
        <v>99.67</v>
      </c>
      <c r="D908" s="1"/>
    </row>
    <row r="909" spans="2:4">
      <c r="B909" s="1">
        <v>905</v>
      </c>
      <c r="C909" s="1">
        <v>99.78</v>
      </c>
      <c r="D909" s="1"/>
    </row>
    <row r="910" spans="2:4">
      <c r="B910" s="1">
        <v>906</v>
      </c>
      <c r="C910" s="1">
        <v>99.89</v>
      </c>
      <c r="D910" s="1"/>
    </row>
    <row r="911" spans="2:4">
      <c r="B911" s="1">
        <v>907</v>
      </c>
      <c r="C911" s="1">
        <v>100</v>
      </c>
      <c r="D911" s="1"/>
    </row>
    <row r="912" spans="2:4">
      <c r="B912" s="1">
        <v>908</v>
      </c>
      <c r="C912" s="1">
        <v>100.11</v>
      </c>
      <c r="D912" s="1"/>
    </row>
    <row r="913" spans="2:4">
      <c r="B913" s="1">
        <v>909</v>
      </c>
      <c r="C913" s="1">
        <v>100.22</v>
      </c>
      <c r="D913" s="1"/>
    </row>
    <row r="914" spans="2:4">
      <c r="B914" s="1">
        <v>910</v>
      </c>
      <c r="C914" s="1">
        <v>100.33</v>
      </c>
      <c r="D914" s="1"/>
    </row>
    <row r="915" spans="2:4">
      <c r="B915" s="1">
        <v>911</v>
      </c>
      <c r="C915" s="1">
        <v>100.44</v>
      </c>
      <c r="D915" s="1"/>
    </row>
    <row r="916" spans="2:4">
      <c r="B916" s="1">
        <v>912</v>
      </c>
      <c r="C916" s="1">
        <v>100.56</v>
      </c>
      <c r="D916" s="1"/>
    </row>
    <row r="917" spans="2:4">
      <c r="B917" s="1">
        <v>913</v>
      </c>
      <c r="C917" s="1">
        <v>100.67</v>
      </c>
      <c r="D917" s="1"/>
    </row>
    <row r="918" spans="2:4">
      <c r="B918" s="1">
        <v>914</v>
      </c>
      <c r="C918" s="1">
        <v>100.78</v>
      </c>
      <c r="D918" s="1"/>
    </row>
    <row r="919" spans="2:4">
      <c r="B919" s="1">
        <v>915</v>
      </c>
      <c r="C919" s="1">
        <v>100.89</v>
      </c>
      <c r="D919" s="1"/>
    </row>
    <row r="920" spans="2:4">
      <c r="B920" s="1">
        <v>916</v>
      </c>
      <c r="C920" s="1">
        <v>101</v>
      </c>
      <c r="D920" s="1"/>
    </row>
    <row r="921" spans="2:4">
      <c r="B921" s="1">
        <v>917</v>
      </c>
      <c r="C921" s="1">
        <v>101.11</v>
      </c>
      <c r="D921" s="1"/>
    </row>
    <row r="922" spans="2:4">
      <c r="B922" s="1">
        <v>918</v>
      </c>
      <c r="C922" s="1">
        <v>101.22</v>
      </c>
      <c r="D922" s="1"/>
    </row>
    <row r="923" spans="2:4">
      <c r="B923" s="1">
        <v>919</v>
      </c>
      <c r="C923" s="1">
        <v>101.33</v>
      </c>
      <c r="D923" s="1"/>
    </row>
    <row r="924" spans="2:4">
      <c r="B924" s="1">
        <v>920</v>
      </c>
      <c r="C924" s="1">
        <v>101.44</v>
      </c>
      <c r="D924" s="1"/>
    </row>
    <row r="925" spans="2:4">
      <c r="B925" s="1">
        <v>921</v>
      </c>
      <c r="C925" s="1">
        <v>101.56</v>
      </c>
      <c r="D925" s="1"/>
    </row>
    <row r="926" spans="2:4">
      <c r="B926" s="1">
        <v>922</v>
      </c>
      <c r="C926" s="1">
        <v>101.67</v>
      </c>
      <c r="D926" s="1"/>
    </row>
    <row r="927" spans="2:4">
      <c r="B927" s="1">
        <v>923</v>
      </c>
      <c r="C927" s="1">
        <v>101.78</v>
      </c>
      <c r="D927" s="1"/>
    </row>
    <row r="928" spans="2:4">
      <c r="B928" s="1">
        <v>924</v>
      </c>
      <c r="C928" s="1">
        <v>101.89</v>
      </c>
      <c r="D928" s="1"/>
    </row>
    <row r="929" spans="2:4">
      <c r="B929" s="1">
        <v>925</v>
      </c>
      <c r="C929" s="1">
        <v>102</v>
      </c>
      <c r="D929" s="1"/>
    </row>
    <row r="930" spans="2:4">
      <c r="B930" s="1">
        <v>926</v>
      </c>
      <c r="C930" s="1">
        <v>102.11</v>
      </c>
      <c r="D930" s="1"/>
    </row>
    <row r="931" spans="2:4">
      <c r="B931" s="1">
        <v>927</v>
      </c>
      <c r="C931" s="1">
        <v>102.22</v>
      </c>
      <c r="D931" s="1"/>
    </row>
    <row r="932" spans="2:4">
      <c r="B932" s="1">
        <v>928</v>
      </c>
      <c r="C932" s="1">
        <v>102.33</v>
      </c>
      <c r="D932" s="1"/>
    </row>
    <row r="933" spans="2:4">
      <c r="B933" s="1">
        <v>929</v>
      </c>
      <c r="C933" s="1">
        <v>102.44</v>
      </c>
      <c r="D933" s="1"/>
    </row>
    <row r="934" spans="2:4">
      <c r="B934" s="1">
        <v>930</v>
      </c>
      <c r="C934" s="1">
        <v>102.56</v>
      </c>
      <c r="D934" s="1"/>
    </row>
    <row r="935" spans="2:4">
      <c r="B935" s="1">
        <v>931</v>
      </c>
      <c r="C935" s="1">
        <v>102.67</v>
      </c>
      <c r="D935" s="1"/>
    </row>
    <row r="936" spans="2:4">
      <c r="B936" s="1">
        <v>932</v>
      </c>
      <c r="C936" s="1">
        <v>102.78</v>
      </c>
      <c r="D936" s="1"/>
    </row>
    <row r="937" spans="2:4">
      <c r="B937" s="1">
        <v>933</v>
      </c>
      <c r="C937" s="1">
        <v>102.89</v>
      </c>
      <c r="D937" s="1"/>
    </row>
    <row r="938" spans="2:4">
      <c r="B938" s="1">
        <v>934</v>
      </c>
      <c r="C938" s="1">
        <v>103</v>
      </c>
      <c r="D938" s="1"/>
    </row>
    <row r="939" spans="2:4">
      <c r="B939" s="1">
        <v>935</v>
      </c>
      <c r="C939" s="1">
        <v>103.11</v>
      </c>
      <c r="D939" s="1"/>
    </row>
    <row r="940" spans="2:4">
      <c r="B940" s="1">
        <v>936</v>
      </c>
      <c r="C940" s="1">
        <v>103.22</v>
      </c>
      <c r="D940" s="1"/>
    </row>
    <row r="941" spans="2:4">
      <c r="B941" s="1">
        <v>937</v>
      </c>
      <c r="C941" s="1">
        <v>103.33</v>
      </c>
      <c r="D941" s="1"/>
    </row>
    <row r="942" spans="2:4">
      <c r="B942" s="1">
        <v>938</v>
      </c>
      <c r="C942" s="1">
        <v>103.44</v>
      </c>
      <c r="D942" s="1"/>
    </row>
    <row r="943" spans="2:4">
      <c r="B943" s="1">
        <v>939</v>
      </c>
      <c r="C943" s="1">
        <v>103.56</v>
      </c>
      <c r="D943" s="1"/>
    </row>
    <row r="944" spans="2:4">
      <c r="B944" s="1">
        <v>940</v>
      </c>
      <c r="C944" s="1">
        <v>103.67</v>
      </c>
      <c r="D944" s="1"/>
    </row>
    <row r="945" spans="2:4">
      <c r="B945" s="1">
        <v>941</v>
      </c>
      <c r="C945" s="1">
        <v>103.78</v>
      </c>
      <c r="D945" s="1"/>
    </row>
    <row r="946" spans="2:4">
      <c r="B946" s="1">
        <v>942</v>
      </c>
      <c r="C946" s="1">
        <v>103.89</v>
      </c>
      <c r="D946" s="1"/>
    </row>
    <row r="947" spans="2:4">
      <c r="B947" s="1">
        <v>943</v>
      </c>
      <c r="C947" s="1">
        <v>104</v>
      </c>
      <c r="D947" s="1"/>
    </row>
    <row r="948" spans="2:4">
      <c r="B948" s="1">
        <v>944</v>
      </c>
      <c r="C948" s="1">
        <v>104.11</v>
      </c>
      <c r="D948" s="1"/>
    </row>
    <row r="949" spans="2:4">
      <c r="B949" s="1">
        <v>945</v>
      </c>
      <c r="C949" s="1">
        <v>104.22</v>
      </c>
      <c r="D949" s="1"/>
    </row>
    <row r="950" spans="2:4">
      <c r="B950" s="1">
        <v>946</v>
      </c>
      <c r="C950" s="1">
        <v>104.33</v>
      </c>
      <c r="D950" s="1"/>
    </row>
    <row r="951" spans="2:4">
      <c r="B951" s="1">
        <v>947</v>
      </c>
      <c r="C951" s="1">
        <v>104.44</v>
      </c>
      <c r="D951" s="1"/>
    </row>
    <row r="952" spans="2:4">
      <c r="B952" s="1">
        <v>948</v>
      </c>
      <c r="C952" s="1">
        <v>104.56</v>
      </c>
      <c r="D952" s="1"/>
    </row>
    <row r="953" spans="2:4">
      <c r="B953" s="1">
        <v>949</v>
      </c>
      <c r="C953" s="1">
        <v>104.67</v>
      </c>
      <c r="D953" s="1"/>
    </row>
    <row r="954" spans="2:4">
      <c r="B954" s="1">
        <v>950</v>
      </c>
      <c r="C954" s="1">
        <v>104.78</v>
      </c>
      <c r="D954" s="1"/>
    </row>
    <row r="955" spans="2:4">
      <c r="B955" s="1">
        <v>951</v>
      </c>
      <c r="C955" s="1">
        <v>104.89</v>
      </c>
      <c r="D955" s="1"/>
    </row>
    <row r="956" spans="2:4">
      <c r="B956" s="1">
        <v>952</v>
      </c>
      <c r="C956" s="1">
        <v>105</v>
      </c>
      <c r="D956" s="1"/>
    </row>
    <row r="957" spans="2:4">
      <c r="B957" s="1">
        <v>953</v>
      </c>
      <c r="C957" s="1">
        <v>105.11</v>
      </c>
      <c r="D957" s="1"/>
    </row>
    <row r="958" spans="2:4">
      <c r="B958" s="1">
        <v>954</v>
      </c>
      <c r="C958" s="1">
        <v>105.22</v>
      </c>
      <c r="D958" s="1"/>
    </row>
    <row r="959" spans="2:4">
      <c r="B959" s="1">
        <v>955</v>
      </c>
      <c r="C959" s="1">
        <v>105.33</v>
      </c>
      <c r="D959" s="1"/>
    </row>
    <row r="960" spans="2:4">
      <c r="B960" s="1">
        <v>956</v>
      </c>
      <c r="C960" s="1">
        <v>105.44</v>
      </c>
      <c r="D960" s="1"/>
    </row>
    <row r="961" spans="2:4">
      <c r="B961" s="1">
        <v>957</v>
      </c>
      <c r="C961" s="1">
        <v>105.56</v>
      </c>
      <c r="D961" s="1"/>
    </row>
    <row r="962" spans="2:4">
      <c r="B962" s="1">
        <v>958</v>
      </c>
      <c r="C962" s="1">
        <v>105.67</v>
      </c>
      <c r="D962" s="1"/>
    </row>
    <row r="963" spans="2:4">
      <c r="B963" s="1">
        <v>959</v>
      </c>
      <c r="C963" s="1">
        <v>105.78</v>
      </c>
      <c r="D963" s="1"/>
    </row>
    <row r="964" spans="2:4">
      <c r="B964" s="1">
        <v>960</v>
      </c>
      <c r="C964" s="1">
        <v>105.89</v>
      </c>
      <c r="D964" s="1"/>
    </row>
    <row r="965" spans="2:4">
      <c r="B965" s="1">
        <v>961</v>
      </c>
      <c r="C965" s="1">
        <v>106</v>
      </c>
      <c r="D965" s="1"/>
    </row>
    <row r="966" spans="2:4">
      <c r="B966" s="1">
        <v>962</v>
      </c>
      <c r="C966" s="1">
        <v>106.11</v>
      </c>
      <c r="D966" s="1"/>
    </row>
    <row r="967" spans="2:4">
      <c r="B967" s="1">
        <v>963</v>
      </c>
      <c r="C967" s="1">
        <v>106.22</v>
      </c>
      <c r="D967" s="1"/>
    </row>
    <row r="968" spans="2:4">
      <c r="B968" s="1">
        <v>964</v>
      </c>
      <c r="C968" s="1">
        <v>106.33</v>
      </c>
      <c r="D968" s="1"/>
    </row>
    <row r="969" spans="2:4">
      <c r="B969" s="1">
        <v>965</v>
      </c>
      <c r="C969" s="1">
        <v>106.44</v>
      </c>
      <c r="D969" s="1"/>
    </row>
    <row r="970" spans="2:4">
      <c r="B970" s="1">
        <v>966</v>
      </c>
      <c r="C970" s="1">
        <v>106.56</v>
      </c>
      <c r="D970" s="1"/>
    </row>
    <row r="971" spans="2:4">
      <c r="B971" s="1">
        <v>967</v>
      </c>
      <c r="C971" s="1">
        <v>106.67</v>
      </c>
      <c r="D971" s="1"/>
    </row>
    <row r="972" spans="2:4">
      <c r="B972" s="1">
        <v>968</v>
      </c>
      <c r="C972" s="1">
        <v>106.78</v>
      </c>
      <c r="D972" s="1"/>
    </row>
    <row r="973" spans="2:4">
      <c r="B973" s="1">
        <v>969</v>
      </c>
      <c r="C973" s="1">
        <v>106.89</v>
      </c>
      <c r="D973" s="1"/>
    </row>
    <row r="974" spans="2:4">
      <c r="B974" s="1">
        <v>970</v>
      </c>
      <c r="C974" s="1">
        <v>107</v>
      </c>
      <c r="D974" s="1"/>
    </row>
    <row r="975" spans="2:4">
      <c r="B975" s="1">
        <v>971</v>
      </c>
      <c r="C975" s="1">
        <v>107.11</v>
      </c>
      <c r="D975" s="1"/>
    </row>
    <row r="976" spans="2:4">
      <c r="B976" s="1">
        <v>972</v>
      </c>
      <c r="C976" s="1">
        <v>107.22</v>
      </c>
      <c r="D976" s="1"/>
    </row>
    <row r="977" spans="2:4">
      <c r="B977" s="1">
        <v>973</v>
      </c>
      <c r="C977" s="1">
        <v>107.33</v>
      </c>
      <c r="D977" s="1"/>
    </row>
    <row r="978" spans="2:4">
      <c r="B978" s="1">
        <v>974</v>
      </c>
      <c r="C978" s="1">
        <v>107.44</v>
      </c>
      <c r="D978" s="1"/>
    </row>
    <row r="979" spans="2:4">
      <c r="B979" s="1">
        <v>975</v>
      </c>
      <c r="C979" s="1">
        <v>107.56</v>
      </c>
      <c r="D979" s="1"/>
    </row>
    <row r="980" spans="2:4">
      <c r="B980" s="1">
        <v>976</v>
      </c>
      <c r="C980" s="1">
        <v>107.67</v>
      </c>
      <c r="D980" s="1"/>
    </row>
    <row r="981" spans="2:4">
      <c r="B981" s="1">
        <v>977</v>
      </c>
      <c r="C981" s="1">
        <v>107.78</v>
      </c>
      <c r="D981" s="1"/>
    </row>
    <row r="982" spans="2:4">
      <c r="B982" s="1">
        <v>978</v>
      </c>
      <c r="C982" s="1">
        <v>107.89</v>
      </c>
      <c r="D982" s="1"/>
    </row>
    <row r="983" spans="2:4">
      <c r="B983" s="1">
        <v>979</v>
      </c>
      <c r="C983" s="1">
        <v>108</v>
      </c>
      <c r="D983" s="1"/>
    </row>
    <row r="984" spans="2:4">
      <c r="B984" s="1">
        <v>980</v>
      </c>
      <c r="C984" s="1">
        <v>108.11</v>
      </c>
      <c r="D984" s="1"/>
    </row>
    <row r="985" spans="2:4">
      <c r="B985" s="1">
        <v>981</v>
      </c>
      <c r="C985" s="1">
        <v>108.22</v>
      </c>
      <c r="D985" s="1"/>
    </row>
    <row r="986" spans="2:4">
      <c r="B986" s="1">
        <v>982</v>
      </c>
      <c r="C986" s="1">
        <v>108.33</v>
      </c>
      <c r="D986" s="1"/>
    </row>
    <row r="987" spans="2:4">
      <c r="B987" s="1">
        <v>983</v>
      </c>
      <c r="C987" s="1">
        <v>108.44</v>
      </c>
      <c r="D987" s="1"/>
    </row>
    <row r="988" spans="2:4">
      <c r="B988" s="1">
        <v>984</v>
      </c>
      <c r="C988" s="1">
        <v>108.56</v>
      </c>
      <c r="D988" s="1"/>
    </row>
    <row r="989" spans="2:4">
      <c r="B989" s="1">
        <v>985</v>
      </c>
      <c r="C989" s="1">
        <v>108.67</v>
      </c>
      <c r="D989" s="1"/>
    </row>
    <row r="990" spans="2:4">
      <c r="B990" s="1">
        <v>986</v>
      </c>
      <c r="C990" s="1">
        <v>108.78</v>
      </c>
      <c r="D990" s="1"/>
    </row>
    <row r="991" spans="2:4">
      <c r="B991" s="1">
        <v>987</v>
      </c>
      <c r="C991" s="1">
        <v>108.89</v>
      </c>
      <c r="D991" s="1"/>
    </row>
    <row r="992" spans="2:4">
      <c r="B992" s="1">
        <v>988</v>
      </c>
      <c r="C992" s="1">
        <v>109</v>
      </c>
      <c r="D992" s="1"/>
    </row>
    <row r="993" spans="2:4">
      <c r="B993" s="1">
        <v>989</v>
      </c>
      <c r="C993" s="1">
        <v>109.11</v>
      </c>
      <c r="D993" s="1"/>
    </row>
    <row r="994" spans="2:4">
      <c r="B994" s="1">
        <v>990</v>
      </c>
      <c r="C994" s="1">
        <v>109.22</v>
      </c>
      <c r="D994" s="1"/>
    </row>
    <row r="995" spans="2:4">
      <c r="B995" s="1">
        <v>991</v>
      </c>
      <c r="C995" s="1">
        <v>109.33</v>
      </c>
      <c r="D995" s="1"/>
    </row>
    <row r="996" spans="2:4">
      <c r="B996" s="1">
        <v>992</v>
      </c>
      <c r="C996" s="1">
        <v>109.44</v>
      </c>
      <c r="D996" s="1"/>
    </row>
    <row r="997" spans="2:4">
      <c r="B997" s="1">
        <v>993</v>
      </c>
      <c r="C997" s="1">
        <v>109.56</v>
      </c>
      <c r="D997" s="1"/>
    </row>
    <row r="998" spans="2:4">
      <c r="B998" s="1">
        <v>994</v>
      </c>
      <c r="C998" s="1">
        <v>109.67</v>
      </c>
      <c r="D998" s="1"/>
    </row>
    <row r="999" spans="2:4">
      <c r="B999" s="1">
        <v>995</v>
      </c>
      <c r="C999" s="1">
        <v>109.78</v>
      </c>
      <c r="D999" s="1"/>
    </row>
    <row r="1000" spans="2:4">
      <c r="B1000" s="1">
        <v>996</v>
      </c>
      <c r="C1000" s="1">
        <v>109.89</v>
      </c>
      <c r="D1000" s="1"/>
    </row>
    <row r="1001" spans="2:4">
      <c r="B1001" s="1">
        <v>997</v>
      </c>
      <c r="C1001" s="1">
        <v>110</v>
      </c>
      <c r="D1001" s="1"/>
    </row>
    <row r="1002" spans="2:4">
      <c r="B1002" s="1">
        <v>998</v>
      </c>
      <c r="C1002" s="1">
        <v>110.11</v>
      </c>
      <c r="D1002" s="1"/>
    </row>
    <row r="1003" spans="2:4">
      <c r="B1003" s="1">
        <v>999</v>
      </c>
      <c r="C1003" s="1">
        <v>110.22</v>
      </c>
      <c r="D1003" s="1"/>
    </row>
    <row r="1004" spans="2:4">
      <c r="B1004" s="1">
        <v>1000</v>
      </c>
      <c r="C1004" s="1">
        <v>110.33</v>
      </c>
      <c r="D1004" s="1"/>
    </row>
    <row r="1005" spans="2:4">
      <c r="B1005" s="1">
        <v>1001</v>
      </c>
      <c r="C1005" s="1">
        <v>110.44</v>
      </c>
      <c r="D1005" s="1"/>
    </row>
    <row r="1006" spans="2:4">
      <c r="B1006" s="1">
        <v>1002</v>
      </c>
      <c r="C1006" s="1">
        <v>110.56</v>
      </c>
      <c r="D1006" s="1"/>
    </row>
    <row r="1007" spans="2:4">
      <c r="B1007" s="1">
        <v>1003</v>
      </c>
      <c r="C1007" s="1">
        <v>110.67</v>
      </c>
      <c r="D1007" s="1"/>
    </row>
    <row r="1008" spans="2:4">
      <c r="B1008" s="1">
        <v>1004</v>
      </c>
      <c r="C1008" s="1">
        <v>110.78</v>
      </c>
      <c r="D1008" s="1"/>
    </row>
    <row r="1009" spans="2:4">
      <c r="B1009" s="1">
        <v>1005</v>
      </c>
      <c r="C1009" s="1">
        <v>110.89</v>
      </c>
      <c r="D1009" s="1"/>
    </row>
    <row r="1010" spans="2:4">
      <c r="B1010" s="1">
        <v>1006</v>
      </c>
      <c r="C1010" s="1">
        <v>111</v>
      </c>
      <c r="D1010" s="1"/>
    </row>
    <row r="1011" spans="2:4">
      <c r="B1011" s="1">
        <v>1007</v>
      </c>
      <c r="C1011" s="1">
        <v>111.11</v>
      </c>
      <c r="D1011" s="1"/>
    </row>
    <row r="1012" spans="2:4">
      <c r="B1012" s="1">
        <v>1008</v>
      </c>
      <c r="C1012" s="1">
        <v>111.22</v>
      </c>
      <c r="D1012" s="1"/>
    </row>
    <row r="1013" spans="2:4">
      <c r="B1013" s="1">
        <v>1009</v>
      </c>
      <c r="C1013" s="1">
        <v>111.33</v>
      </c>
      <c r="D1013" s="1"/>
    </row>
    <row r="1014" spans="2:4">
      <c r="B1014" s="1">
        <v>1010</v>
      </c>
      <c r="C1014" s="1">
        <v>111.44</v>
      </c>
      <c r="D1014" s="1"/>
    </row>
    <row r="1015" spans="2:4">
      <c r="B1015" s="1">
        <v>1011</v>
      </c>
      <c r="C1015" s="1">
        <v>111.56</v>
      </c>
      <c r="D1015" s="1"/>
    </row>
    <row r="1016" spans="2:4">
      <c r="B1016" s="1">
        <v>1012</v>
      </c>
      <c r="C1016" s="1">
        <v>111.67</v>
      </c>
      <c r="D1016" s="1"/>
    </row>
    <row r="1017" spans="2:4">
      <c r="B1017" s="1">
        <v>1013</v>
      </c>
      <c r="C1017" s="1">
        <v>111.78</v>
      </c>
      <c r="D1017" s="1"/>
    </row>
    <row r="1018" spans="2:4">
      <c r="B1018" s="1">
        <v>1014</v>
      </c>
      <c r="C1018" s="1">
        <v>111.89</v>
      </c>
      <c r="D1018" s="1"/>
    </row>
    <row r="1019" spans="2:4">
      <c r="B1019" s="1">
        <v>1015</v>
      </c>
      <c r="C1019" s="1">
        <v>112</v>
      </c>
      <c r="D1019" s="1"/>
    </row>
    <row r="1020" spans="2:4">
      <c r="B1020" s="1">
        <v>1016</v>
      </c>
      <c r="C1020" s="1">
        <v>112.11</v>
      </c>
      <c r="D1020" s="1"/>
    </row>
    <row r="1021" spans="2:4">
      <c r="B1021" s="1">
        <v>1017</v>
      </c>
      <c r="C1021" s="1">
        <v>112.22</v>
      </c>
      <c r="D1021" s="1"/>
    </row>
    <row r="1022" spans="2:4">
      <c r="B1022" s="1">
        <v>1018</v>
      </c>
      <c r="C1022" s="1">
        <v>112.33</v>
      </c>
      <c r="D1022" s="1"/>
    </row>
    <row r="1023" spans="2:4">
      <c r="B1023" s="1">
        <v>1019</v>
      </c>
      <c r="C1023" s="1">
        <v>112.44</v>
      </c>
      <c r="D1023" s="1"/>
    </row>
    <row r="1024" spans="2:4">
      <c r="B1024" s="1">
        <v>1020</v>
      </c>
      <c r="C1024" s="1">
        <v>112.56</v>
      </c>
      <c r="D1024" s="1"/>
    </row>
    <row r="1025" spans="2:4">
      <c r="B1025" s="1">
        <v>1021</v>
      </c>
      <c r="C1025" s="1">
        <v>112.67</v>
      </c>
      <c r="D1025" s="1"/>
    </row>
    <row r="1026" spans="2:4">
      <c r="B1026" s="1">
        <v>1022</v>
      </c>
      <c r="C1026" s="1">
        <v>112.78</v>
      </c>
      <c r="D1026" s="1"/>
    </row>
    <row r="1027" spans="2:4">
      <c r="B1027" s="1">
        <v>1023</v>
      </c>
      <c r="C1027" s="1">
        <v>112.89</v>
      </c>
      <c r="D1027" s="1"/>
    </row>
    <row r="1028" spans="2:4">
      <c r="B1028" s="1">
        <v>1024</v>
      </c>
      <c r="C1028" s="1">
        <v>113</v>
      </c>
      <c r="D1028" s="1"/>
    </row>
    <row r="1029" spans="2:4">
      <c r="B1029" s="1">
        <v>1025</v>
      </c>
      <c r="C1029" s="1">
        <v>113.11</v>
      </c>
      <c r="D1029" s="1"/>
    </row>
    <row r="1030" spans="2:4">
      <c r="B1030" s="1">
        <v>1026</v>
      </c>
      <c r="C1030" s="1">
        <v>113.22</v>
      </c>
      <c r="D1030" s="1"/>
    </row>
    <row r="1031" spans="2:4">
      <c r="B1031" s="1">
        <v>1027</v>
      </c>
      <c r="C1031" s="1">
        <v>113.33</v>
      </c>
      <c r="D1031" s="1"/>
    </row>
    <row r="1032" spans="2:4">
      <c r="B1032" s="1">
        <v>1028</v>
      </c>
      <c r="C1032" s="1">
        <v>113.44</v>
      </c>
      <c r="D1032" s="1"/>
    </row>
    <row r="1033" spans="2:4">
      <c r="B1033" s="1">
        <v>1029</v>
      </c>
      <c r="C1033" s="1">
        <v>113.56</v>
      </c>
      <c r="D1033" s="1"/>
    </row>
    <row r="1034" spans="2:4">
      <c r="B1034" s="1">
        <v>1030</v>
      </c>
      <c r="C1034" s="1">
        <v>113.67</v>
      </c>
      <c r="D1034" s="1"/>
    </row>
    <row r="1035" spans="2:4">
      <c r="B1035" s="1">
        <v>1031</v>
      </c>
      <c r="C1035" s="1">
        <v>113.78</v>
      </c>
      <c r="D1035" s="1"/>
    </row>
    <row r="1036" spans="2:4">
      <c r="B1036" s="1">
        <v>1032</v>
      </c>
      <c r="C1036" s="1">
        <v>113.89</v>
      </c>
      <c r="D1036" s="1"/>
    </row>
    <row r="1037" spans="2:4">
      <c r="B1037" s="1">
        <v>1033</v>
      </c>
      <c r="C1037" s="1">
        <v>114</v>
      </c>
      <c r="D1037" s="1"/>
    </row>
    <row r="1038" spans="2:4">
      <c r="B1038" s="1">
        <v>1034</v>
      </c>
      <c r="C1038" s="1">
        <v>114.11</v>
      </c>
      <c r="D1038" s="1"/>
    </row>
    <row r="1039" spans="2:4">
      <c r="B1039" s="1">
        <v>1035</v>
      </c>
      <c r="C1039" s="1">
        <v>114.22</v>
      </c>
      <c r="D1039" s="1"/>
    </row>
    <row r="1040" spans="2:4">
      <c r="B1040" s="1">
        <v>1036</v>
      </c>
      <c r="C1040" s="1">
        <v>114.33</v>
      </c>
      <c r="D1040" s="1"/>
    </row>
    <row r="1041" spans="2:4">
      <c r="B1041" s="1">
        <v>1037</v>
      </c>
      <c r="C1041" s="1">
        <v>114.44</v>
      </c>
      <c r="D1041" s="1"/>
    </row>
    <row r="1042" spans="2:4">
      <c r="B1042" s="1">
        <v>1038</v>
      </c>
      <c r="C1042" s="1">
        <v>114.56</v>
      </c>
      <c r="D1042" s="1"/>
    </row>
    <row r="1043" spans="2:4">
      <c r="B1043" s="1">
        <v>1039</v>
      </c>
      <c r="C1043" s="1">
        <v>114.67</v>
      </c>
      <c r="D1043" s="1"/>
    </row>
    <row r="1044" spans="2:4">
      <c r="B1044" s="1">
        <v>1040</v>
      </c>
      <c r="C1044" s="1">
        <v>114.78</v>
      </c>
      <c r="D1044" s="1"/>
    </row>
    <row r="1045" spans="2:4">
      <c r="B1045" s="1">
        <v>1041</v>
      </c>
      <c r="C1045" s="1">
        <v>114.89</v>
      </c>
      <c r="D1045" s="1"/>
    </row>
    <row r="1046" spans="2:4">
      <c r="B1046" s="1">
        <v>1042</v>
      </c>
      <c r="C1046" s="1">
        <v>115</v>
      </c>
      <c r="D1046" s="1"/>
    </row>
    <row r="1047" spans="2:4">
      <c r="B1047" s="1">
        <v>1043</v>
      </c>
      <c r="C1047" s="1">
        <v>115.11</v>
      </c>
      <c r="D1047" s="1"/>
    </row>
    <row r="1048" spans="2:4">
      <c r="B1048" s="1">
        <v>1044</v>
      </c>
      <c r="C1048" s="1">
        <v>115.22</v>
      </c>
      <c r="D1048" s="1"/>
    </row>
    <row r="1049" spans="2:4">
      <c r="B1049" s="1">
        <v>1045</v>
      </c>
      <c r="C1049" s="1">
        <v>115.33</v>
      </c>
      <c r="D1049" s="1"/>
    </row>
    <row r="1050" spans="2:4">
      <c r="B1050" s="1">
        <v>1046</v>
      </c>
      <c r="C1050" s="1">
        <v>115.44</v>
      </c>
      <c r="D1050" s="1"/>
    </row>
    <row r="1051" spans="2:4">
      <c r="B1051" s="1">
        <v>1047</v>
      </c>
      <c r="C1051" s="1">
        <v>115.56</v>
      </c>
      <c r="D1051" s="1"/>
    </row>
    <row r="1052" spans="2:4">
      <c r="B1052" s="1">
        <v>1048</v>
      </c>
      <c r="C1052" s="1">
        <v>115.67</v>
      </c>
      <c r="D1052" s="1"/>
    </row>
    <row r="1053" spans="2:4">
      <c r="B1053" s="1">
        <v>1049</v>
      </c>
      <c r="C1053" s="1">
        <v>115.78</v>
      </c>
      <c r="D1053" s="1"/>
    </row>
    <row r="1054" spans="2:4">
      <c r="B1054" s="1">
        <v>1050</v>
      </c>
      <c r="C1054" s="1">
        <v>115.89</v>
      </c>
      <c r="D1054" s="1"/>
    </row>
    <row r="1055" spans="2:4">
      <c r="B1055" s="1">
        <v>1051</v>
      </c>
      <c r="C1055" s="1">
        <v>116</v>
      </c>
      <c r="D1055" s="1"/>
    </row>
    <row r="1056" spans="2:4">
      <c r="B1056" s="1">
        <v>1052</v>
      </c>
      <c r="C1056" s="1">
        <v>116.11</v>
      </c>
      <c r="D1056" s="1"/>
    </row>
    <row r="1057" spans="2:4">
      <c r="B1057" s="1">
        <v>1053</v>
      </c>
      <c r="C1057" s="1">
        <v>116.22</v>
      </c>
      <c r="D1057" s="1"/>
    </row>
    <row r="1058" spans="2:4">
      <c r="B1058" s="1">
        <v>1054</v>
      </c>
      <c r="C1058" s="1">
        <v>116.33</v>
      </c>
      <c r="D1058" s="1"/>
    </row>
    <row r="1059" spans="2:4">
      <c r="B1059" s="1">
        <v>1055</v>
      </c>
      <c r="C1059" s="1">
        <v>116.44</v>
      </c>
      <c r="D1059" s="1"/>
    </row>
    <row r="1060" spans="2:4">
      <c r="B1060" s="1">
        <v>1056</v>
      </c>
      <c r="C1060" s="1">
        <v>116.56</v>
      </c>
      <c r="D1060" s="1"/>
    </row>
    <row r="1061" spans="2:4">
      <c r="B1061" s="1">
        <v>1057</v>
      </c>
      <c r="C1061" s="1">
        <v>116.67</v>
      </c>
      <c r="D1061" s="1"/>
    </row>
    <row r="1062" spans="2:4">
      <c r="B1062" s="1">
        <v>1058</v>
      </c>
      <c r="C1062" s="1">
        <v>116.78</v>
      </c>
      <c r="D1062" s="1"/>
    </row>
    <row r="1063" spans="2:4">
      <c r="B1063" s="1">
        <v>1059</v>
      </c>
      <c r="C1063" s="1">
        <v>116.89</v>
      </c>
      <c r="D1063" s="1"/>
    </row>
    <row r="1064" spans="2:4">
      <c r="B1064" s="1">
        <v>1060</v>
      </c>
      <c r="C1064" s="1">
        <v>117</v>
      </c>
      <c r="D1064" s="1"/>
    </row>
    <row r="1065" spans="2:4">
      <c r="B1065" s="1">
        <v>1061</v>
      </c>
      <c r="C1065" s="1">
        <v>117.11</v>
      </c>
      <c r="D1065" s="1"/>
    </row>
    <row r="1066" spans="2:4">
      <c r="B1066" s="1">
        <v>1062</v>
      </c>
      <c r="C1066" s="1">
        <v>117.22</v>
      </c>
      <c r="D1066" s="1"/>
    </row>
    <row r="1067" spans="2:4">
      <c r="B1067" s="1">
        <v>1063</v>
      </c>
      <c r="C1067" s="1">
        <v>117.33</v>
      </c>
      <c r="D1067" s="1"/>
    </row>
    <row r="1068" spans="2:4">
      <c r="B1068" s="1">
        <v>1064</v>
      </c>
      <c r="C1068" s="1">
        <v>117.44</v>
      </c>
      <c r="D1068" s="1"/>
    </row>
    <row r="1069" spans="2:4">
      <c r="B1069" s="1">
        <v>1065</v>
      </c>
      <c r="C1069" s="1">
        <v>117.56</v>
      </c>
      <c r="D1069" s="1"/>
    </row>
    <row r="1070" spans="2:4">
      <c r="B1070" s="1">
        <v>1066</v>
      </c>
      <c r="C1070" s="1">
        <v>117.67</v>
      </c>
      <c r="D1070" s="1"/>
    </row>
    <row r="1071" spans="2:4">
      <c r="B1071" s="1">
        <v>1067</v>
      </c>
      <c r="C1071" s="1">
        <v>117.78</v>
      </c>
      <c r="D1071" s="1"/>
    </row>
    <row r="1072" spans="2:4">
      <c r="B1072" s="1">
        <v>1068</v>
      </c>
      <c r="C1072" s="1">
        <v>117.89</v>
      </c>
      <c r="D1072" s="1"/>
    </row>
    <row r="1073" spans="2:4">
      <c r="B1073" s="1">
        <v>1069</v>
      </c>
      <c r="C1073" s="1">
        <v>118</v>
      </c>
      <c r="D1073" s="1"/>
    </row>
    <row r="1074" spans="2:4">
      <c r="B1074" s="1">
        <v>1070</v>
      </c>
      <c r="C1074" s="1">
        <v>118.11</v>
      </c>
      <c r="D1074" s="1"/>
    </row>
    <row r="1075" spans="2:4">
      <c r="B1075" s="1">
        <v>1071</v>
      </c>
      <c r="C1075" s="1">
        <v>118.22</v>
      </c>
      <c r="D1075" s="1"/>
    </row>
    <row r="1076" spans="2:4">
      <c r="B1076" s="1">
        <v>1072</v>
      </c>
      <c r="C1076" s="1">
        <v>118.33</v>
      </c>
      <c r="D1076" s="1"/>
    </row>
    <row r="1077" spans="2:4">
      <c r="B1077" s="1">
        <v>1073</v>
      </c>
      <c r="C1077" s="1">
        <v>118.44</v>
      </c>
      <c r="D1077" s="1"/>
    </row>
    <row r="1078" spans="2:4">
      <c r="B1078" s="1">
        <v>1074</v>
      </c>
      <c r="C1078" s="1">
        <v>118.56</v>
      </c>
      <c r="D1078" s="1"/>
    </row>
    <row r="1079" spans="2:4">
      <c r="B1079" s="1">
        <v>1075</v>
      </c>
      <c r="C1079" s="1">
        <v>118.67</v>
      </c>
      <c r="D1079" s="1"/>
    </row>
    <row r="1080" spans="2:4">
      <c r="B1080" s="1">
        <v>1076</v>
      </c>
      <c r="C1080" s="1">
        <v>118.78</v>
      </c>
      <c r="D1080" s="1"/>
    </row>
    <row r="1081" spans="2:4">
      <c r="B1081" s="1">
        <v>1077</v>
      </c>
      <c r="C1081" s="1">
        <v>118.89</v>
      </c>
      <c r="D1081" s="1"/>
    </row>
    <row r="1082" spans="2:4">
      <c r="B1082" s="1">
        <v>1078</v>
      </c>
      <c r="C1082" s="1">
        <v>119</v>
      </c>
      <c r="D1082" s="1"/>
    </row>
    <row r="1083" spans="2:4">
      <c r="B1083" s="1">
        <v>1079</v>
      </c>
      <c r="C1083" s="1">
        <v>119.11</v>
      </c>
      <c r="D1083" s="1"/>
    </row>
    <row r="1084" spans="2:4">
      <c r="B1084" s="1">
        <v>1080</v>
      </c>
      <c r="C1084" s="1">
        <v>119.22</v>
      </c>
      <c r="D1084" s="1"/>
    </row>
    <row r="1085" spans="2:4">
      <c r="B1085" s="1">
        <v>1081</v>
      </c>
      <c r="C1085" s="1">
        <v>119.33</v>
      </c>
      <c r="D1085" s="1"/>
    </row>
    <row r="1086" spans="2:4">
      <c r="B1086" s="1">
        <v>1082</v>
      </c>
      <c r="C1086" s="1">
        <v>119.44</v>
      </c>
      <c r="D1086" s="1"/>
    </row>
    <row r="1087" spans="2:4">
      <c r="B1087" s="1">
        <v>1083</v>
      </c>
      <c r="C1087" s="1">
        <v>119.56</v>
      </c>
      <c r="D1087" s="1"/>
    </row>
    <row r="1088" spans="2:4">
      <c r="B1088" s="1">
        <v>1084</v>
      </c>
      <c r="C1088" s="1">
        <v>119.67</v>
      </c>
      <c r="D1088" s="1"/>
    </row>
    <row r="1089" spans="2:4">
      <c r="B1089" s="1">
        <v>1085</v>
      </c>
      <c r="C1089" s="1">
        <v>119.78</v>
      </c>
      <c r="D1089" s="1"/>
    </row>
    <row r="1090" spans="2:4">
      <c r="B1090" s="1">
        <v>1086</v>
      </c>
      <c r="C1090" s="1">
        <v>119.89</v>
      </c>
      <c r="D1090" s="1"/>
    </row>
    <row r="1091" spans="2:4">
      <c r="B1091" s="1">
        <v>1087</v>
      </c>
      <c r="C1091" s="1">
        <v>120</v>
      </c>
      <c r="D1091" s="1"/>
    </row>
    <row r="1092" spans="2:4">
      <c r="B1092" s="1">
        <v>1088</v>
      </c>
      <c r="C1092" s="1">
        <v>120.11</v>
      </c>
      <c r="D1092" s="1"/>
    </row>
    <row r="1093" spans="2:4">
      <c r="B1093" s="1">
        <v>1089</v>
      </c>
      <c r="C1093" s="1">
        <v>120.22</v>
      </c>
      <c r="D1093" s="1"/>
    </row>
    <row r="1094" spans="2:4">
      <c r="B1094" s="1">
        <v>1090</v>
      </c>
      <c r="C1094" s="1">
        <v>120.33</v>
      </c>
      <c r="D1094" s="1"/>
    </row>
    <row r="1095" spans="2:4">
      <c r="B1095" s="1">
        <v>1091</v>
      </c>
      <c r="C1095" s="1">
        <v>120.44</v>
      </c>
      <c r="D1095" s="1"/>
    </row>
    <row r="1096" spans="2:4">
      <c r="B1096" s="1">
        <v>1092</v>
      </c>
      <c r="C1096" s="1">
        <v>120.56</v>
      </c>
      <c r="D1096" s="1"/>
    </row>
    <row r="1097" spans="2:4">
      <c r="B1097" s="1">
        <v>1093</v>
      </c>
      <c r="C1097" s="1">
        <v>120.67</v>
      </c>
      <c r="D1097" s="1"/>
    </row>
    <row r="1098" spans="2:4">
      <c r="B1098" s="1">
        <v>1094</v>
      </c>
      <c r="C1098" s="1">
        <v>120.78</v>
      </c>
      <c r="D1098" s="1"/>
    </row>
    <row r="1099" spans="2:4">
      <c r="B1099" s="1">
        <v>1095</v>
      </c>
      <c r="C1099" s="1">
        <v>120.89</v>
      </c>
      <c r="D1099" s="1"/>
    </row>
    <row r="1100" spans="2:4">
      <c r="B1100" s="1">
        <v>1096</v>
      </c>
      <c r="C1100" s="1">
        <v>121</v>
      </c>
      <c r="D1100" s="1"/>
    </row>
    <row r="1101" spans="2:4">
      <c r="B1101" s="1">
        <v>1097</v>
      </c>
      <c r="C1101" s="1">
        <v>121.11</v>
      </c>
      <c r="D1101" s="1"/>
    </row>
    <row r="1102" spans="2:4">
      <c r="B1102" s="1">
        <v>1098</v>
      </c>
      <c r="C1102" s="1">
        <v>121.22</v>
      </c>
      <c r="D1102" s="1"/>
    </row>
    <row r="1103" spans="2:4">
      <c r="B1103" s="1">
        <v>1099</v>
      </c>
      <c r="C1103" s="1">
        <v>121.33</v>
      </c>
      <c r="D1103" s="1"/>
    </row>
    <row r="1104" spans="2:4">
      <c r="B1104" s="1">
        <v>1100</v>
      </c>
      <c r="C1104" s="1">
        <v>121.44</v>
      </c>
      <c r="D1104" s="1"/>
    </row>
    <row r="1105" spans="2:4">
      <c r="B1105" s="1">
        <v>1101</v>
      </c>
      <c r="C1105" s="1">
        <v>121.56</v>
      </c>
      <c r="D1105" s="1"/>
    </row>
    <row r="1106" spans="2:4">
      <c r="B1106" s="1">
        <v>1102</v>
      </c>
      <c r="C1106" s="1">
        <v>121.67</v>
      </c>
      <c r="D1106" s="1"/>
    </row>
    <row r="1107" spans="2:4">
      <c r="B1107" s="1">
        <v>1103</v>
      </c>
      <c r="C1107" s="1">
        <v>121.78</v>
      </c>
      <c r="D1107" s="1"/>
    </row>
    <row r="1108" spans="2:4">
      <c r="B1108" s="1">
        <v>1104</v>
      </c>
      <c r="C1108" s="1">
        <v>121.89</v>
      </c>
      <c r="D1108" s="1"/>
    </row>
    <row r="1109" spans="2:4">
      <c r="B1109" s="1">
        <v>1105</v>
      </c>
      <c r="C1109" s="1">
        <v>122</v>
      </c>
      <c r="D1109" s="1"/>
    </row>
    <row r="1110" spans="2:4">
      <c r="B1110" s="1">
        <v>1106</v>
      </c>
      <c r="C1110" s="1">
        <v>122.11</v>
      </c>
      <c r="D1110" s="1"/>
    </row>
    <row r="1111" spans="2:4">
      <c r="B1111" s="1">
        <v>1107</v>
      </c>
      <c r="C1111" s="1">
        <v>122.22</v>
      </c>
      <c r="D1111" s="1"/>
    </row>
    <row r="1112" spans="2:4">
      <c r="B1112" s="1">
        <v>1108</v>
      </c>
      <c r="C1112" s="1">
        <v>122.33</v>
      </c>
      <c r="D1112" s="1"/>
    </row>
    <row r="1113" spans="2:4">
      <c r="B1113" s="1">
        <v>1109</v>
      </c>
      <c r="C1113" s="1">
        <v>122.44</v>
      </c>
      <c r="D1113" s="1"/>
    </row>
    <row r="1114" spans="2:4">
      <c r="B1114" s="1">
        <v>1110</v>
      </c>
      <c r="C1114" s="1">
        <v>122.56</v>
      </c>
      <c r="D1114" s="1"/>
    </row>
    <row r="1115" spans="2:4">
      <c r="B1115" s="1">
        <v>1111</v>
      </c>
      <c r="C1115" s="1">
        <v>122.67</v>
      </c>
      <c r="D1115" s="1"/>
    </row>
    <row r="1116" spans="2:4">
      <c r="B1116" s="1">
        <v>1112</v>
      </c>
      <c r="C1116" s="1">
        <v>122.78</v>
      </c>
      <c r="D1116" s="1"/>
    </row>
    <row r="1117" spans="2:4">
      <c r="B1117" s="1">
        <v>1113</v>
      </c>
      <c r="C1117" s="1">
        <v>122.89</v>
      </c>
      <c r="D1117" s="1"/>
    </row>
    <row r="1118" spans="2:4">
      <c r="B1118" s="1">
        <v>1114</v>
      </c>
      <c r="C1118" s="1">
        <v>123</v>
      </c>
      <c r="D1118" s="1"/>
    </row>
    <row r="1119" spans="2:4">
      <c r="B1119" s="1">
        <v>1115</v>
      </c>
      <c r="C1119" s="1">
        <v>123.11</v>
      </c>
      <c r="D1119" s="1"/>
    </row>
    <row r="1120" spans="2:4">
      <c r="B1120" s="1">
        <v>1116</v>
      </c>
      <c r="C1120" s="1">
        <v>123.22</v>
      </c>
      <c r="D1120" s="1"/>
    </row>
    <row r="1121" spans="2:4">
      <c r="B1121" s="1">
        <v>1117</v>
      </c>
      <c r="C1121" s="1">
        <v>123.33</v>
      </c>
      <c r="D1121" s="1"/>
    </row>
    <row r="1122" spans="2:4">
      <c r="B1122" s="1">
        <v>1118</v>
      </c>
      <c r="C1122" s="1">
        <v>123.44</v>
      </c>
      <c r="D1122" s="1"/>
    </row>
    <row r="1123" spans="2:4">
      <c r="B1123" s="1">
        <v>1119</v>
      </c>
      <c r="C1123" s="1">
        <v>123.56</v>
      </c>
      <c r="D1123" s="1"/>
    </row>
    <row r="1124" spans="2:4">
      <c r="B1124" s="1">
        <v>1120</v>
      </c>
      <c r="C1124" s="1">
        <v>123.67</v>
      </c>
      <c r="D1124" s="1"/>
    </row>
    <row r="1125" spans="2:4">
      <c r="B1125" s="1">
        <v>1121</v>
      </c>
      <c r="C1125" s="1">
        <v>123.78</v>
      </c>
      <c r="D1125" s="1"/>
    </row>
    <row r="1126" spans="2:4">
      <c r="B1126" s="1">
        <v>1122</v>
      </c>
      <c r="C1126" s="1">
        <v>123.89</v>
      </c>
      <c r="D1126" s="1"/>
    </row>
    <row r="1127" spans="2:4">
      <c r="B1127" s="1">
        <v>1123</v>
      </c>
      <c r="C1127" s="1">
        <v>124</v>
      </c>
      <c r="D1127" s="1"/>
    </row>
    <row r="1128" spans="2:4">
      <c r="B1128" s="1">
        <v>1124</v>
      </c>
      <c r="C1128" s="1">
        <v>124.11</v>
      </c>
      <c r="D1128" s="1"/>
    </row>
    <row r="1129" spans="2:4">
      <c r="B1129" s="1">
        <v>1125</v>
      </c>
      <c r="C1129" s="1">
        <v>124.22</v>
      </c>
      <c r="D1129" s="1"/>
    </row>
    <row r="1130" spans="2:4">
      <c r="B1130" s="1">
        <v>1126</v>
      </c>
      <c r="C1130" s="1">
        <v>124.33</v>
      </c>
      <c r="D1130" s="1"/>
    </row>
    <row r="1131" spans="2:4">
      <c r="B1131" s="1">
        <v>1127</v>
      </c>
      <c r="C1131" s="1">
        <v>124.44</v>
      </c>
      <c r="D1131" s="1"/>
    </row>
    <row r="1132" spans="2:4">
      <c r="B1132" s="1">
        <v>1128</v>
      </c>
      <c r="C1132" s="1">
        <v>124.56</v>
      </c>
      <c r="D1132" s="1"/>
    </row>
    <row r="1133" spans="2:4">
      <c r="B1133" s="1">
        <v>1129</v>
      </c>
      <c r="C1133" s="1">
        <v>124.67</v>
      </c>
      <c r="D1133" s="1"/>
    </row>
    <row r="1134" spans="2:4">
      <c r="B1134" s="1">
        <v>1130</v>
      </c>
      <c r="C1134" s="1">
        <v>124.78</v>
      </c>
      <c r="D1134" s="1"/>
    </row>
    <row r="1135" spans="2:4">
      <c r="B1135" s="1">
        <v>1131</v>
      </c>
      <c r="C1135" s="1">
        <v>124.89</v>
      </c>
      <c r="D1135" s="1"/>
    </row>
    <row r="1136" spans="2:4">
      <c r="B1136" s="1">
        <v>1132</v>
      </c>
      <c r="C1136" s="1">
        <v>125</v>
      </c>
      <c r="D1136" s="1"/>
    </row>
    <row r="1137" spans="2:4">
      <c r="B1137" s="1">
        <v>1133</v>
      </c>
      <c r="C1137" s="1">
        <v>125.11</v>
      </c>
      <c r="D1137" s="1"/>
    </row>
    <row r="1138" spans="2:4">
      <c r="B1138" s="1">
        <v>1134</v>
      </c>
      <c r="C1138" s="1">
        <v>125.22</v>
      </c>
      <c r="D1138" s="1"/>
    </row>
    <row r="1139" spans="2:4">
      <c r="B1139" s="1">
        <v>1135</v>
      </c>
      <c r="C1139" s="1">
        <v>125.33</v>
      </c>
      <c r="D1139" s="1"/>
    </row>
    <row r="1140" spans="2:4">
      <c r="B1140" s="1">
        <v>1136</v>
      </c>
      <c r="C1140" s="1">
        <v>125.44</v>
      </c>
      <c r="D1140" s="1"/>
    </row>
    <row r="1141" spans="2:4">
      <c r="B1141" s="1">
        <v>1137</v>
      </c>
      <c r="C1141" s="1">
        <v>125.56</v>
      </c>
      <c r="D1141" s="1"/>
    </row>
    <row r="1142" spans="2:4">
      <c r="B1142" s="1">
        <v>1138</v>
      </c>
      <c r="C1142" s="1">
        <v>125.67</v>
      </c>
      <c r="D1142" s="1"/>
    </row>
    <row r="1143" spans="2:4">
      <c r="B1143" s="1">
        <v>1139</v>
      </c>
      <c r="C1143" s="1">
        <v>125.78</v>
      </c>
      <c r="D1143" s="1"/>
    </row>
    <row r="1144" spans="2:4">
      <c r="B1144" s="1">
        <v>1140</v>
      </c>
      <c r="C1144" s="1">
        <v>125.89</v>
      </c>
      <c r="D1144" s="1"/>
    </row>
    <row r="1145" spans="2:4">
      <c r="B1145" s="1">
        <v>1141</v>
      </c>
      <c r="C1145" s="1">
        <v>126</v>
      </c>
      <c r="D1145" s="1"/>
    </row>
    <row r="1146" spans="2:4">
      <c r="B1146" s="1">
        <v>1142</v>
      </c>
      <c r="C1146" s="1">
        <v>126.11</v>
      </c>
      <c r="D1146" s="1"/>
    </row>
    <row r="1147" spans="2:4">
      <c r="B1147" s="1">
        <v>1143</v>
      </c>
      <c r="C1147" s="1">
        <v>126.22</v>
      </c>
      <c r="D1147" s="1"/>
    </row>
    <row r="1148" spans="2:4">
      <c r="B1148" s="1">
        <v>1144</v>
      </c>
      <c r="C1148" s="1">
        <v>126.33</v>
      </c>
      <c r="D1148" s="1"/>
    </row>
    <row r="1149" spans="2:4">
      <c r="B1149" s="1">
        <v>1145</v>
      </c>
      <c r="C1149" s="1">
        <v>126.44</v>
      </c>
      <c r="D1149" s="1"/>
    </row>
    <row r="1150" spans="2:4">
      <c r="B1150" s="1">
        <v>1146</v>
      </c>
      <c r="C1150" s="1">
        <v>126.56</v>
      </c>
      <c r="D1150" s="1"/>
    </row>
    <row r="1151" spans="2:4">
      <c r="B1151" s="1">
        <v>1147</v>
      </c>
      <c r="C1151" s="1">
        <v>126.67</v>
      </c>
      <c r="D1151" s="1"/>
    </row>
    <row r="1152" spans="2:4">
      <c r="B1152" s="1">
        <v>1148</v>
      </c>
      <c r="C1152" s="1">
        <v>126.78</v>
      </c>
      <c r="D1152" s="1"/>
    </row>
    <row r="1153" spans="2:4">
      <c r="B1153" s="1">
        <v>1149</v>
      </c>
      <c r="C1153" s="1">
        <v>126.89</v>
      </c>
      <c r="D1153" s="1"/>
    </row>
    <row r="1154" spans="2:4">
      <c r="B1154" s="1">
        <v>1150</v>
      </c>
      <c r="C1154" s="1">
        <v>127</v>
      </c>
      <c r="D1154" s="1"/>
    </row>
    <row r="1155" spans="2:4">
      <c r="B1155" s="1">
        <v>1151</v>
      </c>
      <c r="C1155" s="1">
        <v>127.11</v>
      </c>
      <c r="D1155" s="1"/>
    </row>
    <row r="1156" spans="2:4">
      <c r="B1156" s="1">
        <v>1152</v>
      </c>
      <c r="C1156" s="1">
        <v>127.22</v>
      </c>
      <c r="D1156" s="1"/>
    </row>
    <row r="1157" spans="2:4">
      <c r="B1157" s="1">
        <v>1153</v>
      </c>
      <c r="C1157" s="1">
        <v>127.33</v>
      </c>
      <c r="D1157" s="1"/>
    </row>
    <row r="1158" spans="2:4">
      <c r="B1158" s="1">
        <v>1154</v>
      </c>
      <c r="C1158" s="1">
        <v>127.44</v>
      </c>
      <c r="D1158" s="1"/>
    </row>
    <row r="1159" spans="2:4">
      <c r="B1159" s="1">
        <v>1155</v>
      </c>
      <c r="C1159" s="1">
        <v>127.56</v>
      </c>
      <c r="D1159" s="1"/>
    </row>
    <row r="1160" spans="2:4">
      <c r="B1160" s="1">
        <v>1156</v>
      </c>
      <c r="C1160" s="1">
        <v>127.67</v>
      </c>
      <c r="D1160" s="1"/>
    </row>
    <row r="1161" spans="2:4">
      <c r="B1161" s="1">
        <v>1157</v>
      </c>
      <c r="C1161" s="1">
        <v>127.78</v>
      </c>
      <c r="D1161" s="1"/>
    </row>
    <row r="1162" spans="2:4">
      <c r="B1162" s="1">
        <v>1158</v>
      </c>
      <c r="C1162" s="1">
        <v>127.89</v>
      </c>
      <c r="D1162" s="1"/>
    </row>
    <row r="1163" spans="2:4">
      <c r="B1163" s="1">
        <v>1159</v>
      </c>
      <c r="C1163" s="1">
        <v>128</v>
      </c>
      <c r="D1163" s="1"/>
    </row>
    <row r="1164" spans="2:4">
      <c r="B1164" s="1">
        <v>1160</v>
      </c>
      <c r="C1164" s="1">
        <v>128.11000000000001</v>
      </c>
      <c r="D1164" s="1"/>
    </row>
    <row r="1165" spans="2:4">
      <c r="B1165" s="1">
        <v>1161</v>
      </c>
      <c r="C1165" s="1">
        <v>128.22</v>
      </c>
      <c r="D1165" s="1"/>
    </row>
    <row r="1166" spans="2:4">
      <c r="B1166" s="1">
        <v>1162</v>
      </c>
      <c r="C1166" s="1">
        <v>128.33000000000001</v>
      </c>
      <c r="D1166" s="1"/>
    </row>
    <row r="1167" spans="2:4">
      <c r="B1167" s="1">
        <v>1163</v>
      </c>
      <c r="C1167" s="1">
        <v>128.44</v>
      </c>
      <c r="D1167" s="1"/>
    </row>
    <row r="1168" spans="2:4">
      <c r="B1168" s="1">
        <v>1164</v>
      </c>
      <c r="C1168" s="1">
        <v>128.56</v>
      </c>
      <c r="D1168" s="1"/>
    </row>
    <row r="1169" spans="2:4">
      <c r="B1169" s="1">
        <v>1165</v>
      </c>
      <c r="C1169" s="1">
        <v>128.66999999999999</v>
      </c>
      <c r="D1169" s="1"/>
    </row>
    <row r="1170" spans="2:4">
      <c r="B1170" s="1">
        <v>1166</v>
      </c>
      <c r="C1170" s="1">
        <v>128.78</v>
      </c>
      <c r="D1170" s="1"/>
    </row>
    <row r="1171" spans="2:4">
      <c r="B1171" s="1">
        <v>1167</v>
      </c>
      <c r="C1171" s="1">
        <v>128.88999999999999</v>
      </c>
      <c r="D1171" s="1"/>
    </row>
    <row r="1172" spans="2:4">
      <c r="B1172" s="1">
        <v>1168</v>
      </c>
      <c r="C1172" s="1">
        <v>129</v>
      </c>
      <c r="D1172" s="1"/>
    </row>
    <row r="1173" spans="2:4">
      <c r="B1173" s="1">
        <v>1169</v>
      </c>
      <c r="C1173" s="1">
        <v>129.11000000000001</v>
      </c>
      <c r="D1173" s="1"/>
    </row>
    <row r="1174" spans="2:4">
      <c r="B1174" s="1">
        <v>1170</v>
      </c>
      <c r="C1174" s="1">
        <v>129.22</v>
      </c>
      <c r="D1174" s="1"/>
    </row>
    <row r="1175" spans="2:4">
      <c r="B1175" s="1">
        <v>1171</v>
      </c>
      <c r="C1175" s="1">
        <v>129.33000000000001</v>
      </c>
      <c r="D1175" s="1"/>
    </row>
    <row r="1176" spans="2:4">
      <c r="B1176" s="1">
        <v>1172</v>
      </c>
      <c r="C1176" s="1">
        <v>129.44</v>
      </c>
      <c r="D1176" s="1"/>
    </row>
    <row r="1177" spans="2:4">
      <c r="B1177" s="1">
        <v>1173</v>
      </c>
      <c r="C1177" s="1">
        <v>129.56</v>
      </c>
      <c r="D1177" s="1"/>
    </row>
    <row r="1178" spans="2:4">
      <c r="B1178" s="1">
        <v>1174</v>
      </c>
      <c r="C1178" s="1">
        <v>129.66999999999999</v>
      </c>
      <c r="D1178" s="1"/>
    </row>
    <row r="1179" spans="2:4">
      <c r="B1179" s="1">
        <v>1175</v>
      </c>
      <c r="C1179" s="1">
        <v>129.78</v>
      </c>
      <c r="D1179" s="1"/>
    </row>
    <row r="1180" spans="2:4">
      <c r="B1180" s="1">
        <v>1176</v>
      </c>
      <c r="C1180" s="1">
        <v>129.88999999999999</v>
      </c>
      <c r="D1180" s="1"/>
    </row>
    <row r="1181" spans="2:4">
      <c r="B1181" s="1">
        <v>1177</v>
      </c>
      <c r="C1181" s="1">
        <v>130</v>
      </c>
      <c r="D1181" s="1"/>
    </row>
    <row r="1182" spans="2:4">
      <c r="B1182" s="1">
        <v>1178</v>
      </c>
      <c r="C1182" s="1">
        <v>130.11000000000001</v>
      </c>
      <c r="D1182" s="1"/>
    </row>
    <row r="1183" spans="2:4">
      <c r="B1183" s="1">
        <v>1179</v>
      </c>
      <c r="C1183" s="1">
        <v>130.22</v>
      </c>
      <c r="D1183" s="1"/>
    </row>
    <row r="1184" spans="2:4">
      <c r="B1184" s="1">
        <v>1180</v>
      </c>
      <c r="C1184" s="1">
        <v>130.33000000000001</v>
      </c>
      <c r="D1184" s="1"/>
    </row>
    <row r="1185" spans="2:4">
      <c r="B1185" s="1">
        <v>1181</v>
      </c>
      <c r="C1185" s="1">
        <v>130.44</v>
      </c>
      <c r="D1185" s="1"/>
    </row>
    <row r="1186" spans="2:4">
      <c r="B1186" s="1">
        <v>1182</v>
      </c>
      <c r="C1186" s="1">
        <v>130.56</v>
      </c>
      <c r="D1186" s="1"/>
    </row>
    <row r="1187" spans="2:4">
      <c r="B1187" s="1">
        <v>1183</v>
      </c>
      <c r="C1187" s="1">
        <v>130.66999999999999</v>
      </c>
      <c r="D1187" s="1"/>
    </row>
    <row r="1188" spans="2:4">
      <c r="B1188" s="1">
        <v>1184</v>
      </c>
      <c r="C1188" s="1">
        <v>130.78</v>
      </c>
      <c r="D1188" s="1"/>
    </row>
    <row r="1189" spans="2:4">
      <c r="B1189" s="1">
        <v>1185</v>
      </c>
      <c r="C1189" s="1">
        <v>130.88999999999999</v>
      </c>
      <c r="D1189" s="1"/>
    </row>
    <row r="1190" spans="2:4">
      <c r="B1190" s="1">
        <v>1186</v>
      </c>
      <c r="C1190" s="1">
        <v>131</v>
      </c>
      <c r="D1190" s="1"/>
    </row>
    <row r="1191" spans="2:4">
      <c r="B1191" s="1">
        <v>1187</v>
      </c>
      <c r="C1191" s="1">
        <v>131.11000000000001</v>
      </c>
      <c r="D1191" s="1"/>
    </row>
    <row r="1192" spans="2:4">
      <c r="B1192" s="1">
        <v>1188</v>
      </c>
      <c r="C1192" s="1">
        <v>131.22</v>
      </c>
      <c r="D1192" s="1"/>
    </row>
    <row r="1193" spans="2:4">
      <c r="B1193" s="1">
        <v>1189</v>
      </c>
      <c r="C1193" s="1">
        <v>131.33000000000001</v>
      </c>
      <c r="D1193" s="1"/>
    </row>
    <row r="1194" spans="2:4">
      <c r="B1194" s="1">
        <v>1190</v>
      </c>
      <c r="C1194" s="1">
        <v>131.44</v>
      </c>
      <c r="D1194" s="1"/>
    </row>
    <row r="1195" spans="2:4">
      <c r="B1195" s="1">
        <v>1191</v>
      </c>
      <c r="C1195" s="1">
        <v>131.56</v>
      </c>
      <c r="D1195" s="1"/>
    </row>
    <row r="1196" spans="2:4">
      <c r="B1196" s="1">
        <v>1192</v>
      </c>
      <c r="C1196" s="1">
        <v>131.66999999999999</v>
      </c>
      <c r="D1196" s="1"/>
    </row>
    <row r="1197" spans="2:4">
      <c r="B1197" s="1">
        <v>1193</v>
      </c>
      <c r="C1197" s="1">
        <v>131.78</v>
      </c>
      <c r="D1197" s="1"/>
    </row>
    <row r="1198" spans="2:4">
      <c r="B1198" s="1">
        <v>1194</v>
      </c>
      <c r="C1198" s="1">
        <v>131.88999999999999</v>
      </c>
      <c r="D1198" s="1"/>
    </row>
    <row r="1199" spans="2:4">
      <c r="B1199" s="1">
        <v>1195</v>
      </c>
      <c r="C1199" s="1">
        <v>132</v>
      </c>
      <c r="D1199" s="1"/>
    </row>
    <row r="1200" spans="2:4">
      <c r="B1200" s="1">
        <v>1196</v>
      </c>
      <c r="C1200" s="1">
        <v>132.11000000000001</v>
      </c>
      <c r="D1200" s="1"/>
    </row>
    <row r="1201" spans="2:4">
      <c r="B1201" s="1">
        <v>1197</v>
      </c>
      <c r="C1201" s="1">
        <v>132.22</v>
      </c>
      <c r="D1201" s="1"/>
    </row>
    <row r="1202" spans="2:4">
      <c r="B1202" s="1">
        <v>1198</v>
      </c>
      <c r="C1202" s="1">
        <v>132.33000000000001</v>
      </c>
      <c r="D1202" s="1"/>
    </row>
    <row r="1203" spans="2:4">
      <c r="B1203" s="1">
        <v>1199</v>
      </c>
      <c r="C1203" s="1">
        <v>132.44</v>
      </c>
      <c r="D1203" s="1"/>
    </row>
    <row r="1204" spans="2:4">
      <c r="B1204" s="1">
        <v>1200</v>
      </c>
      <c r="C1204" s="1">
        <v>132.56</v>
      </c>
      <c r="D1204" s="1"/>
    </row>
    <row r="1205" spans="2:4">
      <c r="B1205" s="1">
        <v>1201</v>
      </c>
      <c r="C1205" s="1">
        <v>132.66999999999999</v>
      </c>
      <c r="D1205" s="1"/>
    </row>
    <row r="1206" spans="2:4">
      <c r="B1206" s="1">
        <v>1202</v>
      </c>
      <c r="C1206" s="1">
        <v>132.78</v>
      </c>
      <c r="D1206" s="1"/>
    </row>
    <row r="1207" spans="2:4">
      <c r="B1207" s="1">
        <v>1203</v>
      </c>
      <c r="C1207" s="1">
        <v>132.88999999999999</v>
      </c>
      <c r="D1207" s="1"/>
    </row>
    <row r="1208" spans="2:4">
      <c r="B1208" s="1">
        <v>1204</v>
      </c>
      <c r="C1208" s="1">
        <v>133</v>
      </c>
      <c r="D1208" s="1"/>
    </row>
    <row r="1209" spans="2:4">
      <c r="B1209" s="1">
        <v>1205</v>
      </c>
      <c r="C1209" s="1">
        <v>133.11000000000001</v>
      </c>
      <c r="D1209" s="1"/>
    </row>
    <row r="1210" spans="2:4">
      <c r="B1210" s="1">
        <v>1206</v>
      </c>
      <c r="C1210" s="1">
        <v>133.22</v>
      </c>
      <c r="D1210" s="1"/>
    </row>
    <row r="1211" spans="2:4">
      <c r="B1211" s="1">
        <v>1207</v>
      </c>
      <c r="C1211" s="1">
        <v>133.33000000000001</v>
      </c>
      <c r="D1211" s="1"/>
    </row>
    <row r="1212" spans="2:4">
      <c r="B1212" s="1">
        <v>1208</v>
      </c>
      <c r="C1212" s="1">
        <v>133.44</v>
      </c>
      <c r="D1212" s="1"/>
    </row>
    <row r="1213" spans="2:4">
      <c r="B1213" s="1">
        <v>1209</v>
      </c>
      <c r="C1213" s="1">
        <v>133.56</v>
      </c>
      <c r="D1213" s="1"/>
    </row>
    <row r="1214" spans="2:4">
      <c r="B1214" s="1">
        <v>1210</v>
      </c>
      <c r="C1214" s="1">
        <v>133.66999999999999</v>
      </c>
      <c r="D1214" s="1"/>
    </row>
    <row r="1215" spans="2:4">
      <c r="B1215" s="1">
        <v>1211</v>
      </c>
      <c r="C1215" s="1">
        <v>133.78</v>
      </c>
      <c r="D1215" s="1"/>
    </row>
    <row r="1216" spans="2:4">
      <c r="B1216" s="1">
        <v>1212</v>
      </c>
      <c r="C1216" s="1">
        <v>133.88999999999999</v>
      </c>
      <c r="D1216" s="1"/>
    </row>
    <row r="1217" spans="2:4">
      <c r="B1217" s="1">
        <v>1213</v>
      </c>
      <c r="C1217" s="1">
        <v>134</v>
      </c>
      <c r="D1217" s="1"/>
    </row>
    <row r="1218" spans="2:4">
      <c r="B1218" s="1">
        <v>1214</v>
      </c>
      <c r="C1218" s="1">
        <v>134.11000000000001</v>
      </c>
      <c r="D1218" s="1"/>
    </row>
    <row r="1219" spans="2:4">
      <c r="B1219" s="1">
        <v>1215</v>
      </c>
      <c r="C1219" s="1">
        <v>134.22</v>
      </c>
      <c r="D1219" s="1"/>
    </row>
    <row r="1220" spans="2:4">
      <c r="B1220" s="1">
        <v>1216</v>
      </c>
      <c r="C1220" s="1">
        <v>134.33000000000001</v>
      </c>
      <c r="D1220" s="1"/>
    </row>
    <row r="1221" spans="2:4">
      <c r="B1221" s="1">
        <v>1217</v>
      </c>
      <c r="C1221" s="1">
        <v>134.44</v>
      </c>
      <c r="D1221" s="1"/>
    </row>
    <row r="1222" spans="2:4">
      <c r="B1222" s="1">
        <v>1218</v>
      </c>
      <c r="C1222" s="1">
        <v>134.56</v>
      </c>
      <c r="D1222" s="1"/>
    </row>
    <row r="1223" spans="2:4">
      <c r="B1223" s="1">
        <v>1219</v>
      </c>
      <c r="C1223" s="1">
        <v>134.66999999999999</v>
      </c>
      <c r="D1223" s="1"/>
    </row>
    <row r="1224" spans="2:4">
      <c r="B1224" s="1">
        <v>1220</v>
      </c>
      <c r="C1224" s="1">
        <v>134.78</v>
      </c>
      <c r="D1224" s="1"/>
    </row>
    <row r="1225" spans="2:4">
      <c r="B1225" s="1">
        <v>1221</v>
      </c>
      <c r="C1225" s="1">
        <v>134.88999999999999</v>
      </c>
      <c r="D1225" s="1"/>
    </row>
    <row r="1226" spans="2:4">
      <c r="B1226" s="1">
        <v>1222</v>
      </c>
      <c r="C1226" s="1">
        <v>135</v>
      </c>
      <c r="D1226" s="1"/>
    </row>
    <row r="1227" spans="2:4">
      <c r="B1227" s="1">
        <v>1223</v>
      </c>
      <c r="C1227" s="1">
        <v>135.11000000000001</v>
      </c>
      <c r="D1227" s="1"/>
    </row>
    <row r="1228" spans="2:4">
      <c r="B1228" s="1">
        <v>1224</v>
      </c>
      <c r="C1228" s="1">
        <v>135.22</v>
      </c>
      <c r="D1228" s="1"/>
    </row>
    <row r="1229" spans="2:4">
      <c r="B1229" s="1">
        <v>1225</v>
      </c>
      <c r="C1229" s="1">
        <v>135.33000000000001</v>
      </c>
      <c r="D1229" s="1"/>
    </row>
    <row r="1230" spans="2:4">
      <c r="B1230" s="1">
        <v>1226</v>
      </c>
      <c r="C1230" s="1">
        <v>135.44</v>
      </c>
      <c r="D1230" s="1"/>
    </row>
    <row r="1231" spans="2:4">
      <c r="B1231" s="1">
        <v>1227</v>
      </c>
      <c r="C1231" s="1">
        <v>135.56</v>
      </c>
      <c r="D1231" s="1"/>
    </row>
    <row r="1232" spans="2:4">
      <c r="B1232" s="1">
        <v>1228</v>
      </c>
      <c r="C1232" s="1">
        <v>135.66999999999999</v>
      </c>
      <c r="D1232" s="1"/>
    </row>
    <row r="1233" spans="2:4">
      <c r="B1233" s="1">
        <v>1229</v>
      </c>
      <c r="C1233" s="1">
        <v>135.78</v>
      </c>
      <c r="D1233" s="1"/>
    </row>
    <row r="1234" spans="2:4">
      <c r="B1234" s="1">
        <v>1230</v>
      </c>
      <c r="C1234" s="1">
        <v>135.88999999999999</v>
      </c>
      <c r="D1234" s="1"/>
    </row>
    <row r="1235" spans="2:4">
      <c r="B1235" s="1">
        <v>1231</v>
      </c>
      <c r="C1235" s="1">
        <v>136</v>
      </c>
      <c r="D1235" s="1"/>
    </row>
    <row r="1236" spans="2:4">
      <c r="B1236" s="1">
        <v>1232</v>
      </c>
      <c r="C1236" s="1">
        <v>136.11000000000001</v>
      </c>
      <c r="D1236" s="1"/>
    </row>
    <row r="1237" spans="2:4">
      <c r="B1237" s="1">
        <v>1233</v>
      </c>
      <c r="C1237" s="1">
        <v>136.22</v>
      </c>
      <c r="D1237" s="1"/>
    </row>
    <row r="1238" spans="2:4">
      <c r="B1238" s="1">
        <v>1234</v>
      </c>
      <c r="C1238" s="1">
        <v>136.33000000000001</v>
      </c>
      <c r="D1238" s="1"/>
    </row>
    <row r="1239" spans="2:4">
      <c r="B1239" s="1">
        <v>1235</v>
      </c>
      <c r="C1239" s="1">
        <v>136.44</v>
      </c>
      <c r="D1239" s="1"/>
    </row>
    <row r="1240" spans="2:4">
      <c r="B1240" s="1">
        <v>1236</v>
      </c>
      <c r="C1240" s="1">
        <v>136.56</v>
      </c>
      <c r="D1240" s="1"/>
    </row>
    <row r="1241" spans="2:4">
      <c r="B1241" s="1">
        <v>1237</v>
      </c>
      <c r="C1241" s="1">
        <v>136.66999999999999</v>
      </c>
      <c r="D1241" s="1"/>
    </row>
    <row r="1242" spans="2:4">
      <c r="B1242" s="1">
        <v>1238</v>
      </c>
      <c r="C1242" s="1">
        <v>136.78</v>
      </c>
      <c r="D1242" s="1"/>
    </row>
    <row r="1243" spans="2:4">
      <c r="B1243" s="1">
        <v>1239</v>
      </c>
      <c r="C1243" s="1">
        <v>136.88999999999999</v>
      </c>
      <c r="D1243" s="1"/>
    </row>
    <row r="1244" spans="2:4">
      <c r="B1244" s="1">
        <v>1240</v>
      </c>
      <c r="C1244" s="1">
        <v>137</v>
      </c>
      <c r="D1244" s="1"/>
    </row>
    <row r="1245" spans="2:4">
      <c r="B1245" s="1">
        <v>1241</v>
      </c>
      <c r="C1245" s="1">
        <v>137.11000000000001</v>
      </c>
      <c r="D1245" s="1"/>
    </row>
    <row r="1246" spans="2:4">
      <c r="B1246" s="1">
        <v>1242</v>
      </c>
      <c r="C1246" s="1">
        <v>137.22</v>
      </c>
      <c r="D1246" s="1"/>
    </row>
    <row r="1247" spans="2:4">
      <c r="B1247" s="1">
        <v>1243</v>
      </c>
      <c r="C1247" s="1">
        <v>137.33000000000001</v>
      </c>
      <c r="D1247" s="1"/>
    </row>
    <row r="1248" spans="2:4">
      <c r="B1248" s="1">
        <v>1244</v>
      </c>
      <c r="C1248" s="1">
        <v>137.44</v>
      </c>
      <c r="D1248" s="1"/>
    </row>
    <row r="1249" spans="2:4">
      <c r="B1249" s="1">
        <v>1245</v>
      </c>
      <c r="C1249" s="1">
        <v>137.56</v>
      </c>
      <c r="D1249" s="1"/>
    </row>
    <row r="1250" spans="2:4">
      <c r="B1250" s="1">
        <v>1246</v>
      </c>
      <c r="C1250" s="1">
        <v>137.66999999999999</v>
      </c>
      <c r="D1250" s="1"/>
    </row>
    <row r="1251" spans="2:4">
      <c r="B1251" s="1">
        <v>1247</v>
      </c>
      <c r="C1251" s="1">
        <v>137.78</v>
      </c>
      <c r="D1251" s="1"/>
    </row>
    <row r="1252" spans="2:4">
      <c r="B1252" s="1">
        <v>1248</v>
      </c>
      <c r="C1252" s="1">
        <v>137.88999999999999</v>
      </c>
      <c r="D1252" s="1"/>
    </row>
    <row r="1253" spans="2:4">
      <c r="B1253" s="1">
        <v>1249</v>
      </c>
      <c r="C1253" s="1">
        <v>138</v>
      </c>
      <c r="D1253" s="1"/>
    </row>
    <row r="1254" spans="2:4">
      <c r="B1254" s="1">
        <v>1250</v>
      </c>
      <c r="C1254" s="1">
        <v>138.11000000000001</v>
      </c>
      <c r="D1254" s="1"/>
    </row>
    <row r="1255" spans="2:4">
      <c r="B1255" s="1">
        <v>1251</v>
      </c>
      <c r="C1255" s="1">
        <v>138.22</v>
      </c>
      <c r="D1255" s="1"/>
    </row>
    <row r="1256" spans="2:4">
      <c r="B1256" s="1">
        <v>1252</v>
      </c>
      <c r="C1256" s="1">
        <v>138.33000000000001</v>
      </c>
      <c r="D1256" s="1"/>
    </row>
    <row r="1257" spans="2:4">
      <c r="B1257" s="1">
        <v>1253</v>
      </c>
      <c r="C1257" s="1">
        <v>138.44</v>
      </c>
      <c r="D1257" s="1"/>
    </row>
    <row r="1258" spans="2:4">
      <c r="B1258" s="1">
        <v>1254</v>
      </c>
      <c r="C1258" s="1">
        <v>138.56</v>
      </c>
      <c r="D1258" s="1"/>
    </row>
    <row r="1259" spans="2:4">
      <c r="B1259" s="1">
        <v>1255</v>
      </c>
      <c r="C1259" s="1">
        <v>138.66999999999999</v>
      </c>
      <c r="D1259" s="1"/>
    </row>
    <row r="1260" spans="2:4">
      <c r="B1260" s="1">
        <v>1256</v>
      </c>
      <c r="C1260" s="1">
        <v>138.78</v>
      </c>
      <c r="D1260" s="1"/>
    </row>
    <row r="1261" spans="2:4">
      <c r="B1261" s="1">
        <v>1257</v>
      </c>
      <c r="C1261" s="1">
        <v>138.88999999999999</v>
      </c>
      <c r="D1261" s="1"/>
    </row>
    <row r="1262" spans="2:4">
      <c r="B1262" s="1">
        <v>1258</v>
      </c>
      <c r="C1262" s="1">
        <v>139</v>
      </c>
      <c r="D1262" s="1"/>
    </row>
    <row r="1263" spans="2:4">
      <c r="B1263" s="1">
        <v>1259</v>
      </c>
      <c r="C1263" s="1">
        <v>139.11000000000001</v>
      </c>
      <c r="D1263" s="1"/>
    </row>
    <row r="1264" spans="2:4">
      <c r="B1264" s="1">
        <v>1260</v>
      </c>
      <c r="C1264" s="1">
        <v>139.22</v>
      </c>
      <c r="D1264" s="1"/>
    </row>
    <row r="1265" spans="2:4">
      <c r="B1265" s="1">
        <v>1261</v>
      </c>
      <c r="C1265" s="1">
        <v>139.33000000000001</v>
      </c>
      <c r="D1265" s="1"/>
    </row>
    <row r="1266" spans="2:4">
      <c r="B1266" s="1">
        <v>1262</v>
      </c>
      <c r="C1266" s="1">
        <v>139.44</v>
      </c>
      <c r="D1266" s="1"/>
    </row>
    <row r="1267" spans="2:4">
      <c r="B1267" s="1">
        <v>1263</v>
      </c>
      <c r="C1267" s="1">
        <v>139.56</v>
      </c>
      <c r="D1267" s="1"/>
    </row>
    <row r="1268" spans="2:4">
      <c r="B1268" s="1">
        <v>1264</v>
      </c>
      <c r="C1268" s="1">
        <v>139.66999999999999</v>
      </c>
      <c r="D1268" s="1"/>
    </row>
    <row r="1269" spans="2:4">
      <c r="B1269" s="1">
        <v>1265</v>
      </c>
      <c r="C1269" s="1">
        <v>139.78</v>
      </c>
      <c r="D1269" s="1"/>
    </row>
    <row r="1270" spans="2:4">
      <c r="B1270" s="1">
        <v>1266</v>
      </c>
      <c r="C1270" s="1">
        <v>139.88999999999999</v>
      </c>
      <c r="D1270" s="1"/>
    </row>
    <row r="1271" spans="2:4">
      <c r="B1271" s="1">
        <v>1267</v>
      </c>
      <c r="C1271" s="1">
        <v>140</v>
      </c>
      <c r="D1271" s="1"/>
    </row>
    <row r="1272" spans="2:4">
      <c r="B1272" s="1">
        <v>1268</v>
      </c>
      <c r="C1272" s="1">
        <v>140.11000000000001</v>
      </c>
      <c r="D1272" s="1"/>
    </row>
    <row r="1273" spans="2:4">
      <c r="B1273" s="1">
        <v>1269</v>
      </c>
      <c r="C1273" s="1">
        <v>140.22</v>
      </c>
      <c r="D1273" s="1"/>
    </row>
    <row r="1274" spans="2:4">
      <c r="B1274" s="1">
        <v>1270</v>
      </c>
      <c r="C1274" s="1">
        <v>140.33000000000001</v>
      </c>
      <c r="D1274" s="1"/>
    </row>
    <row r="1275" spans="2:4">
      <c r="B1275" s="1">
        <v>1271</v>
      </c>
      <c r="C1275" s="1">
        <v>140.44</v>
      </c>
      <c r="D1275" s="1"/>
    </row>
    <row r="1276" spans="2:4">
      <c r="B1276" s="1">
        <v>1272</v>
      </c>
      <c r="C1276" s="1">
        <v>140.56</v>
      </c>
      <c r="D1276" s="1"/>
    </row>
    <row r="1277" spans="2:4">
      <c r="B1277" s="1">
        <v>1273</v>
      </c>
      <c r="C1277" s="1">
        <v>140.66999999999999</v>
      </c>
      <c r="D1277" s="1"/>
    </row>
    <row r="1278" spans="2:4">
      <c r="B1278" s="1">
        <v>1274</v>
      </c>
      <c r="C1278" s="1">
        <v>140.78</v>
      </c>
      <c r="D1278" s="1"/>
    </row>
    <row r="1279" spans="2:4">
      <c r="B1279" s="1">
        <v>1275</v>
      </c>
      <c r="C1279" s="1">
        <v>140.88999999999999</v>
      </c>
      <c r="D1279" s="1"/>
    </row>
    <row r="1280" spans="2:4">
      <c r="B1280" s="1">
        <v>1276</v>
      </c>
      <c r="C1280" s="1">
        <v>141</v>
      </c>
      <c r="D1280" s="1"/>
    </row>
    <row r="1281" spans="2:4">
      <c r="B1281" s="1">
        <v>1277</v>
      </c>
      <c r="C1281" s="1">
        <v>141.11000000000001</v>
      </c>
      <c r="D1281" s="1"/>
    </row>
    <row r="1282" spans="2:4">
      <c r="B1282" s="1">
        <v>1278</v>
      </c>
      <c r="C1282" s="1">
        <v>141.22</v>
      </c>
      <c r="D1282" s="1"/>
    </row>
    <row r="1283" spans="2:4">
      <c r="B1283" s="1">
        <v>1279</v>
      </c>
      <c r="C1283" s="1">
        <v>141.33000000000001</v>
      </c>
      <c r="D1283" s="1"/>
    </row>
    <row r="1284" spans="2:4">
      <c r="B1284" s="1">
        <v>1280</v>
      </c>
      <c r="C1284" s="1">
        <v>141.44</v>
      </c>
      <c r="D1284" s="1"/>
    </row>
    <row r="1285" spans="2:4">
      <c r="B1285" s="1">
        <v>1281</v>
      </c>
      <c r="C1285" s="1">
        <v>141.56</v>
      </c>
      <c r="D1285" s="1"/>
    </row>
    <row r="1286" spans="2:4">
      <c r="B1286" s="1">
        <v>1282</v>
      </c>
      <c r="C1286" s="1">
        <v>141.66999999999999</v>
      </c>
      <c r="D1286" s="1"/>
    </row>
    <row r="1287" spans="2:4">
      <c r="B1287" s="1">
        <v>1283</v>
      </c>
      <c r="C1287" s="1">
        <v>141.78</v>
      </c>
      <c r="D1287" s="1"/>
    </row>
    <row r="1288" spans="2:4">
      <c r="B1288" s="1">
        <v>1284</v>
      </c>
      <c r="C1288" s="1">
        <v>141.88999999999999</v>
      </c>
      <c r="D1288" s="1"/>
    </row>
    <row r="1289" spans="2:4">
      <c r="B1289" s="1">
        <v>1285</v>
      </c>
      <c r="C1289" s="1">
        <v>142</v>
      </c>
      <c r="D1289" s="1"/>
    </row>
    <row r="1290" spans="2:4">
      <c r="B1290" s="1">
        <v>1286</v>
      </c>
      <c r="C1290" s="1">
        <v>142.11000000000001</v>
      </c>
      <c r="D1290" s="1"/>
    </row>
    <row r="1291" spans="2:4">
      <c r="B1291" s="1">
        <v>1287</v>
      </c>
      <c r="C1291" s="1">
        <v>142.22</v>
      </c>
      <c r="D1291" s="1"/>
    </row>
    <row r="1292" spans="2:4">
      <c r="B1292" s="1">
        <v>1288</v>
      </c>
      <c r="C1292" s="1">
        <v>142.33000000000001</v>
      </c>
      <c r="D1292" s="1"/>
    </row>
    <row r="1293" spans="2:4">
      <c r="B1293" s="1">
        <v>1289</v>
      </c>
      <c r="C1293" s="1">
        <v>142.44</v>
      </c>
      <c r="D1293" s="1"/>
    </row>
    <row r="1294" spans="2:4">
      <c r="B1294" s="1">
        <v>1290</v>
      </c>
      <c r="C1294" s="1">
        <v>142.56</v>
      </c>
      <c r="D1294" s="1"/>
    </row>
    <row r="1295" spans="2:4">
      <c r="B1295" s="1">
        <v>1291</v>
      </c>
      <c r="C1295" s="1">
        <v>142.66999999999999</v>
      </c>
      <c r="D1295" s="1"/>
    </row>
    <row r="1296" spans="2:4">
      <c r="B1296" s="1">
        <v>1292</v>
      </c>
      <c r="C1296" s="1">
        <v>142.78</v>
      </c>
      <c r="D1296" s="1"/>
    </row>
    <row r="1297" spans="2:4">
      <c r="B1297" s="1">
        <v>1293</v>
      </c>
      <c r="C1297" s="1">
        <v>142.88999999999999</v>
      </c>
      <c r="D1297" s="1"/>
    </row>
    <row r="1298" spans="2:4">
      <c r="B1298" s="1">
        <v>1294</v>
      </c>
      <c r="C1298" s="1">
        <v>143</v>
      </c>
      <c r="D1298" s="1"/>
    </row>
    <row r="1299" spans="2:4">
      <c r="B1299" s="1">
        <v>1295</v>
      </c>
      <c r="C1299" s="1">
        <v>143.11000000000001</v>
      </c>
      <c r="D1299" s="1"/>
    </row>
    <row r="1300" spans="2:4">
      <c r="B1300" s="1">
        <v>1296</v>
      </c>
      <c r="C1300" s="1">
        <v>143.22</v>
      </c>
      <c r="D1300" s="1"/>
    </row>
    <row r="1301" spans="2:4">
      <c r="B1301" s="1">
        <v>1297</v>
      </c>
      <c r="C1301" s="1">
        <v>143.33000000000001</v>
      </c>
      <c r="D1301" s="1"/>
    </row>
    <row r="1302" spans="2:4">
      <c r="B1302" s="1">
        <v>1298</v>
      </c>
      <c r="C1302" s="1">
        <v>143.44</v>
      </c>
      <c r="D1302" s="1"/>
    </row>
    <row r="1303" spans="2:4">
      <c r="B1303" s="1">
        <v>1299</v>
      </c>
      <c r="C1303" s="1">
        <v>143.56</v>
      </c>
      <c r="D1303" s="1"/>
    </row>
    <row r="1304" spans="2:4">
      <c r="B1304" s="1">
        <v>1300</v>
      </c>
      <c r="C1304" s="1">
        <v>143.66999999999999</v>
      </c>
      <c r="D1304" s="1"/>
    </row>
    <row r="1305" spans="2:4">
      <c r="B1305" s="1">
        <v>1301</v>
      </c>
      <c r="C1305" s="1">
        <v>143.78</v>
      </c>
      <c r="D1305" s="1"/>
    </row>
    <row r="1306" spans="2:4">
      <c r="B1306" s="1">
        <v>1302</v>
      </c>
      <c r="C1306" s="1">
        <v>143.88999999999999</v>
      </c>
      <c r="D1306" s="1"/>
    </row>
    <row r="1307" spans="2:4">
      <c r="B1307" s="1">
        <v>1303</v>
      </c>
      <c r="C1307" s="1">
        <v>144</v>
      </c>
      <c r="D1307" s="1"/>
    </row>
    <row r="1308" spans="2:4">
      <c r="B1308" s="1">
        <v>1304</v>
      </c>
      <c r="C1308" s="1">
        <v>144.11000000000001</v>
      </c>
      <c r="D1308" s="1"/>
    </row>
    <row r="1309" spans="2:4">
      <c r="B1309" s="1">
        <v>1305</v>
      </c>
      <c r="C1309" s="1">
        <v>144.22</v>
      </c>
      <c r="D1309" s="1"/>
    </row>
    <row r="1310" spans="2:4">
      <c r="B1310" s="1">
        <v>1306</v>
      </c>
      <c r="C1310" s="1">
        <v>144.33000000000001</v>
      </c>
      <c r="D1310" s="1"/>
    </row>
    <row r="1311" spans="2:4">
      <c r="B1311" s="1">
        <v>1307</v>
      </c>
      <c r="C1311" s="1">
        <v>144.44</v>
      </c>
      <c r="D1311" s="1"/>
    </row>
    <row r="1312" spans="2:4">
      <c r="B1312" s="1">
        <v>1308</v>
      </c>
      <c r="C1312" s="1">
        <v>144.56</v>
      </c>
      <c r="D1312" s="1"/>
    </row>
    <row r="1313" spans="2:4">
      <c r="B1313" s="1">
        <v>1309</v>
      </c>
      <c r="C1313" s="1">
        <v>144.66999999999999</v>
      </c>
      <c r="D1313" s="1"/>
    </row>
    <row r="1314" spans="2:4">
      <c r="B1314" s="1">
        <v>1310</v>
      </c>
      <c r="C1314" s="1">
        <v>144.78</v>
      </c>
      <c r="D1314" s="1"/>
    </row>
    <row r="1315" spans="2:4">
      <c r="B1315" s="1">
        <v>1311</v>
      </c>
      <c r="C1315" s="1">
        <v>144.88999999999999</v>
      </c>
      <c r="D1315" s="1"/>
    </row>
    <row r="1316" spans="2:4">
      <c r="B1316" s="1">
        <v>1312</v>
      </c>
      <c r="C1316" s="1">
        <v>145</v>
      </c>
      <c r="D1316" s="1"/>
    </row>
    <row r="1317" spans="2:4">
      <c r="B1317" s="1">
        <v>1313</v>
      </c>
      <c r="C1317" s="1">
        <v>145.11000000000001</v>
      </c>
      <c r="D1317" s="1"/>
    </row>
    <row r="1318" spans="2:4">
      <c r="B1318" s="1">
        <v>1314</v>
      </c>
      <c r="C1318" s="1">
        <v>145.22</v>
      </c>
      <c r="D1318" s="1"/>
    </row>
    <row r="1319" spans="2:4">
      <c r="B1319" s="1">
        <v>1315</v>
      </c>
      <c r="C1319" s="1">
        <v>145.33000000000001</v>
      </c>
      <c r="D1319" s="1"/>
    </row>
    <row r="1320" spans="2:4">
      <c r="B1320" s="1">
        <v>1316</v>
      </c>
      <c r="C1320" s="1">
        <v>145.44</v>
      </c>
      <c r="D1320" s="1"/>
    </row>
    <row r="1321" spans="2:4">
      <c r="B1321" s="1">
        <v>1317</v>
      </c>
      <c r="C1321" s="1">
        <v>145.56</v>
      </c>
      <c r="D1321" s="1"/>
    </row>
    <row r="1322" spans="2:4">
      <c r="B1322" s="1">
        <v>1318</v>
      </c>
      <c r="C1322" s="1">
        <v>145.66999999999999</v>
      </c>
      <c r="D1322" s="1"/>
    </row>
    <row r="1323" spans="2:4">
      <c r="B1323" s="1">
        <v>1319</v>
      </c>
      <c r="C1323" s="1">
        <v>145.78</v>
      </c>
      <c r="D1323" s="1"/>
    </row>
    <row r="1324" spans="2:4">
      <c r="B1324" s="1">
        <v>1320</v>
      </c>
      <c r="C1324" s="1">
        <v>145.88999999999999</v>
      </c>
      <c r="D1324" s="1"/>
    </row>
    <row r="1325" spans="2:4">
      <c r="B1325" s="1">
        <v>1321</v>
      </c>
      <c r="C1325" s="1">
        <v>146</v>
      </c>
      <c r="D1325" s="1"/>
    </row>
    <row r="1326" spans="2:4">
      <c r="B1326" s="1">
        <v>1322</v>
      </c>
      <c r="C1326" s="1">
        <v>146.11000000000001</v>
      </c>
      <c r="D1326" s="1"/>
    </row>
    <row r="1327" spans="2:4">
      <c r="B1327" s="1">
        <v>1323</v>
      </c>
      <c r="C1327" s="1">
        <v>146.22</v>
      </c>
      <c r="D1327" s="1"/>
    </row>
    <row r="1328" spans="2:4">
      <c r="B1328" s="1">
        <v>1324</v>
      </c>
      <c r="C1328" s="1">
        <v>146.33000000000001</v>
      </c>
      <c r="D1328" s="1"/>
    </row>
    <row r="1329" spans="2:4">
      <c r="B1329" s="1">
        <v>1325</v>
      </c>
      <c r="C1329" s="1">
        <v>146.44</v>
      </c>
      <c r="D1329" s="1"/>
    </row>
    <row r="1330" spans="2:4">
      <c r="B1330" s="1">
        <v>1326</v>
      </c>
      <c r="C1330" s="1">
        <v>146.56</v>
      </c>
      <c r="D1330" s="1"/>
    </row>
    <row r="1331" spans="2:4">
      <c r="B1331" s="1">
        <v>1327</v>
      </c>
      <c r="C1331" s="1">
        <v>146.66999999999999</v>
      </c>
      <c r="D1331" s="1"/>
    </row>
    <row r="1332" spans="2:4">
      <c r="B1332" s="1">
        <v>1328</v>
      </c>
      <c r="C1332" s="1">
        <v>146.78</v>
      </c>
      <c r="D1332" s="1"/>
    </row>
    <row r="1333" spans="2:4">
      <c r="B1333" s="1">
        <v>1329</v>
      </c>
      <c r="C1333" s="1">
        <v>146.88999999999999</v>
      </c>
      <c r="D1333" s="1"/>
    </row>
    <row r="1334" spans="2:4">
      <c r="B1334" s="1">
        <v>1330</v>
      </c>
      <c r="C1334" s="1">
        <v>147</v>
      </c>
      <c r="D1334" s="1"/>
    </row>
    <row r="1335" spans="2:4">
      <c r="B1335" s="1">
        <v>1331</v>
      </c>
      <c r="C1335" s="1">
        <v>147.11000000000001</v>
      </c>
      <c r="D1335" s="1"/>
    </row>
    <row r="1336" spans="2:4">
      <c r="B1336" s="1">
        <v>1332</v>
      </c>
      <c r="C1336" s="1">
        <v>147.22</v>
      </c>
      <c r="D1336" s="1"/>
    </row>
    <row r="1337" spans="2:4">
      <c r="B1337" s="1">
        <v>1333</v>
      </c>
      <c r="C1337" s="1">
        <v>147.33000000000001</v>
      </c>
      <c r="D1337" s="1"/>
    </row>
    <row r="1338" spans="2:4">
      <c r="B1338" s="1">
        <v>1334</v>
      </c>
      <c r="C1338" s="1">
        <v>147.44</v>
      </c>
      <c r="D1338" s="1"/>
    </row>
    <row r="1339" spans="2:4">
      <c r="B1339" s="1">
        <v>1335</v>
      </c>
      <c r="C1339" s="1">
        <v>147.56</v>
      </c>
      <c r="D1339" s="1"/>
    </row>
    <row r="1340" spans="2:4">
      <c r="B1340" s="1">
        <v>1336</v>
      </c>
      <c r="C1340" s="1">
        <v>147.66999999999999</v>
      </c>
      <c r="D1340" s="1"/>
    </row>
    <row r="1341" spans="2:4">
      <c r="B1341" s="1">
        <v>1337</v>
      </c>
      <c r="C1341" s="1">
        <v>147.78</v>
      </c>
      <c r="D1341" s="1"/>
    </row>
    <row r="1342" spans="2:4">
      <c r="B1342" s="1">
        <v>1338</v>
      </c>
      <c r="C1342" s="1">
        <v>147.88999999999999</v>
      </c>
      <c r="D1342" s="1"/>
    </row>
    <row r="1343" spans="2:4">
      <c r="B1343" s="1">
        <v>1339</v>
      </c>
      <c r="C1343" s="1">
        <v>148</v>
      </c>
      <c r="D1343" s="1"/>
    </row>
    <row r="1344" spans="2:4">
      <c r="B1344" s="1">
        <v>1340</v>
      </c>
      <c r="C1344" s="1">
        <v>148.11000000000001</v>
      </c>
      <c r="D1344" s="1"/>
    </row>
    <row r="1345" spans="2:4">
      <c r="B1345" s="1">
        <v>1341</v>
      </c>
      <c r="C1345" s="1">
        <v>148.22</v>
      </c>
      <c r="D1345" s="1"/>
    </row>
    <row r="1346" spans="2:4">
      <c r="B1346" s="1">
        <v>1342</v>
      </c>
      <c r="C1346" s="1">
        <v>148.33000000000001</v>
      </c>
      <c r="D1346" s="1"/>
    </row>
    <row r="1347" spans="2:4">
      <c r="B1347" s="1">
        <v>1343</v>
      </c>
      <c r="C1347" s="1">
        <v>148.44</v>
      </c>
      <c r="D1347" s="1"/>
    </row>
    <row r="1348" spans="2:4">
      <c r="B1348" s="1">
        <v>1344</v>
      </c>
      <c r="C1348" s="1">
        <v>148.56</v>
      </c>
      <c r="D1348" s="1"/>
    </row>
    <row r="1349" spans="2:4">
      <c r="B1349" s="1">
        <v>1345</v>
      </c>
      <c r="C1349" s="1">
        <v>148.66999999999999</v>
      </c>
      <c r="D1349" s="1"/>
    </row>
    <row r="1350" spans="2:4">
      <c r="B1350" s="1">
        <v>1346</v>
      </c>
      <c r="C1350" s="1">
        <v>148.78</v>
      </c>
      <c r="D1350" s="1"/>
    </row>
    <row r="1351" spans="2:4">
      <c r="B1351" s="1">
        <v>1347</v>
      </c>
      <c r="C1351" s="1">
        <v>148.88999999999999</v>
      </c>
      <c r="D1351" s="1"/>
    </row>
    <row r="1352" spans="2:4">
      <c r="B1352" s="1">
        <v>1348</v>
      </c>
      <c r="C1352" s="1">
        <v>149</v>
      </c>
      <c r="D1352" s="1"/>
    </row>
    <row r="1353" spans="2:4">
      <c r="B1353" s="1">
        <v>1349</v>
      </c>
      <c r="C1353" s="1">
        <v>149.11000000000001</v>
      </c>
      <c r="D1353" s="1"/>
    </row>
    <row r="1354" spans="2:4">
      <c r="B1354" s="1">
        <v>1350</v>
      </c>
      <c r="C1354" s="1">
        <v>149.22</v>
      </c>
      <c r="D1354" s="1"/>
    </row>
    <row r="1355" spans="2:4">
      <c r="B1355" s="1">
        <v>1351</v>
      </c>
      <c r="C1355" s="1">
        <v>149.33000000000001</v>
      </c>
      <c r="D1355" s="1"/>
    </row>
    <row r="1356" spans="2:4">
      <c r="B1356" s="1">
        <v>1352</v>
      </c>
      <c r="C1356" s="1">
        <v>149.44</v>
      </c>
      <c r="D1356" s="1"/>
    </row>
    <row r="1357" spans="2:4">
      <c r="B1357" s="1">
        <v>1353</v>
      </c>
      <c r="C1357" s="1">
        <v>149.56</v>
      </c>
      <c r="D1357" s="1"/>
    </row>
    <row r="1358" spans="2:4">
      <c r="B1358" s="1">
        <v>1354</v>
      </c>
      <c r="C1358" s="1">
        <v>149.66999999999999</v>
      </c>
      <c r="D1358" s="1"/>
    </row>
    <row r="1359" spans="2:4">
      <c r="B1359" s="1">
        <v>1355</v>
      </c>
      <c r="C1359" s="1">
        <v>149.78</v>
      </c>
      <c r="D1359" s="1"/>
    </row>
    <row r="1360" spans="2:4">
      <c r="B1360" s="1">
        <v>1356</v>
      </c>
      <c r="C1360" s="1">
        <v>149.88999999999999</v>
      </c>
      <c r="D1360" s="1"/>
    </row>
    <row r="1361" spans="2:4">
      <c r="B1361" s="1">
        <v>1357</v>
      </c>
      <c r="C1361" s="1">
        <v>150</v>
      </c>
      <c r="D1361" s="1"/>
    </row>
    <row r="1362" spans="2:4">
      <c r="B1362" s="1">
        <v>1358</v>
      </c>
      <c r="C1362" s="1">
        <v>150.11000000000001</v>
      </c>
      <c r="D1362" s="1"/>
    </row>
    <row r="1363" spans="2:4">
      <c r="B1363" s="1">
        <v>1359</v>
      </c>
      <c r="C1363" s="1">
        <v>150.22</v>
      </c>
      <c r="D1363" s="1"/>
    </row>
    <row r="1364" spans="2:4">
      <c r="B1364" s="1">
        <v>1360</v>
      </c>
      <c r="C1364" s="1">
        <v>150.33000000000001</v>
      </c>
      <c r="D1364" s="1"/>
    </row>
    <row r="1365" spans="2:4">
      <c r="B1365" s="1">
        <v>1361</v>
      </c>
      <c r="C1365" s="1">
        <v>150.44</v>
      </c>
      <c r="D1365" s="1"/>
    </row>
    <row r="1366" spans="2:4">
      <c r="B1366" s="1">
        <v>1362</v>
      </c>
      <c r="C1366" s="1">
        <v>150.56</v>
      </c>
      <c r="D1366" s="1"/>
    </row>
    <row r="1367" spans="2:4">
      <c r="B1367" s="1">
        <v>1363</v>
      </c>
      <c r="C1367" s="1">
        <v>150.66999999999999</v>
      </c>
      <c r="D1367" s="1"/>
    </row>
    <row r="1368" spans="2:4">
      <c r="B1368" s="1">
        <v>1364</v>
      </c>
      <c r="C1368" s="1">
        <v>150.78</v>
      </c>
      <c r="D1368" s="1"/>
    </row>
    <row r="1369" spans="2:4">
      <c r="B1369" s="1">
        <v>1365</v>
      </c>
      <c r="C1369" s="1">
        <v>150.88999999999999</v>
      </c>
      <c r="D1369" s="1"/>
    </row>
    <row r="1370" spans="2:4">
      <c r="B1370" s="1">
        <v>1366</v>
      </c>
      <c r="C1370" s="1">
        <v>151</v>
      </c>
      <c r="D1370" s="1"/>
    </row>
    <row r="1371" spans="2:4">
      <c r="B1371" s="1">
        <v>1367</v>
      </c>
      <c r="C1371" s="1">
        <v>151.11000000000001</v>
      </c>
      <c r="D1371" s="1"/>
    </row>
    <row r="1372" spans="2:4">
      <c r="B1372" s="1">
        <v>1368</v>
      </c>
      <c r="C1372" s="1">
        <v>151.22</v>
      </c>
      <c r="D1372" s="1"/>
    </row>
    <row r="1373" spans="2:4">
      <c r="B1373" s="1">
        <v>1369</v>
      </c>
      <c r="C1373" s="1">
        <v>151.33000000000001</v>
      </c>
      <c r="D1373" s="1"/>
    </row>
    <row r="1374" spans="2:4">
      <c r="B1374" s="1">
        <v>1370</v>
      </c>
      <c r="C1374" s="1">
        <v>151.44</v>
      </c>
      <c r="D1374" s="1"/>
    </row>
    <row r="1375" spans="2:4">
      <c r="B1375" s="1">
        <v>1371</v>
      </c>
      <c r="C1375" s="1">
        <v>151.56</v>
      </c>
      <c r="D1375" s="1"/>
    </row>
    <row r="1376" spans="2:4">
      <c r="B1376" s="1">
        <v>1372</v>
      </c>
      <c r="C1376" s="1">
        <v>151.66999999999999</v>
      </c>
      <c r="D1376" s="1"/>
    </row>
    <row r="1377" spans="2:4">
      <c r="B1377" s="1">
        <v>1373</v>
      </c>
      <c r="C1377" s="1">
        <v>151.78</v>
      </c>
      <c r="D1377" s="1"/>
    </row>
    <row r="1378" spans="2:4">
      <c r="B1378" s="1">
        <v>1374</v>
      </c>
      <c r="C1378" s="1">
        <v>151.88999999999999</v>
      </c>
      <c r="D1378" s="1"/>
    </row>
    <row r="1379" spans="2:4">
      <c r="B1379" s="1">
        <v>1375</v>
      </c>
      <c r="C1379" s="1">
        <v>152</v>
      </c>
      <c r="D1379" s="1"/>
    </row>
    <row r="1380" spans="2:4">
      <c r="B1380" s="1">
        <v>1376</v>
      </c>
      <c r="C1380" s="1">
        <v>152.11000000000001</v>
      </c>
      <c r="D1380" s="1"/>
    </row>
    <row r="1381" spans="2:4">
      <c r="B1381" s="1">
        <v>1377</v>
      </c>
      <c r="C1381" s="1">
        <v>152.22</v>
      </c>
      <c r="D1381" s="1"/>
    </row>
    <row r="1382" spans="2:4">
      <c r="B1382" s="1">
        <v>1378</v>
      </c>
      <c r="C1382" s="1">
        <v>152.33000000000001</v>
      </c>
      <c r="D1382" s="1"/>
    </row>
    <row r="1383" spans="2:4">
      <c r="B1383" s="1">
        <v>1379</v>
      </c>
      <c r="C1383" s="1">
        <v>152.44</v>
      </c>
      <c r="D1383" s="1"/>
    </row>
    <row r="1384" spans="2:4">
      <c r="B1384" s="1">
        <v>1380</v>
      </c>
      <c r="C1384" s="1">
        <v>152.56</v>
      </c>
      <c r="D1384" s="1"/>
    </row>
    <row r="1385" spans="2:4">
      <c r="B1385" s="1">
        <v>1381</v>
      </c>
      <c r="C1385" s="1">
        <v>152.66999999999999</v>
      </c>
      <c r="D1385" s="1"/>
    </row>
    <row r="1386" spans="2:4">
      <c r="B1386" s="1">
        <v>1382</v>
      </c>
      <c r="C1386" s="1">
        <v>152.78</v>
      </c>
      <c r="D1386" s="1"/>
    </row>
    <row r="1387" spans="2:4">
      <c r="B1387" s="1">
        <v>1383</v>
      </c>
      <c r="C1387" s="1">
        <v>152.88999999999999</v>
      </c>
      <c r="D1387" s="1"/>
    </row>
    <row r="1388" spans="2:4">
      <c r="B1388" s="1">
        <v>1384</v>
      </c>
      <c r="C1388" s="1">
        <v>153</v>
      </c>
      <c r="D1388" s="1"/>
    </row>
    <row r="1389" spans="2:4">
      <c r="B1389" s="1">
        <v>1385</v>
      </c>
      <c r="C1389" s="1">
        <v>153.11000000000001</v>
      </c>
      <c r="D1389" s="1"/>
    </row>
    <row r="1390" spans="2:4">
      <c r="B1390" s="1">
        <v>1386</v>
      </c>
      <c r="C1390" s="1">
        <v>153.22</v>
      </c>
      <c r="D1390" s="1"/>
    </row>
    <row r="1391" spans="2:4">
      <c r="B1391" s="1">
        <v>1387</v>
      </c>
      <c r="C1391" s="1">
        <v>153.33000000000001</v>
      </c>
      <c r="D1391" s="1"/>
    </row>
    <row r="1392" spans="2:4">
      <c r="B1392" s="1">
        <v>1388</v>
      </c>
      <c r="C1392" s="1">
        <v>153.44</v>
      </c>
      <c r="D1392" s="1"/>
    </row>
    <row r="1393" spans="2:4">
      <c r="B1393" s="1">
        <v>1389</v>
      </c>
      <c r="C1393" s="1">
        <v>153.56</v>
      </c>
      <c r="D1393" s="1"/>
    </row>
    <row r="1394" spans="2:4">
      <c r="B1394" s="1">
        <v>1390</v>
      </c>
      <c r="C1394" s="1">
        <v>153.66999999999999</v>
      </c>
      <c r="D1394" s="1"/>
    </row>
    <row r="1395" spans="2:4">
      <c r="B1395" s="1">
        <v>1391</v>
      </c>
      <c r="C1395" s="1">
        <v>153.78</v>
      </c>
      <c r="D1395" s="1"/>
    </row>
    <row r="1396" spans="2:4">
      <c r="B1396" s="1">
        <v>1392</v>
      </c>
      <c r="C1396" s="1">
        <v>153.88999999999999</v>
      </c>
      <c r="D1396" s="1"/>
    </row>
    <row r="1397" spans="2:4">
      <c r="B1397" s="1">
        <v>1393</v>
      </c>
      <c r="C1397" s="1">
        <v>154</v>
      </c>
      <c r="D1397" s="1"/>
    </row>
    <row r="1398" spans="2:4">
      <c r="B1398" s="1">
        <v>1394</v>
      </c>
      <c r="C1398" s="1">
        <v>154.11000000000001</v>
      </c>
      <c r="D1398" s="1"/>
    </row>
    <row r="1399" spans="2:4">
      <c r="B1399" s="1">
        <v>1395</v>
      </c>
      <c r="C1399" s="1">
        <v>154.22</v>
      </c>
      <c r="D1399" s="1"/>
    </row>
    <row r="1400" spans="2:4">
      <c r="B1400" s="1">
        <v>1396</v>
      </c>
      <c r="C1400" s="1">
        <v>154.33000000000001</v>
      </c>
      <c r="D1400" s="1"/>
    </row>
    <row r="1401" spans="2:4">
      <c r="B1401" s="1">
        <v>1397</v>
      </c>
      <c r="C1401" s="1">
        <v>154.44</v>
      </c>
      <c r="D1401" s="1"/>
    </row>
    <row r="1402" spans="2:4">
      <c r="B1402" s="1">
        <v>1398</v>
      </c>
      <c r="C1402" s="1">
        <v>154.56</v>
      </c>
      <c r="D1402" s="1"/>
    </row>
    <row r="1403" spans="2:4">
      <c r="B1403" s="1">
        <v>1399</v>
      </c>
      <c r="C1403" s="1">
        <v>154.66999999999999</v>
      </c>
      <c r="D1403" s="1"/>
    </row>
    <row r="1404" spans="2:4">
      <c r="B1404" s="1">
        <v>1400</v>
      </c>
      <c r="C1404" s="1">
        <v>154.78</v>
      </c>
      <c r="D1404" s="1"/>
    </row>
    <row r="1405" spans="2:4">
      <c r="B1405" s="1">
        <v>1401</v>
      </c>
      <c r="C1405" s="1">
        <v>154.88999999999999</v>
      </c>
      <c r="D1405" s="1"/>
    </row>
    <row r="1406" spans="2:4">
      <c r="B1406" s="1">
        <v>1402</v>
      </c>
      <c r="C1406" s="1">
        <v>155</v>
      </c>
      <c r="D1406" s="1"/>
    </row>
    <row r="1407" spans="2:4">
      <c r="B1407" s="1">
        <v>1403</v>
      </c>
      <c r="C1407" s="1">
        <v>155.11000000000001</v>
      </c>
      <c r="D1407" s="1"/>
    </row>
    <row r="1408" spans="2:4">
      <c r="B1408" s="1">
        <v>1404</v>
      </c>
      <c r="C1408" s="1">
        <v>155.22</v>
      </c>
      <c r="D1408" s="1"/>
    </row>
    <row r="1409" spans="2:4">
      <c r="B1409" s="1">
        <v>1405</v>
      </c>
      <c r="C1409" s="1">
        <v>155.33000000000001</v>
      </c>
      <c r="D1409" s="1"/>
    </row>
    <row r="1410" spans="2:4">
      <c r="B1410" s="1">
        <v>1406</v>
      </c>
      <c r="C1410" s="1">
        <v>155.44</v>
      </c>
      <c r="D1410" s="1"/>
    </row>
    <row r="1411" spans="2:4">
      <c r="B1411" s="1">
        <v>1407</v>
      </c>
      <c r="C1411" s="1">
        <v>155.56</v>
      </c>
      <c r="D1411" s="1"/>
    </row>
    <row r="1412" spans="2:4">
      <c r="B1412" s="1">
        <v>1408</v>
      </c>
      <c r="C1412" s="1">
        <v>155.66999999999999</v>
      </c>
      <c r="D1412" s="1"/>
    </row>
    <row r="1413" spans="2:4">
      <c r="B1413" s="1">
        <v>1409</v>
      </c>
      <c r="C1413" s="1">
        <v>155.78</v>
      </c>
      <c r="D1413" s="1"/>
    </row>
    <row r="1414" spans="2:4">
      <c r="B1414" s="1">
        <v>1410</v>
      </c>
      <c r="C1414" s="1">
        <v>155.88999999999999</v>
      </c>
      <c r="D1414" s="1"/>
    </row>
    <row r="1415" spans="2:4">
      <c r="B1415" s="1">
        <v>1411</v>
      </c>
      <c r="C1415" s="1">
        <v>156</v>
      </c>
      <c r="D1415" s="1"/>
    </row>
    <row r="1416" spans="2:4">
      <c r="B1416" s="1">
        <v>1412</v>
      </c>
      <c r="C1416" s="1">
        <v>156.11000000000001</v>
      </c>
      <c r="D1416" s="1"/>
    </row>
    <row r="1417" spans="2:4">
      <c r="B1417" s="1">
        <v>1413</v>
      </c>
      <c r="C1417" s="1">
        <v>156.22</v>
      </c>
      <c r="D1417" s="1"/>
    </row>
    <row r="1418" spans="2:4">
      <c r="B1418" s="1">
        <v>1414</v>
      </c>
      <c r="C1418" s="1">
        <v>156.33000000000001</v>
      </c>
      <c r="D1418" s="1"/>
    </row>
    <row r="1419" spans="2:4">
      <c r="B1419" s="1">
        <v>1415</v>
      </c>
      <c r="C1419" s="1">
        <v>156.44</v>
      </c>
      <c r="D1419" s="1"/>
    </row>
    <row r="1420" spans="2:4">
      <c r="B1420" s="1">
        <v>1416</v>
      </c>
      <c r="C1420" s="1">
        <v>156.56</v>
      </c>
      <c r="D1420" s="1"/>
    </row>
    <row r="1421" spans="2:4">
      <c r="B1421" s="1">
        <v>1417</v>
      </c>
      <c r="C1421" s="1">
        <v>156.66999999999999</v>
      </c>
      <c r="D1421" s="1"/>
    </row>
    <row r="1422" spans="2:4">
      <c r="B1422" s="1">
        <v>1418</v>
      </c>
      <c r="C1422" s="1">
        <v>156.78</v>
      </c>
      <c r="D1422" s="1"/>
    </row>
    <row r="1423" spans="2:4">
      <c r="B1423" s="1">
        <v>1419</v>
      </c>
      <c r="C1423" s="1">
        <v>156.88999999999999</v>
      </c>
      <c r="D1423" s="1"/>
    </row>
    <row r="1424" spans="2:4">
      <c r="B1424" s="1">
        <v>1420</v>
      </c>
      <c r="C1424" s="1">
        <v>157</v>
      </c>
      <c r="D1424" s="1"/>
    </row>
    <row r="1425" spans="2:4">
      <c r="B1425" s="1">
        <v>1421</v>
      </c>
      <c r="C1425" s="1">
        <v>157.11000000000001</v>
      </c>
      <c r="D1425" s="1"/>
    </row>
    <row r="1426" spans="2:4">
      <c r="B1426" s="1">
        <v>1422</v>
      </c>
      <c r="C1426" s="1">
        <v>157.22</v>
      </c>
      <c r="D1426" s="1"/>
    </row>
    <row r="1427" spans="2:4">
      <c r="B1427" s="1">
        <v>1423</v>
      </c>
      <c r="C1427" s="1">
        <v>157.33000000000001</v>
      </c>
      <c r="D1427" s="1"/>
    </row>
    <row r="1428" spans="2:4">
      <c r="B1428" s="1">
        <v>1424</v>
      </c>
      <c r="C1428" s="1">
        <v>157.44</v>
      </c>
      <c r="D1428" s="1"/>
    </row>
    <row r="1429" spans="2:4">
      <c r="B1429" s="1">
        <v>1425</v>
      </c>
      <c r="C1429" s="1">
        <v>157.56</v>
      </c>
      <c r="D1429" s="1"/>
    </row>
    <row r="1430" spans="2:4">
      <c r="B1430" s="1">
        <v>1426</v>
      </c>
      <c r="C1430" s="1">
        <v>157.66999999999999</v>
      </c>
      <c r="D1430" s="1"/>
    </row>
    <row r="1431" spans="2:4">
      <c r="B1431" s="1">
        <v>1427</v>
      </c>
      <c r="C1431" s="1">
        <v>157.78</v>
      </c>
      <c r="D1431" s="1"/>
    </row>
    <row r="1432" spans="2:4">
      <c r="B1432" s="1">
        <v>1428</v>
      </c>
      <c r="C1432" s="1">
        <v>157.88999999999999</v>
      </c>
      <c r="D1432" s="1"/>
    </row>
    <row r="1433" spans="2:4">
      <c r="B1433" s="1">
        <v>1429</v>
      </c>
      <c r="C1433" s="1">
        <v>158</v>
      </c>
      <c r="D1433" s="1"/>
    </row>
    <row r="1434" spans="2:4">
      <c r="B1434" s="1">
        <v>1430</v>
      </c>
      <c r="C1434" s="1">
        <v>158.11000000000001</v>
      </c>
      <c r="D1434" s="1"/>
    </row>
    <row r="1435" spans="2:4">
      <c r="B1435" s="1">
        <v>1431</v>
      </c>
      <c r="C1435" s="1">
        <v>158.22</v>
      </c>
      <c r="D1435" s="1"/>
    </row>
    <row r="1436" spans="2:4">
      <c r="B1436" s="1">
        <v>1432</v>
      </c>
      <c r="C1436" s="1">
        <v>158.33000000000001</v>
      </c>
      <c r="D1436" s="1"/>
    </row>
    <row r="1437" spans="2:4">
      <c r="B1437" s="1">
        <v>1433</v>
      </c>
      <c r="C1437" s="1">
        <v>158.44</v>
      </c>
      <c r="D1437" s="1"/>
    </row>
    <row r="1438" spans="2:4">
      <c r="B1438" s="1">
        <v>1434</v>
      </c>
      <c r="C1438" s="1">
        <v>158.56</v>
      </c>
      <c r="D1438" s="1"/>
    </row>
    <row r="1439" spans="2:4">
      <c r="B1439" s="1">
        <v>1435</v>
      </c>
      <c r="C1439" s="1">
        <v>158.66999999999999</v>
      </c>
      <c r="D1439" s="1"/>
    </row>
    <row r="1440" spans="2:4">
      <c r="B1440" s="1">
        <v>1436</v>
      </c>
      <c r="C1440" s="1">
        <v>158.78</v>
      </c>
      <c r="D1440" s="1"/>
    </row>
    <row r="1441" spans="2:4">
      <c r="B1441" s="1">
        <v>1437</v>
      </c>
      <c r="C1441" s="1">
        <v>158.88999999999999</v>
      </c>
      <c r="D1441" s="1"/>
    </row>
    <row r="1442" spans="2:4">
      <c r="B1442" s="1">
        <v>1438</v>
      </c>
      <c r="C1442" s="1">
        <v>159</v>
      </c>
      <c r="D1442" s="1"/>
    </row>
    <row r="1443" spans="2:4">
      <c r="B1443" s="1">
        <v>1439</v>
      </c>
      <c r="C1443" s="1">
        <v>159.11000000000001</v>
      </c>
      <c r="D1443" s="1"/>
    </row>
    <row r="1444" spans="2:4">
      <c r="B1444" s="1">
        <v>1440</v>
      </c>
      <c r="C1444" s="1">
        <v>159.22</v>
      </c>
      <c r="D1444" s="1"/>
    </row>
    <row r="1445" spans="2:4">
      <c r="B1445" s="1">
        <v>1441</v>
      </c>
      <c r="C1445" s="1">
        <v>159.33000000000001</v>
      </c>
      <c r="D1445" s="1"/>
    </row>
    <row r="1446" spans="2:4">
      <c r="B1446" s="1">
        <v>1442</v>
      </c>
      <c r="C1446" s="1">
        <v>159.44</v>
      </c>
      <c r="D1446" s="1"/>
    </row>
    <row r="1447" spans="2:4">
      <c r="B1447" s="1">
        <v>1443</v>
      </c>
      <c r="C1447" s="1">
        <v>159.56</v>
      </c>
      <c r="D1447" s="1"/>
    </row>
    <row r="1448" spans="2:4">
      <c r="B1448" s="1">
        <v>1444</v>
      </c>
      <c r="C1448" s="1">
        <v>159.66999999999999</v>
      </c>
      <c r="D1448" s="1"/>
    </row>
    <row r="1449" spans="2:4">
      <c r="B1449" s="1">
        <v>1445</v>
      </c>
      <c r="C1449" s="1">
        <v>159.78</v>
      </c>
      <c r="D1449" s="1"/>
    </row>
    <row r="1450" spans="2:4">
      <c r="B1450" s="1">
        <v>1446</v>
      </c>
      <c r="C1450" s="1">
        <v>159.88999999999999</v>
      </c>
      <c r="D1450" s="1"/>
    </row>
    <row r="1451" spans="2:4">
      <c r="B1451" s="1">
        <v>1447</v>
      </c>
      <c r="C1451" s="1">
        <v>160</v>
      </c>
      <c r="D1451" s="1"/>
    </row>
    <row r="1452" spans="2:4">
      <c r="B1452" s="1">
        <v>1448</v>
      </c>
      <c r="C1452" s="1">
        <v>160.11000000000001</v>
      </c>
      <c r="D1452" s="1"/>
    </row>
    <row r="1453" spans="2:4">
      <c r="B1453" s="1">
        <v>1449</v>
      </c>
      <c r="C1453" s="1">
        <v>160.22</v>
      </c>
      <c r="D1453" s="1"/>
    </row>
    <row r="1454" spans="2:4">
      <c r="B1454" s="1">
        <v>1450</v>
      </c>
      <c r="C1454" s="1">
        <v>160.33000000000001</v>
      </c>
      <c r="D1454" s="1"/>
    </row>
    <row r="1455" spans="2:4">
      <c r="B1455" s="1">
        <v>1451</v>
      </c>
      <c r="C1455" s="1">
        <v>160.44</v>
      </c>
      <c r="D1455" s="1"/>
    </row>
    <row r="1456" spans="2:4">
      <c r="B1456" s="1">
        <v>1452</v>
      </c>
      <c r="C1456" s="1">
        <v>160.56</v>
      </c>
      <c r="D1456" s="1"/>
    </row>
    <row r="1457" spans="2:4">
      <c r="B1457" s="1">
        <v>1453</v>
      </c>
      <c r="C1457" s="1">
        <v>160.66999999999999</v>
      </c>
      <c r="D1457" s="1"/>
    </row>
    <row r="1458" spans="2:4">
      <c r="B1458" s="1">
        <v>1454</v>
      </c>
      <c r="C1458" s="1">
        <v>160.78</v>
      </c>
      <c r="D1458" s="1"/>
    </row>
    <row r="1459" spans="2:4">
      <c r="B1459" s="1">
        <v>1455</v>
      </c>
      <c r="C1459" s="1">
        <v>160.88999999999999</v>
      </c>
      <c r="D1459" s="1"/>
    </row>
    <row r="1460" spans="2:4">
      <c r="B1460" s="1">
        <v>1456</v>
      </c>
      <c r="C1460" s="1">
        <v>161</v>
      </c>
      <c r="D1460" s="1"/>
    </row>
    <row r="1461" spans="2:4">
      <c r="B1461" s="1">
        <v>1457</v>
      </c>
      <c r="C1461" s="1">
        <v>161.11000000000001</v>
      </c>
      <c r="D1461" s="1"/>
    </row>
    <row r="1462" spans="2:4">
      <c r="B1462" s="1">
        <v>1458</v>
      </c>
      <c r="C1462" s="1">
        <v>161.22</v>
      </c>
      <c r="D1462" s="1"/>
    </row>
    <row r="1463" spans="2:4">
      <c r="B1463" s="1">
        <v>1459</v>
      </c>
      <c r="C1463" s="1">
        <v>161.33000000000001</v>
      </c>
      <c r="D1463" s="1"/>
    </row>
    <row r="1464" spans="2:4">
      <c r="B1464" s="1">
        <v>1460</v>
      </c>
      <c r="C1464" s="1">
        <v>161.44</v>
      </c>
      <c r="D1464" s="1"/>
    </row>
    <row r="1465" spans="2:4">
      <c r="B1465" s="1">
        <v>1461</v>
      </c>
      <c r="C1465" s="1">
        <v>161.56</v>
      </c>
      <c r="D1465" s="1"/>
    </row>
    <row r="1466" spans="2:4">
      <c r="B1466" s="1">
        <v>1462</v>
      </c>
      <c r="C1466" s="1">
        <v>161.66999999999999</v>
      </c>
      <c r="D1466" s="1"/>
    </row>
    <row r="1467" spans="2:4">
      <c r="B1467" s="1">
        <v>1463</v>
      </c>
      <c r="C1467" s="1">
        <v>161.78</v>
      </c>
      <c r="D1467" s="1"/>
    </row>
    <row r="1468" spans="2:4">
      <c r="B1468" s="1">
        <v>1464</v>
      </c>
      <c r="C1468" s="1">
        <v>161.88999999999999</v>
      </c>
      <c r="D1468" s="1"/>
    </row>
    <row r="1469" spans="2:4">
      <c r="B1469" s="1">
        <v>1465</v>
      </c>
      <c r="C1469" s="1">
        <v>162</v>
      </c>
      <c r="D1469" s="1"/>
    </row>
    <row r="1470" spans="2:4">
      <c r="B1470" s="1">
        <v>1466</v>
      </c>
      <c r="C1470" s="1">
        <v>162.11000000000001</v>
      </c>
      <c r="D1470" s="1"/>
    </row>
    <row r="1471" spans="2:4">
      <c r="B1471" s="1">
        <v>1467</v>
      </c>
      <c r="C1471" s="1">
        <v>162.22</v>
      </c>
      <c r="D1471" s="1"/>
    </row>
    <row r="1472" spans="2:4">
      <c r="B1472" s="1">
        <v>1468</v>
      </c>
      <c r="C1472" s="1">
        <v>162.33000000000001</v>
      </c>
      <c r="D1472" s="1"/>
    </row>
    <row r="1473" spans="2:4">
      <c r="B1473" s="1">
        <v>1469</v>
      </c>
      <c r="C1473" s="1">
        <v>162.44</v>
      </c>
      <c r="D1473" s="1"/>
    </row>
    <row r="1474" spans="2:4">
      <c r="B1474" s="1">
        <v>1470</v>
      </c>
      <c r="C1474" s="1">
        <v>162.56</v>
      </c>
      <c r="D1474" s="1"/>
    </row>
    <row r="1475" spans="2:4">
      <c r="B1475" s="1">
        <v>1471</v>
      </c>
      <c r="C1475" s="1">
        <v>162.66999999999999</v>
      </c>
      <c r="D1475" s="1"/>
    </row>
    <row r="1476" spans="2:4">
      <c r="B1476" s="1">
        <v>1472</v>
      </c>
      <c r="C1476" s="1">
        <v>162.78</v>
      </c>
      <c r="D1476" s="1"/>
    </row>
    <row r="1477" spans="2:4">
      <c r="B1477" s="1">
        <v>1473</v>
      </c>
      <c r="C1477" s="1">
        <v>162.88999999999999</v>
      </c>
      <c r="D1477" s="1"/>
    </row>
    <row r="1478" spans="2:4">
      <c r="B1478" s="1">
        <v>1474</v>
      </c>
      <c r="C1478" s="1">
        <v>163</v>
      </c>
      <c r="D1478" s="1"/>
    </row>
    <row r="1479" spans="2:4">
      <c r="B1479" s="1">
        <v>1475</v>
      </c>
      <c r="C1479" s="1">
        <v>163.11000000000001</v>
      </c>
      <c r="D1479" s="1"/>
    </row>
    <row r="1480" spans="2:4">
      <c r="B1480" s="1">
        <v>1476</v>
      </c>
      <c r="C1480" s="1">
        <v>163.22</v>
      </c>
      <c r="D1480" s="1"/>
    </row>
    <row r="1481" spans="2:4">
      <c r="B1481" s="1">
        <v>1477</v>
      </c>
      <c r="C1481" s="1">
        <v>163.33000000000001</v>
      </c>
      <c r="D1481" s="1"/>
    </row>
    <row r="1482" spans="2:4">
      <c r="B1482" s="1">
        <v>1478</v>
      </c>
      <c r="C1482" s="1">
        <v>163.44</v>
      </c>
      <c r="D1482" s="1"/>
    </row>
    <row r="1483" spans="2:4">
      <c r="B1483" s="1">
        <v>1479</v>
      </c>
      <c r="C1483" s="1">
        <v>163.56</v>
      </c>
      <c r="D1483" s="1"/>
    </row>
    <row r="1484" spans="2:4">
      <c r="B1484" s="1">
        <v>1480</v>
      </c>
      <c r="C1484" s="1">
        <v>163.66999999999999</v>
      </c>
      <c r="D1484" s="1"/>
    </row>
    <row r="1485" spans="2:4">
      <c r="B1485" s="1">
        <v>1481</v>
      </c>
      <c r="C1485" s="1">
        <v>163.78</v>
      </c>
      <c r="D1485" s="1"/>
    </row>
    <row r="1486" spans="2:4">
      <c r="B1486" s="1">
        <v>1482</v>
      </c>
      <c r="C1486" s="1">
        <v>163.89</v>
      </c>
      <c r="D1486" s="1"/>
    </row>
    <row r="1487" spans="2:4">
      <c r="B1487" s="1">
        <v>1483</v>
      </c>
      <c r="C1487" s="1">
        <v>164</v>
      </c>
      <c r="D1487" s="1"/>
    </row>
    <row r="1488" spans="2:4">
      <c r="B1488" s="1">
        <v>1484</v>
      </c>
      <c r="C1488" s="1">
        <v>164.11</v>
      </c>
      <c r="D1488" s="1"/>
    </row>
    <row r="1489" spans="2:4">
      <c r="B1489" s="1">
        <v>1485</v>
      </c>
      <c r="C1489" s="1">
        <v>164.22</v>
      </c>
      <c r="D1489" s="1"/>
    </row>
    <row r="1490" spans="2:4">
      <c r="B1490" s="1">
        <v>1486</v>
      </c>
      <c r="C1490" s="1">
        <v>164.33</v>
      </c>
      <c r="D1490" s="1"/>
    </row>
    <row r="1491" spans="2:4">
      <c r="B1491" s="1">
        <v>1487</v>
      </c>
      <c r="C1491" s="1">
        <v>164.44</v>
      </c>
      <c r="D1491" s="1"/>
    </row>
    <row r="1492" spans="2:4">
      <c r="B1492" s="1">
        <v>1488</v>
      </c>
      <c r="C1492" s="1">
        <v>164.56</v>
      </c>
      <c r="D1492" s="1"/>
    </row>
    <row r="1493" spans="2:4">
      <c r="B1493" s="1">
        <v>1489</v>
      </c>
      <c r="C1493" s="1">
        <v>164.67</v>
      </c>
      <c r="D1493" s="1"/>
    </row>
    <row r="1494" spans="2:4">
      <c r="B1494" s="1">
        <v>1490</v>
      </c>
      <c r="C1494" s="1">
        <v>164.78</v>
      </c>
      <c r="D1494" s="1"/>
    </row>
    <row r="1495" spans="2:4">
      <c r="B1495" s="1">
        <v>1491</v>
      </c>
      <c r="C1495" s="1">
        <v>164.89</v>
      </c>
      <c r="D1495" s="1"/>
    </row>
    <row r="1496" spans="2:4">
      <c r="B1496" s="1">
        <v>1492</v>
      </c>
      <c r="C1496" s="1">
        <v>165</v>
      </c>
      <c r="D1496" s="1"/>
    </row>
    <row r="1497" spans="2:4">
      <c r="B1497" s="1">
        <v>1493</v>
      </c>
      <c r="C1497" s="1">
        <v>165.11</v>
      </c>
      <c r="D1497" s="1"/>
    </row>
    <row r="1498" spans="2:4">
      <c r="B1498" s="1">
        <v>1494</v>
      </c>
      <c r="C1498" s="1">
        <v>165.22</v>
      </c>
      <c r="D1498" s="1"/>
    </row>
    <row r="1499" spans="2:4">
      <c r="B1499" s="1">
        <v>1495</v>
      </c>
      <c r="C1499" s="1">
        <v>165.33</v>
      </c>
      <c r="D1499" s="1"/>
    </row>
    <row r="1500" spans="2:4">
      <c r="B1500" s="1">
        <v>1496</v>
      </c>
      <c r="C1500" s="1">
        <v>165.44</v>
      </c>
      <c r="D1500" s="1"/>
    </row>
    <row r="1501" spans="2:4">
      <c r="B1501" s="1">
        <v>1497</v>
      </c>
      <c r="C1501" s="1">
        <v>165.56</v>
      </c>
      <c r="D1501" s="1"/>
    </row>
    <row r="1502" spans="2:4">
      <c r="B1502" s="1">
        <v>1498</v>
      </c>
      <c r="C1502" s="1">
        <v>165.67</v>
      </c>
      <c r="D1502" s="1"/>
    </row>
    <row r="1503" spans="2:4">
      <c r="B1503" s="1">
        <v>1499</v>
      </c>
      <c r="C1503" s="1">
        <v>165.78</v>
      </c>
      <c r="D1503" s="1"/>
    </row>
    <row r="1504" spans="2:4">
      <c r="B1504" s="1">
        <v>1500</v>
      </c>
      <c r="C1504" s="1">
        <v>165.89</v>
      </c>
      <c r="D1504" s="1"/>
    </row>
    <row r="1505" spans="2:4">
      <c r="B1505" s="1">
        <v>1501</v>
      </c>
      <c r="C1505" s="1">
        <v>166</v>
      </c>
      <c r="D1505" s="1"/>
    </row>
    <row r="1506" spans="2:4">
      <c r="B1506" s="1">
        <v>1502</v>
      </c>
      <c r="C1506" s="1">
        <v>166.11</v>
      </c>
      <c r="D1506" s="1"/>
    </row>
    <row r="1507" spans="2:4">
      <c r="B1507" s="1">
        <v>1503</v>
      </c>
      <c r="C1507" s="1">
        <v>166.22</v>
      </c>
      <c r="D1507" s="1"/>
    </row>
    <row r="1508" spans="2:4">
      <c r="B1508" s="1">
        <v>1504</v>
      </c>
      <c r="C1508" s="1">
        <v>166.33</v>
      </c>
      <c r="D1508" s="1"/>
    </row>
    <row r="1509" spans="2:4">
      <c r="B1509" s="1">
        <v>1505</v>
      </c>
      <c r="C1509" s="1">
        <v>166.44</v>
      </c>
      <c r="D1509" s="1"/>
    </row>
    <row r="1510" spans="2:4">
      <c r="B1510" s="1">
        <v>1506</v>
      </c>
      <c r="C1510" s="1">
        <v>166.56</v>
      </c>
      <c r="D1510" s="1"/>
    </row>
    <row r="1511" spans="2:4">
      <c r="B1511" s="1">
        <v>1507</v>
      </c>
      <c r="C1511" s="1">
        <v>166.67</v>
      </c>
      <c r="D1511" s="1"/>
    </row>
    <row r="1512" spans="2:4">
      <c r="B1512" s="1">
        <v>1508</v>
      </c>
      <c r="C1512" s="1">
        <v>166.78</v>
      </c>
      <c r="D1512" s="1"/>
    </row>
    <row r="1513" spans="2:4">
      <c r="B1513" s="1">
        <v>1509</v>
      </c>
      <c r="C1513" s="1">
        <v>166.89</v>
      </c>
      <c r="D1513" s="1"/>
    </row>
    <row r="1514" spans="2:4">
      <c r="B1514" s="1">
        <v>1510</v>
      </c>
      <c r="C1514" s="1">
        <v>167</v>
      </c>
      <c r="D1514" s="1"/>
    </row>
    <row r="1515" spans="2:4">
      <c r="B1515" s="1">
        <v>1511</v>
      </c>
      <c r="C1515" s="1">
        <v>167.11</v>
      </c>
      <c r="D1515" s="1"/>
    </row>
    <row r="1516" spans="2:4">
      <c r="B1516" s="1">
        <v>1512</v>
      </c>
      <c r="C1516" s="1">
        <v>167.22</v>
      </c>
      <c r="D1516" s="1"/>
    </row>
    <row r="1517" spans="2:4">
      <c r="B1517" s="1">
        <v>1513</v>
      </c>
      <c r="C1517" s="1">
        <v>167.33</v>
      </c>
      <c r="D1517" s="1"/>
    </row>
    <row r="1518" spans="2:4">
      <c r="B1518" s="1">
        <v>1514</v>
      </c>
      <c r="C1518" s="1">
        <v>167.44</v>
      </c>
      <c r="D1518" s="1"/>
    </row>
    <row r="1519" spans="2:4">
      <c r="B1519" s="1">
        <v>1515</v>
      </c>
      <c r="C1519" s="1">
        <v>167.56</v>
      </c>
      <c r="D1519" s="1"/>
    </row>
    <row r="1520" spans="2:4">
      <c r="B1520" s="1">
        <v>1516</v>
      </c>
      <c r="C1520" s="1">
        <v>167.67</v>
      </c>
      <c r="D1520" s="1"/>
    </row>
    <row r="1521" spans="2:4">
      <c r="B1521" s="1">
        <v>1517</v>
      </c>
      <c r="C1521" s="1">
        <v>167.78</v>
      </c>
      <c r="D1521" s="1"/>
    </row>
    <row r="1522" spans="2:4">
      <c r="B1522" s="1">
        <v>1518</v>
      </c>
      <c r="C1522" s="1">
        <v>167.89</v>
      </c>
      <c r="D1522" s="1"/>
    </row>
    <row r="1523" spans="2:4">
      <c r="B1523" s="1">
        <v>1519</v>
      </c>
      <c r="C1523" s="1">
        <v>168</v>
      </c>
      <c r="D1523" s="1"/>
    </row>
    <row r="1524" spans="2:4">
      <c r="B1524" s="1">
        <v>1520</v>
      </c>
      <c r="C1524" s="1">
        <v>168.11</v>
      </c>
      <c r="D1524" s="1"/>
    </row>
    <row r="1525" spans="2:4">
      <c r="B1525" s="1">
        <v>1521</v>
      </c>
      <c r="C1525" s="1">
        <v>168.22</v>
      </c>
      <c r="D1525" s="1"/>
    </row>
    <row r="1526" spans="2:4">
      <c r="B1526" s="1">
        <v>1522</v>
      </c>
      <c r="C1526" s="1">
        <v>168.33</v>
      </c>
      <c r="D1526" s="1"/>
    </row>
    <row r="1527" spans="2:4">
      <c r="B1527" s="1">
        <v>1523</v>
      </c>
      <c r="C1527" s="1">
        <v>168.44</v>
      </c>
      <c r="D1527" s="1"/>
    </row>
    <row r="1528" spans="2:4">
      <c r="B1528" s="1">
        <v>1524</v>
      </c>
      <c r="C1528" s="1">
        <v>168.56</v>
      </c>
      <c r="D1528" s="1"/>
    </row>
    <row r="1529" spans="2:4">
      <c r="B1529" s="1">
        <v>1525</v>
      </c>
      <c r="C1529" s="1">
        <v>168.67</v>
      </c>
      <c r="D1529" s="1"/>
    </row>
    <row r="1530" spans="2:4">
      <c r="B1530" s="1">
        <v>1526</v>
      </c>
      <c r="C1530" s="1">
        <v>168.78</v>
      </c>
      <c r="D1530" s="1"/>
    </row>
    <row r="1531" spans="2:4">
      <c r="B1531" s="1">
        <v>1527</v>
      </c>
      <c r="C1531" s="1">
        <v>168.89</v>
      </c>
      <c r="D1531" s="1"/>
    </row>
    <row r="1532" spans="2:4">
      <c r="B1532" s="1">
        <v>1528</v>
      </c>
      <c r="C1532" s="1">
        <v>169</v>
      </c>
      <c r="D1532" s="1"/>
    </row>
    <row r="1533" spans="2:4">
      <c r="B1533" s="1">
        <v>1529</v>
      </c>
      <c r="C1533" s="1">
        <v>169.11</v>
      </c>
      <c r="D1533" s="1"/>
    </row>
    <row r="1534" spans="2:4">
      <c r="B1534" s="1">
        <v>1530</v>
      </c>
      <c r="C1534" s="1">
        <v>169.22</v>
      </c>
      <c r="D1534" s="1"/>
    </row>
    <row r="1535" spans="2:4">
      <c r="B1535" s="1">
        <v>1531</v>
      </c>
      <c r="C1535" s="1">
        <v>169.33</v>
      </c>
      <c r="D1535" s="1"/>
    </row>
    <row r="1536" spans="2:4">
      <c r="B1536" s="1">
        <v>1532</v>
      </c>
      <c r="C1536" s="1">
        <v>169.44</v>
      </c>
      <c r="D1536" s="1"/>
    </row>
    <row r="1537" spans="2:4">
      <c r="B1537" s="1">
        <v>1533</v>
      </c>
      <c r="C1537" s="1">
        <v>169.56</v>
      </c>
      <c r="D1537" s="1"/>
    </row>
    <row r="1538" spans="2:4">
      <c r="B1538" s="1">
        <v>1534</v>
      </c>
      <c r="C1538" s="1">
        <v>169.67</v>
      </c>
      <c r="D1538" s="1"/>
    </row>
    <row r="1539" spans="2:4">
      <c r="B1539" s="1">
        <v>1535</v>
      </c>
      <c r="C1539" s="1">
        <v>169.78</v>
      </c>
      <c r="D1539" s="1"/>
    </row>
    <row r="1540" spans="2:4">
      <c r="B1540" s="1">
        <v>1536</v>
      </c>
      <c r="C1540" s="1">
        <v>169.89</v>
      </c>
      <c r="D1540" s="1"/>
    </row>
    <row r="1541" spans="2:4">
      <c r="B1541" s="1">
        <v>1537</v>
      </c>
      <c r="C1541" s="1">
        <v>170</v>
      </c>
      <c r="D1541" s="1"/>
    </row>
    <row r="1542" spans="2:4">
      <c r="B1542" s="1">
        <v>1538</v>
      </c>
      <c r="C1542" s="1">
        <v>170.11</v>
      </c>
      <c r="D1542" s="1"/>
    </row>
    <row r="1543" spans="2:4">
      <c r="B1543" s="1">
        <v>1539</v>
      </c>
      <c r="C1543" s="1">
        <v>170.22</v>
      </c>
      <c r="D1543" s="1"/>
    </row>
    <row r="1544" spans="2:4">
      <c r="B1544" s="1">
        <v>1540</v>
      </c>
      <c r="C1544" s="1">
        <v>170.33</v>
      </c>
      <c r="D1544" s="1"/>
    </row>
    <row r="1545" spans="2:4">
      <c r="B1545" s="1">
        <v>1541</v>
      </c>
      <c r="C1545" s="1">
        <v>170.44</v>
      </c>
      <c r="D1545" s="1"/>
    </row>
    <row r="1546" spans="2:4">
      <c r="B1546" s="1">
        <v>1542</v>
      </c>
      <c r="C1546" s="1">
        <v>170.56</v>
      </c>
      <c r="D1546" s="1"/>
    </row>
    <row r="1547" spans="2:4">
      <c r="B1547" s="1">
        <v>1543</v>
      </c>
      <c r="C1547" s="1">
        <v>170.67</v>
      </c>
      <c r="D1547" s="1"/>
    </row>
    <row r="1548" spans="2:4">
      <c r="B1548" s="1">
        <v>1544</v>
      </c>
      <c r="C1548" s="1">
        <v>170.78</v>
      </c>
      <c r="D1548" s="1"/>
    </row>
    <row r="1549" spans="2:4">
      <c r="B1549" s="1">
        <v>1545</v>
      </c>
      <c r="C1549" s="1">
        <v>170.89</v>
      </c>
      <c r="D1549" s="1"/>
    </row>
    <row r="1550" spans="2:4">
      <c r="B1550" s="1">
        <v>1546</v>
      </c>
      <c r="C1550" s="1">
        <v>171</v>
      </c>
      <c r="D1550" s="1"/>
    </row>
    <row r="1551" spans="2:4">
      <c r="B1551" s="1">
        <v>1547</v>
      </c>
      <c r="C1551" s="1">
        <v>171.11</v>
      </c>
      <c r="D1551" s="1"/>
    </row>
    <row r="1552" spans="2:4">
      <c r="B1552" s="1">
        <v>1548</v>
      </c>
      <c r="C1552" s="1">
        <v>171.22</v>
      </c>
      <c r="D1552" s="1"/>
    </row>
    <row r="1553" spans="2:4">
      <c r="B1553" s="1">
        <v>1549</v>
      </c>
      <c r="C1553" s="1">
        <v>171.33</v>
      </c>
      <c r="D1553" s="1"/>
    </row>
    <row r="1554" spans="2:4">
      <c r="B1554" s="1">
        <v>1550</v>
      </c>
      <c r="C1554" s="1">
        <v>171.44</v>
      </c>
      <c r="D1554" s="1"/>
    </row>
    <row r="1555" spans="2:4">
      <c r="B1555" s="1">
        <v>1551</v>
      </c>
      <c r="C1555" s="1">
        <v>171.56</v>
      </c>
      <c r="D1555" s="1"/>
    </row>
    <row r="1556" spans="2:4">
      <c r="B1556" s="1">
        <v>1552</v>
      </c>
      <c r="C1556" s="1">
        <v>171.67</v>
      </c>
      <c r="D1556" s="1"/>
    </row>
    <row r="1557" spans="2:4">
      <c r="B1557" s="1">
        <v>1553</v>
      </c>
      <c r="C1557" s="1">
        <v>171.78</v>
      </c>
      <c r="D1557" s="1"/>
    </row>
    <row r="1558" spans="2:4">
      <c r="B1558" s="1">
        <v>1554</v>
      </c>
      <c r="C1558" s="1">
        <v>171.89</v>
      </c>
      <c r="D1558" s="1"/>
    </row>
    <row r="1559" spans="2:4">
      <c r="B1559" s="1">
        <v>1555</v>
      </c>
      <c r="C1559" s="1">
        <v>172</v>
      </c>
      <c r="D1559" s="1"/>
    </row>
    <row r="1560" spans="2:4">
      <c r="B1560" s="1">
        <v>1556</v>
      </c>
      <c r="C1560" s="1">
        <v>172.11</v>
      </c>
      <c r="D1560" s="1"/>
    </row>
    <row r="1561" spans="2:4">
      <c r="B1561" s="1">
        <v>1557</v>
      </c>
      <c r="C1561" s="1">
        <v>172.22</v>
      </c>
      <c r="D1561" s="1"/>
    </row>
    <row r="1562" spans="2:4">
      <c r="B1562" s="1">
        <v>1558</v>
      </c>
      <c r="C1562" s="1">
        <v>172.33</v>
      </c>
      <c r="D1562" s="1"/>
    </row>
    <row r="1563" spans="2:4">
      <c r="B1563" s="1">
        <v>1559</v>
      </c>
      <c r="C1563" s="1">
        <v>172.44</v>
      </c>
      <c r="D1563" s="1"/>
    </row>
    <row r="1564" spans="2:4">
      <c r="B1564" s="1">
        <v>1560</v>
      </c>
      <c r="C1564" s="1">
        <v>172.56</v>
      </c>
      <c r="D1564" s="1"/>
    </row>
    <row r="1565" spans="2:4">
      <c r="B1565" s="1">
        <v>1561</v>
      </c>
      <c r="C1565" s="1">
        <v>172.67</v>
      </c>
      <c r="D1565" s="1"/>
    </row>
    <row r="1566" spans="2:4">
      <c r="B1566" s="1">
        <v>1562</v>
      </c>
      <c r="C1566" s="1">
        <v>172.78</v>
      </c>
      <c r="D1566" s="1"/>
    </row>
    <row r="1567" spans="2:4">
      <c r="B1567" s="1">
        <v>1563</v>
      </c>
      <c r="C1567" s="1">
        <v>172.89</v>
      </c>
      <c r="D1567" s="1"/>
    </row>
    <row r="1568" spans="2:4">
      <c r="B1568" s="1">
        <v>1564</v>
      </c>
      <c r="C1568" s="1">
        <v>173</v>
      </c>
      <c r="D1568" s="1"/>
    </row>
    <row r="1569" spans="2:4">
      <c r="B1569" s="1">
        <v>1565</v>
      </c>
      <c r="C1569" s="1">
        <v>173.11</v>
      </c>
      <c r="D1569" s="1"/>
    </row>
    <row r="1570" spans="2:4">
      <c r="B1570" s="1">
        <v>1566</v>
      </c>
      <c r="C1570" s="1">
        <v>173.22</v>
      </c>
      <c r="D1570" s="1"/>
    </row>
    <row r="1571" spans="2:4">
      <c r="B1571" s="1">
        <v>1567</v>
      </c>
      <c r="C1571" s="1">
        <v>173.33</v>
      </c>
      <c r="D1571" s="1"/>
    </row>
    <row r="1572" spans="2:4">
      <c r="B1572" s="1">
        <v>1568</v>
      </c>
      <c r="C1572" s="1">
        <v>173.44</v>
      </c>
      <c r="D1572" s="1"/>
    </row>
    <row r="1573" spans="2:4">
      <c r="B1573" s="1">
        <v>1569</v>
      </c>
      <c r="C1573" s="1">
        <v>173.56</v>
      </c>
      <c r="D1573" s="1"/>
    </row>
    <row r="1574" spans="2:4">
      <c r="B1574" s="1">
        <v>1570</v>
      </c>
      <c r="C1574" s="1">
        <v>173.67</v>
      </c>
      <c r="D1574" s="1"/>
    </row>
    <row r="1575" spans="2:4">
      <c r="B1575" s="1">
        <v>1571</v>
      </c>
      <c r="C1575" s="1">
        <v>173.78</v>
      </c>
      <c r="D1575" s="1"/>
    </row>
    <row r="1576" spans="2:4">
      <c r="B1576" s="1">
        <v>1572</v>
      </c>
      <c r="C1576" s="1">
        <v>173.89</v>
      </c>
      <c r="D1576" s="1"/>
    </row>
    <row r="1577" spans="2:4">
      <c r="B1577" s="1">
        <v>1573</v>
      </c>
      <c r="C1577" s="1">
        <v>174</v>
      </c>
      <c r="D1577" s="1"/>
    </row>
    <row r="1578" spans="2:4">
      <c r="B1578" s="1">
        <v>1574</v>
      </c>
      <c r="C1578" s="1">
        <v>174.11</v>
      </c>
      <c r="D1578" s="1"/>
    </row>
    <row r="1579" spans="2:4">
      <c r="B1579" s="1">
        <v>1575</v>
      </c>
      <c r="C1579" s="1">
        <v>174.22</v>
      </c>
      <c r="D1579" s="1"/>
    </row>
    <row r="1580" spans="2:4">
      <c r="B1580" s="1">
        <v>1576</v>
      </c>
      <c r="C1580" s="1">
        <v>174.33</v>
      </c>
      <c r="D1580" s="1"/>
    </row>
    <row r="1581" spans="2:4">
      <c r="B1581" s="1">
        <v>1577</v>
      </c>
      <c r="C1581" s="1">
        <v>174.44</v>
      </c>
      <c r="D1581" s="1"/>
    </row>
    <row r="1582" spans="2:4">
      <c r="B1582" s="1">
        <v>1578</v>
      </c>
      <c r="C1582" s="1">
        <v>174.56</v>
      </c>
      <c r="D1582" s="1"/>
    </row>
    <row r="1583" spans="2:4">
      <c r="B1583" s="1">
        <v>1579</v>
      </c>
      <c r="C1583" s="1">
        <v>174.67</v>
      </c>
      <c r="D1583" s="1"/>
    </row>
    <row r="1584" spans="2:4">
      <c r="B1584" s="1">
        <v>1580</v>
      </c>
      <c r="C1584" s="1">
        <v>174.78</v>
      </c>
      <c r="D1584" s="1"/>
    </row>
    <row r="1585" spans="2:4">
      <c r="B1585" s="1">
        <v>1581</v>
      </c>
      <c r="C1585" s="1">
        <v>174.89</v>
      </c>
      <c r="D1585" s="1"/>
    </row>
    <row r="1586" spans="2:4">
      <c r="B1586" s="1">
        <v>1582</v>
      </c>
      <c r="C1586" s="1">
        <v>175</v>
      </c>
      <c r="D1586" s="1"/>
    </row>
    <row r="1587" spans="2:4">
      <c r="B1587" s="1">
        <v>1583</v>
      </c>
      <c r="C1587" s="1">
        <v>175.11</v>
      </c>
      <c r="D1587" s="1"/>
    </row>
    <row r="1588" spans="2:4">
      <c r="B1588" s="1">
        <v>1584</v>
      </c>
      <c r="C1588" s="1">
        <v>175.22</v>
      </c>
      <c r="D1588" s="1"/>
    </row>
    <row r="1589" spans="2:4">
      <c r="B1589" s="1">
        <v>1585</v>
      </c>
      <c r="C1589" s="1">
        <v>175.33</v>
      </c>
      <c r="D1589" s="1"/>
    </row>
    <row r="1590" spans="2:4">
      <c r="B1590" s="1">
        <v>1586</v>
      </c>
      <c r="C1590" s="1">
        <v>175.44</v>
      </c>
      <c r="D1590" s="1"/>
    </row>
    <row r="1591" spans="2:4">
      <c r="B1591" s="1">
        <v>1587</v>
      </c>
      <c r="C1591" s="1">
        <v>175.56</v>
      </c>
      <c r="D1591" s="1"/>
    </row>
    <row r="1592" spans="2:4">
      <c r="B1592" s="1">
        <v>1588</v>
      </c>
      <c r="C1592" s="1">
        <v>175.67</v>
      </c>
      <c r="D1592" s="1"/>
    </row>
    <row r="1593" spans="2:4">
      <c r="B1593" s="1">
        <v>1589</v>
      </c>
      <c r="C1593" s="1">
        <v>175.78</v>
      </c>
      <c r="D1593" s="1"/>
    </row>
    <row r="1594" spans="2:4">
      <c r="B1594" s="1">
        <v>1590</v>
      </c>
      <c r="C1594" s="1">
        <v>175.89</v>
      </c>
      <c r="D1594" s="1"/>
    </row>
    <row r="1595" spans="2:4">
      <c r="B1595" s="1">
        <v>1591</v>
      </c>
      <c r="C1595" s="1">
        <v>176</v>
      </c>
      <c r="D1595" s="1"/>
    </row>
    <row r="1596" spans="2:4">
      <c r="B1596" s="1">
        <v>1592</v>
      </c>
      <c r="C1596" s="1">
        <v>176.11</v>
      </c>
      <c r="D1596" s="1"/>
    </row>
    <row r="1597" spans="2:4">
      <c r="B1597" s="1">
        <v>1593</v>
      </c>
      <c r="C1597" s="1">
        <v>176.22</v>
      </c>
      <c r="D1597" s="1"/>
    </row>
    <row r="1598" spans="2:4">
      <c r="B1598" s="1">
        <v>1594</v>
      </c>
      <c r="C1598" s="1">
        <v>176.33</v>
      </c>
      <c r="D1598" s="1"/>
    </row>
    <row r="1599" spans="2:4">
      <c r="B1599" s="1">
        <v>1595</v>
      </c>
      <c r="C1599" s="1">
        <v>176.44</v>
      </c>
      <c r="D1599" s="1"/>
    </row>
    <row r="1600" spans="2:4">
      <c r="B1600" s="1">
        <v>1596</v>
      </c>
      <c r="C1600" s="1">
        <v>176.56</v>
      </c>
      <c r="D1600" s="1"/>
    </row>
    <row r="1601" spans="2:4">
      <c r="B1601" s="1">
        <v>1597</v>
      </c>
      <c r="C1601" s="1">
        <v>176.67</v>
      </c>
      <c r="D1601" s="1"/>
    </row>
    <row r="1602" spans="2:4">
      <c r="B1602" s="1">
        <v>1598</v>
      </c>
      <c r="C1602" s="1">
        <v>176.78</v>
      </c>
      <c r="D1602" s="1"/>
    </row>
    <row r="1603" spans="2:4">
      <c r="B1603" s="1">
        <v>1599</v>
      </c>
      <c r="C1603" s="1">
        <v>176.89</v>
      </c>
      <c r="D1603" s="1"/>
    </row>
    <row r="1604" spans="2:4">
      <c r="B1604" s="1">
        <v>1600</v>
      </c>
      <c r="C1604" s="1">
        <v>177</v>
      </c>
      <c r="D1604" s="1"/>
    </row>
    <row r="1605" spans="2:4">
      <c r="B1605" s="1">
        <v>1601</v>
      </c>
      <c r="C1605" s="1">
        <v>177.11</v>
      </c>
      <c r="D1605" s="1"/>
    </row>
    <row r="1606" spans="2:4">
      <c r="B1606" s="1">
        <v>1602</v>
      </c>
      <c r="C1606" s="1">
        <v>177.22</v>
      </c>
      <c r="D1606" s="1"/>
    </row>
    <row r="1607" spans="2:4">
      <c r="B1607" s="1">
        <v>1603</v>
      </c>
      <c r="C1607" s="1">
        <v>177.33</v>
      </c>
      <c r="D1607" s="1"/>
    </row>
    <row r="1608" spans="2:4">
      <c r="B1608" s="1">
        <v>1604</v>
      </c>
      <c r="C1608" s="1">
        <v>177.44</v>
      </c>
      <c r="D1608" s="1"/>
    </row>
    <row r="1609" spans="2:4">
      <c r="B1609" s="1">
        <v>1605</v>
      </c>
      <c r="C1609" s="1">
        <v>177.56</v>
      </c>
      <c r="D1609" s="1"/>
    </row>
    <row r="1610" spans="2:4">
      <c r="B1610" s="1">
        <v>1606</v>
      </c>
      <c r="C1610" s="1">
        <v>177.67</v>
      </c>
      <c r="D1610" s="1"/>
    </row>
    <row r="1611" spans="2:4">
      <c r="B1611" s="1">
        <v>1607</v>
      </c>
      <c r="C1611" s="1">
        <v>177.78</v>
      </c>
      <c r="D1611" s="1"/>
    </row>
    <row r="1612" spans="2:4">
      <c r="B1612" s="1">
        <v>1608</v>
      </c>
      <c r="C1612" s="1">
        <v>177.89</v>
      </c>
      <c r="D1612" s="1"/>
    </row>
    <row r="1613" spans="2:4">
      <c r="B1613" s="1">
        <v>1609</v>
      </c>
      <c r="C1613" s="1">
        <v>178</v>
      </c>
      <c r="D1613" s="1"/>
    </row>
    <row r="1614" spans="2:4">
      <c r="B1614" s="1">
        <v>1610</v>
      </c>
      <c r="C1614" s="1">
        <v>178.11</v>
      </c>
      <c r="D1614" s="1"/>
    </row>
    <row r="1615" spans="2:4">
      <c r="B1615" s="1">
        <v>1611</v>
      </c>
      <c r="C1615" s="1">
        <v>178.22</v>
      </c>
      <c r="D1615" s="1"/>
    </row>
    <row r="1616" spans="2:4">
      <c r="B1616" s="1">
        <v>1612</v>
      </c>
      <c r="C1616" s="1">
        <v>178.33</v>
      </c>
      <c r="D1616" s="1"/>
    </row>
    <row r="1617" spans="2:4">
      <c r="B1617" s="1">
        <v>1613</v>
      </c>
      <c r="C1617" s="1">
        <v>178.44</v>
      </c>
      <c r="D1617" s="1"/>
    </row>
    <row r="1618" spans="2:4">
      <c r="B1618" s="1">
        <v>1614</v>
      </c>
      <c r="C1618" s="1">
        <v>178.56</v>
      </c>
      <c r="D1618" s="1"/>
    </row>
    <row r="1619" spans="2:4">
      <c r="B1619" s="1">
        <v>1615</v>
      </c>
      <c r="C1619" s="1">
        <v>178.67</v>
      </c>
      <c r="D1619" s="1"/>
    </row>
    <row r="1620" spans="2:4">
      <c r="B1620" s="1">
        <v>1616</v>
      </c>
      <c r="C1620" s="1">
        <v>178.78</v>
      </c>
      <c r="D1620" s="1"/>
    </row>
    <row r="1621" spans="2:4">
      <c r="B1621" s="1">
        <v>1617</v>
      </c>
      <c r="C1621" s="1">
        <v>178.89</v>
      </c>
      <c r="D1621" s="1"/>
    </row>
    <row r="1622" spans="2:4">
      <c r="B1622" s="1">
        <v>1618</v>
      </c>
      <c r="C1622" s="1">
        <v>179</v>
      </c>
      <c r="D1622" s="1"/>
    </row>
    <row r="1623" spans="2:4">
      <c r="B1623" s="1">
        <v>1619</v>
      </c>
      <c r="C1623" s="1">
        <v>179.11</v>
      </c>
      <c r="D1623" s="1"/>
    </row>
    <row r="1624" spans="2:4">
      <c r="B1624" s="1">
        <v>1620</v>
      </c>
      <c r="C1624" s="1">
        <v>179.22</v>
      </c>
      <c r="D1624" s="1"/>
    </row>
    <row r="1625" spans="2:4">
      <c r="B1625" s="1">
        <v>1621</v>
      </c>
      <c r="C1625" s="1">
        <v>179.33</v>
      </c>
      <c r="D1625" s="1"/>
    </row>
    <row r="1626" spans="2:4">
      <c r="B1626" s="1">
        <v>1622</v>
      </c>
      <c r="C1626" s="1">
        <v>179.44</v>
      </c>
      <c r="D1626" s="1"/>
    </row>
    <row r="1627" spans="2:4">
      <c r="B1627" s="1">
        <v>1623</v>
      </c>
      <c r="C1627" s="1">
        <v>179.56</v>
      </c>
      <c r="D1627" s="1"/>
    </row>
    <row r="1628" spans="2:4">
      <c r="B1628" s="1">
        <v>1624</v>
      </c>
      <c r="C1628" s="1">
        <v>179.67</v>
      </c>
      <c r="D1628" s="1"/>
    </row>
    <row r="1629" spans="2:4">
      <c r="B1629" s="1">
        <v>1625</v>
      </c>
      <c r="C1629" s="1">
        <v>179.78</v>
      </c>
      <c r="D1629" s="1"/>
    </row>
    <row r="1630" spans="2:4">
      <c r="B1630" s="1">
        <v>1626</v>
      </c>
      <c r="C1630" s="1">
        <v>179.89</v>
      </c>
      <c r="D1630" s="1"/>
    </row>
    <row r="1631" spans="2:4">
      <c r="B1631" s="1">
        <v>1627</v>
      </c>
      <c r="C1631" s="1">
        <v>180</v>
      </c>
      <c r="D1631" s="1"/>
    </row>
    <row r="1632" spans="2:4">
      <c r="B1632" s="1">
        <v>1628</v>
      </c>
      <c r="C1632" s="1">
        <v>180.11</v>
      </c>
      <c r="D1632" s="1"/>
    </row>
    <row r="1633" spans="2:4">
      <c r="B1633" s="1">
        <v>1629</v>
      </c>
      <c r="C1633" s="1">
        <v>180.22</v>
      </c>
      <c r="D1633" s="1"/>
    </row>
    <row r="1634" spans="2:4">
      <c r="B1634" s="1">
        <v>1630</v>
      </c>
      <c r="C1634" s="1">
        <v>180.33</v>
      </c>
      <c r="D1634" s="1"/>
    </row>
    <row r="1635" spans="2:4">
      <c r="B1635" s="1">
        <v>1631</v>
      </c>
      <c r="C1635" s="1">
        <v>180.44</v>
      </c>
      <c r="D1635" s="1"/>
    </row>
    <row r="1636" spans="2:4">
      <c r="B1636" s="1">
        <v>1632</v>
      </c>
      <c r="C1636" s="1">
        <v>180.56</v>
      </c>
      <c r="D1636" s="1"/>
    </row>
    <row r="1637" spans="2:4">
      <c r="B1637" s="1">
        <v>1633</v>
      </c>
      <c r="C1637" s="1">
        <v>180.67</v>
      </c>
      <c r="D1637" s="1"/>
    </row>
    <row r="1638" spans="2:4">
      <c r="B1638" s="1">
        <v>1634</v>
      </c>
      <c r="C1638" s="1">
        <v>180.78</v>
      </c>
      <c r="D1638" s="1"/>
    </row>
    <row r="1639" spans="2:4">
      <c r="B1639" s="1">
        <v>1635</v>
      </c>
      <c r="C1639" s="1">
        <v>180.89</v>
      </c>
      <c r="D1639" s="1"/>
    </row>
    <row r="1640" spans="2:4">
      <c r="B1640" s="1">
        <v>1636</v>
      </c>
      <c r="C1640" s="1">
        <v>181</v>
      </c>
      <c r="D1640" s="1"/>
    </row>
    <row r="1641" spans="2:4">
      <c r="B1641" s="1">
        <v>1637</v>
      </c>
      <c r="C1641" s="1">
        <v>181.11</v>
      </c>
      <c r="D1641" s="1"/>
    </row>
    <row r="1642" spans="2:4">
      <c r="B1642" s="1">
        <v>1638</v>
      </c>
      <c r="C1642" s="1">
        <v>181.22</v>
      </c>
      <c r="D1642" s="1"/>
    </row>
    <row r="1643" spans="2:4">
      <c r="B1643" s="1">
        <v>1639</v>
      </c>
      <c r="C1643" s="1">
        <v>181.33</v>
      </c>
      <c r="D1643" s="1"/>
    </row>
    <row r="1644" spans="2:4">
      <c r="B1644" s="1">
        <v>1640</v>
      </c>
      <c r="C1644" s="1">
        <v>181.44</v>
      </c>
      <c r="D1644" s="1"/>
    </row>
    <row r="1645" spans="2:4">
      <c r="B1645" s="1">
        <v>1641</v>
      </c>
      <c r="C1645" s="1">
        <v>181.56</v>
      </c>
      <c r="D1645" s="1"/>
    </row>
    <row r="1646" spans="2:4">
      <c r="B1646" s="1">
        <v>1642</v>
      </c>
      <c r="C1646" s="1">
        <v>181.67</v>
      </c>
      <c r="D1646" s="1"/>
    </row>
    <row r="1647" spans="2:4">
      <c r="B1647" s="1">
        <v>1643</v>
      </c>
      <c r="C1647" s="1">
        <v>181.78</v>
      </c>
      <c r="D1647" s="1"/>
    </row>
    <row r="1648" spans="2:4">
      <c r="B1648" s="1">
        <v>1644</v>
      </c>
      <c r="C1648" s="1">
        <v>181.89</v>
      </c>
      <c r="D1648" s="1"/>
    </row>
    <row r="1649" spans="2:4">
      <c r="B1649" s="1">
        <v>1645</v>
      </c>
      <c r="C1649" s="1">
        <v>182</v>
      </c>
      <c r="D1649" s="1"/>
    </row>
    <row r="1650" spans="2:4">
      <c r="B1650" s="1">
        <v>1646</v>
      </c>
      <c r="C1650" s="1">
        <v>182.11</v>
      </c>
      <c r="D1650" s="1"/>
    </row>
    <row r="1651" spans="2:4">
      <c r="B1651" s="1">
        <v>1647</v>
      </c>
      <c r="C1651" s="1">
        <v>182.22</v>
      </c>
      <c r="D1651" s="1"/>
    </row>
    <row r="1652" spans="2:4">
      <c r="B1652" s="1">
        <v>1648</v>
      </c>
      <c r="C1652" s="1">
        <v>182.33</v>
      </c>
      <c r="D1652" s="1"/>
    </row>
    <row r="1653" spans="2:4">
      <c r="B1653" s="1">
        <v>1649</v>
      </c>
      <c r="C1653" s="1">
        <v>182.44</v>
      </c>
      <c r="D1653" s="1"/>
    </row>
    <row r="1654" spans="2:4">
      <c r="B1654" s="1">
        <v>1650</v>
      </c>
      <c r="C1654" s="1">
        <v>182.56</v>
      </c>
      <c r="D1654" s="1"/>
    </row>
    <row r="1655" spans="2:4">
      <c r="B1655" s="1">
        <v>1651</v>
      </c>
      <c r="C1655" s="1">
        <v>182.67</v>
      </c>
      <c r="D1655" s="1"/>
    </row>
    <row r="1656" spans="2:4">
      <c r="B1656" s="1">
        <v>1652</v>
      </c>
      <c r="C1656" s="1">
        <v>182.78</v>
      </c>
      <c r="D1656" s="1"/>
    </row>
    <row r="1657" spans="2:4">
      <c r="B1657" s="1">
        <v>1653</v>
      </c>
      <c r="C1657" s="1">
        <v>182.89</v>
      </c>
      <c r="D1657" s="1"/>
    </row>
    <row r="1658" spans="2:4">
      <c r="B1658" s="1">
        <v>1654</v>
      </c>
      <c r="C1658" s="1">
        <v>183</v>
      </c>
      <c r="D1658" s="1"/>
    </row>
    <row r="1659" spans="2:4">
      <c r="B1659" s="1">
        <v>1655</v>
      </c>
      <c r="C1659" s="1">
        <v>183.11</v>
      </c>
      <c r="D1659" s="1"/>
    </row>
    <row r="1660" spans="2:4">
      <c r="B1660" s="1">
        <v>1656</v>
      </c>
      <c r="C1660" s="1">
        <v>183.22</v>
      </c>
      <c r="D1660" s="1"/>
    </row>
    <row r="1661" spans="2:4">
      <c r="B1661" s="1">
        <v>1657</v>
      </c>
      <c r="C1661" s="1">
        <v>183.33</v>
      </c>
      <c r="D1661" s="1"/>
    </row>
    <row r="1662" spans="2:4">
      <c r="B1662" s="1">
        <v>1658</v>
      </c>
      <c r="C1662" s="1">
        <v>183.44</v>
      </c>
      <c r="D1662" s="1"/>
    </row>
    <row r="1663" spans="2:4">
      <c r="B1663" s="1">
        <v>1659</v>
      </c>
      <c r="C1663" s="1">
        <v>183.56</v>
      </c>
      <c r="D1663" s="1"/>
    </row>
    <row r="1664" spans="2:4">
      <c r="B1664" s="1">
        <v>1660</v>
      </c>
      <c r="C1664" s="1">
        <v>183.67</v>
      </c>
      <c r="D1664" s="1"/>
    </row>
    <row r="1665" spans="2:4">
      <c r="B1665" s="1">
        <v>1661</v>
      </c>
      <c r="C1665" s="1">
        <v>183.78</v>
      </c>
      <c r="D1665" s="1"/>
    </row>
    <row r="1666" spans="2:4">
      <c r="B1666" s="1">
        <v>1662</v>
      </c>
      <c r="C1666" s="1">
        <v>183.89</v>
      </c>
      <c r="D1666" s="1"/>
    </row>
    <row r="1667" spans="2:4">
      <c r="B1667" s="1">
        <v>1663</v>
      </c>
      <c r="C1667" s="1">
        <v>184</v>
      </c>
      <c r="D1667" s="1"/>
    </row>
    <row r="1668" spans="2:4">
      <c r="B1668" s="1">
        <v>1664</v>
      </c>
      <c r="C1668" s="1">
        <v>184.11</v>
      </c>
      <c r="D1668" s="1"/>
    </row>
    <row r="1669" spans="2:4">
      <c r="B1669" s="1">
        <v>1665</v>
      </c>
      <c r="C1669" s="1">
        <v>184.22</v>
      </c>
      <c r="D1669" s="1"/>
    </row>
    <row r="1670" spans="2:4">
      <c r="B1670" s="1">
        <v>1666</v>
      </c>
      <c r="C1670" s="1">
        <v>184.33</v>
      </c>
      <c r="D1670" s="1"/>
    </row>
    <row r="1671" spans="2:4">
      <c r="B1671" s="1">
        <v>1667</v>
      </c>
      <c r="C1671" s="1">
        <v>184.44</v>
      </c>
      <c r="D1671" s="1"/>
    </row>
    <row r="1672" spans="2:4">
      <c r="B1672" s="1">
        <v>1668</v>
      </c>
      <c r="C1672" s="1">
        <v>184.56</v>
      </c>
      <c r="D1672" s="1"/>
    </row>
    <row r="1673" spans="2:4">
      <c r="B1673" s="1">
        <v>1669</v>
      </c>
      <c r="C1673" s="1">
        <v>184.67</v>
      </c>
      <c r="D1673" s="1"/>
    </row>
    <row r="1674" spans="2:4">
      <c r="B1674" s="1">
        <v>1670</v>
      </c>
      <c r="C1674" s="1">
        <v>184.78</v>
      </c>
      <c r="D1674" s="1"/>
    </row>
    <row r="1675" spans="2:4">
      <c r="B1675" s="1">
        <v>1671</v>
      </c>
      <c r="C1675" s="1">
        <v>184.89</v>
      </c>
      <c r="D1675" s="1"/>
    </row>
    <row r="1676" spans="2:4">
      <c r="B1676" s="1">
        <v>1672</v>
      </c>
      <c r="C1676" s="1">
        <v>185</v>
      </c>
      <c r="D1676" s="1"/>
    </row>
    <row r="1677" spans="2:4">
      <c r="B1677" s="1">
        <v>1673</v>
      </c>
      <c r="C1677" s="1">
        <v>185.11</v>
      </c>
      <c r="D1677" s="1"/>
    </row>
    <row r="1678" spans="2:4">
      <c r="B1678" s="1">
        <v>1674</v>
      </c>
      <c r="C1678" s="1">
        <v>185.22</v>
      </c>
      <c r="D1678" s="1"/>
    </row>
    <row r="1679" spans="2:4">
      <c r="B1679" s="1">
        <v>1675</v>
      </c>
      <c r="C1679" s="1">
        <v>185.33</v>
      </c>
      <c r="D1679" s="1"/>
    </row>
    <row r="1680" spans="2:4">
      <c r="B1680" s="1">
        <v>1676</v>
      </c>
      <c r="C1680" s="1">
        <v>185.44</v>
      </c>
      <c r="D1680" s="1"/>
    </row>
    <row r="1681" spans="2:4">
      <c r="B1681" s="1">
        <v>1677</v>
      </c>
      <c r="C1681" s="1">
        <v>185.56</v>
      </c>
      <c r="D1681" s="1"/>
    </row>
    <row r="1682" spans="2:4">
      <c r="B1682" s="1">
        <v>1678</v>
      </c>
      <c r="C1682" s="1">
        <v>185.67</v>
      </c>
      <c r="D1682" s="1"/>
    </row>
    <row r="1683" spans="2:4">
      <c r="B1683" s="1">
        <v>1679</v>
      </c>
      <c r="C1683" s="1">
        <v>185.78</v>
      </c>
      <c r="D1683" s="1"/>
    </row>
    <row r="1684" spans="2:4">
      <c r="B1684" s="1">
        <v>1680</v>
      </c>
      <c r="C1684" s="1">
        <v>185.89</v>
      </c>
      <c r="D1684" s="1"/>
    </row>
    <row r="1685" spans="2:4">
      <c r="B1685" s="1">
        <v>1681</v>
      </c>
      <c r="C1685" s="1">
        <v>186</v>
      </c>
      <c r="D1685" s="1"/>
    </row>
    <row r="1686" spans="2:4">
      <c r="B1686" s="1">
        <v>1682</v>
      </c>
      <c r="C1686" s="1">
        <v>186.11</v>
      </c>
      <c r="D1686" s="1"/>
    </row>
    <row r="1687" spans="2:4">
      <c r="B1687" s="1">
        <v>1683</v>
      </c>
      <c r="C1687" s="1">
        <v>186.22</v>
      </c>
      <c r="D1687" s="1"/>
    </row>
    <row r="1688" spans="2:4">
      <c r="B1688" s="1">
        <v>1684</v>
      </c>
      <c r="C1688" s="1">
        <v>186.33</v>
      </c>
      <c r="D1688" s="1"/>
    </row>
    <row r="1689" spans="2:4">
      <c r="B1689" s="1">
        <v>1685</v>
      </c>
      <c r="C1689" s="1">
        <v>186.44</v>
      </c>
      <c r="D1689" s="1"/>
    </row>
    <row r="1690" spans="2:4">
      <c r="B1690" s="1">
        <v>1686</v>
      </c>
      <c r="C1690" s="1">
        <v>186.56</v>
      </c>
      <c r="D1690" s="1"/>
    </row>
    <row r="1691" spans="2:4">
      <c r="B1691" s="1">
        <v>1687</v>
      </c>
      <c r="C1691" s="1">
        <v>186.67</v>
      </c>
      <c r="D1691" s="1"/>
    </row>
    <row r="1692" spans="2:4">
      <c r="B1692" s="1">
        <v>1688</v>
      </c>
      <c r="C1692" s="1">
        <v>186.78</v>
      </c>
      <c r="D1692" s="1"/>
    </row>
    <row r="1693" spans="2:4">
      <c r="B1693" s="1">
        <v>1689</v>
      </c>
      <c r="C1693" s="1">
        <v>186.89</v>
      </c>
      <c r="D1693" s="1"/>
    </row>
    <row r="1694" spans="2:4">
      <c r="B1694" s="1">
        <v>1690</v>
      </c>
      <c r="C1694" s="1">
        <v>187</v>
      </c>
      <c r="D1694" s="1"/>
    </row>
    <row r="1695" spans="2:4">
      <c r="B1695" s="1">
        <v>1691</v>
      </c>
      <c r="C1695" s="1">
        <v>187.11</v>
      </c>
      <c r="D1695" s="1"/>
    </row>
    <row r="1696" spans="2:4">
      <c r="B1696" s="1">
        <v>1692</v>
      </c>
      <c r="C1696" s="1">
        <v>187.22</v>
      </c>
      <c r="D1696" s="1"/>
    </row>
    <row r="1697" spans="2:4">
      <c r="B1697" s="1">
        <v>1693</v>
      </c>
      <c r="C1697" s="1">
        <v>187.33</v>
      </c>
      <c r="D1697" s="1"/>
    </row>
    <row r="1698" spans="2:4">
      <c r="B1698" s="1">
        <v>1694</v>
      </c>
      <c r="C1698" s="1">
        <v>187.44</v>
      </c>
      <c r="D1698" s="1"/>
    </row>
    <row r="1699" spans="2:4">
      <c r="B1699" s="1">
        <v>1695</v>
      </c>
      <c r="C1699" s="1">
        <v>187.56</v>
      </c>
      <c r="D1699" s="1"/>
    </row>
    <row r="1700" spans="2:4">
      <c r="B1700" s="1">
        <v>1696</v>
      </c>
      <c r="C1700" s="1">
        <v>187.67</v>
      </c>
      <c r="D1700" s="1"/>
    </row>
    <row r="1701" spans="2:4">
      <c r="B1701" s="1">
        <v>1697</v>
      </c>
      <c r="C1701" s="1">
        <v>187.78</v>
      </c>
      <c r="D1701" s="1"/>
    </row>
    <row r="1702" spans="2:4">
      <c r="B1702" s="1">
        <v>1698</v>
      </c>
      <c r="C1702" s="1">
        <v>187.89</v>
      </c>
      <c r="D1702" s="1"/>
    </row>
    <row r="1703" spans="2:4">
      <c r="B1703" s="1">
        <v>1699</v>
      </c>
      <c r="C1703" s="1">
        <v>188</v>
      </c>
      <c r="D1703" s="1"/>
    </row>
    <row r="1704" spans="2:4">
      <c r="B1704" s="1">
        <v>1700</v>
      </c>
      <c r="C1704" s="1">
        <v>188.11</v>
      </c>
      <c r="D1704" s="1"/>
    </row>
    <row r="1705" spans="2:4">
      <c r="B1705" s="1">
        <v>1701</v>
      </c>
      <c r="C1705" s="1">
        <v>188.22</v>
      </c>
      <c r="D1705" s="1"/>
    </row>
    <row r="1706" spans="2:4">
      <c r="B1706" s="1">
        <v>1702</v>
      </c>
      <c r="C1706" s="1">
        <v>188.33</v>
      </c>
      <c r="D1706" s="1"/>
    </row>
    <row r="1707" spans="2:4">
      <c r="B1707" s="1">
        <v>1703</v>
      </c>
      <c r="C1707" s="1">
        <v>188.44</v>
      </c>
      <c r="D1707" s="1"/>
    </row>
    <row r="1708" spans="2:4">
      <c r="B1708" s="1">
        <v>1704</v>
      </c>
      <c r="C1708" s="1">
        <v>188.56</v>
      </c>
      <c r="D1708" s="1"/>
    </row>
    <row r="1709" spans="2:4">
      <c r="B1709" s="1">
        <v>1705</v>
      </c>
      <c r="C1709" s="1">
        <v>188.67</v>
      </c>
      <c r="D1709" s="1"/>
    </row>
    <row r="1710" spans="2:4">
      <c r="B1710" s="1">
        <v>1706</v>
      </c>
      <c r="C1710" s="1">
        <v>188.78</v>
      </c>
      <c r="D1710" s="1"/>
    </row>
    <row r="1711" spans="2:4">
      <c r="B1711" s="1">
        <v>1707</v>
      </c>
      <c r="C1711" s="1">
        <v>188.89</v>
      </c>
      <c r="D1711" s="1"/>
    </row>
    <row r="1712" spans="2:4">
      <c r="B1712" s="1">
        <v>1708</v>
      </c>
      <c r="C1712" s="1">
        <v>189</v>
      </c>
      <c r="D1712" s="1"/>
    </row>
    <row r="1713" spans="2:4">
      <c r="B1713" s="1">
        <v>1709</v>
      </c>
      <c r="C1713" s="1">
        <v>189.11</v>
      </c>
      <c r="D1713" s="1"/>
    </row>
    <row r="1714" spans="2:4">
      <c r="B1714" s="1">
        <v>1710</v>
      </c>
      <c r="C1714" s="1">
        <v>189.22</v>
      </c>
      <c r="D1714" s="1"/>
    </row>
    <row r="1715" spans="2:4">
      <c r="B1715" s="1">
        <v>1711</v>
      </c>
      <c r="C1715" s="1">
        <v>189.33</v>
      </c>
      <c r="D1715" s="1"/>
    </row>
    <row r="1716" spans="2:4">
      <c r="B1716" s="1">
        <v>1712</v>
      </c>
      <c r="C1716" s="1">
        <v>189.44</v>
      </c>
      <c r="D1716" s="1"/>
    </row>
    <row r="1717" spans="2:4">
      <c r="B1717" s="1">
        <v>1713</v>
      </c>
      <c r="C1717" s="1">
        <v>189.56</v>
      </c>
      <c r="D1717" s="1"/>
    </row>
    <row r="1718" spans="2:4">
      <c r="B1718" s="1">
        <v>1714</v>
      </c>
      <c r="C1718" s="1">
        <v>189.67</v>
      </c>
      <c r="D1718" s="1"/>
    </row>
    <row r="1719" spans="2:4">
      <c r="B1719" s="1">
        <v>1715</v>
      </c>
      <c r="C1719" s="1">
        <v>189.78</v>
      </c>
      <c r="D1719" s="1"/>
    </row>
    <row r="1720" spans="2:4">
      <c r="B1720" s="1">
        <v>1716</v>
      </c>
      <c r="C1720" s="1">
        <v>189.89</v>
      </c>
      <c r="D1720" s="1"/>
    </row>
    <row r="1721" spans="2:4">
      <c r="B1721" s="1">
        <v>1717</v>
      </c>
      <c r="C1721" s="1">
        <v>190</v>
      </c>
      <c r="D1721" s="1"/>
    </row>
    <row r="1722" spans="2:4">
      <c r="B1722" s="1">
        <v>1718</v>
      </c>
      <c r="C1722" s="1">
        <v>190.11</v>
      </c>
      <c r="D1722" s="1"/>
    </row>
    <row r="1723" spans="2:4">
      <c r="B1723" s="1">
        <v>1719</v>
      </c>
      <c r="C1723" s="1">
        <v>190.22</v>
      </c>
      <c r="D1723" s="1"/>
    </row>
    <row r="1724" spans="2:4">
      <c r="B1724" s="1">
        <v>1720</v>
      </c>
      <c r="C1724" s="1">
        <v>190.33</v>
      </c>
      <c r="D1724" s="1"/>
    </row>
    <row r="1725" spans="2:4">
      <c r="B1725" s="1">
        <v>1721</v>
      </c>
      <c r="C1725" s="1">
        <v>190.44</v>
      </c>
      <c r="D1725" s="1"/>
    </row>
    <row r="1726" spans="2:4">
      <c r="B1726" s="1">
        <v>1722</v>
      </c>
      <c r="C1726" s="1">
        <v>190.56</v>
      </c>
      <c r="D1726" s="1"/>
    </row>
    <row r="1727" spans="2:4">
      <c r="B1727" s="1">
        <v>1723</v>
      </c>
      <c r="C1727" s="1">
        <v>190.67</v>
      </c>
      <c r="D1727" s="1"/>
    </row>
    <row r="1728" spans="2:4">
      <c r="B1728" s="1">
        <v>1724</v>
      </c>
      <c r="C1728" s="1">
        <v>190.78</v>
      </c>
      <c r="D1728" s="1"/>
    </row>
    <row r="1729" spans="2:4">
      <c r="B1729" s="1">
        <v>1725</v>
      </c>
      <c r="C1729" s="1">
        <v>190.89</v>
      </c>
      <c r="D1729" s="1"/>
    </row>
    <row r="1730" spans="2:4">
      <c r="B1730" s="1">
        <v>1726</v>
      </c>
      <c r="C1730" s="1">
        <v>191</v>
      </c>
      <c r="D1730" s="1"/>
    </row>
    <row r="1731" spans="2:4">
      <c r="B1731" s="1">
        <v>1727</v>
      </c>
      <c r="C1731" s="1">
        <v>191.11</v>
      </c>
      <c r="D1731" s="1"/>
    </row>
    <row r="1732" spans="2:4">
      <c r="B1732" s="1">
        <v>1728</v>
      </c>
      <c r="C1732" s="1">
        <v>191.22</v>
      </c>
      <c r="D1732" s="1"/>
    </row>
    <row r="1733" spans="2:4">
      <c r="B1733" s="1">
        <v>1729</v>
      </c>
      <c r="C1733" s="1">
        <v>191.33</v>
      </c>
      <c r="D1733" s="1"/>
    </row>
    <row r="1734" spans="2:4">
      <c r="B1734" s="1">
        <v>1730</v>
      </c>
      <c r="C1734" s="1">
        <v>191.44</v>
      </c>
      <c r="D1734" s="1"/>
    </row>
    <row r="1735" spans="2:4">
      <c r="B1735" s="1">
        <v>1731</v>
      </c>
      <c r="C1735" s="1">
        <v>191.56</v>
      </c>
      <c r="D1735" s="1"/>
    </row>
    <row r="1736" spans="2:4">
      <c r="B1736" s="1">
        <v>1732</v>
      </c>
      <c r="C1736" s="1">
        <v>191.67</v>
      </c>
      <c r="D1736" s="1"/>
    </row>
    <row r="1737" spans="2:4">
      <c r="B1737" s="1">
        <v>1733</v>
      </c>
      <c r="C1737" s="1">
        <v>191.78</v>
      </c>
      <c r="D1737" s="1"/>
    </row>
    <row r="1738" spans="2:4">
      <c r="B1738" s="1">
        <v>1734</v>
      </c>
      <c r="C1738" s="1">
        <v>191.89</v>
      </c>
      <c r="D1738" s="1"/>
    </row>
    <row r="1739" spans="2:4">
      <c r="B1739" s="1">
        <v>1735</v>
      </c>
      <c r="C1739" s="1">
        <v>192</v>
      </c>
      <c r="D1739" s="1"/>
    </row>
    <row r="1740" spans="2:4">
      <c r="B1740" s="1">
        <v>1736</v>
      </c>
      <c r="C1740" s="1">
        <v>192.11</v>
      </c>
      <c r="D1740" s="1"/>
    </row>
    <row r="1741" spans="2:4">
      <c r="B1741" s="1">
        <v>1737</v>
      </c>
      <c r="C1741" s="1">
        <v>192.22</v>
      </c>
      <c r="D1741" s="1"/>
    </row>
    <row r="1742" spans="2:4">
      <c r="B1742" s="1">
        <v>1738</v>
      </c>
      <c r="C1742" s="1">
        <v>192.33</v>
      </c>
      <c r="D1742" s="1"/>
    </row>
    <row r="1743" spans="2:4">
      <c r="B1743" s="1">
        <v>1739</v>
      </c>
      <c r="C1743" s="1">
        <v>192.44</v>
      </c>
      <c r="D1743" s="1"/>
    </row>
    <row r="1744" spans="2:4">
      <c r="B1744" s="1">
        <v>1740</v>
      </c>
      <c r="C1744" s="1">
        <v>192.56</v>
      </c>
      <c r="D1744" s="1"/>
    </row>
    <row r="1745" spans="2:4">
      <c r="B1745" s="1">
        <v>1741</v>
      </c>
      <c r="C1745" s="1">
        <v>192.67</v>
      </c>
      <c r="D1745" s="1"/>
    </row>
    <row r="1746" spans="2:4">
      <c r="B1746" s="1">
        <v>1742</v>
      </c>
      <c r="C1746" s="1">
        <v>192.78</v>
      </c>
      <c r="D1746" s="1"/>
    </row>
    <row r="1747" spans="2:4">
      <c r="B1747" s="1">
        <v>1743</v>
      </c>
      <c r="C1747" s="1">
        <v>192.89</v>
      </c>
      <c r="D1747" s="1"/>
    </row>
    <row r="1748" spans="2:4">
      <c r="B1748" s="1">
        <v>1744</v>
      </c>
      <c r="C1748" s="1">
        <v>193</v>
      </c>
      <c r="D1748" s="1"/>
    </row>
    <row r="1749" spans="2:4">
      <c r="B1749" s="1">
        <v>1745</v>
      </c>
      <c r="C1749" s="1">
        <v>193.11</v>
      </c>
      <c r="D1749" s="1"/>
    </row>
    <row r="1750" spans="2:4">
      <c r="B1750" s="1">
        <v>1746</v>
      </c>
      <c r="C1750" s="1">
        <v>193.22</v>
      </c>
      <c r="D1750" s="1"/>
    </row>
    <row r="1751" spans="2:4">
      <c r="B1751" s="1">
        <v>1747</v>
      </c>
      <c r="C1751" s="1">
        <v>193.33</v>
      </c>
      <c r="D1751" s="1"/>
    </row>
    <row r="1752" spans="2:4">
      <c r="B1752" s="1">
        <v>1748</v>
      </c>
      <c r="C1752" s="1">
        <v>193.44</v>
      </c>
      <c r="D1752" s="1"/>
    </row>
    <row r="1753" spans="2:4">
      <c r="B1753" s="1">
        <v>1749</v>
      </c>
      <c r="C1753" s="1">
        <v>193.56</v>
      </c>
      <c r="D1753" s="1"/>
    </row>
    <row r="1754" spans="2:4">
      <c r="B1754" s="1">
        <v>1750</v>
      </c>
      <c r="C1754" s="1">
        <v>193.67</v>
      </c>
      <c r="D1754" s="1"/>
    </row>
    <row r="1755" spans="2:4">
      <c r="B1755" s="1">
        <v>1751</v>
      </c>
      <c r="C1755" s="1">
        <v>193.78</v>
      </c>
      <c r="D1755" s="1"/>
    </row>
    <row r="1756" spans="2:4">
      <c r="B1756" s="1">
        <v>1752</v>
      </c>
      <c r="C1756" s="1">
        <v>193.89</v>
      </c>
      <c r="D1756" s="1"/>
    </row>
    <row r="1757" spans="2:4">
      <c r="B1757" s="1">
        <v>1753</v>
      </c>
      <c r="C1757" s="1">
        <v>194</v>
      </c>
      <c r="D1757" s="1"/>
    </row>
    <row r="1758" spans="2:4">
      <c r="B1758" s="1">
        <v>1754</v>
      </c>
      <c r="C1758" s="1">
        <v>194.11</v>
      </c>
      <c r="D1758" s="1"/>
    </row>
    <row r="1759" spans="2:4">
      <c r="B1759" s="1">
        <v>1755</v>
      </c>
      <c r="C1759" s="1">
        <v>194.22</v>
      </c>
      <c r="D1759" s="1"/>
    </row>
    <row r="1760" spans="2:4">
      <c r="B1760" s="1">
        <v>1756</v>
      </c>
      <c r="C1760" s="1">
        <v>194.33</v>
      </c>
      <c r="D1760" s="1"/>
    </row>
    <row r="1761" spans="2:4">
      <c r="B1761" s="1">
        <v>1757</v>
      </c>
      <c r="C1761" s="1">
        <v>194.44</v>
      </c>
      <c r="D1761" s="1"/>
    </row>
    <row r="1762" spans="2:4">
      <c r="B1762" s="1">
        <v>1758</v>
      </c>
      <c r="C1762" s="1">
        <v>194.56</v>
      </c>
      <c r="D1762" s="1"/>
    </row>
    <row r="1763" spans="2:4">
      <c r="B1763" s="1">
        <v>1759</v>
      </c>
      <c r="C1763" s="1">
        <v>194.67</v>
      </c>
      <c r="D1763" s="1"/>
    </row>
    <row r="1764" spans="2:4">
      <c r="B1764" s="1">
        <v>1760</v>
      </c>
      <c r="C1764" s="1">
        <v>194.78</v>
      </c>
      <c r="D1764" s="1"/>
    </row>
    <row r="1765" spans="2:4">
      <c r="B1765" s="1">
        <v>1761</v>
      </c>
      <c r="C1765" s="1">
        <v>194.89</v>
      </c>
      <c r="D1765" s="1"/>
    </row>
    <row r="1766" spans="2:4">
      <c r="B1766" s="1">
        <v>1762</v>
      </c>
      <c r="C1766" s="1">
        <v>195</v>
      </c>
      <c r="D1766" s="1"/>
    </row>
    <row r="1767" spans="2:4">
      <c r="B1767" s="1">
        <v>1763</v>
      </c>
      <c r="C1767" s="1">
        <v>195.11</v>
      </c>
      <c r="D1767" s="1"/>
    </row>
    <row r="1768" spans="2:4">
      <c r="B1768" s="1">
        <v>1764</v>
      </c>
      <c r="C1768" s="1">
        <v>195.22</v>
      </c>
      <c r="D1768" s="1"/>
    </row>
    <row r="1769" spans="2:4">
      <c r="B1769" s="1">
        <v>1765</v>
      </c>
      <c r="C1769" s="1">
        <v>195.33</v>
      </c>
      <c r="D1769" s="1"/>
    </row>
    <row r="1770" spans="2:4">
      <c r="B1770" s="1">
        <v>1766</v>
      </c>
      <c r="C1770" s="1">
        <v>195.44</v>
      </c>
      <c r="D1770" s="1"/>
    </row>
    <row r="1771" spans="2:4">
      <c r="B1771" s="1">
        <v>1767</v>
      </c>
      <c r="C1771" s="1">
        <v>195.56</v>
      </c>
      <c r="D1771" s="1"/>
    </row>
    <row r="1772" spans="2:4">
      <c r="B1772" s="1">
        <v>1768</v>
      </c>
      <c r="C1772" s="1">
        <v>195.67</v>
      </c>
      <c r="D1772" s="1"/>
    </row>
    <row r="1773" spans="2:4">
      <c r="B1773" s="1">
        <v>1769</v>
      </c>
      <c r="C1773" s="1">
        <v>195.78</v>
      </c>
      <c r="D1773" s="1"/>
    </row>
    <row r="1774" spans="2:4">
      <c r="B1774" s="1">
        <v>1770</v>
      </c>
      <c r="C1774" s="1">
        <v>195.89</v>
      </c>
      <c r="D1774" s="1"/>
    </row>
    <row r="1775" spans="2:4">
      <c r="B1775" s="1">
        <v>1771</v>
      </c>
      <c r="C1775" s="1">
        <v>196</v>
      </c>
      <c r="D1775" s="1"/>
    </row>
    <row r="1776" spans="2:4">
      <c r="B1776" s="1">
        <v>1772</v>
      </c>
      <c r="C1776" s="1">
        <v>196.11</v>
      </c>
      <c r="D1776" s="1"/>
    </row>
    <row r="1777" spans="2:4">
      <c r="B1777" s="1">
        <v>1773</v>
      </c>
      <c r="C1777" s="1">
        <v>196.22</v>
      </c>
      <c r="D1777" s="1"/>
    </row>
    <row r="1778" spans="2:4">
      <c r="B1778" s="1">
        <v>1774</v>
      </c>
      <c r="C1778" s="1">
        <v>196.33</v>
      </c>
      <c r="D1778" s="1"/>
    </row>
    <row r="1779" spans="2:4">
      <c r="B1779" s="1">
        <v>1775</v>
      </c>
      <c r="C1779" s="1">
        <v>196.44</v>
      </c>
      <c r="D1779" s="1"/>
    </row>
    <row r="1780" spans="2:4">
      <c r="B1780" s="1">
        <v>1776</v>
      </c>
      <c r="C1780" s="1">
        <v>196.56</v>
      </c>
      <c r="D1780" s="1"/>
    </row>
    <row r="1781" spans="2:4">
      <c r="B1781" s="1">
        <v>1777</v>
      </c>
      <c r="C1781" s="1">
        <v>196.67</v>
      </c>
      <c r="D1781" s="1"/>
    </row>
    <row r="1782" spans="2:4">
      <c r="B1782" s="1">
        <v>1778</v>
      </c>
      <c r="C1782" s="1">
        <v>196.78</v>
      </c>
      <c r="D1782" s="1"/>
    </row>
    <row r="1783" spans="2:4">
      <c r="B1783" s="1">
        <v>1779</v>
      </c>
      <c r="C1783" s="1">
        <v>196.89</v>
      </c>
      <c r="D1783" s="1"/>
    </row>
    <row r="1784" spans="2:4">
      <c r="B1784" s="1">
        <v>1780</v>
      </c>
      <c r="C1784" s="1">
        <v>197</v>
      </c>
      <c r="D1784" s="1"/>
    </row>
    <row r="1785" spans="2:4">
      <c r="B1785" s="1">
        <v>1781</v>
      </c>
      <c r="C1785" s="1">
        <v>197.11</v>
      </c>
      <c r="D1785" s="1"/>
    </row>
    <row r="1786" spans="2:4">
      <c r="B1786" s="1">
        <v>1782</v>
      </c>
      <c r="C1786" s="1">
        <v>197.22</v>
      </c>
      <c r="D1786" s="1"/>
    </row>
    <row r="1787" spans="2:4">
      <c r="B1787" s="1">
        <v>1783</v>
      </c>
      <c r="C1787" s="1">
        <v>197.33</v>
      </c>
      <c r="D1787" s="1"/>
    </row>
    <row r="1788" spans="2:4">
      <c r="B1788" s="1">
        <v>1784</v>
      </c>
      <c r="C1788" s="1">
        <v>197.44</v>
      </c>
      <c r="D1788" s="1"/>
    </row>
    <row r="1789" spans="2:4">
      <c r="B1789" s="1">
        <v>1785</v>
      </c>
      <c r="C1789" s="1">
        <v>197.56</v>
      </c>
      <c r="D1789" s="1"/>
    </row>
    <row r="1790" spans="2:4">
      <c r="B1790" s="1">
        <v>1786</v>
      </c>
      <c r="C1790" s="1">
        <v>197.67</v>
      </c>
      <c r="D1790" s="1"/>
    </row>
    <row r="1791" spans="2:4">
      <c r="B1791" s="1">
        <v>1787</v>
      </c>
      <c r="C1791" s="1">
        <v>197.78</v>
      </c>
      <c r="D1791" s="1"/>
    </row>
    <row r="1792" spans="2:4">
      <c r="B1792" s="1">
        <v>1788</v>
      </c>
      <c r="C1792" s="1">
        <v>197.89</v>
      </c>
      <c r="D1792" s="1"/>
    </row>
    <row r="1793" spans="2:4">
      <c r="B1793" s="1">
        <v>1789</v>
      </c>
      <c r="C1793" s="1">
        <v>198</v>
      </c>
      <c r="D1793" s="1"/>
    </row>
    <row r="1794" spans="2:4">
      <c r="B1794" s="1">
        <v>1790</v>
      </c>
      <c r="C1794" s="1">
        <v>198.11</v>
      </c>
      <c r="D1794" s="1"/>
    </row>
    <row r="1795" spans="2:4">
      <c r="B1795" s="1">
        <v>1791</v>
      </c>
      <c r="C1795" s="1">
        <v>198.22</v>
      </c>
      <c r="D1795" s="1"/>
    </row>
    <row r="1796" spans="2:4">
      <c r="B1796" s="1">
        <v>1792</v>
      </c>
      <c r="C1796" s="1">
        <v>198.33</v>
      </c>
      <c r="D1796" s="1"/>
    </row>
    <row r="1797" spans="2:4">
      <c r="B1797" s="1">
        <v>1793</v>
      </c>
      <c r="C1797" s="1">
        <v>198.44</v>
      </c>
      <c r="D1797" s="1"/>
    </row>
    <row r="1798" spans="2:4">
      <c r="B1798" s="1">
        <v>1794</v>
      </c>
      <c r="C1798" s="1">
        <v>198.56</v>
      </c>
      <c r="D1798" s="1"/>
    </row>
    <row r="1799" spans="2:4">
      <c r="B1799" s="1">
        <v>1795</v>
      </c>
      <c r="C1799" s="1">
        <v>198.67</v>
      </c>
      <c r="D1799" s="1"/>
    </row>
    <row r="1800" spans="2:4">
      <c r="B1800" s="1">
        <v>1796</v>
      </c>
      <c r="C1800" s="1">
        <v>198.78</v>
      </c>
      <c r="D1800" s="1"/>
    </row>
    <row r="1801" spans="2:4">
      <c r="B1801" s="1">
        <v>1797</v>
      </c>
      <c r="C1801" s="1">
        <v>198.89</v>
      </c>
      <c r="D1801" s="1"/>
    </row>
    <row r="1802" spans="2:4">
      <c r="B1802" s="1">
        <v>1798</v>
      </c>
      <c r="C1802" s="1">
        <v>199</v>
      </c>
      <c r="D1802" s="1"/>
    </row>
    <row r="1803" spans="2:4">
      <c r="B1803" s="1">
        <v>1799</v>
      </c>
      <c r="C1803" s="1">
        <v>199.11</v>
      </c>
      <c r="D1803" s="1"/>
    </row>
    <row r="1804" spans="2:4">
      <c r="B1804" s="1">
        <v>1800</v>
      </c>
      <c r="C1804" s="1">
        <v>199.22</v>
      </c>
      <c r="D1804" s="1"/>
    </row>
    <row r="1805" spans="2:4">
      <c r="B1805" s="1">
        <v>1801</v>
      </c>
      <c r="C1805" s="1">
        <v>199.33</v>
      </c>
      <c r="D1805" s="1"/>
    </row>
    <row r="1806" spans="2:4">
      <c r="B1806" s="1">
        <v>1802</v>
      </c>
      <c r="C1806" s="1">
        <v>199.44</v>
      </c>
      <c r="D1806" s="1"/>
    </row>
    <row r="1807" spans="2:4">
      <c r="B1807" s="1">
        <v>1803</v>
      </c>
      <c r="C1807" s="1">
        <v>199.56</v>
      </c>
      <c r="D1807" s="1"/>
    </row>
    <row r="1808" spans="2:4">
      <c r="B1808" s="1">
        <v>1804</v>
      </c>
      <c r="C1808" s="1">
        <v>199.67</v>
      </c>
      <c r="D1808" s="1"/>
    </row>
    <row r="1809" spans="2:4">
      <c r="B1809" s="1">
        <v>1805</v>
      </c>
      <c r="C1809" s="1">
        <v>199.78</v>
      </c>
      <c r="D1809" s="1"/>
    </row>
    <row r="1810" spans="2:4">
      <c r="B1810" s="1">
        <v>1806</v>
      </c>
      <c r="C1810" s="1">
        <v>199.89</v>
      </c>
      <c r="D1810" s="1"/>
    </row>
    <row r="1811" spans="2:4">
      <c r="B1811" s="1">
        <v>1807</v>
      </c>
      <c r="C1811" s="1">
        <v>200</v>
      </c>
      <c r="D1811" s="1"/>
    </row>
    <row r="1812" spans="2:4">
      <c r="B1812" s="1">
        <v>1808</v>
      </c>
      <c r="C1812" s="1">
        <v>200.11</v>
      </c>
      <c r="D1812" s="1"/>
    </row>
    <row r="1813" spans="2:4">
      <c r="B1813" s="1">
        <v>1809</v>
      </c>
      <c r="C1813" s="1">
        <v>200.22</v>
      </c>
      <c r="D1813" s="1"/>
    </row>
    <row r="1814" spans="2:4">
      <c r="B1814" s="1">
        <v>1810</v>
      </c>
      <c r="C1814" s="1">
        <v>200.33</v>
      </c>
      <c r="D1814" s="1"/>
    </row>
    <row r="1815" spans="2:4">
      <c r="B1815" s="1">
        <v>1811</v>
      </c>
      <c r="C1815" s="1">
        <v>200.44</v>
      </c>
      <c r="D1815" s="1"/>
    </row>
    <row r="1816" spans="2:4">
      <c r="B1816" s="1">
        <v>1812</v>
      </c>
      <c r="C1816" s="1">
        <v>200.56</v>
      </c>
      <c r="D1816" s="1"/>
    </row>
    <row r="1817" spans="2:4">
      <c r="B1817" s="1">
        <v>1813</v>
      </c>
      <c r="C1817" s="1">
        <v>200.67</v>
      </c>
      <c r="D1817" s="1"/>
    </row>
    <row r="1818" spans="2:4">
      <c r="B1818" s="1">
        <v>1814</v>
      </c>
      <c r="C1818" s="1">
        <v>200.78</v>
      </c>
      <c r="D1818" s="1"/>
    </row>
    <row r="1819" spans="2:4">
      <c r="B1819" s="1">
        <v>1815</v>
      </c>
      <c r="C1819" s="1">
        <v>200.89</v>
      </c>
      <c r="D1819" s="1"/>
    </row>
    <row r="1820" spans="2:4">
      <c r="B1820" s="1">
        <v>1816</v>
      </c>
      <c r="C1820" s="1">
        <v>201</v>
      </c>
      <c r="D1820" s="1"/>
    </row>
    <row r="1821" spans="2:4">
      <c r="B1821" s="1">
        <v>1817</v>
      </c>
      <c r="C1821" s="1">
        <v>201.11</v>
      </c>
      <c r="D1821" s="1"/>
    </row>
    <row r="1822" spans="2:4">
      <c r="B1822" s="1">
        <v>1818</v>
      </c>
      <c r="C1822" s="1">
        <v>201.22</v>
      </c>
      <c r="D1822" s="1"/>
    </row>
    <row r="1823" spans="2:4">
      <c r="B1823" s="1">
        <v>1819</v>
      </c>
      <c r="C1823" s="1">
        <v>201.33</v>
      </c>
      <c r="D1823" s="1"/>
    </row>
    <row r="1824" spans="2:4">
      <c r="B1824" s="1">
        <v>1820</v>
      </c>
      <c r="C1824" s="1">
        <v>201.44</v>
      </c>
      <c r="D1824" s="1"/>
    </row>
    <row r="1825" spans="2:4">
      <c r="B1825" s="1">
        <v>1821</v>
      </c>
      <c r="C1825" s="1">
        <v>201.56</v>
      </c>
      <c r="D1825" s="1"/>
    </row>
    <row r="1826" spans="2:4">
      <c r="B1826" s="1">
        <v>1822</v>
      </c>
      <c r="C1826" s="1">
        <v>201.67</v>
      </c>
      <c r="D1826" s="1"/>
    </row>
    <row r="1827" spans="2:4">
      <c r="B1827" s="1">
        <v>1823</v>
      </c>
      <c r="C1827" s="1">
        <v>201.78</v>
      </c>
      <c r="D1827" s="1"/>
    </row>
    <row r="1828" spans="2:4">
      <c r="B1828" s="1">
        <v>1824</v>
      </c>
      <c r="C1828" s="1">
        <v>201.89</v>
      </c>
      <c r="D1828" s="1"/>
    </row>
    <row r="1829" spans="2:4">
      <c r="B1829" s="1">
        <v>1825</v>
      </c>
      <c r="C1829" s="1">
        <v>202</v>
      </c>
      <c r="D1829" s="1"/>
    </row>
    <row r="1830" spans="2:4">
      <c r="B1830" s="1">
        <v>1826</v>
      </c>
      <c r="C1830" s="1">
        <v>202.11</v>
      </c>
      <c r="D1830" s="1"/>
    </row>
    <row r="1831" spans="2:4">
      <c r="B1831" s="1">
        <v>1827</v>
      </c>
      <c r="C1831" s="1">
        <v>202.22</v>
      </c>
      <c r="D1831" s="1"/>
    </row>
    <row r="1832" spans="2:4">
      <c r="B1832" s="1">
        <v>1828</v>
      </c>
      <c r="C1832" s="1">
        <v>202.33</v>
      </c>
      <c r="D1832" s="1"/>
    </row>
    <row r="1833" spans="2:4">
      <c r="B1833" s="1">
        <v>1829</v>
      </c>
      <c r="C1833" s="1">
        <v>202.44</v>
      </c>
      <c r="D1833" s="1"/>
    </row>
    <row r="1834" spans="2:4">
      <c r="B1834" s="1">
        <v>1830</v>
      </c>
      <c r="C1834" s="1">
        <v>202.56</v>
      </c>
      <c r="D1834" s="1"/>
    </row>
    <row r="1835" spans="2:4">
      <c r="B1835" s="1">
        <v>1831</v>
      </c>
      <c r="C1835" s="1">
        <v>202.67</v>
      </c>
      <c r="D1835" s="1"/>
    </row>
    <row r="1836" spans="2:4">
      <c r="B1836" s="1">
        <v>1832</v>
      </c>
      <c r="C1836" s="1">
        <v>202.78</v>
      </c>
      <c r="D1836" s="1"/>
    </row>
    <row r="1837" spans="2:4">
      <c r="B1837" s="1">
        <v>1833</v>
      </c>
      <c r="C1837" s="1">
        <v>202.89</v>
      </c>
      <c r="D1837" s="1"/>
    </row>
    <row r="1838" spans="2:4">
      <c r="B1838" s="1">
        <v>1834</v>
      </c>
      <c r="C1838" s="1">
        <v>203</v>
      </c>
      <c r="D1838" s="1"/>
    </row>
    <row r="1839" spans="2:4">
      <c r="B1839" s="1">
        <v>1835</v>
      </c>
      <c r="C1839" s="1">
        <v>203.11</v>
      </c>
      <c r="D1839" s="1"/>
    </row>
    <row r="1840" spans="2:4">
      <c r="B1840" s="1">
        <v>1836</v>
      </c>
      <c r="C1840" s="1">
        <v>203.22</v>
      </c>
      <c r="D1840" s="1"/>
    </row>
    <row r="1841" spans="2:4">
      <c r="B1841" s="1">
        <v>1837</v>
      </c>
      <c r="C1841" s="1">
        <v>203.33</v>
      </c>
      <c r="D1841" s="1"/>
    </row>
    <row r="1842" spans="2:4">
      <c r="B1842" s="1">
        <v>1838</v>
      </c>
      <c r="C1842" s="1">
        <v>203.44</v>
      </c>
      <c r="D1842" s="1"/>
    </row>
    <row r="1843" spans="2:4">
      <c r="B1843" s="1">
        <v>1839</v>
      </c>
      <c r="C1843" s="1">
        <v>203.56</v>
      </c>
      <c r="D1843" s="1"/>
    </row>
    <row r="1844" spans="2:4">
      <c r="B1844" s="1">
        <v>1840</v>
      </c>
      <c r="C1844" s="1">
        <v>203.67</v>
      </c>
      <c r="D1844" s="1"/>
    </row>
    <row r="1845" spans="2:4">
      <c r="B1845" s="1">
        <v>1841</v>
      </c>
      <c r="C1845" s="1">
        <v>203.78</v>
      </c>
      <c r="D1845" s="1"/>
    </row>
    <row r="1846" spans="2:4">
      <c r="B1846" s="1">
        <v>1842</v>
      </c>
      <c r="C1846" s="1">
        <v>203.89</v>
      </c>
      <c r="D1846" s="1"/>
    </row>
    <row r="1847" spans="2:4">
      <c r="B1847" s="1">
        <v>1843</v>
      </c>
      <c r="C1847" s="1">
        <v>204</v>
      </c>
      <c r="D1847" s="1"/>
    </row>
    <row r="1848" spans="2:4">
      <c r="B1848" s="1">
        <v>1844</v>
      </c>
      <c r="C1848" s="1">
        <v>204.11</v>
      </c>
      <c r="D1848" s="1"/>
    </row>
    <row r="1849" spans="2:4">
      <c r="B1849" s="1">
        <v>1845</v>
      </c>
      <c r="C1849" s="1">
        <v>204.22</v>
      </c>
      <c r="D1849" s="1"/>
    </row>
    <row r="1850" spans="2:4">
      <c r="B1850" s="1">
        <v>1846</v>
      </c>
      <c r="C1850" s="1">
        <v>204.33</v>
      </c>
      <c r="D1850" s="1"/>
    </row>
    <row r="1851" spans="2:4">
      <c r="B1851" s="1">
        <v>1847</v>
      </c>
      <c r="C1851" s="1">
        <v>204.44</v>
      </c>
      <c r="D1851" s="1"/>
    </row>
    <row r="1852" spans="2:4">
      <c r="B1852" s="1">
        <v>1848</v>
      </c>
      <c r="C1852" s="1">
        <v>204.56</v>
      </c>
      <c r="D1852" s="1"/>
    </row>
    <row r="1853" spans="2:4">
      <c r="B1853" s="1">
        <v>1849</v>
      </c>
      <c r="C1853" s="1">
        <v>204.67</v>
      </c>
      <c r="D1853" s="1"/>
    </row>
    <row r="1854" spans="2:4">
      <c r="B1854" s="1">
        <v>1850</v>
      </c>
      <c r="C1854" s="1">
        <v>204.78</v>
      </c>
      <c r="D1854" s="1"/>
    </row>
    <row r="1855" spans="2:4">
      <c r="B1855" s="1">
        <v>1851</v>
      </c>
      <c r="C1855" s="1">
        <v>204.89</v>
      </c>
      <c r="D1855" s="1"/>
    </row>
    <row r="1856" spans="2:4">
      <c r="B1856" s="1">
        <v>1852</v>
      </c>
      <c r="C1856" s="1">
        <v>205</v>
      </c>
      <c r="D1856" s="1"/>
    </row>
    <row r="1857" spans="2:4">
      <c r="B1857" s="1">
        <v>1853</v>
      </c>
      <c r="C1857" s="1">
        <v>205.11</v>
      </c>
      <c r="D1857" s="1"/>
    </row>
    <row r="1858" spans="2:4">
      <c r="B1858" s="1">
        <v>1854</v>
      </c>
      <c r="C1858" s="1">
        <v>205.22</v>
      </c>
      <c r="D1858" s="1"/>
    </row>
    <row r="1859" spans="2:4">
      <c r="B1859" s="1">
        <v>1855</v>
      </c>
      <c r="C1859" s="1">
        <v>205.33</v>
      </c>
      <c r="D1859" s="1"/>
    </row>
    <row r="1860" spans="2:4">
      <c r="B1860" s="1">
        <v>1856</v>
      </c>
      <c r="C1860" s="1">
        <v>205.44</v>
      </c>
      <c r="D1860" s="1"/>
    </row>
    <row r="1861" spans="2:4">
      <c r="B1861" s="1">
        <v>1857</v>
      </c>
      <c r="C1861" s="1">
        <v>205.56</v>
      </c>
      <c r="D1861" s="1"/>
    </row>
    <row r="1862" spans="2:4">
      <c r="B1862" s="1">
        <v>1858</v>
      </c>
      <c r="C1862" s="1">
        <v>205.67</v>
      </c>
      <c r="D1862" s="1"/>
    </row>
    <row r="1863" spans="2:4">
      <c r="B1863" s="1">
        <v>1859</v>
      </c>
      <c r="C1863" s="1">
        <v>205.78</v>
      </c>
      <c r="D1863" s="1"/>
    </row>
    <row r="1864" spans="2:4">
      <c r="B1864" s="1">
        <v>1860</v>
      </c>
      <c r="C1864" s="1">
        <v>205.89</v>
      </c>
      <c r="D1864" s="1"/>
    </row>
    <row r="1865" spans="2:4">
      <c r="B1865" s="1">
        <v>1861</v>
      </c>
      <c r="C1865" s="1">
        <v>206</v>
      </c>
      <c r="D1865" s="1"/>
    </row>
    <row r="1866" spans="2:4">
      <c r="B1866" s="1">
        <v>1862</v>
      </c>
      <c r="C1866" s="1">
        <v>206.11</v>
      </c>
      <c r="D1866" s="1"/>
    </row>
    <row r="1867" spans="2:4">
      <c r="B1867" s="1">
        <v>1863</v>
      </c>
      <c r="C1867" s="1">
        <v>206.22</v>
      </c>
      <c r="D1867" s="1"/>
    </row>
    <row r="1868" spans="2:4">
      <c r="B1868" s="1">
        <v>1864</v>
      </c>
      <c r="C1868" s="1">
        <v>206.33</v>
      </c>
      <c r="D1868" s="1"/>
    </row>
    <row r="1869" spans="2:4">
      <c r="B1869" s="1">
        <v>1865</v>
      </c>
      <c r="C1869" s="1">
        <v>206.44</v>
      </c>
      <c r="D1869" s="1"/>
    </row>
    <row r="1870" spans="2:4">
      <c r="B1870" s="1">
        <v>1866</v>
      </c>
      <c r="C1870" s="1">
        <v>206.56</v>
      </c>
      <c r="D1870" s="1"/>
    </row>
    <row r="1871" spans="2:4">
      <c r="B1871" s="1">
        <v>1867</v>
      </c>
      <c r="C1871" s="1">
        <v>206.67</v>
      </c>
      <c r="D1871" s="1"/>
    </row>
    <row r="1872" spans="2:4">
      <c r="B1872" s="1">
        <v>1868</v>
      </c>
      <c r="C1872" s="1">
        <v>206.78</v>
      </c>
      <c r="D1872" s="1"/>
    </row>
    <row r="1873" spans="2:4">
      <c r="B1873" s="1">
        <v>1869</v>
      </c>
      <c r="C1873" s="1">
        <v>206.89</v>
      </c>
      <c r="D1873" s="1"/>
    </row>
    <row r="1874" spans="2:4">
      <c r="B1874" s="1">
        <v>1870</v>
      </c>
      <c r="C1874" s="1">
        <v>207</v>
      </c>
      <c r="D1874" s="1"/>
    </row>
    <row r="1875" spans="2:4">
      <c r="B1875" s="1">
        <v>1871</v>
      </c>
      <c r="C1875" s="1">
        <v>207.11</v>
      </c>
      <c r="D1875" s="1"/>
    </row>
    <row r="1876" spans="2:4">
      <c r="B1876" s="1">
        <v>1872</v>
      </c>
      <c r="C1876" s="1">
        <v>207.22</v>
      </c>
      <c r="D1876" s="1"/>
    </row>
    <row r="1877" spans="2:4">
      <c r="B1877" s="1">
        <v>1873</v>
      </c>
      <c r="C1877" s="1">
        <v>207.33</v>
      </c>
      <c r="D1877" s="1"/>
    </row>
    <row r="1878" spans="2:4">
      <c r="B1878" s="1">
        <v>1874</v>
      </c>
      <c r="C1878" s="1">
        <v>207.44</v>
      </c>
      <c r="D1878" s="1"/>
    </row>
    <row r="1879" spans="2:4">
      <c r="B1879" s="1">
        <v>1875</v>
      </c>
      <c r="C1879" s="1">
        <v>207.56</v>
      </c>
      <c r="D1879" s="1"/>
    </row>
    <row r="1880" spans="2:4">
      <c r="B1880" s="1">
        <v>1876</v>
      </c>
      <c r="C1880" s="1">
        <v>207.67</v>
      </c>
      <c r="D1880" s="1"/>
    </row>
    <row r="1881" spans="2:4">
      <c r="B1881" s="1">
        <v>1877</v>
      </c>
      <c r="C1881" s="1">
        <v>207.78</v>
      </c>
      <c r="D1881" s="1"/>
    </row>
    <row r="1882" spans="2:4">
      <c r="B1882" s="1">
        <v>1878</v>
      </c>
      <c r="C1882" s="1">
        <v>207.89</v>
      </c>
      <c r="D1882" s="1"/>
    </row>
    <row r="1883" spans="2:4">
      <c r="B1883" s="1">
        <v>1879</v>
      </c>
      <c r="C1883" s="1">
        <v>208</v>
      </c>
      <c r="D1883" s="1"/>
    </row>
    <row r="1884" spans="2:4">
      <c r="B1884" s="1">
        <v>1880</v>
      </c>
      <c r="C1884" s="1">
        <v>208.11</v>
      </c>
      <c r="D1884" s="1"/>
    </row>
    <row r="1885" spans="2:4">
      <c r="B1885" s="1">
        <v>1881</v>
      </c>
      <c r="C1885" s="1">
        <v>208.22</v>
      </c>
      <c r="D1885" s="1"/>
    </row>
    <row r="1886" spans="2:4">
      <c r="B1886" s="1">
        <v>1882</v>
      </c>
      <c r="C1886" s="1">
        <v>208.33</v>
      </c>
      <c r="D1886" s="1"/>
    </row>
    <row r="1887" spans="2:4">
      <c r="B1887" s="1">
        <v>1883</v>
      </c>
      <c r="C1887" s="1">
        <v>208.44</v>
      </c>
      <c r="D1887" s="1"/>
    </row>
    <row r="1888" spans="2:4">
      <c r="B1888" s="1">
        <v>1884</v>
      </c>
      <c r="C1888" s="1">
        <v>208.56</v>
      </c>
      <c r="D1888" s="1"/>
    </row>
    <row r="1889" spans="2:4">
      <c r="B1889" s="1">
        <v>1885</v>
      </c>
      <c r="C1889" s="1">
        <v>208.67</v>
      </c>
      <c r="D1889" s="1"/>
    </row>
    <row r="1890" spans="2:4">
      <c r="B1890" s="1">
        <v>1886</v>
      </c>
      <c r="C1890" s="1">
        <v>208.78</v>
      </c>
      <c r="D1890" s="1"/>
    </row>
    <row r="1891" spans="2:4">
      <c r="B1891" s="1">
        <v>1887</v>
      </c>
      <c r="C1891" s="1">
        <v>208.89</v>
      </c>
      <c r="D1891" s="1"/>
    </row>
    <row r="1892" spans="2:4">
      <c r="B1892" s="1">
        <v>1888</v>
      </c>
      <c r="C1892" s="1">
        <v>209</v>
      </c>
      <c r="D1892" s="1"/>
    </row>
    <row r="1893" spans="2:4">
      <c r="B1893" s="1">
        <v>1889</v>
      </c>
      <c r="C1893" s="1">
        <v>209.11</v>
      </c>
      <c r="D1893" s="1"/>
    </row>
    <row r="1894" spans="2:4">
      <c r="B1894" s="1">
        <v>1890</v>
      </c>
      <c r="C1894" s="1">
        <v>209.22</v>
      </c>
      <c r="D1894" s="1"/>
    </row>
    <row r="1895" spans="2:4">
      <c r="B1895" s="1">
        <v>1891</v>
      </c>
      <c r="C1895" s="1">
        <v>209.33</v>
      </c>
      <c r="D1895" s="1"/>
    </row>
    <row r="1896" spans="2:4">
      <c r="B1896" s="1">
        <v>1892</v>
      </c>
      <c r="C1896" s="1">
        <v>209.44</v>
      </c>
      <c r="D1896" s="1"/>
    </row>
    <row r="1897" spans="2:4">
      <c r="B1897" s="1">
        <v>1893</v>
      </c>
      <c r="C1897" s="1">
        <v>209.56</v>
      </c>
      <c r="D1897" s="1"/>
    </row>
    <row r="1898" spans="2:4">
      <c r="B1898" s="1">
        <v>1894</v>
      </c>
      <c r="C1898" s="1">
        <v>209.67</v>
      </c>
      <c r="D1898" s="1"/>
    </row>
    <row r="1899" spans="2:4">
      <c r="B1899" s="1">
        <v>1895</v>
      </c>
      <c r="C1899" s="1">
        <v>209.78</v>
      </c>
      <c r="D1899" s="1"/>
    </row>
    <row r="1900" spans="2:4">
      <c r="B1900" s="1">
        <v>1896</v>
      </c>
      <c r="C1900" s="1">
        <v>209.89</v>
      </c>
      <c r="D1900" s="1"/>
    </row>
    <row r="1901" spans="2:4">
      <c r="B1901" s="1">
        <v>1897</v>
      </c>
      <c r="C1901" s="1">
        <v>210</v>
      </c>
      <c r="D1901" s="1"/>
    </row>
    <row r="1902" spans="2:4">
      <c r="B1902" s="1">
        <v>1898</v>
      </c>
      <c r="C1902" s="1">
        <v>210.11</v>
      </c>
      <c r="D1902" s="1"/>
    </row>
    <row r="1903" spans="2:4">
      <c r="B1903" s="1">
        <v>1899</v>
      </c>
      <c r="C1903" s="1">
        <v>210.22</v>
      </c>
      <c r="D1903" s="1"/>
    </row>
    <row r="1904" spans="2:4">
      <c r="B1904" s="1">
        <v>1900</v>
      </c>
      <c r="C1904" s="1">
        <v>210.33</v>
      </c>
      <c r="D1904" s="1"/>
    </row>
    <row r="1905" spans="2:4">
      <c r="B1905" s="1">
        <v>1901</v>
      </c>
      <c r="C1905" s="1">
        <v>210.44</v>
      </c>
      <c r="D1905" s="1"/>
    </row>
    <row r="1906" spans="2:4">
      <c r="B1906" s="1">
        <v>1902</v>
      </c>
      <c r="C1906" s="1">
        <v>210.56</v>
      </c>
      <c r="D1906" s="1"/>
    </row>
    <row r="1907" spans="2:4">
      <c r="B1907" s="1">
        <v>1903</v>
      </c>
      <c r="C1907" s="1">
        <v>210.67</v>
      </c>
      <c r="D1907" s="1"/>
    </row>
    <row r="1908" spans="2:4">
      <c r="B1908" s="1">
        <v>1904</v>
      </c>
      <c r="C1908" s="1">
        <v>210.78</v>
      </c>
      <c r="D1908" s="1"/>
    </row>
    <row r="1909" spans="2:4">
      <c r="B1909" s="1">
        <v>1905</v>
      </c>
      <c r="C1909" s="1">
        <v>210.89</v>
      </c>
      <c r="D1909" s="1"/>
    </row>
    <row r="1910" spans="2:4">
      <c r="B1910" s="1">
        <v>1906</v>
      </c>
      <c r="C1910" s="1">
        <v>211</v>
      </c>
      <c r="D1910" s="1"/>
    </row>
    <row r="1911" spans="2:4">
      <c r="B1911" s="1">
        <v>1907</v>
      </c>
      <c r="C1911" s="1">
        <v>211.11</v>
      </c>
      <c r="D1911" s="1"/>
    </row>
    <row r="1912" spans="2:4">
      <c r="B1912" s="1">
        <v>1908</v>
      </c>
      <c r="C1912" s="1">
        <v>211.22</v>
      </c>
      <c r="D1912" s="1"/>
    </row>
    <row r="1913" spans="2:4">
      <c r="B1913" s="1">
        <v>1909</v>
      </c>
      <c r="C1913" s="1">
        <v>211.33</v>
      </c>
      <c r="D1913" s="1"/>
    </row>
    <row r="1914" spans="2:4">
      <c r="B1914" s="1">
        <v>1910</v>
      </c>
      <c r="C1914" s="1">
        <v>211.44</v>
      </c>
      <c r="D1914" s="1"/>
    </row>
    <row r="1915" spans="2:4">
      <c r="B1915" s="1">
        <v>1911</v>
      </c>
      <c r="C1915" s="1">
        <v>211.56</v>
      </c>
      <c r="D1915" s="1"/>
    </row>
    <row r="1916" spans="2:4">
      <c r="B1916" s="1">
        <v>1912</v>
      </c>
      <c r="C1916" s="1">
        <v>211.67</v>
      </c>
      <c r="D1916" s="1"/>
    </row>
    <row r="1917" spans="2:4">
      <c r="B1917" s="1">
        <v>1913</v>
      </c>
      <c r="C1917" s="1">
        <v>211.78</v>
      </c>
      <c r="D1917" s="1"/>
    </row>
    <row r="1918" spans="2:4">
      <c r="B1918" s="1">
        <v>1914</v>
      </c>
      <c r="C1918" s="1">
        <v>211.89</v>
      </c>
      <c r="D1918" s="1"/>
    </row>
    <row r="1919" spans="2:4">
      <c r="B1919" s="1">
        <v>1915</v>
      </c>
      <c r="C1919" s="1">
        <v>212</v>
      </c>
      <c r="D1919" s="1"/>
    </row>
    <row r="1920" spans="2:4">
      <c r="B1920" s="1">
        <v>1916</v>
      </c>
      <c r="C1920" s="1">
        <v>212.11</v>
      </c>
      <c r="D1920" s="1"/>
    </row>
    <row r="1921" spans="2:4">
      <c r="B1921" s="1">
        <v>1917</v>
      </c>
      <c r="C1921" s="1">
        <v>212.22</v>
      </c>
      <c r="D1921" s="1"/>
    </row>
    <row r="1922" spans="2:4">
      <c r="B1922" s="1">
        <v>1918</v>
      </c>
      <c r="C1922" s="1">
        <v>212.33</v>
      </c>
      <c r="D1922" s="1"/>
    </row>
    <row r="1923" spans="2:4">
      <c r="B1923" s="1">
        <v>1919</v>
      </c>
      <c r="C1923" s="1">
        <v>212.44</v>
      </c>
      <c r="D1923" s="1"/>
    </row>
    <row r="1924" spans="2:4">
      <c r="B1924" s="1">
        <v>1920</v>
      </c>
      <c r="C1924" s="1">
        <v>212.56</v>
      </c>
      <c r="D1924" s="1"/>
    </row>
    <row r="1925" spans="2:4">
      <c r="B1925" s="1">
        <v>1921</v>
      </c>
      <c r="C1925" s="1">
        <v>212.67</v>
      </c>
      <c r="D1925" s="1"/>
    </row>
    <row r="1926" spans="2:4">
      <c r="B1926" s="1">
        <v>1922</v>
      </c>
      <c r="C1926" s="1">
        <v>212.78</v>
      </c>
      <c r="D1926" s="1"/>
    </row>
    <row r="1927" spans="2:4">
      <c r="B1927" s="1">
        <v>1923</v>
      </c>
      <c r="C1927" s="1">
        <v>212.89</v>
      </c>
      <c r="D1927" s="1"/>
    </row>
    <row r="1928" spans="2:4">
      <c r="B1928" s="1">
        <v>1924</v>
      </c>
      <c r="C1928" s="1">
        <v>213</v>
      </c>
      <c r="D1928" s="1"/>
    </row>
    <row r="1929" spans="2:4">
      <c r="B1929" s="1">
        <v>1925</v>
      </c>
      <c r="C1929" s="1">
        <v>213.11</v>
      </c>
      <c r="D1929" s="1"/>
    </row>
    <row r="1930" spans="2:4">
      <c r="B1930" s="1">
        <v>1926</v>
      </c>
      <c r="C1930" s="1">
        <v>213.22</v>
      </c>
      <c r="D1930" s="1"/>
    </row>
    <row r="1931" spans="2:4">
      <c r="B1931" s="1">
        <v>1927</v>
      </c>
      <c r="C1931" s="1">
        <v>213.33</v>
      </c>
      <c r="D1931" s="1"/>
    </row>
    <row r="1932" spans="2:4">
      <c r="B1932" s="1">
        <v>1928</v>
      </c>
      <c r="C1932" s="1">
        <v>213.44</v>
      </c>
      <c r="D1932" s="1"/>
    </row>
    <row r="1933" spans="2:4">
      <c r="B1933" s="1">
        <v>1929</v>
      </c>
      <c r="C1933" s="1">
        <v>213.56</v>
      </c>
      <c r="D1933" s="1"/>
    </row>
    <row r="1934" spans="2:4">
      <c r="B1934" s="1">
        <v>1930</v>
      </c>
      <c r="C1934" s="1">
        <v>213.67</v>
      </c>
      <c r="D1934" s="1"/>
    </row>
    <row r="1935" spans="2:4">
      <c r="B1935" s="1">
        <v>1931</v>
      </c>
      <c r="C1935" s="1">
        <v>213.78</v>
      </c>
      <c r="D1935" s="1"/>
    </row>
    <row r="1936" spans="2:4">
      <c r="B1936" s="1">
        <v>1932</v>
      </c>
      <c r="C1936" s="1">
        <v>213.89</v>
      </c>
      <c r="D1936" s="1"/>
    </row>
    <row r="1937" spans="2:4">
      <c r="B1937" s="1">
        <v>1933</v>
      </c>
      <c r="C1937" s="1">
        <v>214</v>
      </c>
      <c r="D1937" s="1"/>
    </row>
    <row r="1938" spans="2:4">
      <c r="B1938" s="1">
        <v>1934</v>
      </c>
      <c r="C1938" s="1">
        <v>214.11</v>
      </c>
      <c r="D1938" s="1"/>
    </row>
    <row r="1939" spans="2:4">
      <c r="B1939" s="1">
        <v>1935</v>
      </c>
      <c r="C1939" s="1">
        <v>214.22</v>
      </c>
      <c r="D1939" s="1"/>
    </row>
    <row r="1940" spans="2:4">
      <c r="B1940" s="1">
        <v>1936</v>
      </c>
      <c r="C1940" s="1">
        <v>214.33</v>
      </c>
      <c r="D1940" s="1"/>
    </row>
    <row r="1941" spans="2:4">
      <c r="B1941" s="1">
        <v>1937</v>
      </c>
      <c r="C1941" s="1">
        <v>214.44</v>
      </c>
      <c r="D1941" s="1"/>
    </row>
    <row r="1942" spans="2:4">
      <c r="B1942" s="1">
        <v>1938</v>
      </c>
      <c r="C1942" s="1">
        <v>214.56</v>
      </c>
      <c r="D1942" s="1"/>
    </row>
    <row r="1943" spans="2:4">
      <c r="B1943" s="1">
        <v>1939</v>
      </c>
      <c r="C1943" s="1">
        <v>214.67</v>
      </c>
      <c r="D1943" s="1"/>
    </row>
    <row r="1944" spans="2:4">
      <c r="B1944" s="1">
        <v>1940</v>
      </c>
      <c r="C1944" s="1">
        <v>214.78</v>
      </c>
      <c r="D1944" s="1"/>
    </row>
    <row r="1945" spans="2:4">
      <c r="B1945" s="1">
        <v>1941</v>
      </c>
      <c r="C1945" s="1">
        <v>214.89</v>
      </c>
      <c r="D1945" s="1"/>
    </row>
    <row r="1946" spans="2:4">
      <c r="B1946" s="1">
        <v>1942</v>
      </c>
      <c r="C1946" s="1">
        <v>215</v>
      </c>
      <c r="D1946" s="1"/>
    </row>
    <row r="1947" spans="2:4">
      <c r="B1947" s="1">
        <v>1943</v>
      </c>
      <c r="C1947" s="1">
        <v>215.11</v>
      </c>
      <c r="D1947" s="1"/>
    </row>
    <row r="1948" spans="2:4">
      <c r="B1948" s="1">
        <v>1944</v>
      </c>
      <c r="C1948" s="1">
        <v>215.22</v>
      </c>
      <c r="D1948" s="1"/>
    </row>
    <row r="1949" spans="2:4">
      <c r="B1949" s="1">
        <v>1945</v>
      </c>
      <c r="C1949" s="1">
        <v>215.33</v>
      </c>
      <c r="D1949" s="1"/>
    </row>
    <row r="1950" spans="2:4">
      <c r="B1950" s="1">
        <v>1946</v>
      </c>
      <c r="C1950" s="1">
        <v>215.44</v>
      </c>
      <c r="D1950" s="1"/>
    </row>
    <row r="1951" spans="2:4">
      <c r="B1951" s="1">
        <v>1947</v>
      </c>
      <c r="C1951" s="1">
        <v>215.56</v>
      </c>
      <c r="D1951" s="1"/>
    </row>
    <row r="1952" spans="2:4">
      <c r="B1952" s="1">
        <v>1948</v>
      </c>
      <c r="C1952" s="1">
        <v>215.67</v>
      </c>
      <c r="D1952" s="1"/>
    </row>
    <row r="1953" spans="2:4">
      <c r="B1953" s="1">
        <v>1949</v>
      </c>
      <c r="C1953" s="1">
        <v>215.78</v>
      </c>
      <c r="D1953" s="1"/>
    </row>
    <row r="1954" spans="2:4">
      <c r="B1954" s="1">
        <v>1950</v>
      </c>
      <c r="C1954" s="1">
        <v>215.89</v>
      </c>
      <c r="D1954" s="1"/>
    </row>
    <row r="1955" spans="2:4">
      <c r="B1955" s="1">
        <v>1951</v>
      </c>
      <c r="C1955" s="1">
        <v>216</v>
      </c>
      <c r="D1955" s="1"/>
    </row>
    <row r="1956" spans="2:4">
      <c r="B1956" s="1">
        <v>1952</v>
      </c>
      <c r="C1956" s="1">
        <v>216.11</v>
      </c>
      <c r="D1956" s="1"/>
    </row>
    <row r="1957" spans="2:4">
      <c r="B1957" s="1">
        <v>1953</v>
      </c>
      <c r="C1957" s="1">
        <v>216.22</v>
      </c>
      <c r="D1957" s="1"/>
    </row>
    <row r="1958" spans="2:4">
      <c r="B1958" s="1">
        <v>1954</v>
      </c>
      <c r="C1958" s="1">
        <v>216.33</v>
      </c>
      <c r="D1958" s="1"/>
    </row>
    <row r="1959" spans="2:4">
      <c r="B1959" s="1">
        <v>1955</v>
      </c>
      <c r="C1959" s="1">
        <v>216.44</v>
      </c>
      <c r="D1959" s="1"/>
    </row>
    <row r="1960" spans="2:4">
      <c r="B1960" s="1">
        <v>1956</v>
      </c>
      <c r="C1960" s="1">
        <v>216.56</v>
      </c>
      <c r="D1960" s="1"/>
    </row>
    <row r="1961" spans="2:4">
      <c r="B1961" s="1">
        <v>1957</v>
      </c>
      <c r="C1961" s="1">
        <v>216.67</v>
      </c>
      <c r="D1961" s="1"/>
    </row>
    <row r="1962" spans="2:4">
      <c r="B1962" s="1">
        <v>1958</v>
      </c>
      <c r="C1962" s="1">
        <v>216.78</v>
      </c>
      <c r="D1962" s="1"/>
    </row>
    <row r="1963" spans="2:4">
      <c r="B1963" s="1">
        <v>1959</v>
      </c>
      <c r="C1963" s="1">
        <v>216.89</v>
      </c>
      <c r="D1963" s="1"/>
    </row>
    <row r="1964" spans="2:4">
      <c r="B1964" s="1">
        <v>1960</v>
      </c>
      <c r="C1964" s="1">
        <v>217</v>
      </c>
      <c r="D1964" s="1"/>
    </row>
    <row r="1965" spans="2:4">
      <c r="B1965" s="1">
        <v>1961</v>
      </c>
      <c r="C1965" s="1">
        <v>217.11</v>
      </c>
      <c r="D1965" s="1"/>
    </row>
    <row r="1966" spans="2:4">
      <c r="B1966" s="1">
        <v>1962</v>
      </c>
      <c r="C1966" s="1">
        <v>217.22</v>
      </c>
      <c r="D1966" s="1"/>
    </row>
    <row r="1967" spans="2:4">
      <c r="B1967" s="1">
        <v>1963</v>
      </c>
      <c r="C1967" s="1">
        <v>217.33</v>
      </c>
      <c r="D1967" s="1"/>
    </row>
    <row r="1968" spans="2:4">
      <c r="B1968" s="1">
        <v>1964</v>
      </c>
      <c r="C1968" s="1">
        <v>217.44</v>
      </c>
      <c r="D1968" s="1"/>
    </row>
    <row r="1969" spans="2:4">
      <c r="B1969" s="1">
        <v>1965</v>
      </c>
      <c r="C1969" s="1">
        <v>217.56</v>
      </c>
      <c r="D1969" s="1"/>
    </row>
    <row r="1970" spans="2:4">
      <c r="B1970" s="1">
        <v>1966</v>
      </c>
      <c r="C1970" s="1">
        <v>217.67</v>
      </c>
      <c r="D1970" s="1"/>
    </row>
    <row r="1971" spans="2:4">
      <c r="B1971" s="1">
        <v>1967</v>
      </c>
      <c r="C1971" s="1">
        <v>217.78</v>
      </c>
      <c r="D1971" s="1"/>
    </row>
    <row r="1972" spans="2:4">
      <c r="B1972" s="1">
        <v>1968</v>
      </c>
      <c r="C1972" s="1">
        <v>217.89</v>
      </c>
      <c r="D1972" s="1"/>
    </row>
    <row r="1973" spans="2:4">
      <c r="B1973" s="1">
        <v>1969</v>
      </c>
      <c r="C1973" s="1">
        <v>218</v>
      </c>
      <c r="D1973" s="1"/>
    </row>
    <row r="1974" spans="2:4">
      <c r="B1974" s="1">
        <v>1970</v>
      </c>
      <c r="C1974" s="1">
        <v>218.11</v>
      </c>
      <c r="D1974" s="1"/>
    </row>
    <row r="1975" spans="2:4">
      <c r="B1975" s="1">
        <v>1971</v>
      </c>
      <c r="C1975" s="1">
        <v>218.22</v>
      </c>
      <c r="D1975" s="1"/>
    </row>
    <row r="1976" spans="2:4">
      <c r="B1976" s="1">
        <v>1972</v>
      </c>
      <c r="C1976" s="1">
        <v>218.33</v>
      </c>
      <c r="D1976" s="1"/>
    </row>
    <row r="1977" spans="2:4">
      <c r="B1977" s="1">
        <v>1973</v>
      </c>
      <c r="C1977" s="1">
        <v>218.44</v>
      </c>
      <c r="D1977" s="1"/>
    </row>
    <row r="1978" spans="2:4">
      <c r="B1978" s="1">
        <v>1974</v>
      </c>
      <c r="C1978" s="1">
        <v>218.56</v>
      </c>
      <c r="D1978" s="1"/>
    </row>
    <row r="1979" spans="2:4">
      <c r="B1979" s="1">
        <v>1975</v>
      </c>
      <c r="C1979" s="1">
        <v>218.67</v>
      </c>
      <c r="D1979" s="1"/>
    </row>
    <row r="1980" spans="2:4">
      <c r="B1980" s="1">
        <v>1976</v>
      </c>
      <c r="C1980" s="1">
        <v>218.78</v>
      </c>
      <c r="D1980" s="1"/>
    </row>
    <row r="1981" spans="2:4">
      <c r="B1981" s="1">
        <v>1977</v>
      </c>
      <c r="C1981" s="1">
        <v>218.89</v>
      </c>
      <c r="D1981" s="1"/>
    </row>
    <row r="1982" spans="2:4">
      <c r="B1982" s="1">
        <v>1978</v>
      </c>
      <c r="C1982" s="1">
        <v>219</v>
      </c>
      <c r="D1982" s="1"/>
    </row>
    <row r="1983" spans="2:4">
      <c r="B1983" s="1">
        <v>1979</v>
      </c>
      <c r="C1983" s="1">
        <v>219.11</v>
      </c>
      <c r="D1983" s="1"/>
    </row>
    <row r="1984" spans="2:4">
      <c r="B1984" s="1">
        <v>1980</v>
      </c>
      <c r="C1984" s="1">
        <v>219.22</v>
      </c>
      <c r="D1984" s="1"/>
    </row>
    <row r="1985" spans="2:4">
      <c r="B1985" s="1">
        <v>1981</v>
      </c>
      <c r="C1985" s="1">
        <v>219.33</v>
      </c>
      <c r="D1985" s="1"/>
    </row>
    <row r="1986" spans="2:4">
      <c r="B1986" s="1">
        <v>1982</v>
      </c>
      <c r="C1986" s="1">
        <v>219.44</v>
      </c>
      <c r="D1986" s="1"/>
    </row>
    <row r="1987" spans="2:4">
      <c r="B1987" s="1">
        <v>1983</v>
      </c>
      <c r="C1987" s="1">
        <v>219.56</v>
      </c>
      <c r="D1987" s="1"/>
    </row>
    <row r="1988" spans="2:4">
      <c r="B1988" s="1">
        <v>1984</v>
      </c>
      <c r="C1988" s="1">
        <v>219.67</v>
      </c>
      <c r="D1988" s="1"/>
    </row>
    <row r="1989" spans="2:4">
      <c r="B1989" s="1">
        <v>1985</v>
      </c>
      <c r="C1989" s="1">
        <v>219.78</v>
      </c>
      <c r="D1989" s="1"/>
    </row>
    <row r="1990" spans="2:4">
      <c r="B1990" s="1">
        <v>1986</v>
      </c>
      <c r="C1990" s="1">
        <v>219.89</v>
      </c>
      <c r="D1990" s="1"/>
    </row>
    <row r="1991" spans="2:4">
      <c r="B1991" s="1">
        <v>1987</v>
      </c>
      <c r="C1991" s="1">
        <v>220</v>
      </c>
      <c r="D1991" s="1"/>
    </row>
    <row r="1992" spans="2:4">
      <c r="B1992" s="1">
        <v>1988</v>
      </c>
      <c r="C1992" s="1">
        <v>220.11</v>
      </c>
      <c r="D1992" s="1"/>
    </row>
    <row r="1993" spans="2:4">
      <c r="B1993" s="1">
        <v>1989</v>
      </c>
      <c r="C1993" s="1">
        <v>220.22</v>
      </c>
      <c r="D1993" s="1"/>
    </row>
    <row r="1994" spans="2:4">
      <c r="B1994" s="1">
        <v>1990</v>
      </c>
      <c r="C1994" s="1">
        <v>220.33</v>
      </c>
      <c r="D1994" s="1"/>
    </row>
    <row r="1995" spans="2:4">
      <c r="B1995" s="1">
        <v>1991</v>
      </c>
      <c r="C1995" s="1">
        <v>220.44</v>
      </c>
      <c r="D1995" s="1"/>
    </row>
    <row r="1996" spans="2:4">
      <c r="B1996" s="1">
        <v>1992</v>
      </c>
      <c r="C1996" s="1">
        <v>220.56</v>
      </c>
      <c r="D1996" s="1"/>
    </row>
    <row r="1997" spans="2:4">
      <c r="B1997" s="1">
        <v>1993</v>
      </c>
      <c r="C1997" s="1">
        <v>220.67</v>
      </c>
      <c r="D1997" s="1"/>
    </row>
    <row r="1998" spans="2:4">
      <c r="B1998" s="1">
        <v>1994</v>
      </c>
      <c r="C1998" s="1">
        <v>220.78</v>
      </c>
      <c r="D1998" s="1"/>
    </row>
    <row r="1999" spans="2:4">
      <c r="B1999" s="1">
        <v>1995</v>
      </c>
      <c r="C1999" s="1">
        <v>220.89</v>
      </c>
      <c r="D1999" s="1"/>
    </row>
    <row r="2000" spans="2:4">
      <c r="B2000" s="1">
        <v>1996</v>
      </c>
      <c r="C2000" s="1">
        <v>221</v>
      </c>
      <c r="D2000" s="1"/>
    </row>
    <row r="2001" spans="2:4">
      <c r="B2001" s="1">
        <v>1997</v>
      </c>
      <c r="C2001" s="1">
        <v>221.11</v>
      </c>
      <c r="D2001" s="1"/>
    </row>
    <row r="2002" spans="2:4">
      <c r="B2002" s="1">
        <v>1998</v>
      </c>
      <c r="C2002" s="1">
        <v>221.22</v>
      </c>
      <c r="D2002" s="1"/>
    </row>
    <row r="2003" spans="2:4">
      <c r="B2003" s="1">
        <v>1999</v>
      </c>
      <c r="C2003" s="1">
        <v>221.33</v>
      </c>
      <c r="D2003" s="1"/>
    </row>
    <row r="2004" spans="2:4">
      <c r="B2004" s="1">
        <v>2000</v>
      </c>
      <c r="C2004" s="1">
        <v>221.44</v>
      </c>
      <c r="D2004" s="1"/>
    </row>
    <row r="2005" spans="2:4">
      <c r="B2005" s="1">
        <v>2001</v>
      </c>
      <c r="C2005" s="1">
        <v>221.56</v>
      </c>
      <c r="D2005" s="1"/>
    </row>
    <row r="2006" spans="2:4">
      <c r="B2006" s="1">
        <v>2002</v>
      </c>
      <c r="C2006" s="1">
        <v>221.67</v>
      </c>
      <c r="D2006" s="1"/>
    </row>
    <row r="2007" spans="2:4">
      <c r="B2007" s="1">
        <v>2003</v>
      </c>
      <c r="C2007" s="1">
        <v>221.78</v>
      </c>
      <c r="D2007" s="1"/>
    </row>
    <row r="2008" spans="2:4">
      <c r="B2008" s="1">
        <v>2004</v>
      </c>
      <c r="C2008" s="1">
        <v>221.89</v>
      </c>
      <c r="D2008" s="1"/>
    </row>
    <row r="2009" spans="2:4">
      <c r="B2009" s="1">
        <v>2005</v>
      </c>
      <c r="C2009" s="1">
        <v>222</v>
      </c>
      <c r="D2009" s="1"/>
    </row>
    <row r="2010" spans="2:4">
      <c r="B2010" s="1">
        <v>2006</v>
      </c>
      <c r="C2010" s="1">
        <v>222.11</v>
      </c>
      <c r="D2010" s="1"/>
    </row>
    <row r="2011" spans="2:4">
      <c r="B2011" s="1">
        <v>2007</v>
      </c>
      <c r="C2011" s="1">
        <v>222.22</v>
      </c>
      <c r="D2011" s="1"/>
    </row>
    <row r="2012" spans="2:4">
      <c r="B2012" s="1">
        <v>2008</v>
      </c>
      <c r="C2012" s="1">
        <v>222.33</v>
      </c>
      <c r="D2012" s="1"/>
    </row>
    <row r="2013" spans="2:4">
      <c r="B2013" s="1">
        <v>2009</v>
      </c>
      <c r="C2013" s="1">
        <v>222.44</v>
      </c>
      <c r="D2013" s="1"/>
    </row>
    <row r="2014" spans="2:4">
      <c r="B2014" s="1">
        <v>2010</v>
      </c>
      <c r="C2014" s="1">
        <v>222.56</v>
      </c>
      <c r="D2014" s="1"/>
    </row>
    <row r="2015" spans="2:4">
      <c r="B2015" s="1">
        <v>2011</v>
      </c>
      <c r="C2015" s="1">
        <v>222.67</v>
      </c>
      <c r="D2015" s="1"/>
    </row>
    <row r="2016" spans="2:4">
      <c r="B2016" s="1">
        <v>2012</v>
      </c>
      <c r="C2016" s="1">
        <v>222.78</v>
      </c>
      <c r="D2016" s="1"/>
    </row>
    <row r="2017" spans="2:4">
      <c r="B2017" s="1">
        <v>2013</v>
      </c>
      <c r="C2017" s="1">
        <v>222.89</v>
      </c>
      <c r="D2017" s="1"/>
    </row>
    <row r="2018" spans="2:4">
      <c r="B2018" s="1">
        <v>2014</v>
      </c>
      <c r="C2018" s="1">
        <v>223</v>
      </c>
      <c r="D2018" s="1"/>
    </row>
    <row r="2019" spans="2:4">
      <c r="B2019" s="1">
        <v>2015</v>
      </c>
      <c r="C2019" s="1">
        <v>223.11</v>
      </c>
      <c r="D2019" s="1"/>
    </row>
    <row r="2020" spans="2:4">
      <c r="B2020" s="1">
        <v>2016</v>
      </c>
      <c r="C2020" s="1">
        <v>223.22</v>
      </c>
      <c r="D2020" s="1"/>
    </row>
    <row r="2021" spans="2:4">
      <c r="B2021" s="1">
        <v>2017</v>
      </c>
      <c r="C2021" s="1">
        <v>223.33</v>
      </c>
      <c r="D2021" s="1"/>
    </row>
    <row r="2022" spans="2:4">
      <c r="B2022" s="1">
        <v>2018</v>
      </c>
      <c r="C2022" s="1">
        <v>223.44</v>
      </c>
      <c r="D2022" s="1"/>
    </row>
    <row r="2023" spans="2:4">
      <c r="B2023" s="1">
        <v>2019</v>
      </c>
      <c r="C2023" s="1">
        <v>223.56</v>
      </c>
      <c r="D2023" s="1"/>
    </row>
    <row r="2024" spans="2:4">
      <c r="B2024" s="1">
        <v>2020</v>
      </c>
      <c r="C2024" s="1">
        <v>223.67</v>
      </c>
      <c r="D2024" s="1"/>
    </row>
    <row r="2025" spans="2:4">
      <c r="B2025" s="1">
        <v>2021</v>
      </c>
      <c r="C2025" s="1">
        <v>223.78</v>
      </c>
      <c r="D2025" s="1"/>
    </row>
    <row r="2026" spans="2:4">
      <c r="B2026" s="1">
        <v>2022</v>
      </c>
      <c r="C2026" s="1">
        <v>223.89</v>
      </c>
      <c r="D2026" s="1"/>
    </row>
    <row r="2027" spans="2:4">
      <c r="B2027" s="1">
        <v>2023</v>
      </c>
      <c r="C2027" s="1">
        <v>224</v>
      </c>
      <c r="D2027" s="1"/>
    </row>
    <row r="2028" spans="2:4">
      <c r="B2028" s="1">
        <v>2024</v>
      </c>
      <c r="C2028" s="1">
        <v>224.11</v>
      </c>
      <c r="D2028" s="1"/>
    </row>
    <row r="2029" spans="2:4">
      <c r="B2029" s="1">
        <v>2025</v>
      </c>
      <c r="C2029" s="1">
        <v>224.22</v>
      </c>
      <c r="D2029" s="1"/>
    </row>
    <row r="2030" spans="2:4">
      <c r="B2030" s="1">
        <v>2026</v>
      </c>
      <c r="C2030" s="1">
        <v>224.33</v>
      </c>
      <c r="D2030" s="1"/>
    </row>
    <row r="2031" spans="2:4">
      <c r="B2031" s="1">
        <v>2027</v>
      </c>
      <c r="C2031" s="1">
        <v>224.44</v>
      </c>
      <c r="D2031" s="1"/>
    </row>
    <row r="2032" spans="2:4">
      <c r="B2032" s="1">
        <v>2028</v>
      </c>
      <c r="C2032" s="1">
        <v>224.56</v>
      </c>
      <c r="D2032" s="1"/>
    </row>
    <row r="2033" spans="2:4">
      <c r="B2033" s="1">
        <v>2029</v>
      </c>
      <c r="C2033" s="1">
        <v>224.67</v>
      </c>
      <c r="D2033" s="1"/>
    </row>
    <row r="2034" spans="2:4">
      <c r="B2034" s="1">
        <v>2030</v>
      </c>
      <c r="C2034" s="1">
        <v>224.78</v>
      </c>
      <c r="D2034" s="1"/>
    </row>
    <row r="2035" spans="2:4">
      <c r="B2035" s="1">
        <v>2031</v>
      </c>
      <c r="C2035" s="1">
        <v>224.89</v>
      </c>
      <c r="D2035" s="1"/>
    </row>
    <row r="2036" spans="2:4">
      <c r="B2036" s="1">
        <v>2032</v>
      </c>
      <c r="C2036" s="1">
        <v>225</v>
      </c>
      <c r="D2036" s="1"/>
    </row>
    <row r="2037" spans="2:4">
      <c r="B2037" s="1">
        <v>2033</v>
      </c>
      <c r="C2037" s="1">
        <v>225.11</v>
      </c>
      <c r="D2037" s="1"/>
    </row>
    <row r="2038" spans="2:4">
      <c r="B2038" s="1">
        <v>2034</v>
      </c>
      <c r="C2038" s="1">
        <v>225.22</v>
      </c>
      <c r="D2038" s="1"/>
    </row>
    <row r="2039" spans="2:4">
      <c r="B2039" s="1">
        <v>2035</v>
      </c>
      <c r="C2039" s="1">
        <v>225.33</v>
      </c>
      <c r="D2039" s="1"/>
    </row>
    <row r="2040" spans="2:4">
      <c r="B2040" s="1">
        <v>2036</v>
      </c>
      <c r="C2040" s="1">
        <v>225.44</v>
      </c>
      <c r="D2040" s="1"/>
    </row>
    <row r="2041" spans="2:4">
      <c r="B2041" s="1">
        <v>2037</v>
      </c>
      <c r="C2041" s="1">
        <v>225.56</v>
      </c>
      <c r="D2041" s="1"/>
    </row>
    <row r="2042" spans="2:4">
      <c r="B2042" s="1">
        <v>2038</v>
      </c>
      <c r="C2042" s="1">
        <v>225.67</v>
      </c>
      <c r="D2042" s="1"/>
    </row>
    <row r="2043" spans="2:4">
      <c r="B2043" s="1">
        <v>2039</v>
      </c>
      <c r="C2043" s="1">
        <v>225.78</v>
      </c>
      <c r="D2043" s="1"/>
    </row>
    <row r="2044" spans="2:4">
      <c r="B2044" s="1">
        <v>2040</v>
      </c>
      <c r="C2044" s="1">
        <v>225.89</v>
      </c>
      <c r="D2044" s="1"/>
    </row>
    <row r="2045" spans="2:4">
      <c r="B2045" s="1">
        <v>2041</v>
      </c>
      <c r="C2045" s="1">
        <v>226</v>
      </c>
      <c r="D2045" s="1"/>
    </row>
    <row r="2046" spans="2:4">
      <c r="B2046" s="1">
        <v>2042</v>
      </c>
      <c r="C2046" s="1">
        <v>226.11</v>
      </c>
      <c r="D2046" s="1"/>
    </row>
    <row r="2047" spans="2:4">
      <c r="B2047" s="1">
        <v>2043</v>
      </c>
      <c r="C2047" s="1">
        <v>226.22</v>
      </c>
      <c r="D2047" s="1"/>
    </row>
    <row r="2048" spans="2:4">
      <c r="B2048" s="1">
        <v>2044</v>
      </c>
      <c r="C2048" s="1">
        <v>226.33</v>
      </c>
      <c r="D2048" s="1"/>
    </row>
    <row r="2049" spans="2:4">
      <c r="B2049" s="1">
        <v>2045</v>
      </c>
      <c r="C2049" s="1">
        <v>226.44</v>
      </c>
      <c r="D2049" s="1"/>
    </row>
    <row r="2050" spans="2:4">
      <c r="B2050" s="1">
        <v>2046</v>
      </c>
      <c r="C2050" s="1">
        <v>226.56</v>
      </c>
      <c r="D2050" s="1"/>
    </row>
    <row r="2051" spans="2:4">
      <c r="B2051" s="1">
        <v>2047</v>
      </c>
      <c r="C2051" s="1">
        <v>226.67</v>
      </c>
      <c r="D2051" s="1"/>
    </row>
    <row r="2052" spans="2:4">
      <c r="B2052" s="1">
        <v>2048</v>
      </c>
      <c r="C2052" s="1">
        <v>226.78</v>
      </c>
      <c r="D2052" s="1"/>
    </row>
    <row r="2053" spans="2:4">
      <c r="B2053" s="1">
        <v>2049</v>
      </c>
      <c r="C2053" s="1">
        <v>226.89</v>
      </c>
      <c r="D2053" s="1"/>
    </row>
    <row r="2054" spans="2:4">
      <c r="B2054" s="1">
        <v>2050</v>
      </c>
      <c r="C2054" s="1">
        <v>227</v>
      </c>
      <c r="D2054" s="1"/>
    </row>
    <row r="2055" spans="2:4">
      <c r="B2055" s="1">
        <v>2051</v>
      </c>
      <c r="C2055" s="1">
        <v>227.11</v>
      </c>
      <c r="D2055" s="1"/>
    </row>
    <row r="2056" spans="2:4">
      <c r="B2056" s="1">
        <v>2052</v>
      </c>
      <c r="C2056" s="1">
        <v>227.22</v>
      </c>
      <c r="D2056" s="1"/>
    </row>
    <row r="2057" spans="2:4">
      <c r="B2057" s="1">
        <v>2053</v>
      </c>
      <c r="C2057" s="1">
        <v>227.33</v>
      </c>
      <c r="D2057" s="1"/>
    </row>
    <row r="2058" spans="2:4">
      <c r="B2058" s="1">
        <v>2054</v>
      </c>
      <c r="C2058" s="1">
        <v>227.44</v>
      </c>
      <c r="D2058" s="1"/>
    </row>
    <row r="2059" spans="2:4">
      <c r="B2059" s="1">
        <v>2055</v>
      </c>
      <c r="C2059" s="1">
        <v>227.56</v>
      </c>
      <c r="D2059" s="1"/>
    </row>
    <row r="2060" spans="2:4">
      <c r="B2060" s="1">
        <v>2056</v>
      </c>
      <c r="C2060" s="1">
        <v>227.67</v>
      </c>
      <c r="D2060" s="1"/>
    </row>
    <row r="2061" spans="2:4">
      <c r="B2061" s="1">
        <v>2057</v>
      </c>
      <c r="C2061" s="1">
        <v>227.78</v>
      </c>
      <c r="D2061" s="1"/>
    </row>
    <row r="2062" spans="2:4">
      <c r="B2062" s="1">
        <v>2058</v>
      </c>
      <c r="C2062" s="1">
        <v>227.89</v>
      </c>
      <c r="D2062" s="1"/>
    </row>
    <row r="2063" spans="2:4">
      <c r="B2063" s="1">
        <v>2059</v>
      </c>
      <c r="C2063" s="1">
        <v>228</v>
      </c>
      <c r="D2063" s="1"/>
    </row>
    <row r="2064" spans="2:4">
      <c r="B2064" s="1">
        <v>2060</v>
      </c>
      <c r="C2064" s="1">
        <v>228.11</v>
      </c>
      <c r="D2064" s="1"/>
    </row>
    <row r="2065" spans="2:4">
      <c r="B2065" s="1">
        <v>2061</v>
      </c>
      <c r="C2065" s="1">
        <v>228.22</v>
      </c>
      <c r="D2065" s="1"/>
    </row>
    <row r="2066" spans="2:4">
      <c r="B2066" s="1">
        <v>2062</v>
      </c>
      <c r="C2066" s="1">
        <v>228.33</v>
      </c>
      <c r="D2066" s="1"/>
    </row>
    <row r="2067" spans="2:4">
      <c r="B2067" s="1">
        <v>2063</v>
      </c>
      <c r="C2067" s="1">
        <v>228.44</v>
      </c>
      <c r="D2067" s="1"/>
    </row>
    <row r="2068" spans="2:4">
      <c r="B2068" s="1">
        <v>2064</v>
      </c>
      <c r="C2068" s="1">
        <v>228.56</v>
      </c>
      <c r="D2068" s="1"/>
    </row>
    <row r="2069" spans="2:4">
      <c r="B2069" s="1">
        <v>2065</v>
      </c>
      <c r="C2069" s="1">
        <v>228.67</v>
      </c>
      <c r="D2069" s="1"/>
    </row>
    <row r="2070" spans="2:4">
      <c r="B2070" s="1">
        <v>2066</v>
      </c>
      <c r="C2070" s="1">
        <v>228.78</v>
      </c>
      <c r="D2070" s="1"/>
    </row>
    <row r="2071" spans="2:4">
      <c r="B2071" s="1">
        <v>2067</v>
      </c>
      <c r="C2071" s="1">
        <v>228.89</v>
      </c>
      <c r="D2071" s="1"/>
    </row>
    <row r="2072" spans="2:4">
      <c r="B2072" s="1">
        <v>2068</v>
      </c>
      <c r="C2072" s="1">
        <v>229</v>
      </c>
      <c r="D2072" s="1"/>
    </row>
    <row r="2073" spans="2:4">
      <c r="B2073" s="1">
        <v>2069</v>
      </c>
      <c r="C2073" s="1">
        <v>229.11</v>
      </c>
      <c r="D2073" s="1"/>
    </row>
    <row r="2074" spans="2:4">
      <c r="B2074" s="1">
        <v>2070</v>
      </c>
      <c r="C2074" s="1">
        <v>229.22</v>
      </c>
      <c r="D2074" s="1"/>
    </row>
    <row r="2075" spans="2:4">
      <c r="B2075" s="1">
        <v>2071</v>
      </c>
      <c r="C2075" s="1">
        <v>229.33</v>
      </c>
      <c r="D2075" s="1"/>
    </row>
    <row r="2076" spans="2:4">
      <c r="B2076" s="1">
        <v>2072</v>
      </c>
      <c r="C2076" s="1">
        <v>229.44</v>
      </c>
      <c r="D2076" s="1"/>
    </row>
    <row r="2077" spans="2:4">
      <c r="B2077" s="1">
        <v>2073</v>
      </c>
      <c r="C2077" s="1">
        <v>229.56</v>
      </c>
      <c r="D2077" s="1"/>
    </row>
    <row r="2078" spans="2:4">
      <c r="B2078" s="1">
        <v>2074</v>
      </c>
      <c r="C2078" s="1">
        <v>229.67</v>
      </c>
      <c r="D2078" s="1"/>
    </row>
    <row r="2079" spans="2:4">
      <c r="B2079" s="1">
        <v>2075</v>
      </c>
      <c r="C2079" s="1">
        <v>229.78</v>
      </c>
      <c r="D2079" s="1"/>
    </row>
    <row r="2080" spans="2:4">
      <c r="B2080" s="1">
        <v>2076</v>
      </c>
      <c r="C2080" s="1">
        <v>229.89</v>
      </c>
      <c r="D2080" s="1"/>
    </row>
    <row r="2081" spans="2:4">
      <c r="B2081" s="1">
        <v>2077</v>
      </c>
      <c r="C2081" s="1">
        <v>230</v>
      </c>
      <c r="D2081" s="1"/>
    </row>
    <row r="2082" spans="2:4">
      <c r="B2082" s="1">
        <v>2078</v>
      </c>
      <c r="C2082" s="1">
        <v>230.11</v>
      </c>
      <c r="D2082" s="1"/>
    </row>
    <row r="2083" spans="2:4">
      <c r="B2083" s="1">
        <v>2079</v>
      </c>
      <c r="C2083" s="1">
        <v>230.22</v>
      </c>
      <c r="D2083" s="1"/>
    </row>
    <row r="2084" spans="2:4">
      <c r="B2084" s="1">
        <v>2080</v>
      </c>
      <c r="C2084" s="1">
        <v>230.33</v>
      </c>
      <c r="D2084" s="1"/>
    </row>
    <row r="2085" spans="2:4">
      <c r="B2085" s="1">
        <v>2081</v>
      </c>
      <c r="C2085" s="1">
        <v>230.44</v>
      </c>
      <c r="D2085" s="1"/>
    </row>
    <row r="2086" spans="2:4">
      <c r="B2086" s="1">
        <v>2082</v>
      </c>
      <c r="C2086" s="1">
        <v>230.56</v>
      </c>
      <c r="D2086" s="1"/>
    </row>
    <row r="2087" spans="2:4">
      <c r="B2087" s="1">
        <v>2083</v>
      </c>
      <c r="C2087" s="1">
        <v>230.67</v>
      </c>
      <c r="D2087" s="1"/>
    </row>
    <row r="2088" spans="2:4">
      <c r="B2088" s="1">
        <v>2084</v>
      </c>
      <c r="C2088" s="1">
        <v>230.78</v>
      </c>
      <c r="D2088" s="1"/>
    </row>
    <row r="2089" spans="2:4">
      <c r="B2089" s="1">
        <v>2085</v>
      </c>
      <c r="C2089" s="1">
        <v>230.89</v>
      </c>
      <c r="D2089" s="1"/>
    </row>
    <row r="2090" spans="2:4">
      <c r="B2090" s="1">
        <v>2086</v>
      </c>
      <c r="C2090" s="1">
        <v>231</v>
      </c>
      <c r="D2090" s="1"/>
    </row>
    <row r="2091" spans="2:4">
      <c r="B2091" s="1">
        <v>2087</v>
      </c>
      <c r="C2091" s="1">
        <v>231.11</v>
      </c>
      <c r="D2091" s="1"/>
    </row>
    <row r="2092" spans="2:4">
      <c r="B2092" s="1">
        <v>2088</v>
      </c>
      <c r="C2092" s="1">
        <v>231.22</v>
      </c>
      <c r="D2092" s="1"/>
    </row>
    <row r="2093" spans="2:4">
      <c r="B2093" s="1">
        <v>2089</v>
      </c>
      <c r="C2093" s="1">
        <v>231.33</v>
      </c>
      <c r="D2093" s="1"/>
    </row>
    <row r="2094" spans="2:4">
      <c r="B2094" s="1">
        <v>2090</v>
      </c>
      <c r="C2094" s="1">
        <v>231.44</v>
      </c>
      <c r="D2094" s="1"/>
    </row>
    <row r="2095" spans="2:4">
      <c r="B2095" s="1">
        <v>2091</v>
      </c>
      <c r="C2095" s="1">
        <v>231.56</v>
      </c>
      <c r="D2095" s="1"/>
    </row>
    <row r="2096" spans="2:4">
      <c r="B2096" s="1">
        <v>2092</v>
      </c>
      <c r="C2096" s="1">
        <v>231.67</v>
      </c>
      <c r="D2096" s="1"/>
    </row>
    <row r="2097" spans="2:4">
      <c r="B2097" s="1">
        <v>2093</v>
      </c>
      <c r="C2097" s="1">
        <v>231.78</v>
      </c>
      <c r="D2097" s="1"/>
    </row>
    <row r="2098" spans="2:4">
      <c r="B2098" s="1">
        <v>2094</v>
      </c>
      <c r="C2098" s="1">
        <v>231.89</v>
      </c>
      <c r="D2098" s="1"/>
    </row>
    <row r="2099" spans="2:4">
      <c r="B2099" s="1">
        <v>2095</v>
      </c>
      <c r="C2099" s="1">
        <v>232</v>
      </c>
      <c r="D2099" s="1"/>
    </row>
    <row r="2100" spans="2:4">
      <c r="B2100" s="1">
        <v>2096</v>
      </c>
      <c r="C2100" s="1">
        <v>232.11</v>
      </c>
      <c r="D2100" s="1"/>
    </row>
    <row r="2101" spans="2:4">
      <c r="B2101" s="1">
        <v>2097</v>
      </c>
      <c r="C2101" s="1">
        <v>232.22</v>
      </c>
      <c r="D2101" s="1"/>
    </row>
    <row r="2102" spans="2:4">
      <c r="B2102" s="1">
        <v>2098</v>
      </c>
      <c r="C2102" s="1">
        <v>232.33</v>
      </c>
      <c r="D2102" s="1"/>
    </row>
    <row r="2103" spans="2:4">
      <c r="B2103" s="1">
        <v>2099</v>
      </c>
      <c r="C2103" s="1">
        <v>232.44</v>
      </c>
      <c r="D2103" s="1"/>
    </row>
    <row r="2104" spans="2:4">
      <c r="B2104" s="1">
        <v>2100</v>
      </c>
      <c r="C2104" s="1">
        <v>232.56</v>
      </c>
      <c r="D2104" s="1"/>
    </row>
    <row r="2105" spans="2:4">
      <c r="B2105" s="1">
        <v>2101</v>
      </c>
      <c r="C2105" s="1">
        <v>232.67</v>
      </c>
      <c r="D2105" s="1"/>
    </row>
    <row r="2106" spans="2:4">
      <c r="B2106" s="1">
        <v>2102</v>
      </c>
      <c r="C2106" s="1">
        <v>232.78</v>
      </c>
      <c r="D2106" s="1"/>
    </row>
    <row r="2107" spans="2:4">
      <c r="B2107" s="1">
        <v>2103</v>
      </c>
      <c r="C2107" s="1">
        <v>232.89</v>
      </c>
      <c r="D2107" s="1"/>
    </row>
    <row r="2108" spans="2:4">
      <c r="B2108" s="1">
        <v>2104</v>
      </c>
      <c r="C2108" s="1">
        <v>233</v>
      </c>
      <c r="D2108" s="1"/>
    </row>
    <row r="2109" spans="2:4">
      <c r="B2109" s="1">
        <v>2105</v>
      </c>
      <c r="C2109" s="1">
        <v>233.11</v>
      </c>
      <c r="D2109" s="1"/>
    </row>
    <row r="2110" spans="2:4">
      <c r="B2110" s="1">
        <v>2106</v>
      </c>
      <c r="C2110" s="1">
        <v>233.22</v>
      </c>
      <c r="D2110" s="1"/>
    </row>
    <row r="2111" spans="2:4">
      <c r="B2111" s="1">
        <v>2107</v>
      </c>
      <c r="C2111" s="1">
        <v>233.33</v>
      </c>
      <c r="D2111" s="1"/>
    </row>
    <row r="2112" spans="2:4">
      <c r="B2112" s="1">
        <v>2108</v>
      </c>
      <c r="C2112" s="1">
        <v>233.44</v>
      </c>
      <c r="D2112" s="1"/>
    </row>
    <row r="2113" spans="2:4">
      <c r="B2113" s="1">
        <v>2109</v>
      </c>
      <c r="C2113" s="1">
        <v>233.56</v>
      </c>
      <c r="D2113" s="1"/>
    </row>
    <row r="2114" spans="2:4">
      <c r="B2114" s="1">
        <v>2110</v>
      </c>
      <c r="C2114" s="1">
        <v>233.67</v>
      </c>
      <c r="D2114" s="1"/>
    </row>
    <row r="2115" spans="2:4">
      <c r="B2115" s="1">
        <v>2111</v>
      </c>
      <c r="C2115" s="1">
        <v>233.78</v>
      </c>
      <c r="D2115" s="1"/>
    </row>
    <row r="2116" spans="2:4">
      <c r="B2116" s="1">
        <v>2112</v>
      </c>
      <c r="C2116" s="1">
        <v>233.89</v>
      </c>
      <c r="D2116" s="1"/>
    </row>
    <row r="2117" spans="2:4">
      <c r="B2117" s="1">
        <v>2113</v>
      </c>
      <c r="C2117" s="1">
        <v>234</v>
      </c>
      <c r="D2117" s="1"/>
    </row>
    <row r="2118" spans="2:4">
      <c r="B2118" s="1">
        <v>2114</v>
      </c>
      <c r="C2118" s="1">
        <v>234.11</v>
      </c>
      <c r="D2118" s="1"/>
    </row>
    <row r="2119" spans="2:4">
      <c r="B2119" s="1">
        <v>2115</v>
      </c>
      <c r="C2119" s="1">
        <v>234.22</v>
      </c>
      <c r="D2119" s="1"/>
    </row>
    <row r="2120" spans="2:4">
      <c r="B2120" s="1">
        <v>2116</v>
      </c>
      <c r="C2120" s="1">
        <v>234.33</v>
      </c>
      <c r="D2120" s="1"/>
    </row>
    <row r="2121" spans="2:4">
      <c r="B2121" s="1">
        <v>2117</v>
      </c>
      <c r="C2121" s="1">
        <v>234.44</v>
      </c>
      <c r="D2121" s="1"/>
    </row>
    <row r="2122" spans="2:4">
      <c r="B2122" s="1">
        <v>2118</v>
      </c>
      <c r="C2122" s="1">
        <v>234.56</v>
      </c>
      <c r="D2122" s="1"/>
    </row>
    <row r="2123" spans="2:4">
      <c r="B2123" s="1">
        <v>2119</v>
      </c>
      <c r="C2123" s="1">
        <v>234.67</v>
      </c>
      <c r="D2123" s="1"/>
    </row>
    <row r="2124" spans="2:4">
      <c r="B2124" s="1">
        <v>2120</v>
      </c>
      <c r="C2124" s="1">
        <v>234.78</v>
      </c>
      <c r="D2124" s="1"/>
    </row>
    <row r="2125" spans="2:4">
      <c r="B2125" s="1">
        <v>2121</v>
      </c>
      <c r="C2125" s="1">
        <v>234.89</v>
      </c>
      <c r="D2125" s="1"/>
    </row>
    <row r="2126" spans="2:4">
      <c r="B2126" s="1">
        <v>2122</v>
      </c>
      <c r="C2126" s="1">
        <v>235</v>
      </c>
      <c r="D2126" s="1"/>
    </row>
    <row r="2127" spans="2:4">
      <c r="B2127" s="1">
        <v>2123</v>
      </c>
      <c r="C2127" s="1">
        <v>235.11</v>
      </c>
      <c r="D2127" s="1"/>
    </row>
    <row r="2128" spans="2:4">
      <c r="B2128" s="1">
        <v>2124</v>
      </c>
      <c r="C2128" s="1">
        <v>235.22</v>
      </c>
      <c r="D2128" s="1"/>
    </row>
    <row r="2129" spans="2:4">
      <c r="B2129" s="1">
        <v>2125</v>
      </c>
      <c r="C2129" s="1">
        <v>235.33</v>
      </c>
      <c r="D2129" s="1"/>
    </row>
    <row r="2130" spans="2:4">
      <c r="B2130" s="1">
        <v>2126</v>
      </c>
      <c r="C2130" s="1">
        <v>235.44</v>
      </c>
      <c r="D2130" s="1"/>
    </row>
    <row r="2131" spans="2:4">
      <c r="B2131" s="1">
        <v>2127</v>
      </c>
      <c r="C2131" s="1">
        <v>235.56</v>
      </c>
      <c r="D2131" s="1"/>
    </row>
    <row r="2132" spans="2:4">
      <c r="B2132" s="1">
        <v>2128</v>
      </c>
      <c r="C2132" s="1">
        <v>235.67</v>
      </c>
      <c r="D2132" s="1"/>
    </row>
    <row r="2133" spans="2:4">
      <c r="B2133" s="1">
        <v>2129</v>
      </c>
      <c r="C2133" s="1">
        <v>235.78</v>
      </c>
      <c r="D2133" s="1"/>
    </row>
    <row r="2134" spans="2:4">
      <c r="B2134" s="1">
        <v>2130</v>
      </c>
      <c r="C2134" s="1">
        <v>235.89</v>
      </c>
      <c r="D2134" s="1"/>
    </row>
    <row r="2135" spans="2:4">
      <c r="B2135" s="1">
        <v>2131</v>
      </c>
      <c r="C2135" s="1">
        <v>236</v>
      </c>
      <c r="D2135" s="1"/>
    </row>
    <row r="2136" spans="2:4">
      <c r="B2136" s="1">
        <v>2132</v>
      </c>
      <c r="C2136" s="1">
        <v>236.11</v>
      </c>
      <c r="D2136" s="1"/>
    </row>
    <row r="2137" spans="2:4">
      <c r="B2137" s="1">
        <v>2133</v>
      </c>
      <c r="C2137" s="1">
        <v>236.22</v>
      </c>
      <c r="D2137" s="1"/>
    </row>
    <row r="2138" spans="2:4">
      <c r="B2138" s="1">
        <v>2134</v>
      </c>
      <c r="C2138" s="1">
        <v>236.33</v>
      </c>
      <c r="D2138" s="1"/>
    </row>
    <row r="2139" spans="2:4">
      <c r="B2139" s="1">
        <v>2135</v>
      </c>
      <c r="C2139" s="1">
        <v>236.44</v>
      </c>
      <c r="D2139" s="1"/>
    </row>
    <row r="2140" spans="2:4">
      <c r="B2140" s="1">
        <v>2136</v>
      </c>
      <c r="C2140" s="1">
        <v>236.56</v>
      </c>
      <c r="D2140" s="1"/>
    </row>
    <row r="2141" spans="2:4">
      <c r="B2141" s="1">
        <v>2137</v>
      </c>
      <c r="C2141" s="1">
        <v>236.67</v>
      </c>
      <c r="D2141" s="1"/>
    </row>
    <row r="2142" spans="2:4">
      <c r="B2142" s="1">
        <v>2138</v>
      </c>
      <c r="C2142" s="1">
        <v>236.78</v>
      </c>
      <c r="D2142" s="1"/>
    </row>
    <row r="2143" spans="2:4">
      <c r="B2143" s="1">
        <v>2139</v>
      </c>
      <c r="C2143" s="1">
        <v>236.89</v>
      </c>
      <c r="D2143" s="1"/>
    </row>
    <row r="2144" spans="2:4">
      <c r="B2144" s="1">
        <v>2140</v>
      </c>
      <c r="C2144" s="1">
        <v>237</v>
      </c>
      <c r="D2144" s="1"/>
    </row>
    <row r="2145" spans="2:4">
      <c r="B2145" s="1">
        <v>2141</v>
      </c>
      <c r="C2145" s="1">
        <v>237.11</v>
      </c>
      <c r="D2145" s="1"/>
    </row>
    <row r="2146" spans="2:4">
      <c r="B2146" s="1">
        <v>2142</v>
      </c>
      <c r="C2146" s="1">
        <v>237.22</v>
      </c>
      <c r="D2146" s="1"/>
    </row>
    <row r="2147" spans="2:4">
      <c r="B2147" s="1">
        <v>2143</v>
      </c>
      <c r="C2147" s="1">
        <v>237.33</v>
      </c>
      <c r="D2147" s="1"/>
    </row>
    <row r="2148" spans="2:4">
      <c r="B2148" s="1">
        <v>2144</v>
      </c>
      <c r="C2148" s="1">
        <v>237.44</v>
      </c>
      <c r="D2148" s="1"/>
    </row>
    <row r="2149" spans="2:4">
      <c r="B2149" s="1">
        <v>2145</v>
      </c>
      <c r="C2149" s="1">
        <v>237.56</v>
      </c>
      <c r="D2149" s="1"/>
    </row>
    <row r="2150" spans="2:4">
      <c r="B2150" s="1">
        <v>2146</v>
      </c>
      <c r="C2150" s="1">
        <v>237.67</v>
      </c>
      <c r="D2150" s="1"/>
    </row>
    <row r="2151" spans="2:4">
      <c r="B2151" s="1">
        <v>2147</v>
      </c>
      <c r="C2151" s="1">
        <v>237.78</v>
      </c>
      <c r="D2151" s="1"/>
    </row>
    <row r="2152" spans="2:4">
      <c r="B2152" s="1">
        <v>2148</v>
      </c>
      <c r="C2152" s="1">
        <v>237.89</v>
      </c>
      <c r="D2152" s="1"/>
    </row>
    <row r="2153" spans="2:4">
      <c r="B2153" s="1">
        <v>2149</v>
      </c>
      <c r="C2153" s="1">
        <v>238</v>
      </c>
      <c r="D2153" s="1"/>
    </row>
    <row r="2154" spans="2:4">
      <c r="B2154" s="1">
        <v>2150</v>
      </c>
      <c r="C2154" s="1">
        <v>238.11</v>
      </c>
      <c r="D2154" s="1"/>
    </row>
    <row r="2155" spans="2:4">
      <c r="B2155" s="1">
        <v>2151</v>
      </c>
      <c r="C2155" s="1">
        <v>238.22</v>
      </c>
      <c r="D2155" s="1"/>
    </row>
    <row r="2156" spans="2:4">
      <c r="B2156" s="1">
        <v>2152</v>
      </c>
      <c r="C2156" s="1">
        <v>238.33</v>
      </c>
      <c r="D2156" s="1"/>
    </row>
    <row r="2157" spans="2:4">
      <c r="B2157" s="1">
        <v>2153</v>
      </c>
      <c r="C2157" s="1">
        <v>238.44</v>
      </c>
      <c r="D2157" s="1"/>
    </row>
    <row r="2158" spans="2:4">
      <c r="B2158" s="1">
        <v>2154</v>
      </c>
      <c r="C2158" s="1">
        <v>238.56</v>
      </c>
      <c r="D2158" s="1"/>
    </row>
    <row r="2159" spans="2:4">
      <c r="B2159" s="1">
        <v>2155</v>
      </c>
      <c r="C2159" s="1">
        <v>238.67</v>
      </c>
      <c r="D2159" s="1"/>
    </row>
    <row r="2160" spans="2:4">
      <c r="B2160" s="1">
        <v>2156</v>
      </c>
      <c r="C2160" s="1">
        <v>238.78</v>
      </c>
      <c r="D2160" s="1"/>
    </row>
    <row r="2161" spans="2:4">
      <c r="B2161" s="1">
        <v>2157</v>
      </c>
      <c r="C2161" s="1">
        <v>238.89</v>
      </c>
      <c r="D2161" s="1"/>
    </row>
    <row r="2162" spans="2:4">
      <c r="B2162" s="1">
        <v>2158</v>
      </c>
      <c r="C2162" s="1">
        <v>239</v>
      </c>
      <c r="D2162" s="1"/>
    </row>
    <row r="2163" spans="2:4">
      <c r="B2163" s="1">
        <v>2159</v>
      </c>
      <c r="C2163" s="1">
        <v>239.11</v>
      </c>
      <c r="D2163" s="1"/>
    </row>
    <row r="2164" spans="2:4">
      <c r="B2164" s="1">
        <v>2160</v>
      </c>
      <c r="C2164" s="1">
        <v>239.22</v>
      </c>
      <c r="D2164" s="1"/>
    </row>
    <row r="2165" spans="2:4">
      <c r="B2165" s="1">
        <v>2161</v>
      </c>
      <c r="C2165" s="1">
        <v>239.33</v>
      </c>
      <c r="D2165" s="1"/>
    </row>
    <row r="2166" spans="2:4">
      <c r="B2166" s="1">
        <v>2162</v>
      </c>
      <c r="C2166" s="1">
        <v>239.44</v>
      </c>
      <c r="D2166" s="1"/>
    </row>
    <row r="2167" spans="2:4">
      <c r="B2167" s="1">
        <v>2163</v>
      </c>
      <c r="C2167" s="1">
        <v>239.56</v>
      </c>
      <c r="D2167" s="1"/>
    </row>
    <row r="2168" spans="2:4">
      <c r="B2168" s="1">
        <v>2164</v>
      </c>
      <c r="C2168" s="1">
        <v>239.67</v>
      </c>
      <c r="D2168" s="1"/>
    </row>
    <row r="2169" spans="2:4">
      <c r="B2169" s="1">
        <v>2165</v>
      </c>
      <c r="C2169" s="1">
        <v>239.78</v>
      </c>
      <c r="D2169" s="1"/>
    </row>
    <row r="2170" spans="2:4">
      <c r="B2170" s="1">
        <v>2166</v>
      </c>
      <c r="C2170" s="1">
        <v>239.89</v>
      </c>
      <c r="D2170" s="1"/>
    </row>
    <row r="2171" spans="2:4">
      <c r="B2171" s="1">
        <v>2167</v>
      </c>
      <c r="C2171" s="1">
        <v>240</v>
      </c>
      <c r="D2171" s="1"/>
    </row>
    <row r="2172" spans="2:4">
      <c r="B2172" s="1">
        <v>2168</v>
      </c>
      <c r="C2172" s="1">
        <v>240.11</v>
      </c>
      <c r="D2172" s="1"/>
    </row>
    <row r="2173" spans="2:4">
      <c r="B2173" s="1">
        <v>2169</v>
      </c>
      <c r="C2173" s="1">
        <v>240.22</v>
      </c>
      <c r="D2173" s="1"/>
    </row>
    <row r="2174" spans="2:4">
      <c r="B2174" s="1">
        <v>2170</v>
      </c>
      <c r="C2174" s="1">
        <v>240.33</v>
      </c>
      <c r="D2174" s="1"/>
    </row>
    <row r="2175" spans="2:4">
      <c r="B2175" s="1">
        <v>2171</v>
      </c>
      <c r="C2175" s="1">
        <v>240.44</v>
      </c>
      <c r="D2175" s="1"/>
    </row>
    <row r="2176" spans="2:4">
      <c r="B2176" s="1">
        <v>2172</v>
      </c>
      <c r="C2176" s="1">
        <v>240.56</v>
      </c>
      <c r="D2176" s="1"/>
    </row>
    <row r="2177" spans="2:4">
      <c r="B2177" s="1">
        <v>2173</v>
      </c>
      <c r="C2177" s="1">
        <v>240.67</v>
      </c>
      <c r="D2177" s="1"/>
    </row>
    <row r="2178" spans="2:4">
      <c r="B2178" s="1">
        <v>2174</v>
      </c>
      <c r="C2178" s="1">
        <v>240.78</v>
      </c>
      <c r="D2178" s="1"/>
    </row>
    <row r="2179" spans="2:4">
      <c r="B2179" s="1">
        <v>2175</v>
      </c>
      <c r="C2179" s="1">
        <v>240.89</v>
      </c>
      <c r="D2179" s="1"/>
    </row>
    <row r="2180" spans="2:4">
      <c r="B2180" s="1">
        <v>2176</v>
      </c>
      <c r="C2180" s="1">
        <v>241</v>
      </c>
      <c r="D2180" s="1"/>
    </row>
    <row r="2181" spans="2:4">
      <c r="B2181" s="1">
        <v>2177</v>
      </c>
      <c r="C2181" s="1">
        <v>241.11</v>
      </c>
      <c r="D2181" s="1"/>
    </row>
    <row r="2182" spans="2:4">
      <c r="B2182" s="1">
        <v>2178</v>
      </c>
      <c r="C2182" s="1">
        <v>241.22</v>
      </c>
      <c r="D2182" s="1"/>
    </row>
    <row r="2183" spans="2:4">
      <c r="B2183" s="1">
        <v>2179</v>
      </c>
      <c r="C2183" s="1">
        <v>241.33</v>
      </c>
      <c r="D2183" s="1"/>
    </row>
    <row r="2184" spans="2:4">
      <c r="B2184" s="1">
        <v>2180</v>
      </c>
      <c r="C2184" s="1">
        <v>241.44</v>
      </c>
      <c r="D2184" s="1"/>
    </row>
    <row r="2185" spans="2:4">
      <c r="B2185" s="1">
        <v>2181</v>
      </c>
      <c r="C2185" s="1">
        <v>241.56</v>
      </c>
      <c r="D2185" s="1"/>
    </row>
    <row r="2186" spans="2:4">
      <c r="B2186" s="1">
        <v>2182</v>
      </c>
      <c r="C2186" s="1">
        <v>241.67</v>
      </c>
      <c r="D2186" s="1"/>
    </row>
    <row r="2187" spans="2:4">
      <c r="B2187" s="1">
        <v>2183</v>
      </c>
      <c r="C2187" s="1">
        <v>241.78</v>
      </c>
      <c r="D2187" s="1"/>
    </row>
    <row r="2188" spans="2:4">
      <c r="B2188" s="1">
        <v>2184</v>
      </c>
      <c r="C2188" s="1">
        <v>241.89</v>
      </c>
      <c r="D2188" s="1"/>
    </row>
    <row r="2189" spans="2:4">
      <c r="B2189" s="1">
        <v>2185</v>
      </c>
      <c r="C2189" s="1">
        <v>242</v>
      </c>
      <c r="D2189" s="1"/>
    </row>
    <row r="2190" spans="2:4">
      <c r="B2190" s="1">
        <v>2186</v>
      </c>
      <c r="C2190" s="1">
        <v>242.11</v>
      </c>
      <c r="D2190" s="1"/>
    </row>
    <row r="2191" spans="2:4">
      <c r="B2191" s="1">
        <v>2187</v>
      </c>
      <c r="C2191" s="1">
        <v>242.22</v>
      </c>
      <c r="D2191" s="1"/>
    </row>
    <row r="2192" spans="2:4">
      <c r="B2192" s="1">
        <v>2188</v>
      </c>
      <c r="C2192" s="1">
        <v>242.33</v>
      </c>
      <c r="D2192" s="1"/>
    </row>
    <row r="2193" spans="2:4">
      <c r="B2193" s="1">
        <v>2189</v>
      </c>
      <c r="C2193" s="1">
        <v>242.44</v>
      </c>
      <c r="D2193" s="1"/>
    </row>
    <row r="2194" spans="2:4">
      <c r="B2194" s="1">
        <v>2190</v>
      </c>
      <c r="C2194" s="1">
        <v>242.56</v>
      </c>
      <c r="D2194" s="1"/>
    </row>
    <row r="2195" spans="2:4">
      <c r="B2195" s="1">
        <v>2191</v>
      </c>
      <c r="C2195" s="1">
        <v>242.67</v>
      </c>
      <c r="D2195" s="1"/>
    </row>
    <row r="2196" spans="2:4">
      <c r="B2196" s="1">
        <v>2192</v>
      </c>
      <c r="C2196" s="1">
        <v>242.78</v>
      </c>
      <c r="D2196" s="1"/>
    </row>
    <row r="2197" spans="2:4">
      <c r="B2197" s="1">
        <v>2193</v>
      </c>
      <c r="C2197" s="1">
        <v>242.89</v>
      </c>
      <c r="D2197" s="1"/>
    </row>
    <row r="2198" spans="2:4">
      <c r="B2198" s="1">
        <v>2194</v>
      </c>
      <c r="C2198" s="1">
        <v>243</v>
      </c>
      <c r="D2198" s="1"/>
    </row>
    <row r="2199" spans="2:4">
      <c r="B2199" s="1">
        <v>2195</v>
      </c>
      <c r="C2199" s="1">
        <v>243.11</v>
      </c>
      <c r="D2199" s="1"/>
    </row>
    <row r="2200" spans="2:4">
      <c r="B2200" s="1">
        <v>2196</v>
      </c>
      <c r="C2200" s="1">
        <v>243.22</v>
      </c>
      <c r="D2200" s="1"/>
    </row>
    <row r="2201" spans="2:4">
      <c r="B2201" s="1">
        <v>2197</v>
      </c>
      <c r="C2201" s="1">
        <v>243.33</v>
      </c>
      <c r="D2201" s="1"/>
    </row>
    <row r="2202" spans="2:4">
      <c r="B2202" s="1">
        <v>2198</v>
      </c>
      <c r="C2202" s="1">
        <v>243.44</v>
      </c>
      <c r="D2202" s="1"/>
    </row>
    <row r="2203" spans="2:4">
      <c r="B2203" s="1">
        <v>2199</v>
      </c>
      <c r="C2203" s="1">
        <v>243.56</v>
      </c>
      <c r="D2203" s="1"/>
    </row>
    <row r="2204" spans="2:4">
      <c r="B2204" s="1">
        <v>2200</v>
      </c>
      <c r="C2204" s="1">
        <v>243.67</v>
      </c>
      <c r="D2204" s="1"/>
    </row>
    <row r="2205" spans="2:4">
      <c r="B2205" s="1">
        <v>2201</v>
      </c>
      <c r="C2205" s="1">
        <v>243.78</v>
      </c>
      <c r="D2205" s="1"/>
    </row>
    <row r="2206" spans="2:4">
      <c r="B2206" s="1">
        <v>2202</v>
      </c>
      <c r="C2206" s="1">
        <v>243.89</v>
      </c>
      <c r="D2206" s="1"/>
    </row>
    <row r="2207" spans="2:4">
      <c r="B2207" s="1">
        <v>2203</v>
      </c>
      <c r="C2207" s="1">
        <v>244</v>
      </c>
      <c r="D2207" s="1"/>
    </row>
    <row r="2208" spans="2:4">
      <c r="B2208" s="1">
        <v>2204</v>
      </c>
      <c r="C2208" s="1">
        <v>244.11</v>
      </c>
      <c r="D2208" s="1"/>
    </row>
    <row r="2209" spans="2:4">
      <c r="B2209" s="1">
        <v>2205</v>
      </c>
      <c r="C2209" s="1">
        <v>244.22</v>
      </c>
      <c r="D2209" s="1"/>
    </row>
    <row r="2210" spans="2:4">
      <c r="B2210" s="1">
        <v>2206</v>
      </c>
      <c r="C2210" s="1">
        <v>244.33</v>
      </c>
      <c r="D2210" s="1"/>
    </row>
    <row r="2211" spans="2:4">
      <c r="B2211" s="1">
        <v>2207</v>
      </c>
      <c r="C2211" s="1">
        <v>244.44</v>
      </c>
      <c r="D2211" s="1"/>
    </row>
    <row r="2212" spans="2:4">
      <c r="B2212" s="1">
        <v>2208</v>
      </c>
      <c r="C2212" s="1">
        <v>244.56</v>
      </c>
      <c r="D2212" s="1"/>
    </row>
    <row r="2213" spans="2:4">
      <c r="B2213" s="1">
        <v>2209</v>
      </c>
      <c r="C2213" s="1">
        <v>244.67</v>
      </c>
      <c r="D2213" s="1"/>
    </row>
    <row r="2214" spans="2:4">
      <c r="B2214" s="1">
        <v>2210</v>
      </c>
      <c r="C2214" s="1">
        <v>244.78</v>
      </c>
      <c r="D2214" s="1"/>
    </row>
    <row r="2215" spans="2:4">
      <c r="B2215" s="1">
        <v>2211</v>
      </c>
      <c r="C2215" s="1">
        <v>244.89</v>
      </c>
      <c r="D2215" s="1"/>
    </row>
    <row r="2216" spans="2:4">
      <c r="B2216" s="1">
        <v>2212</v>
      </c>
      <c r="C2216" s="1">
        <v>245</v>
      </c>
      <c r="D2216" s="1"/>
    </row>
    <row r="2217" spans="2:4">
      <c r="B2217" s="1">
        <v>2213</v>
      </c>
      <c r="C2217" s="1">
        <v>245.11</v>
      </c>
      <c r="D2217" s="1"/>
    </row>
    <row r="2218" spans="2:4">
      <c r="B2218" s="1">
        <v>2214</v>
      </c>
      <c r="C2218" s="1">
        <v>245.22</v>
      </c>
      <c r="D2218" s="1"/>
    </row>
    <row r="2219" spans="2:4">
      <c r="B2219" s="1">
        <v>2215</v>
      </c>
      <c r="C2219" s="1">
        <v>245.33</v>
      </c>
      <c r="D2219" s="1"/>
    </row>
    <row r="2220" spans="2:4">
      <c r="B2220" s="1">
        <v>2216</v>
      </c>
      <c r="C2220" s="1">
        <v>245.44</v>
      </c>
      <c r="D2220" s="1"/>
    </row>
    <row r="2221" spans="2:4">
      <c r="B2221" s="1">
        <v>2217</v>
      </c>
      <c r="C2221" s="1">
        <v>245.56</v>
      </c>
      <c r="D2221" s="1"/>
    </row>
    <row r="2222" spans="2:4">
      <c r="B2222" s="1">
        <v>2218</v>
      </c>
      <c r="C2222" s="1">
        <v>245.67</v>
      </c>
      <c r="D2222" s="1"/>
    </row>
    <row r="2223" spans="2:4">
      <c r="B2223" s="1">
        <v>2219</v>
      </c>
      <c r="C2223" s="1">
        <v>245.78</v>
      </c>
      <c r="D2223" s="1"/>
    </row>
    <row r="2224" spans="2:4">
      <c r="B2224" s="1">
        <v>2220</v>
      </c>
      <c r="C2224" s="1">
        <v>245.89</v>
      </c>
      <c r="D2224" s="1"/>
    </row>
    <row r="2225" spans="2:4">
      <c r="B2225" s="1">
        <v>2221</v>
      </c>
      <c r="C2225" s="1">
        <v>246</v>
      </c>
      <c r="D2225" s="1"/>
    </row>
    <row r="2226" spans="2:4">
      <c r="B2226" s="1">
        <v>2222</v>
      </c>
      <c r="C2226" s="1">
        <v>246.11</v>
      </c>
      <c r="D2226" s="1"/>
    </row>
    <row r="2227" spans="2:4">
      <c r="B2227" s="1">
        <v>2223</v>
      </c>
      <c r="C2227" s="1">
        <v>246.22</v>
      </c>
      <c r="D2227" s="1"/>
    </row>
    <row r="2228" spans="2:4">
      <c r="B2228" s="1">
        <v>2224</v>
      </c>
      <c r="C2228" s="1">
        <v>246.33</v>
      </c>
      <c r="D2228" s="1"/>
    </row>
    <row r="2229" spans="2:4">
      <c r="B2229" s="1">
        <v>2225</v>
      </c>
      <c r="C2229" s="1">
        <v>246.44</v>
      </c>
      <c r="D2229" s="1"/>
    </row>
    <row r="2230" spans="2:4">
      <c r="B2230" s="1">
        <v>2226</v>
      </c>
      <c r="C2230" s="1">
        <v>246.56</v>
      </c>
      <c r="D2230" s="1"/>
    </row>
    <row r="2231" spans="2:4">
      <c r="B2231" s="1">
        <v>2227</v>
      </c>
      <c r="C2231" s="1">
        <v>246.67</v>
      </c>
      <c r="D2231" s="1"/>
    </row>
    <row r="2232" spans="2:4">
      <c r="B2232" s="1">
        <v>2228</v>
      </c>
      <c r="C2232" s="1">
        <v>246.78</v>
      </c>
      <c r="D2232" s="1"/>
    </row>
    <row r="2233" spans="2:4">
      <c r="B2233" s="1">
        <v>2229</v>
      </c>
      <c r="C2233" s="1">
        <v>246.89</v>
      </c>
      <c r="D2233" s="1"/>
    </row>
    <row r="2234" spans="2:4">
      <c r="B2234" s="1">
        <v>2230</v>
      </c>
      <c r="C2234" s="1">
        <v>247</v>
      </c>
      <c r="D2234" s="1"/>
    </row>
    <row r="2235" spans="2:4">
      <c r="B2235" s="1">
        <v>2231</v>
      </c>
      <c r="C2235" s="1">
        <v>247.11</v>
      </c>
      <c r="D2235" s="1"/>
    </row>
    <row r="2236" spans="2:4">
      <c r="B2236" s="1">
        <v>2232</v>
      </c>
      <c r="C2236" s="1">
        <v>247.22</v>
      </c>
      <c r="D2236" s="1"/>
    </row>
    <row r="2237" spans="2:4">
      <c r="B2237" s="1">
        <v>2233</v>
      </c>
      <c r="C2237" s="1">
        <v>247.33</v>
      </c>
      <c r="D2237" s="1"/>
    </row>
    <row r="2238" spans="2:4">
      <c r="B2238" s="1">
        <v>2234</v>
      </c>
      <c r="C2238" s="1">
        <v>247.44</v>
      </c>
      <c r="D2238" s="1"/>
    </row>
    <row r="2239" spans="2:4">
      <c r="B2239" s="1">
        <v>2235</v>
      </c>
      <c r="C2239" s="1">
        <v>247.56</v>
      </c>
      <c r="D2239" s="1"/>
    </row>
    <row r="2240" spans="2:4">
      <c r="B2240" s="1">
        <v>2236</v>
      </c>
      <c r="C2240" s="1">
        <v>247.67</v>
      </c>
      <c r="D2240" s="1"/>
    </row>
    <row r="2241" spans="2:4">
      <c r="B2241" s="1">
        <v>2237</v>
      </c>
      <c r="C2241" s="1">
        <v>247.78</v>
      </c>
      <c r="D2241" s="1"/>
    </row>
    <row r="2242" spans="2:4">
      <c r="B2242" s="1">
        <v>2238</v>
      </c>
      <c r="C2242" s="1">
        <v>247.89</v>
      </c>
      <c r="D2242" s="1"/>
    </row>
    <row r="2243" spans="2:4">
      <c r="B2243" s="1">
        <v>2239</v>
      </c>
      <c r="C2243" s="1">
        <v>248</v>
      </c>
      <c r="D2243" s="1"/>
    </row>
    <row r="2244" spans="2:4">
      <c r="B2244" s="1">
        <v>2240</v>
      </c>
      <c r="C2244" s="1">
        <v>248.11</v>
      </c>
      <c r="D2244" s="1"/>
    </row>
    <row r="2245" spans="2:4">
      <c r="B2245" s="1">
        <v>2241</v>
      </c>
      <c r="C2245" s="1">
        <v>248.22</v>
      </c>
      <c r="D2245" s="1"/>
    </row>
    <row r="2246" spans="2:4">
      <c r="B2246" s="1">
        <v>2242</v>
      </c>
      <c r="C2246" s="1">
        <v>248.33</v>
      </c>
      <c r="D2246" s="1"/>
    </row>
    <row r="2247" spans="2:4">
      <c r="B2247" s="1">
        <v>2243</v>
      </c>
      <c r="C2247" s="1">
        <v>248.44</v>
      </c>
      <c r="D2247" s="1"/>
    </row>
    <row r="2248" spans="2:4">
      <c r="B2248" s="1">
        <v>2244</v>
      </c>
      <c r="C2248" s="1">
        <v>248.56</v>
      </c>
      <c r="D2248" s="1"/>
    </row>
    <row r="2249" spans="2:4">
      <c r="B2249" s="1">
        <v>2245</v>
      </c>
      <c r="C2249" s="1">
        <v>248.67</v>
      </c>
      <c r="D2249" s="1"/>
    </row>
    <row r="2250" spans="2:4">
      <c r="B2250" s="1">
        <v>2246</v>
      </c>
      <c r="C2250" s="1">
        <v>248.78</v>
      </c>
      <c r="D2250" s="1"/>
    </row>
    <row r="2251" spans="2:4">
      <c r="B2251" s="1">
        <v>2247</v>
      </c>
      <c r="C2251" s="1">
        <v>248.89</v>
      </c>
      <c r="D2251" s="1"/>
    </row>
    <row r="2252" spans="2:4">
      <c r="B2252" s="1">
        <v>2248</v>
      </c>
      <c r="C2252" s="1">
        <v>249</v>
      </c>
      <c r="D2252" s="1"/>
    </row>
    <row r="2253" spans="2:4">
      <c r="B2253" s="1">
        <v>2249</v>
      </c>
      <c r="C2253" s="1">
        <v>249.11</v>
      </c>
      <c r="D2253" s="1"/>
    </row>
    <row r="2254" spans="2:4">
      <c r="B2254" s="1">
        <v>2250</v>
      </c>
      <c r="C2254" s="1">
        <v>249.22</v>
      </c>
      <c r="D2254" s="1"/>
    </row>
    <row r="2255" spans="2:4">
      <c r="B2255" s="1">
        <v>2251</v>
      </c>
      <c r="C2255" s="1">
        <v>249.33</v>
      </c>
      <c r="D2255" s="1"/>
    </row>
    <row r="2256" spans="2:4">
      <c r="B2256" s="1">
        <v>2252</v>
      </c>
      <c r="C2256" s="1">
        <v>249.44</v>
      </c>
      <c r="D2256" s="1"/>
    </row>
    <row r="2257" spans="2:4">
      <c r="B2257" s="1">
        <v>2253</v>
      </c>
      <c r="C2257" s="1">
        <v>249.56</v>
      </c>
      <c r="D2257" s="1"/>
    </row>
    <row r="2258" spans="2:4">
      <c r="B2258" s="1">
        <v>2254</v>
      </c>
      <c r="C2258" s="1">
        <v>249.67</v>
      </c>
      <c r="D2258" s="1"/>
    </row>
    <row r="2259" spans="2:4">
      <c r="B2259" s="1">
        <v>2255</v>
      </c>
      <c r="C2259" s="1">
        <v>249.78</v>
      </c>
      <c r="D2259" s="1"/>
    </row>
    <row r="2260" spans="2:4">
      <c r="B2260" s="1">
        <v>2256</v>
      </c>
      <c r="C2260" s="1">
        <v>249.89</v>
      </c>
      <c r="D2260" s="1"/>
    </row>
    <row r="2261" spans="2:4">
      <c r="B2261" s="1">
        <v>2257</v>
      </c>
      <c r="C2261" s="1">
        <v>250</v>
      </c>
      <c r="D2261" s="1"/>
    </row>
    <row r="2262" spans="2:4">
      <c r="B2262" s="1">
        <v>2258</v>
      </c>
      <c r="C2262" s="1">
        <v>250.11</v>
      </c>
      <c r="D2262" s="1"/>
    </row>
    <row r="2263" spans="2:4">
      <c r="B2263" s="1">
        <v>2259</v>
      </c>
      <c r="C2263" s="1">
        <v>250.22</v>
      </c>
      <c r="D2263" s="1"/>
    </row>
    <row r="2264" spans="2:4">
      <c r="B2264" s="1">
        <v>2260</v>
      </c>
      <c r="C2264" s="1">
        <v>250.33</v>
      </c>
      <c r="D2264" s="1"/>
    </row>
    <row r="2265" spans="2:4">
      <c r="B2265" s="1">
        <v>2261</v>
      </c>
      <c r="C2265" s="1">
        <v>250.44</v>
      </c>
      <c r="D2265" s="1"/>
    </row>
    <row r="2266" spans="2:4">
      <c r="B2266" s="1">
        <v>2262</v>
      </c>
      <c r="C2266" s="1">
        <v>250.56</v>
      </c>
      <c r="D2266" s="1"/>
    </row>
    <row r="2267" spans="2:4">
      <c r="B2267" s="1">
        <v>2263</v>
      </c>
      <c r="C2267" s="1">
        <v>250.67</v>
      </c>
      <c r="D2267" s="1"/>
    </row>
    <row r="2268" spans="2:4">
      <c r="B2268" s="1">
        <v>2264</v>
      </c>
      <c r="C2268" s="1">
        <v>250.78</v>
      </c>
      <c r="D2268" s="1"/>
    </row>
    <row r="2269" spans="2:4">
      <c r="B2269" s="1">
        <v>2265</v>
      </c>
      <c r="C2269" s="1">
        <v>250.89</v>
      </c>
      <c r="D2269" s="1"/>
    </row>
    <row r="2270" spans="2:4">
      <c r="B2270" s="1">
        <v>2266</v>
      </c>
      <c r="C2270" s="1">
        <v>251</v>
      </c>
      <c r="D2270" s="1"/>
    </row>
    <row r="2271" spans="2:4">
      <c r="B2271" s="1">
        <v>2267</v>
      </c>
      <c r="C2271" s="1">
        <v>251.11</v>
      </c>
      <c r="D2271" s="1"/>
    </row>
    <row r="2272" spans="2:4">
      <c r="B2272" s="1">
        <v>2268</v>
      </c>
      <c r="C2272" s="1">
        <v>251.22</v>
      </c>
      <c r="D2272" s="1"/>
    </row>
    <row r="2273" spans="2:4">
      <c r="B2273" s="1">
        <v>2269</v>
      </c>
      <c r="C2273" s="1">
        <v>251.33</v>
      </c>
      <c r="D2273" s="1"/>
    </row>
    <row r="2274" spans="2:4">
      <c r="B2274" s="1">
        <v>2270</v>
      </c>
      <c r="C2274" s="1">
        <v>251.44</v>
      </c>
      <c r="D2274" s="1"/>
    </row>
    <row r="2275" spans="2:4">
      <c r="B2275" s="1">
        <v>2271</v>
      </c>
      <c r="C2275" s="1">
        <v>251.56</v>
      </c>
      <c r="D2275" s="1"/>
    </row>
    <row r="2276" spans="2:4">
      <c r="B2276" s="1">
        <v>2272</v>
      </c>
      <c r="C2276" s="1">
        <v>251.67</v>
      </c>
      <c r="D2276" s="1"/>
    </row>
    <row r="2277" spans="2:4">
      <c r="B2277" s="1">
        <v>2273</v>
      </c>
      <c r="C2277" s="1">
        <v>251.78</v>
      </c>
      <c r="D2277" s="1"/>
    </row>
    <row r="2278" spans="2:4">
      <c r="B2278" s="1">
        <v>2274</v>
      </c>
      <c r="C2278" s="1">
        <v>251.89</v>
      </c>
      <c r="D2278" s="1"/>
    </row>
    <row r="2279" spans="2:4">
      <c r="B2279" s="1">
        <v>2275</v>
      </c>
      <c r="C2279" s="1">
        <v>252</v>
      </c>
      <c r="D2279" s="1"/>
    </row>
    <row r="2280" spans="2:4">
      <c r="B2280" s="1">
        <v>2276</v>
      </c>
      <c r="C2280" s="1">
        <v>252.11</v>
      </c>
      <c r="D2280" s="1"/>
    </row>
    <row r="2281" spans="2:4">
      <c r="B2281" s="1">
        <v>2277</v>
      </c>
      <c r="C2281" s="1">
        <v>252.22</v>
      </c>
      <c r="D2281" s="1"/>
    </row>
    <row r="2282" spans="2:4">
      <c r="B2282" s="1">
        <v>2278</v>
      </c>
      <c r="C2282" s="1">
        <v>252.33</v>
      </c>
      <c r="D2282" s="1"/>
    </row>
    <row r="2283" spans="2:4">
      <c r="B2283" s="1">
        <v>2279</v>
      </c>
      <c r="C2283" s="1">
        <v>252.44</v>
      </c>
      <c r="D2283" s="1"/>
    </row>
    <row r="2284" spans="2:4">
      <c r="B2284" s="1">
        <v>2280</v>
      </c>
      <c r="C2284" s="1">
        <v>252.56</v>
      </c>
      <c r="D2284" s="1"/>
    </row>
    <row r="2285" spans="2:4">
      <c r="B2285" s="1">
        <v>2281</v>
      </c>
      <c r="C2285" s="1">
        <v>252.67</v>
      </c>
      <c r="D2285" s="1"/>
    </row>
    <row r="2286" spans="2:4">
      <c r="B2286" s="1">
        <v>2282</v>
      </c>
      <c r="C2286" s="1">
        <v>252.78</v>
      </c>
      <c r="D2286" s="1"/>
    </row>
    <row r="2287" spans="2:4">
      <c r="B2287" s="1">
        <v>2283</v>
      </c>
      <c r="C2287" s="1">
        <v>252.89</v>
      </c>
      <c r="D2287" s="1"/>
    </row>
    <row r="2288" spans="2:4">
      <c r="B2288" s="1">
        <v>2284</v>
      </c>
      <c r="C2288" s="1">
        <v>253</v>
      </c>
      <c r="D2288" s="1"/>
    </row>
    <row r="2289" spans="2:4">
      <c r="B2289" s="1">
        <v>2285</v>
      </c>
      <c r="C2289" s="1">
        <v>253.11</v>
      </c>
      <c r="D2289" s="1"/>
    </row>
    <row r="2290" spans="2:4">
      <c r="B2290" s="1">
        <v>2286</v>
      </c>
      <c r="C2290" s="1">
        <v>253.22</v>
      </c>
      <c r="D2290" s="1"/>
    </row>
    <row r="2291" spans="2:4">
      <c r="B2291" s="1">
        <v>2287</v>
      </c>
      <c r="C2291" s="1">
        <v>253.33</v>
      </c>
      <c r="D2291" s="1"/>
    </row>
    <row r="2292" spans="2:4">
      <c r="B2292" s="1">
        <v>2288</v>
      </c>
      <c r="C2292" s="1">
        <v>253.44</v>
      </c>
      <c r="D2292" s="1"/>
    </row>
    <row r="2293" spans="2:4">
      <c r="B2293" s="1">
        <v>2289</v>
      </c>
      <c r="C2293" s="1">
        <v>253.56</v>
      </c>
      <c r="D2293" s="1"/>
    </row>
    <row r="2294" spans="2:4">
      <c r="B2294" s="1">
        <v>2290</v>
      </c>
      <c r="C2294" s="1">
        <v>253.67</v>
      </c>
      <c r="D2294" s="1"/>
    </row>
    <row r="2295" spans="2:4">
      <c r="B2295" s="1">
        <v>2291</v>
      </c>
      <c r="C2295" s="1">
        <v>253.78</v>
      </c>
      <c r="D2295" s="1"/>
    </row>
    <row r="2296" spans="2:4">
      <c r="B2296" s="1">
        <v>2292</v>
      </c>
      <c r="C2296" s="1">
        <v>253.89</v>
      </c>
      <c r="D2296" s="1"/>
    </row>
    <row r="2297" spans="2:4">
      <c r="B2297" s="1">
        <v>2293</v>
      </c>
      <c r="C2297" s="1">
        <v>254</v>
      </c>
      <c r="D2297" s="1"/>
    </row>
    <row r="2298" spans="2:4">
      <c r="B2298" s="1">
        <v>2294</v>
      </c>
      <c r="C2298" s="1">
        <v>254.11</v>
      </c>
      <c r="D2298" s="1"/>
    </row>
    <row r="2299" spans="2:4">
      <c r="B2299" s="1">
        <v>2295</v>
      </c>
      <c r="C2299" s="1">
        <v>254.22</v>
      </c>
      <c r="D2299" s="1"/>
    </row>
    <row r="2300" spans="2:4">
      <c r="B2300" s="1">
        <v>2296</v>
      </c>
      <c r="C2300" s="1">
        <v>254.33</v>
      </c>
      <c r="D2300" s="1"/>
    </row>
    <row r="2301" spans="2:4">
      <c r="B2301" s="1">
        <v>2297</v>
      </c>
      <c r="C2301" s="1">
        <v>254.44</v>
      </c>
      <c r="D2301" s="1"/>
    </row>
    <row r="2302" spans="2:4">
      <c r="B2302" s="1">
        <v>2298</v>
      </c>
      <c r="C2302" s="1">
        <v>254.56</v>
      </c>
      <c r="D2302" s="1"/>
    </row>
    <row r="2303" spans="2:4">
      <c r="B2303" s="1">
        <v>2299</v>
      </c>
      <c r="C2303" s="1">
        <v>254.67</v>
      </c>
      <c r="D2303" s="1"/>
    </row>
    <row r="2304" spans="2:4">
      <c r="B2304" s="1">
        <v>2300</v>
      </c>
      <c r="C2304" s="1">
        <v>254.78</v>
      </c>
      <c r="D2304" s="1"/>
    </row>
    <row r="2305" spans="2:4">
      <c r="B2305" s="1">
        <v>2301</v>
      </c>
      <c r="C2305" s="1">
        <v>254.89</v>
      </c>
      <c r="D2305" s="1"/>
    </row>
    <row r="2306" spans="2:4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9</xdr:col>
                    <xdr:colOff>1211580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9</xdr:col>
                    <xdr:colOff>769620</xdr:colOff>
                    <xdr:row>9</xdr:row>
                    <xdr:rowOff>182880</xdr:rowOff>
                  </from>
                  <to>
                    <xdr:col>9</xdr:col>
                    <xdr:colOff>1143000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9"/>
  </sheetPr>
  <dimension ref="A1:AP34"/>
  <sheetViews>
    <sheetView zoomScale="145" zoomScaleNormal="145" workbookViewId="0">
      <selection activeCell="J3" sqref="J3"/>
    </sheetView>
  </sheetViews>
  <sheetFormatPr baseColWidth="10" defaultRowHeight="14.4"/>
  <cols>
    <col min="1" max="42" width="3" customWidth="1"/>
  </cols>
  <sheetData>
    <row r="1" spans="1:42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</row>
    <row r="2" spans="1:42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5"/>
      <c r="AK2" s="155"/>
      <c r="AL2" s="155"/>
      <c r="AM2" s="155"/>
      <c r="AN2" s="155"/>
      <c r="AO2" s="155"/>
      <c r="AP2" s="155"/>
    </row>
    <row r="3" spans="1:42">
      <c r="A3" s="155"/>
      <c r="B3" s="156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6"/>
      <c r="AJ3" s="155"/>
      <c r="AK3" s="155"/>
      <c r="AL3" s="155"/>
      <c r="AM3" s="155"/>
      <c r="AN3" s="155"/>
      <c r="AO3" s="155"/>
      <c r="AP3" s="155"/>
    </row>
    <row r="4" spans="1:42">
      <c r="A4" s="155"/>
      <c r="B4" s="156"/>
      <c r="C4" s="155"/>
      <c r="D4" s="157"/>
      <c r="E4" s="157"/>
      <c r="F4" s="157"/>
      <c r="G4" s="157"/>
      <c r="H4" s="155"/>
      <c r="I4" s="155"/>
      <c r="J4" s="155"/>
      <c r="K4" s="157"/>
      <c r="L4" s="157"/>
      <c r="M4" s="157"/>
      <c r="N4" s="155"/>
      <c r="O4" s="155"/>
      <c r="P4" s="157"/>
      <c r="Q4" s="155"/>
      <c r="R4" s="155"/>
      <c r="S4" s="155"/>
      <c r="T4" s="157"/>
      <c r="U4" s="155"/>
      <c r="V4" s="155"/>
      <c r="W4" s="157"/>
      <c r="X4" s="157"/>
      <c r="Y4" s="157"/>
      <c r="Z4" s="157"/>
      <c r="AA4" s="155"/>
      <c r="AB4" s="157"/>
      <c r="AC4" s="157"/>
      <c r="AD4" s="157"/>
      <c r="AE4" s="157"/>
      <c r="AF4" s="157"/>
      <c r="AG4" s="155"/>
      <c r="AH4" s="155"/>
      <c r="AI4" s="156"/>
      <c r="AJ4" s="155"/>
      <c r="AK4" s="155"/>
      <c r="AL4" s="155"/>
      <c r="AM4" s="155"/>
      <c r="AN4" s="155"/>
      <c r="AO4" s="155"/>
      <c r="AP4" s="155"/>
    </row>
    <row r="5" spans="1:42">
      <c r="A5" s="155"/>
      <c r="B5" s="156"/>
      <c r="C5" s="155"/>
      <c r="D5" s="157"/>
      <c r="E5" s="155"/>
      <c r="F5" s="155"/>
      <c r="G5" s="155"/>
      <c r="H5" s="157"/>
      <c r="I5" s="155"/>
      <c r="J5" s="157"/>
      <c r="K5" s="155"/>
      <c r="L5" s="155"/>
      <c r="M5" s="155"/>
      <c r="N5" s="157"/>
      <c r="O5" s="155"/>
      <c r="P5" s="157"/>
      <c r="Q5" s="155"/>
      <c r="R5" s="155"/>
      <c r="S5" s="155"/>
      <c r="T5" s="157"/>
      <c r="U5" s="155"/>
      <c r="V5" s="157"/>
      <c r="W5" s="155"/>
      <c r="X5" s="155"/>
      <c r="Y5" s="155"/>
      <c r="Z5" s="155"/>
      <c r="AA5" s="155"/>
      <c r="AB5" s="157"/>
      <c r="AC5" s="155"/>
      <c r="AD5" s="155"/>
      <c r="AE5" s="155"/>
      <c r="AF5" s="155"/>
      <c r="AG5" s="155"/>
      <c r="AH5" s="155"/>
      <c r="AI5" s="156"/>
      <c r="AJ5" s="155"/>
      <c r="AK5" s="155"/>
      <c r="AL5" s="155"/>
      <c r="AM5" s="155"/>
      <c r="AN5" s="155"/>
      <c r="AO5" s="155"/>
      <c r="AP5" s="155"/>
    </row>
    <row r="6" spans="1:42">
      <c r="A6" s="155"/>
      <c r="B6" s="156"/>
      <c r="C6" s="155"/>
      <c r="D6" s="157"/>
      <c r="E6" s="155"/>
      <c r="F6" s="155"/>
      <c r="G6" s="155"/>
      <c r="H6" s="157"/>
      <c r="I6" s="155"/>
      <c r="J6" s="157"/>
      <c r="K6" s="155"/>
      <c r="L6" s="155"/>
      <c r="M6" s="155"/>
      <c r="N6" s="157"/>
      <c r="O6" s="155"/>
      <c r="P6" s="157"/>
      <c r="Q6" s="155"/>
      <c r="R6" s="155"/>
      <c r="S6" s="155"/>
      <c r="T6" s="157"/>
      <c r="U6" s="155"/>
      <c r="V6" s="157"/>
      <c r="W6" s="155"/>
      <c r="X6" s="155"/>
      <c r="Y6" s="155"/>
      <c r="Z6" s="155"/>
      <c r="AA6" s="155"/>
      <c r="AB6" s="157"/>
      <c r="AC6" s="155"/>
      <c r="AD6" s="155"/>
      <c r="AE6" s="155"/>
      <c r="AF6" s="155"/>
      <c r="AG6" s="155"/>
      <c r="AH6" s="155"/>
      <c r="AI6" s="156"/>
      <c r="AJ6" s="155"/>
      <c r="AK6" s="155"/>
      <c r="AL6" s="155"/>
      <c r="AM6" s="155"/>
      <c r="AN6" s="155"/>
      <c r="AO6" s="155"/>
      <c r="AP6" s="155"/>
    </row>
    <row r="7" spans="1:42">
      <c r="A7" s="155"/>
      <c r="B7" s="156"/>
      <c r="C7" s="155"/>
      <c r="D7" s="157"/>
      <c r="E7" s="157"/>
      <c r="F7" s="157"/>
      <c r="G7" s="157"/>
      <c r="H7" s="155"/>
      <c r="I7" s="155"/>
      <c r="J7" s="157"/>
      <c r="K7" s="157"/>
      <c r="L7" s="157"/>
      <c r="M7" s="157"/>
      <c r="N7" s="157"/>
      <c r="O7" s="155"/>
      <c r="P7" s="157"/>
      <c r="Q7" s="155"/>
      <c r="R7" s="155"/>
      <c r="S7" s="155"/>
      <c r="T7" s="157"/>
      <c r="U7" s="155"/>
      <c r="V7" s="155"/>
      <c r="W7" s="157"/>
      <c r="X7" s="157"/>
      <c r="Y7" s="157"/>
      <c r="Z7" s="155"/>
      <c r="AA7" s="155"/>
      <c r="AB7" s="157"/>
      <c r="AC7" s="157"/>
      <c r="AD7" s="157"/>
      <c r="AE7" s="157"/>
      <c r="AF7" s="155"/>
      <c r="AG7" s="155"/>
      <c r="AH7" s="155"/>
      <c r="AI7" s="156"/>
      <c r="AJ7" s="155"/>
      <c r="AK7" s="155"/>
      <c r="AL7" s="155"/>
      <c r="AM7" s="155"/>
      <c r="AN7" s="155"/>
      <c r="AO7" s="155"/>
      <c r="AP7" s="155"/>
    </row>
    <row r="8" spans="1:42">
      <c r="A8" s="155"/>
      <c r="B8" s="156"/>
      <c r="C8" s="155"/>
      <c r="D8" s="157"/>
      <c r="E8" s="155"/>
      <c r="F8" s="155"/>
      <c r="G8" s="155"/>
      <c r="H8" s="155"/>
      <c r="I8" s="155"/>
      <c r="J8" s="157"/>
      <c r="K8" s="155"/>
      <c r="L8" s="155"/>
      <c r="M8" s="215"/>
      <c r="N8" s="157"/>
      <c r="O8" s="155"/>
      <c r="P8" s="157"/>
      <c r="Q8" s="155"/>
      <c r="R8" s="155"/>
      <c r="S8" s="155"/>
      <c r="T8" s="157"/>
      <c r="U8" s="155"/>
      <c r="V8" s="155"/>
      <c r="W8" s="155"/>
      <c r="X8" s="155"/>
      <c r="Y8" s="155"/>
      <c r="Z8" s="157"/>
      <c r="AA8" s="155"/>
      <c r="AB8" s="157"/>
      <c r="AC8" s="155"/>
      <c r="AD8" s="155"/>
      <c r="AE8" s="155"/>
      <c r="AF8" s="155"/>
      <c r="AG8" s="155"/>
      <c r="AH8" s="155"/>
      <c r="AI8" s="156"/>
      <c r="AJ8" s="155"/>
      <c r="AK8" s="155"/>
      <c r="AL8" s="155"/>
      <c r="AM8" s="155"/>
      <c r="AN8" s="155"/>
      <c r="AO8" s="155"/>
      <c r="AP8" s="155"/>
    </row>
    <row r="9" spans="1:42">
      <c r="A9" s="155"/>
      <c r="B9" s="156"/>
      <c r="C9" s="155"/>
      <c r="D9" s="157"/>
      <c r="E9" s="155"/>
      <c r="F9" s="155"/>
      <c r="G9" s="155"/>
      <c r="H9" s="155"/>
      <c r="I9" s="155"/>
      <c r="J9" s="157"/>
      <c r="K9" s="155"/>
      <c r="L9" s="155"/>
      <c r="M9" s="155"/>
      <c r="N9" s="157"/>
      <c r="O9" s="155"/>
      <c r="P9" s="157"/>
      <c r="Q9" s="155"/>
      <c r="R9" s="155"/>
      <c r="S9" s="155"/>
      <c r="T9" s="157"/>
      <c r="U9" s="155"/>
      <c r="V9" s="155"/>
      <c r="W9" s="155"/>
      <c r="X9" s="155"/>
      <c r="Y9" s="155"/>
      <c r="Z9" s="157"/>
      <c r="AA9" s="155"/>
      <c r="AB9" s="157"/>
      <c r="AC9" s="155"/>
      <c r="AD9" s="155"/>
      <c r="AE9" s="155"/>
      <c r="AF9" s="155"/>
      <c r="AG9" s="155"/>
      <c r="AH9" s="155"/>
      <c r="AI9" s="156"/>
      <c r="AJ9" s="155"/>
      <c r="AK9" s="155"/>
      <c r="AL9" s="155"/>
      <c r="AM9" s="155"/>
      <c r="AN9" s="155"/>
      <c r="AO9" s="155"/>
      <c r="AP9" s="155"/>
    </row>
    <row r="10" spans="1:42">
      <c r="A10" s="155"/>
      <c r="B10" s="156"/>
      <c r="C10" s="155"/>
      <c r="D10" s="157"/>
      <c r="E10" s="155"/>
      <c r="F10" s="155"/>
      <c r="G10" s="155"/>
      <c r="H10" s="155"/>
      <c r="I10" s="155"/>
      <c r="J10" s="157"/>
      <c r="K10" s="155"/>
      <c r="L10" s="155"/>
      <c r="M10" s="155"/>
      <c r="N10" s="157"/>
      <c r="O10" s="155"/>
      <c r="P10" s="155"/>
      <c r="Q10" s="157"/>
      <c r="R10" s="157"/>
      <c r="S10" s="157"/>
      <c r="T10" s="155"/>
      <c r="U10" s="155"/>
      <c r="V10" s="157"/>
      <c r="W10" s="157"/>
      <c r="X10" s="157"/>
      <c r="Y10" s="157"/>
      <c r="Z10" s="155"/>
      <c r="AA10" s="155"/>
      <c r="AB10" s="157"/>
      <c r="AC10" s="157"/>
      <c r="AD10" s="157"/>
      <c r="AE10" s="157"/>
      <c r="AF10" s="157"/>
      <c r="AG10" s="155"/>
      <c r="AH10" s="155"/>
      <c r="AI10" s="156"/>
      <c r="AJ10" s="155"/>
      <c r="AK10" s="155"/>
      <c r="AL10" s="155"/>
      <c r="AM10" s="155"/>
      <c r="AN10" s="155"/>
      <c r="AO10" s="155"/>
      <c r="AP10" s="155"/>
    </row>
    <row r="11" spans="1:42">
      <c r="A11" s="155"/>
      <c r="B11" s="156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  <c r="AJ11" s="155"/>
      <c r="AK11" s="155"/>
      <c r="AL11" s="155"/>
      <c r="AM11" s="155"/>
      <c r="AN11" s="155"/>
      <c r="AO11" s="155"/>
      <c r="AP11" s="155"/>
    </row>
    <row r="12" spans="1:42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5"/>
      <c r="AK12" s="155"/>
      <c r="AL12" s="155"/>
      <c r="AM12" s="155"/>
      <c r="AN12" s="155"/>
      <c r="AO12" s="155"/>
      <c r="AP12" s="155"/>
    </row>
    <row r="13" spans="1:42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</row>
    <row r="14" spans="1:42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</row>
    <row r="15" spans="1:42" ht="15" thickBot="1">
      <c r="A15" s="155"/>
      <c r="B15" s="155"/>
      <c r="C15" s="155"/>
      <c r="D15" s="155"/>
      <c r="E15" s="155"/>
      <c r="F15" s="155"/>
      <c r="G15" s="155"/>
      <c r="H15" s="155" t="s">
        <v>81</v>
      </c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</row>
    <row r="16" spans="1:42">
      <c r="A16" s="155"/>
      <c r="B16" s="155"/>
      <c r="C16" s="155"/>
      <c r="D16" s="155"/>
      <c r="E16" s="155"/>
      <c r="F16" s="155"/>
      <c r="G16" s="155"/>
      <c r="H16" s="176"/>
      <c r="I16" s="251" t="s">
        <v>80</v>
      </c>
      <c r="J16" s="251"/>
      <c r="K16" s="251"/>
      <c r="L16" s="251"/>
      <c r="M16" s="251"/>
      <c r="N16" s="177"/>
      <c r="O16" s="177"/>
      <c r="P16" s="177"/>
      <c r="Q16" s="177"/>
      <c r="R16" s="178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</row>
    <row r="17" spans="1:41">
      <c r="A17" s="155"/>
      <c r="B17" s="155"/>
      <c r="C17" s="155"/>
      <c r="D17" s="155"/>
      <c r="E17" s="155"/>
      <c r="F17" s="155"/>
      <c r="G17" s="155"/>
      <c r="H17" s="179"/>
      <c r="I17" s="252"/>
      <c r="J17" s="252"/>
      <c r="K17" s="252"/>
      <c r="L17" s="252"/>
      <c r="M17" s="252"/>
      <c r="N17" s="155"/>
      <c r="O17" s="155"/>
      <c r="P17" s="155"/>
      <c r="Q17" s="155"/>
      <c r="R17" s="180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</row>
    <row r="18" spans="1:41">
      <c r="A18" s="155"/>
      <c r="B18" s="155"/>
      <c r="C18" s="155"/>
      <c r="D18" s="155"/>
      <c r="E18" s="155"/>
      <c r="F18" s="155"/>
      <c r="G18" s="155"/>
      <c r="H18" s="179"/>
      <c r="I18" s="155"/>
      <c r="J18" s="155"/>
      <c r="K18" s="155"/>
      <c r="L18" s="155"/>
      <c r="M18" s="155"/>
      <c r="N18" s="155"/>
      <c r="O18" s="155"/>
      <c r="P18" s="155"/>
      <c r="Q18" s="155"/>
      <c r="R18" s="180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</row>
    <row r="19" spans="1:41">
      <c r="A19" s="155"/>
      <c r="B19" s="155"/>
      <c r="C19" s="155"/>
      <c r="D19" s="155"/>
      <c r="E19" s="155"/>
      <c r="F19" s="155"/>
      <c r="G19" s="155"/>
      <c r="H19" s="179"/>
      <c r="I19" s="155"/>
      <c r="J19" s="155"/>
      <c r="K19" s="155"/>
      <c r="L19" s="155"/>
      <c r="M19" s="155"/>
      <c r="N19" s="155"/>
      <c r="O19" s="155"/>
      <c r="P19" s="155"/>
      <c r="Q19" s="155"/>
      <c r="R19" s="180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</row>
    <row r="20" spans="1:41">
      <c r="A20" s="155"/>
      <c r="B20" s="155"/>
      <c r="C20" s="155"/>
      <c r="D20" s="155"/>
      <c r="E20" s="155"/>
      <c r="F20" s="155"/>
      <c r="G20" s="155"/>
      <c r="H20" s="179"/>
      <c r="I20" s="155"/>
      <c r="J20" s="155"/>
      <c r="K20" s="155"/>
      <c r="L20" s="155"/>
      <c r="M20" s="155"/>
      <c r="N20" s="155"/>
      <c r="O20" s="155"/>
      <c r="P20" s="155"/>
      <c r="Q20" s="155"/>
      <c r="R20" s="180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</row>
    <row r="21" spans="1:41">
      <c r="A21" s="155"/>
      <c r="B21" s="155"/>
      <c r="C21" s="155"/>
      <c r="D21" s="155"/>
      <c r="E21" s="155"/>
      <c r="F21" s="155"/>
      <c r="G21" s="155"/>
      <c r="H21" s="179"/>
      <c r="I21" s="155"/>
      <c r="J21" s="155"/>
      <c r="K21" s="155"/>
      <c r="L21" s="155"/>
      <c r="M21" s="155"/>
      <c r="N21" s="155"/>
      <c r="O21" s="155"/>
      <c r="P21" s="155"/>
      <c r="Q21" s="155"/>
      <c r="R21" s="180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</row>
    <row r="22" spans="1:41" ht="15" thickBot="1">
      <c r="A22" s="155"/>
      <c r="B22" s="155"/>
      <c r="C22" s="155"/>
      <c r="D22" s="155"/>
      <c r="E22" s="155"/>
      <c r="F22" s="155"/>
      <c r="G22" s="155"/>
      <c r="H22" s="181"/>
      <c r="I22" s="182"/>
      <c r="J22" s="182"/>
      <c r="K22" s="182"/>
      <c r="L22" s="182"/>
      <c r="M22" s="182"/>
      <c r="N22" s="182"/>
      <c r="O22" s="182"/>
      <c r="P22" s="182"/>
      <c r="Q22" s="182"/>
      <c r="R22" s="183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</row>
    <row r="23" spans="1:41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</row>
    <row r="24" spans="1:41">
      <c r="A24" s="155"/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</row>
    <row r="25" spans="1:41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</row>
    <row r="26" spans="1:41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</row>
    <row r="27" spans="1:41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</row>
    <row r="28" spans="1:41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</row>
    <row r="29" spans="1:41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</row>
    <row r="30" spans="1:41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</row>
    <row r="31" spans="1:41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</row>
    <row r="32" spans="1:41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</row>
    <row r="33" spans="1:41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</row>
    <row r="34" spans="1:41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</row>
  </sheetData>
  <mergeCells count="1">
    <mergeCell ref="I16:M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4</xdr:col>
                    <xdr:colOff>68580</xdr:colOff>
                    <xdr:row>8</xdr:row>
                    <xdr:rowOff>152400</xdr:rowOff>
                  </from>
                  <to>
                    <xdr:col>7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3</xdr:col>
                    <xdr:colOff>190500</xdr:colOff>
                    <xdr:row>11</xdr:row>
                    <xdr:rowOff>76200</xdr:rowOff>
                  </from>
                  <to>
                    <xdr:col>5</xdr:col>
                    <xdr:colOff>137160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5" name="Button 7">
              <controlPr defaultSize="0" print="0" autoFill="0" autoPict="0" macro="[0]!AA1_ResetPerso">
                <anchor moveWithCells="1" sizeWithCells="1">
                  <from>
                    <xdr:col>6</xdr:col>
                    <xdr:colOff>38100</xdr:colOff>
                    <xdr:row>11</xdr:row>
                    <xdr:rowOff>76200</xdr:rowOff>
                  </from>
                  <to>
                    <xdr:col>7</xdr:col>
                    <xdr:colOff>198120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6" name="Bouton 13">
              <controlPr defaultSize="0" autoFill="0" autoPict="0" macro="[0]!MouvementHero_Bas">
                <anchor moveWithCells="1" sizeWithCells="1">
                  <from>
                    <xdr:col>10</xdr:col>
                    <xdr:colOff>0</xdr:colOff>
                    <xdr:row>20</xdr:row>
                    <xdr:rowOff>45720</xdr:rowOff>
                  </from>
                  <to>
                    <xdr:col>11</xdr:col>
                    <xdr:colOff>30480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7" name="Bouton 14">
              <controlPr defaultSize="0" autoFill="0" autoPict="0" macro="[0]!W1_RemovePoint_Droite">
                <anchor moveWithCells="1" sizeWithCells="1">
                  <from>
                    <xdr:col>11</xdr:col>
                    <xdr:colOff>83820</xdr:colOff>
                    <xdr:row>18</xdr:row>
                    <xdr:rowOff>129540</xdr:rowOff>
                  </from>
                  <to>
                    <xdr:col>12</xdr:col>
                    <xdr:colOff>106680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8" name="Bouton 15">
              <controlPr defaultSize="0" autoFill="0" autoPict="0" macro="[0]!W1_RemovePoint_Gauche">
                <anchor moveWithCells="1" sizeWithCells="1">
                  <from>
                    <xdr:col>8</xdr:col>
                    <xdr:colOff>137160</xdr:colOff>
                    <xdr:row>18</xdr:row>
                    <xdr:rowOff>129540</xdr:rowOff>
                  </from>
                  <to>
                    <xdr:col>9</xdr:col>
                    <xdr:colOff>160020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9" name="Bouton 16">
              <controlPr defaultSize="0" autoFill="0" autoPict="0" macro="[0]!W1_RemovePoint_Haut">
                <anchor moveWithCells="1" sizeWithCells="1">
                  <from>
                    <xdr:col>10</xdr:col>
                    <xdr:colOff>15240</xdr:colOff>
                    <xdr:row>17</xdr:row>
                    <xdr:rowOff>45720</xdr:rowOff>
                  </from>
                  <to>
                    <xdr:col>11</xdr:col>
                    <xdr:colOff>38100</xdr:colOff>
                    <xdr:row>18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0" name="Button 17">
              <controlPr defaultSize="0" print="0" autoFill="0" autoPict="0" macro="[0]!W1_PutPoint">
                <anchor moveWithCells="1" sizeWithCells="1">
                  <from>
                    <xdr:col>13</xdr:col>
                    <xdr:colOff>60960</xdr:colOff>
                    <xdr:row>18</xdr:row>
                    <xdr:rowOff>175260</xdr:rowOff>
                  </from>
                  <to>
                    <xdr:col>16</xdr:col>
                    <xdr:colOff>167640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D847-C878-4589-A518-3FDD44FA4F30}">
  <sheetPr codeName="Feuil8">
    <tabColor theme="9"/>
  </sheetPr>
  <dimension ref="B3:E11"/>
  <sheetViews>
    <sheetView workbookViewId="0">
      <selection activeCell="D8" sqref="D8"/>
    </sheetView>
  </sheetViews>
  <sheetFormatPr baseColWidth="10" defaultRowHeight="14.4"/>
  <cols>
    <col min="2" max="2" width="19.88671875" bestFit="1" customWidth="1"/>
    <col min="5" max="5" width="16.33203125" bestFit="1" customWidth="1"/>
  </cols>
  <sheetData>
    <row r="3" spans="2:5" ht="15" thickBot="1"/>
    <row r="4" spans="2:5" ht="15" thickBot="1">
      <c r="B4" s="235" t="s">
        <v>1344</v>
      </c>
      <c r="C4" s="1"/>
      <c r="D4" s="1"/>
      <c r="E4" s="188" t="s">
        <v>1335</v>
      </c>
    </row>
    <row r="5" spans="2:5">
      <c r="B5" s="233" t="s">
        <v>1335</v>
      </c>
      <c r="C5" s="1"/>
      <c r="D5" s="1"/>
      <c r="E5" s="230" t="s">
        <v>1340</v>
      </c>
    </row>
    <row r="6" spans="2:5">
      <c r="B6" s="234" t="s">
        <v>1336</v>
      </c>
      <c r="C6" s="1"/>
      <c r="D6" s="1"/>
      <c r="E6" s="231" t="s">
        <v>1341</v>
      </c>
    </row>
    <row r="7" spans="2:5">
      <c r="B7" s="234" t="s">
        <v>1337</v>
      </c>
      <c r="C7" s="1"/>
      <c r="D7" s="1"/>
      <c r="E7" s="231" t="s">
        <v>1342</v>
      </c>
    </row>
    <row r="8" spans="2:5" ht="15" thickBot="1">
      <c r="B8" s="234" t="s">
        <v>1338</v>
      </c>
      <c r="C8" s="1"/>
      <c r="D8" s="1"/>
      <c r="E8" s="232" t="s">
        <v>1343</v>
      </c>
    </row>
    <row r="9" spans="2:5">
      <c r="B9" s="234" t="s">
        <v>1339</v>
      </c>
      <c r="C9" s="1"/>
      <c r="D9" s="1"/>
      <c r="E9" s="1"/>
    </row>
    <row r="10" spans="2:5">
      <c r="B10" s="234" t="s">
        <v>1319</v>
      </c>
      <c r="C10" s="1"/>
      <c r="D10" s="1"/>
      <c r="E10" s="1"/>
    </row>
    <row r="11" spans="2:5">
      <c r="B11" s="229" t="s">
        <v>1345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6"/>
  </sheetPr>
  <dimension ref="C1:H997"/>
  <sheetViews>
    <sheetView zoomScale="85" zoomScaleNormal="85" workbookViewId="0">
      <selection activeCell="BK28" sqref="BK28"/>
    </sheetView>
  </sheetViews>
  <sheetFormatPr baseColWidth="10" defaultColWidth="11.109375" defaultRowHeight="60" customHeight="1"/>
  <cols>
    <col min="1" max="600" width="2.21875" customWidth="1"/>
  </cols>
  <sheetData>
    <row r="1" spans="3:8" ht="12" customHeight="1" thickBot="1"/>
    <row r="2" spans="3:8" ht="12" customHeight="1" thickBot="1">
      <c r="C2" s="253" t="b">
        <f>'Data Game'!C6</f>
        <v>1</v>
      </c>
      <c r="D2" s="254"/>
      <c r="E2" s="255"/>
    </row>
    <row r="3" spans="3:8" ht="12" customHeight="1"/>
    <row r="4" spans="3:8" ht="12" customHeight="1"/>
    <row r="5" spans="3:8" ht="12" customHeight="1"/>
    <row r="6" spans="3:8" ht="12" customHeight="1"/>
    <row r="7" spans="3:8" ht="12" customHeight="1"/>
    <row r="8" spans="3:8" ht="12" customHeight="1"/>
    <row r="9" spans="3:8" ht="12" customHeight="1"/>
    <row r="10" spans="3:8" ht="12" customHeight="1"/>
    <row r="11" spans="3:8" ht="12" customHeight="1"/>
    <row r="12" spans="3:8" ht="12" customHeight="1"/>
    <row r="13" spans="3:8" ht="12" customHeight="1"/>
    <row r="14" spans="3:8" ht="12" customHeight="1"/>
    <row r="15" spans="3:8" ht="12" customHeight="1"/>
    <row r="16" spans="3:8" ht="12" customHeight="1">
      <c r="H16" s="145"/>
    </row>
    <row r="17" spans="8:8" ht="12" customHeight="1">
      <c r="H17" s="145"/>
    </row>
    <row r="18" spans="8:8" ht="12" customHeight="1"/>
    <row r="19" spans="8:8" ht="12" customHeight="1"/>
    <row r="20" spans="8:8" ht="12" customHeight="1"/>
    <row r="21" spans="8:8" ht="12" customHeight="1"/>
    <row r="22" spans="8:8" ht="12" customHeight="1"/>
    <row r="23" spans="8:8" ht="12" customHeight="1"/>
    <row r="24" spans="8:8" ht="12" customHeight="1"/>
    <row r="25" spans="8:8" ht="12" customHeight="1"/>
    <row r="26" spans="8:8" ht="12" customHeight="1"/>
    <row r="27" spans="8:8" ht="12" customHeight="1"/>
    <row r="28" spans="8:8" ht="12" customHeight="1"/>
    <row r="29" spans="8:8" ht="12" customHeight="1"/>
    <row r="30" spans="8:8" ht="12" customHeight="1"/>
    <row r="31" spans="8:8" ht="12" customHeight="1"/>
    <row r="32" spans="8:8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</sheetData>
  <mergeCells count="1">
    <mergeCell ref="C2:E2"/>
  </mergeCells>
  <conditionalFormatting sqref="C2">
    <cfRule type="expression" dxfId="6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6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/>
    <row r="2" spans="1:7">
      <c r="A2" t="b">
        <v>1</v>
      </c>
      <c r="F2" s="148" t="str" cm="1">
        <f t="array" ref="F2:F27">CHAR(_xlfn.SEQUENCE(26,,65))</f>
        <v>A</v>
      </c>
      <c r="G2" s="149" t="b">
        <v>0</v>
      </c>
    </row>
    <row r="3" spans="1:7" ht="15" thickBot="1">
      <c r="F3" s="150" t="str">
        <v>B</v>
      </c>
      <c r="G3" s="151" t="b">
        <v>0</v>
      </c>
    </row>
    <row r="4" spans="1:7" ht="15" thickBot="1">
      <c r="C4" s="154" t="s">
        <v>74</v>
      </c>
      <c r="F4" s="150" t="str">
        <v>C</v>
      </c>
      <c r="G4" s="151" t="b">
        <v>0</v>
      </c>
    </row>
    <row r="5" spans="1:7">
      <c r="B5" s="146" t="s">
        <v>67</v>
      </c>
      <c r="D5" s="146" t="s">
        <v>68</v>
      </c>
      <c r="F5" s="150" t="str">
        <v>D</v>
      </c>
      <c r="G5" s="151" t="b">
        <v>0</v>
      </c>
    </row>
    <row r="6" spans="1:7" ht="15" thickBot="1">
      <c r="B6" s="147" t="b">
        <v>0</v>
      </c>
      <c r="D6" s="147" t="b">
        <v>0</v>
      </c>
      <c r="F6" s="150" t="str">
        <v>E</v>
      </c>
      <c r="G6" s="151" t="b">
        <v>0</v>
      </c>
    </row>
    <row r="7" spans="1:7">
      <c r="B7" s="1"/>
      <c r="C7" s="146" t="s">
        <v>72</v>
      </c>
      <c r="D7" s="1"/>
      <c r="F7" s="150" t="str">
        <v>F</v>
      </c>
      <c r="G7" s="151" t="b">
        <v>0</v>
      </c>
    </row>
    <row r="8" spans="1:7" ht="15" thickBot="1">
      <c r="C8" s="147" t="b">
        <v>0</v>
      </c>
      <c r="F8" s="150" t="str">
        <v>G</v>
      </c>
      <c r="G8" s="151" t="b">
        <v>0</v>
      </c>
    </row>
    <row r="9" spans="1:7">
      <c r="B9" s="146" t="s">
        <v>70</v>
      </c>
      <c r="D9" s="146" t="s">
        <v>69</v>
      </c>
      <c r="F9" s="150" t="str">
        <v>H</v>
      </c>
      <c r="G9" s="151" t="b">
        <v>0</v>
      </c>
    </row>
    <row r="10" spans="1:7" ht="15" thickBot="1">
      <c r="B10" s="147" t="b">
        <v>0</v>
      </c>
      <c r="D10" s="147" t="b">
        <v>0</v>
      </c>
      <c r="F10" s="150" t="str">
        <v>I</v>
      </c>
      <c r="G10" s="151" t="b">
        <v>0</v>
      </c>
    </row>
    <row r="11" spans="1:7">
      <c r="B11" s="1"/>
      <c r="C11" s="146" t="s">
        <v>71</v>
      </c>
      <c r="D11" s="1"/>
      <c r="F11" s="150" t="str">
        <v>J</v>
      </c>
      <c r="G11" s="151" t="b">
        <v>0</v>
      </c>
    </row>
    <row r="12" spans="1:7" ht="15" thickBot="1">
      <c r="C12" s="147" t="b">
        <v>0</v>
      </c>
      <c r="F12" s="150" t="str">
        <v>K</v>
      </c>
      <c r="G12" s="151" t="b">
        <v>0</v>
      </c>
    </row>
    <row r="13" spans="1:7">
      <c r="F13" s="150" t="str">
        <v>L</v>
      </c>
      <c r="G13" s="151" t="b">
        <v>0</v>
      </c>
    </row>
    <row r="14" spans="1:7">
      <c r="F14" s="150" t="str">
        <v>M</v>
      </c>
      <c r="G14" s="151" t="b">
        <v>0</v>
      </c>
    </row>
    <row r="15" spans="1:7">
      <c r="F15" s="150" t="str">
        <v>N</v>
      </c>
      <c r="G15" s="151" t="b">
        <v>0</v>
      </c>
    </row>
    <row r="16" spans="1:7">
      <c r="F16" s="150" t="str">
        <v>O</v>
      </c>
      <c r="G16" s="151" t="b">
        <v>0</v>
      </c>
    </row>
    <row r="17" spans="6:7">
      <c r="F17" s="150" t="str">
        <v>P</v>
      </c>
      <c r="G17" s="151" t="b">
        <v>0</v>
      </c>
    </row>
    <row r="18" spans="6:7">
      <c r="F18" s="150" t="str">
        <v>Q</v>
      </c>
      <c r="G18" s="151" t="b">
        <v>0</v>
      </c>
    </row>
    <row r="19" spans="6:7">
      <c r="F19" s="150" t="str">
        <v>R</v>
      </c>
      <c r="G19" s="151" t="b">
        <v>0</v>
      </c>
    </row>
    <row r="20" spans="6:7">
      <c r="F20" s="150" t="str">
        <v>S</v>
      </c>
      <c r="G20" s="151" t="b">
        <v>0</v>
      </c>
    </row>
    <row r="21" spans="6:7">
      <c r="F21" s="150" t="str">
        <v>T</v>
      </c>
      <c r="G21" s="151" t="b">
        <v>0</v>
      </c>
    </row>
    <row r="22" spans="6:7">
      <c r="F22" s="150" t="str">
        <v>U</v>
      </c>
      <c r="G22" s="151" t="b">
        <v>0</v>
      </c>
    </row>
    <row r="23" spans="6:7">
      <c r="F23" s="150" t="str">
        <v>V</v>
      </c>
      <c r="G23" s="151" t="b">
        <v>0</v>
      </c>
    </row>
    <row r="24" spans="6:7">
      <c r="F24" s="150" t="str">
        <v>W</v>
      </c>
      <c r="G24" s="151" t="b">
        <v>0</v>
      </c>
    </row>
    <row r="25" spans="6:7">
      <c r="F25" s="150" t="str">
        <v>X</v>
      </c>
      <c r="G25" s="151" t="b">
        <v>0</v>
      </c>
    </row>
    <row r="26" spans="6:7">
      <c r="F26" s="150" t="str">
        <v>Y</v>
      </c>
      <c r="G26" s="151" t="b">
        <v>0</v>
      </c>
    </row>
    <row r="27" spans="6:7" ht="15" thickBot="1">
      <c r="F27" s="152" t="str">
        <v>Z</v>
      </c>
      <c r="G27" s="153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7"/>
  </sheetPr>
  <dimension ref="B2:D16"/>
  <sheetViews>
    <sheetView zoomScale="145" zoomScaleNormal="145" workbookViewId="0">
      <selection activeCell="C7" sqref="C7"/>
    </sheetView>
  </sheetViews>
  <sheetFormatPr baseColWidth="10" defaultRowHeight="14.4"/>
  <cols>
    <col min="4" max="4" width="14" customWidth="1"/>
  </cols>
  <sheetData>
    <row r="2" spans="2:4">
      <c r="B2" t="s">
        <v>1296</v>
      </c>
      <c r="C2" t="s">
        <v>1297</v>
      </c>
      <c r="D2" t="s">
        <v>1298</v>
      </c>
    </row>
    <row r="3" spans="2:4">
      <c r="B3" s="165" t="s">
        <v>1299</v>
      </c>
    </row>
    <row r="4" spans="2:4">
      <c r="B4" s="165" t="s">
        <v>1300</v>
      </c>
      <c r="C4" t="s">
        <v>1301</v>
      </c>
    </row>
    <row r="5" spans="2:4">
      <c r="B5" s="165" t="s">
        <v>1302</v>
      </c>
      <c r="C5" s="208" t="s">
        <v>1305</v>
      </c>
    </row>
    <row r="6" spans="2:4">
      <c r="B6" s="165" t="s">
        <v>1303</v>
      </c>
      <c r="C6" s="208" t="s">
        <v>1304</v>
      </c>
    </row>
    <row r="7" spans="2:4">
      <c r="B7" s="165" t="s">
        <v>1306</v>
      </c>
      <c r="D7" t="s">
        <v>1307</v>
      </c>
    </row>
    <row r="8" spans="2:4">
      <c r="B8" s="165" t="s">
        <v>1308</v>
      </c>
    </row>
    <row r="9" spans="2:4">
      <c r="B9" s="165" t="s">
        <v>1309</v>
      </c>
    </row>
    <row r="10" spans="2:4">
      <c r="B10" s="165" t="s">
        <v>1310</v>
      </c>
      <c r="D10" s="165"/>
    </row>
    <row r="11" spans="2:4">
      <c r="B11" s="165" t="s">
        <v>1317</v>
      </c>
    </row>
    <row r="16" spans="2:4">
      <c r="B16" s="165"/>
    </row>
  </sheetData>
  <hyperlinks>
    <hyperlink ref="B3" r:id="rId1" xr:uid="{11A3B592-F0D8-4C9E-A2B5-99B0617C6B04}"/>
    <hyperlink ref="B4" r:id="rId2" xr:uid="{55B162CD-6A07-43F9-A78B-C023C5EE5276}"/>
    <hyperlink ref="B5" r:id="rId3" xr:uid="{DB1BA2E8-7AE1-4013-9084-084231BB2FF8}"/>
    <hyperlink ref="B6" r:id="rId4" xr:uid="{12923028-B375-4D0F-9A6A-B38385FD829E}"/>
    <hyperlink ref="B7" r:id="rId5" xr:uid="{63B91AC7-7AD6-4AE7-9369-1D8A0DD62335}"/>
    <hyperlink ref="B9" r:id="rId6" xr:uid="{5DDFF2A9-DE7F-4AC7-85A2-DE45396274AC}"/>
    <hyperlink ref="B10" r:id="rId7" xr:uid="{2A31373C-22E8-4DA9-B54F-51A4975D16C7}"/>
    <hyperlink ref="B8" r:id="rId8" xr:uid="{1CCF3DF8-7BF9-465D-B782-3BC1F45F4D9E}"/>
    <hyperlink ref="B11" r:id="rId9" xr:uid="{EE9BD45F-9B51-4EB3-B087-724DECA28E93}"/>
  </hyperlinks>
  <pageMargins left="0.7" right="0.7" top="0.75" bottom="0.75" header="0.3" footer="0.3"/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9"/>
  </sheetPr>
  <dimension ref="A1:T29"/>
  <sheetViews>
    <sheetView zoomScale="190" zoomScaleNormal="190" workbookViewId="0">
      <selection activeCell="G4" sqref="G4"/>
    </sheetView>
  </sheetViews>
  <sheetFormatPr baseColWidth="10" defaultColWidth="11.44140625" defaultRowHeight="14.4"/>
  <cols>
    <col min="2" max="2" width="12.5546875" bestFit="1" customWidth="1"/>
    <col min="4" max="4" width="12.5546875" bestFit="1" customWidth="1"/>
  </cols>
  <sheetData>
    <row r="1" spans="1:20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</row>
    <row r="2" spans="1:20">
      <c r="A2" s="40"/>
      <c r="B2" s="40"/>
      <c r="C2" s="40"/>
      <c r="D2" s="40"/>
      <c r="E2" s="40"/>
      <c r="F2" s="81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</row>
    <row r="3" spans="1:20">
      <c r="A3" s="40"/>
      <c r="B3" t="s">
        <v>1</v>
      </c>
      <c r="C3" s="40"/>
      <c r="D3" t="s">
        <v>44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</row>
    <row r="4" spans="1:20">
      <c r="A4" s="40"/>
      <c r="B4" t="s">
        <v>2</v>
      </c>
      <c r="C4" s="40"/>
      <c r="D4" t="b">
        <v>1</v>
      </c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</row>
    <row r="5" spans="1:20">
      <c r="A5" s="40"/>
      <c r="B5" t="s">
        <v>3</v>
      </c>
      <c r="C5" s="40"/>
      <c r="D5" t="b">
        <v>0</v>
      </c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</row>
    <row r="6" spans="1:20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1:20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</row>
    <row r="8" spans="1:20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1:20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</row>
    <row r="10" spans="1:20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</row>
    <row r="11" spans="1:20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</row>
    <row r="12" spans="1:20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1:20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</row>
    <row r="14" spans="1:20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0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</row>
    <row r="16" spans="1:20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20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1:20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1:20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1:20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</row>
    <row r="21" spans="1:20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</row>
    <row r="22" spans="1:20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</row>
    <row r="23" spans="1:20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</row>
    <row r="24" spans="1:20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</row>
    <row r="25" spans="1:20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</row>
    <row r="26" spans="1:20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</row>
    <row r="27" spans="1:20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</row>
    <row r="28" spans="1:20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</row>
    <row r="29" spans="1:20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2416-3202-43B6-BF8C-DE4226551269}">
  <sheetPr codeName="Feuil3">
    <tabColor theme="9"/>
  </sheetPr>
  <dimension ref="B2:BC653"/>
  <sheetViews>
    <sheetView showGridLines="0" tabSelected="1" zoomScale="70" workbookViewId="0">
      <selection activeCell="N10" sqref="N10"/>
    </sheetView>
  </sheetViews>
  <sheetFormatPr baseColWidth="10" defaultRowHeight="14.4"/>
  <cols>
    <col min="8" max="8" width="22" bestFit="1" customWidth="1"/>
    <col min="16" max="16" width="12" bestFit="1" customWidth="1"/>
    <col min="17" max="17" width="25.21875" bestFit="1" customWidth="1"/>
    <col min="18" max="18" width="15.5546875" bestFit="1" customWidth="1"/>
    <col min="19" max="22" width="15.5546875" customWidth="1"/>
    <col min="23" max="23" width="27.44140625" bestFit="1" customWidth="1"/>
    <col min="24" max="34" width="15.5546875" customWidth="1"/>
    <col min="35" max="35" width="7.33203125" customWidth="1"/>
    <col min="37" max="37" width="15.21875" bestFit="1" customWidth="1"/>
  </cols>
  <sheetData>
    <row r="2" spans="2:55" ht="15" thickBot="1">
      <c r="U2" s="165" t="s">
        <v>1414</v>
      </c>
    </row>
    <row r="3" spans="2:55" ht="15" thickBot="1">
      <c r="B3" s="1" t="s">
        <v>1291</v>
      </c>
      <c r="C3" s="1" t="s">
        <v>31</v>
      </c>
      <c r="D3" s="1" t="s">
        <v>732</v>
      </c>
      <c r="E3" s="1" t="s">
        <v>733</v>
      </c>
      <c r="F3" s="1" t="s">
        <v>734</v>
      </c>
      <c r="G3" s="1" t="s">
        <v>1346</v>
      </c>
      <c r="H3" s="1" t="s">
        <v>1347</v>
      </c>
      <c r="I3" s="1" t="s">
        <v>735</v>
      </c>
      <c r="J3" s="1" t="s">
        <v>736</v>
      </c>
      <c r="K3" s="1" t="s">
        <v>737</v>
      </c>
      <c r="L3" s="1" t="s">
        <v>738</v>
      </c>
      <c r="M3" s="1" t="s">
        <v>739</v>
      </c>
      <c r="N3" s="1" t="s">
        <v>740</v>
      </c>
      <c r="O3" s="1" t="s">
        <v>741</v>
      </c>
      <c r="P3" s="1" t="s">
        <v>1286</v>
      </c>
      <c r="Q3" s="1" t="s">
        <v>1292</v>
      </c>
      <c r="R3" s="1" t="s">
        <v>1287</v>
      </c>
      <c r="S3" s="1" t="s">
        <v>1290</v>
      </c>
      <c r="T3" s="1"/>
      <c r="U3" s="1" t="s">
        <v>1351</v>
      </c>
      <c r="V3" s="1" t="s">
        <v>1416</v>
      </c>
      <c r="W3" s="1" t="s">
        <v>1352</v>
      </c>
      <c r="X3" s="1" t="s">
        <v>1353</v>
      </c>
      <c r="Y3" s="1" t="s">
        <v>1354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87" t="s">
        <v>1284</v>
      </c>
      <c r="AK3" s="185" t="s">
        <v>823</v>
      </c>
      <c r="AL3" s="249" t="s">
        <v>1285</v>
      </c>
      <c r="AM3" s="249"/>
      <c r="AN3" s="249"/>
      <c r="AO3" s="249"/>
      <c r="AP3" s="249"/>
      <c r="AQ3" s="249"/>
      <c r="AR3" s="249"/>
      <c r="AS3" s="249"/>
      <c r="AT3" s="249"/>
      <c r="AU3" s="249"/>
      <c r="AV3" s="249"/>
      <c r="AW3" s="249"/>
      <c r="AX3" s="249"/>
      <c r="AY3" s="249"/>
      <c r="AZ3" s="249"/>
      <c r="BA3" s="249"/>
      <c r="BB3" s="249"/>
      <c r="BC3" s="250"/>
    </row>
    <row r="4" spans="2:55" ht="15" thickBot="1">
      <c r="B4" s="1">
        <v>1</v>
      </c>
      <c r="C4" s="1" t="s">
        <v>731</v>
      </c>
      <c r="D4" s="1" t="s">
        <v>742</v>
      </c>
      <c r="E4" s="1" t="s">
        <v>743</v>
      </c>
      <c r="F4" s="1" t="s">
        <v>744</v>
      </c>
      <c r="G4" s="1">
        <v>45</v>
      </c>
      <c r="H4" s="1">
        <v>64</v>
      </c>
      <c r="I4" s="1">
        <v>318</v>
      </c>
      <c r="J4" s="1">
        <v>45</v>
      </c>
      <c r="K4" s="1">
        <v>49</v>
      </c>
      <c r="L4" s="1">
        <v>49</v>
      </c>
      <c r="M4" s="1">
        <v>65</v>
      </c>
      <c r="N4" s="1">
        <v>65</v>
      </c>
      <c r="O4" s="1">
        <v>45</v>
      </c>
      <c r="P4" s="1">
        <v>16</v>
      </c>
      <c r="Q4" s="1">
        <v>2</v>
      </c>
      <c r="R4" s="1" t="s">
        <v>745</v>
      </c>
      <c r="S4" s="1"/>
      <c r="T4" s="1"/>
      <c r="U4" s="1" t="s">
        <v>1400</v>
      </c>
      <c r="V4" s="1" t="s">
        <v>1330</v>
      </c>
      <c r="W4" s="1" t="s">
        <v>1389</v>
      </c>
      <c r="X4" s="1">
        <v>2</v>
      </c>
      <c r="Y4" s="1">
        <v>5</v>
      </c>
      <c r="Z4" s="1"/>
      <c r="AA4" s="1"/>
      <c r="AB4" s="1"/>
      <c r="AC4" s="1"/>
      <c r="AD4" s="1"/>
      <c r="AE4" s="1"/>
      <c r="AF4" s="1"/>
      <c r="AG4" s="1"/>
      <c r="AH4" s="1"/>
      <c r="AI4" s="1"/>
      <c r="AJ4" s="186" t="s">
        <v>752</v>
      </c>
      <c r="AK4" s="188" cm="1">
        <f t="array" ref="AK4">_xlfn.XLOOKUP(AJ4,AK5:AK22,_xlfn.XLOOKUP(AK3,AL4:BC4,AL5:BC22))</f>
        <v>1</v>
      </c>
      <c r="AL4" s="191" t="s">
        <v>765</v>
      </c>
      <c r="AM4" s="191" t="s">
        <v>748</v>
      </c>
      <c r="AN4" s="191" t="s">
        <v>754</v>
      </c>
      <c r="AO4" s="191" t="s">
        <v>772</v>
      </c>
      <c r="AP4" s="191" t="s">
        <v>743</v>
      </c>
      <c r="AQ4" s="191" t="s">
        <v>823</v>
      </c>
      <c r="AR4" s="191" t="s">
        <v>796</v>
      </c>
      <c r="AS4" s="191" t="s">
        <v>744</v>
      </c>
      <c r="AT4" s="191" t="s">
        <v>774</v>
      </c>
      <c r="AU4" s="191" t="s">
        <v>751</v>
      </c>
      <c r="AV4" s="191" t="s">
        <v>803</v>
      </c>
      <c r="AW4" s="191" t="s">
        <v>758</v>
      </c>
      <c r="AX4" s="191" t="s">
        <v>811</v>
      </c>
      <c r="AY4" s="191" t="s">
        <v>829</v>
      </c>
      <c r="AZ4" s="191" t="s">
        <v>752</v>
      </c>
      <c r="BA4" s="191" t="s">
        <v>864</v>
      </c>
      <c r="BB4" s="191" t="s">
        <v>818</v>
      </c>
      <c r="BC4" s="192" t="s">
        <v>777</v>
      </c>
    </row>
    <row r="5" spans="2:55">
      <c r="B5" s="1">
        <v>2</v>
      </c>
      <c r="C5" s="1" t="s">
        <v>730</v>
      </c>
      <c r="D5" s="1" t="s">
        <v>745</v>
      </c>
      <c r="E5" s="1" t="s">
        <v>743</v>
      </c>
      <c r="F5" s="1" t="s">
        <v>744</v>
      </c>
      <c r="G5" s="1">
        <v>45</v>
      </c>
      <c r="H5" s="1">
        <v>142</v>
      </c>
      <c r="I5" s="1">
        <v>405</v>
      </c>
      <c r="J5" s="1">
        <v>60</v>
      </c>
      <c r="K5" s="1">
        <v>62</v>
      </c>
      <c r="L5" s="1">
        <v>63</v>
      </c>
      <c r="M5" s="1">
        <v>80</v>
      </c>
      <c r="N5" s="1">
        <v>80</v>
      </c>
      <c r="O5" s="1">
        <v>60</v>
      </c>
      <c r="P5" s="1">
        <v>32</v>
      </c>
      <c r="Q5" s="1">
        <v>3</v>
      </c>
      <c r="R5" s="1" t="s">
        <v>746</v>
      </c>
      <c r="S5" s="1"/>
      <c r="T5" s="1"/>
      <c r="U5" s="1" t="s">
        <v>1401</v>
      </c>
      <c r="V5" s="1" t="s">
        <v>1329</v>
      </c>
      <c r="W5" s="1" t="s">
        <v>1390</v>
      </c>
      <c r="X5" s="1">
        <v>3</v>
      </c>
      <c r="Y5" s="1">
        <v>6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247" t="s">
        <v>1283</v>
      </c>
      <c r="AK5" s="189" t="s">
        <v>765</v>
      </c>
      <c r="AL5" s="194">
        <v>1</v>
      </c>
      <c r="AM5" s="195">
        <v>1</v>
      </c>
      <c r="AN5" s="195">
        <v>1</v>
      </c>
      <c r="AO5" s="195">
        <v>1</v>
      </c>
      <c r="AP5" s="195">
        <v>1</v>
      </c>
      <c r="AQ5" s="195">
        <v>1</v>
      </c>
      <c r="AR5" s="195">
        <v>1</v>
      </c>
      <c r="AS5" s="195">
        <v>1</v>
      </c>
      <c r="AT5" s="195">
        <v>1</v>
      </c>
      <c r="AU5" s="195">
        <v>1</v>
      </c>
      <c r="AV5" s="195">
        <v>1</v>
      </c>
      <c r="AW5" s="195">
        <v>1</v>
      </c>
      <c r="AX5" s="195">
        <v>0.5</v>
      </c>
      <c r="AY5" s="195">
        <v>0</v>
      </c>
      <c r="AZ5" s="195">
        <v>1</v>
      </c>
      <c r="BA5" s="195">
        <v>1</v>
      </c>
      <c r="BB5" s="195">
        <v>0.5</v>
      </c>
      <c r="BC5" s="196">
        <v>1</v>
      </c>
    </row>
    <row r="6" spans="2:55">
      <c r="B6" s="1">
        <v>3</v>
      </c>
      <c r="C6" s="1" t="s">
        <v>729</v>
      </c>
      <c r="D6" s="1" t="s">
        <v>746</v>
      </c>
      <c r="E6" s="1" t="s">
        <v>743</v>
      </c>
      <c r="F6" s="1" t="s">
        <v>744</v>
      </c>
      <c r="G6" s="1">
        <v>45</v>
      </c>
      <c r="H6" s="1">
        <v>236</v>
      </c>
      <c r="I6" s="1">
        <v>525</v>
      </c>
      <c r="J6" s="1">
        <v>80</v>
      </c>
      <c r="K6" s="1">
        <v>82</v>
      </c>
      <c r="L6" s="1">
        <v>83</v>
      </c>
      <c r="M6" s="1">
        <v>100</v>
      </c>
      <c r="N6" s="1">
        <v>100</v>
      </c>
      <c r="O6" s="1">
        <v>80</v>
      </c>
      <c r="P6" s="1" t="s">
        <v>82</v>
      </c>
      <c r="Q6" s="1" t="s">
        <v>82</v>
      </c>
      <c r="R6" s="1" t="s">
        <v>82</v>
      </c>
      <c r="S6" s="1"/>
      <c r="T6" s="1"/>
      <c r="U6" s="1" t="s">
        <v>1402</v>
      </c>
      <c r="V6" s="1" t="s">
        <v>1328</v>
      </c>
      <c r="W6" s="1" t="s">
        <v>1393</v>
      </c>
      <c r="X6" s="1">
        <v>6</v>
      </c>
      <c r="Y6" s="1">
        <v>8</v>
      </c>
      <c r="Z6" s="1"/>
      <c r="AA6" s="1"/>
      <c r="AB6" s="1"/>
      <c r="AC6" s="1"/>
      <c r="AD6" s="1"/>
      <c r="AE6" s="1"/>
      <c r="AF6" s="1"/>
      <c r="AG6" s="1"/>
      <c r="AH6" s="1"/>
      <c r="AI6" s="1"/>
      <c r="AJ6" s="247"/>
      <c r="AK6" s="189" t="s">
        <v>748</v>
      </c>
      <c r="AL6" s="197">
        <v>1</v>
      </c>
      <c r="AM6" s="193">
        <v>0.5</v>
      </c>
      <c r="AN6" s="193">
        <v>0.5</v>
      </c>
      <c r="AO6" s="193">
        <v>1</v>
      </c>
      <c r="AP6" s="193">
        <v>2</v>
      </c>
      <c r="AQ6" s="193">
        <v>2</v>
      </c>
      <c r="AR6" s="193">
        <v>1</v>
      </c>
      <c r="AS6" s="193">
        <v>1</v>
      </c>
      <c r="AT6" s="193">
        <v>1</v>
      </c>
      <c r="AU6" s="193">
        <v>1</v>
      </c>
      <c r="AV6" s="193">
        <v>1</v>
      </c>
      <c r="AW6" s="193">
        <v>2</v>
      </c>
      <c r="AX6" s="193">
        <v>0.5</v>
      </c>
      <c r="AY6" s="193">
        <v>1</v>
      </c>
      <c r="AZ6" s="193">
        <v>0.5</v>
      </c>
      <c r="BA6" s="193">
        <v>1</v>
      </c>
      <c r="BB6" s="193">
        <v>2</v>
      </c>
      <c r="BC6" s="198">
        <v>1</v>
      </c>
    </row>
    <row r="7" spans="2:55">
      <c r="B7" s="1">
        <v>4</v>
      </c>
      <c r="C7" s="1" t="s">
        <v>728</v>
      </c>
      <c r="D7" s="1" t="s">
        <v>747</v>
      </c>
      <c r="E7" s="1" t="s">
        <v>748</v>
      </c>
      <c r="F7" s="1" t="s">
        <v>82</v>
      </c>
      <c r="G7" s="1">
        <v>45</v>
      </c>
      <c r="H7" s="1">
        <v>62</v>
      </c>
      <c r="I7" s="1">
        <v>309</v>
      </c>
      <c r="J7" s="1">
        <v>39</v>
      </c>
      <c r="K7" s="1">
        <v>52</v>
      </c>
      <c r="L7" s="1">
        <v>43</v>
      </c>
      <c r="M7" s="1">
        <v>60</v>
      </c>
      <c r="N7" s="1">
        <v>50</v>
      </c>
      <c r="O7" s="1">
        <v>65</v>
      </c>
      <c r="P7" s="1">
        <v>16</v>
      </c>
      <c r="Q7" s="1">
        <v>5</v>
      </c>
      <c r="R7" s="1" t="s">
        <v>749</v>
      </c>
      <c r="S7" s="1"/>
      <c r="T7" s="1"/>
      <c r="U7" s="1" t="s">
        <v>1403</v>
      </c>
      <c r="V7" s="1" t="s">
        <v>1355</v>
      </c>
      <c r="W7" s="1" t="s">
        <v>1394</v>
      </c>
      <c r="X7" s="1">
        <v>8</v>
      </c>
      <c r="Y7" s="1">
        <v>12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247"/>
      <c r="AK7" s="189" t="s">
        <v>754</v>
      </c>
      <c r="AL7" s="197">
        <v>1</v>
      </c>
      <c r="AM7" s="193">
        <v>2</v>
      </c>
      <c r="AN7" s="193">
        <v>0.5</v>
      </c>
      <c r="AO7" s="193">
        <v>1</v>
      </c>
      <c r="AP7" s="193">
        <v>0.5</v>
      </c>
      <c r="AQ7" s="193">
        <v>1</v>
      </c>
      <c r="AR7" s="193">
        <v>1</v>
      </c>
      <c r="AS7" s="193">
        <v>1</v>
      </c>
      <c r="AT7" s="193">
        <v>2</v>
      </c>
      <c r="AU7" s="193">
        <v>1</v>
      </c>
      <c r="AV7" s="193">
        <v>1</v>
      </c>
      <c r="AW7" s="193">
        <v>1</v>
      </c>
      <c r="AX7" s="193">
        <v>2</v>
      </c>
      <c r="AY7" s="193">
        <v>1</v>
      </c>
      <c r="AZ7" s="193">
        <v>0.5</v>
      </c>
      <c r="BA7" s="193">
        <v>1</v>
      </c>
      <c r="BB7" s="193">
        <v>1</v>
      </c>
      <c r="BC7" s="198">
        <v>1</v>
      </c>
    </row>
    <row r="8" spans="2:55">
      <c r="B8" s="1">
        <v>5</v>
      </c>
      <c r="C8" s="1" t="s">
        <v>727</v>
      </c>
      <c r="D8" s="1" t="s">
        <v>749</v>
      </c>
      <c r="E8" s="1" t="s">
        <v>748</v>
      </c>
      <c r="F8" s="1" t="s">
        <v>82</v>
      </c>
      <c r="G8" s="1">
        <v>45</v>
      </c>
      <c r="H8" s="1">
        <v>142</v>
      </c>
      <c r="I8" s="1">
        <v>405</v>
      </c>
      <c r="J8" s="1">
        <v>58</v>
      </c>
      <c r="K8" s="1">
        <v>64</v>
      </c>
      <c r="L8" s="1">
        <v>58</v>
      </c>
      <c r="M8" s="1">
        <v>80</v>
      </c>
      <c r="N8" s="1">
        <v>65</v>
      </c>
      <c r="O8" s="1">
        <v>80</v>
      </c>
      <c r="P8" s="1">
        <v>36</v>
      </c>
      <c r="Q8" s="1">
        <v>6</v>
      </c>
      <c r="R8" s="1" t="s">
        <v>750</v>
      </c>
      <c r="S8" s="1"/>
      <c r="T8" s="1"/>
      <c r="U8" s="1" t="s">
        <v>1404</v>
      </c>
      <c r="V8" s="1" t="s">
        <v>1356</v>
      </c>
      <c r="W8" s="1" t="s">
        <v>1395</v>
      </c>
      <c r="X8" s="1">
        <v>13</v>
      </c>
      <c r="Y8" s="1">
        <v>16</v>
      </c>
      <c r="Z8" s="1"/>
      <c r="AA8" s="1"/>
      <c r="AB8" s="1"/>
      <c r="AC8" s="1"/>
      <c r="AD8" s="1"/>
      <c r="AE8" s="1"/>
      <c r="AF8" s="1"/>
      <c r="AG8" s="1"/>
      <c r="AH8" s="1"/>
      <c r="AI8" s="1"/>
      <c r="AJ8" s="247"/>
      <c r="AK8" s="189" t="s">
        <v>772</v>
      </c>
      <c r="AL8" s="197">
        <v>1</v>
      </c>
      <c r="AM8" s="193">
        <v>1</v>
      </c>
      <c r="AN8" s="193">
        <v>2</v>
      </c>
      <c r="AO8" s="193">
        <v>0.5</v>
      </c>
      <c r="AP8" s="193">
        <v>0.5</v>
      </c>
      <c r="AQ8" s="193">
        <v>1</v>
      </c>
      <c r="AR8" s="193">
        <v>1</v>
      </c>
      <c r="AS8" s="193">
        <v>1</v>
      </c>
      <c r="AT8" s="193">
        <v>0</v>
      </c>
      <c r="AU8" s="193">
        <v>2</v>
      </c>
      <c r="AV8" s="193">
        <v>1</v>
      </c>
      <c r="AW8" s="193">
        <v>1</v>
      </c>
      <c r="AX8" s="193">
        <v>1</v>
      </c>
      <c r="AY8" s="193">
        <v>1</v>
      </c>
      <c r="AZ8" s="193">
        <v>0.5</v>
      </c>
      <c r="BA8" s="193">
        <v>1</v>
      </c>
      <c r="BB8" s="193">
        <v>1</v>
      </c>
      <c r="BC8" s="198">
        <v>1</v>
      </c>
    </row>
    <row r="9" spans="2:55">
      <c r="B9" s="1">
        <v>6</v>
      </c>
      <c r="C9" s="1" t="s">
        <v>726</v>
      </c>
      <c r="D9" s="1" t="s">
        <v>750</v>
      </c>
      <c r="E9" s="1" t="s">
        <v>748</v>
      </c>
      <c r="F9" s="1" t="s">
        <v>751</v>
      </c>
      <c r="G9" s="1">
        <v>45</v>
      </c>
      <c r="H9" s="1">
        <v>240</v>
      </c>
      <c r="I9" s="1">
        <v>534</v>
      </c>
      <c r="J9" s="1">
        <v>78</v>
      </c>
      <c r="K9" s="1">
        <v>84</v>
      </c>
      <c r="L9" s="1">
        <v>78</v>
      </c>
      <c r="M9" s="1">
        <v>109</v>
      </c>
      <c r="N9" s="1">
        <v>85</v>
      </c>
      <c r="O9" s="1">
        <v>100</v>
      </c>
      <c r="P9" s="1" t="s">
        <v>82</v>
      </c>
      <c r="Q9" s="1" t="s">
        <v>82</v>
      </c>
      <c r="R9" s="1" t="s">
        <v>82</v>
      </c>
      <c r="S9" s="1"/>
      <c r="T9" s="1"/>
      <c r="U9" s="1" t="s">
        <v>1405</v>
      </c>
      <c r="V9" s="1" t="s">
        <v>1357</v>
      </c>
      <c r="W9" s="1" t="s">
        <v>1396</v>
      </c>
      <c r="X9" s="1">
        <v>13</v>
      </c>
      <c r="Y9" s="1">
        <v>16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247"/>
      <c r="AK9" s="189" t="s">
        <v>743</v>
      </c>
      <c r="AL9" s="197">
        <v>1</v>
      </c>
      <c r="AM9" s="193">
        <v>0.5</v>
      </c>
      <c r="AN9" s="193">
        <v>2</v>
      </c>
      <c r="AO9" s="193">
        <v>1</v>
      </c>
      <c r="AP9" s="193">
        <v>0.5</v>
      </c>
      <c r="AQ9" s="193">
        <v>1</v>
      </c>
      <c r="AR9" s="193">
        <v>1</v>
      </c>
      <c r="AS9" s="193">
        <v>0.5</v>
      </c>
      <c r="AT9" s="193">
        <v>2</v>
      </c>
      <c r="AU9" s="193">
        <v>0.5</v>
      </c>
      <c r="AV9" s="193">
        <v>1</v>
      </c>
      <c r="AW9" s="193">
        <v>0.5</v>
      </c>
      <c r="AX9" s="193">
        <v>2</v>
      </c>
      <c r="AY9" s="193">
        <v>1</v>
      </c>
      <c r="AZ9" s="193">
        <v>0.5</v>
      </c>
      <c r="BA9" s="193">
        <v>1</v>
      </c>
      <c r="BB9" s="193">
        <v>0.5</v>
      </c>
      <c r="BC9" s="198">
        <v>1</v>
      </c>
    </row>
    <row r="10" spans="2:55">
      <c r="B10" s="1">
        <v>7</v>
      </c>
      <c r="C10" s="1" t="s">
        <v>725</v>
      </c>
      <c r="D10" s="1" t="s">
        <v>753</v>
      </c>
      <c r="E10" s="1" t="s">
        <v>754</v>
      </c>
      <c r="F10" s="1" t="s">
        <v>82</v>
      </c>
      <c r="G10" s="1">
        <v>45</v>
      </c>
      <c r="H10" s="1">
        <v>63</v>
      </c>
      <c r="I10" s="1">
        <v>314</v>
      </c>
      <c r="J10" s="1">
        <v>44</v>
      </c>
      <c r="K10" s="1">
        <v>48</v>
      </c>
      <c r="L10" s="1">
        <v>65</v>
      </c>
      <c r="M10" s="1">
        <v>50</v>
      </c>
      <c r="N10" s="1">
        <v>64</v>
      </c>
      <c r="O10" s="1">
        <v>43</v>
      </c>
      <c r="P10" s="1">
        <v>16</v>
      </c>
      <c r="Q10" s="1">
        <v>8</v>
      </c>
      <c r="R10" s="1" t="s">
        <v>755</v>
      </c>
      <c r="S10" s="1"/>
      <c r="T10" s="1"/>
      <c r="U10" s="1" t="s">
        <v>1406</v>
      </c>
      <c r="V10" s="1" t="s">
        <v>1358</v>
      </c>
      <c r="W10" s="1" t="s">
        <v>1397</v>
      </c>
      <c r="X10" s="1">
        <v>18</v>
      </c>
      <c r="Y10" s="1">
        <v>22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247"/>
      <c r="AK10" s="189" t="s">
        <v>823</v>
      </c>
      <c r="AL10" s="197">
        <v>1</v>
      </c>
      <c r="AM10" s="193">
        <v>0.5</v>
      </c>
      <c r="AN10" s="193">
        <v>0.5</v>
      </c>
      <c r="AO10" s="193">
        <v>1</v>
      </c>
      <c r="AP10" s="193">
        <v>2</v>
      </c>
      <c r="AQ10" s="193">
        <v>0.5</v>
      </c>
      <c r="AR10" s="193">
        <v>1</v>
      </c>
      <c r="AS10" s="193">
        <v>1</v>
      </c>
      <c r="AT10" s="193">
        <v>2</v>
      </c>
      <c r="AU10" s="193">
        <v>2</v>
      </c>
      <c r="AV10" s="193">
        <v>1</v>
      </c>
      <c r="AW10" s="193">
        <v>1</v>
      </c>
      <c r="AX10" s="193">
        <v>1</v>
      </c>
      <c r="AY10" s="193">
        <v>1</v>
      </c>
      <c r="AZ10" s="193">
        <v>2</v>
      </c>
      <c r="BA10" s="193">
        <v>1</v>
      </c>
      <c r="BB10" s="193">
        <v>0.5</v>
      </c>
      <c r="BC10" s="198">
        <v>1</v>
      </c>
    </row>
    <row r="11" spans="2:55">
      <c r="B11" s="1">
        <v>8</v>
      </c>
      <c r="C11" s="1" t="s">
        <v>724</v>
      </c>
      <c r="D11" s="1" t="s">
        <v>755</v>
      </c>
      <c r="E11" s="1" t="s">
        <v>754</v>
      </c>
      <c r="F11" s="1" t="s">
        <v>82</v>
      </c>
      <c r="G11" s="1">
        <v>45</v>
      </c>
      <c r="H11" s="1">
        <v>142</v>
      </c>
      <c r="I11" s="1">
        <v>405</v>
      </c>
      <c r="J11" s="1">
        <v>59</v>
      </c>
      <c r="K11" s="1">
        <v>63</v>
      </c>
      <c r="L11" s="1">
        <v>80</v>
      </c>
      <c r="M11" s="1">
        <v>65</v>
      </c>
      <c r="N11" s="1">
        <v>80</v>
      </c>
      <c r="O11" s="1">
        <v>58</v>
      </c>
      <c r="P11" s="1">
        <v>36</v>
      </c>
      <c r="Q11" s="1">
        <v>9</v>
      </c>
      <c r="R11" s="1" t="s">
        <v>756</v>
      </c>
      <c r="S11" s="1"/>
      <c r="T11" s="1"/>
      <c r="U11" s="1" t="s">
        <v>1407</v>
      </c>
      <c r="V11" s="1" t="s">
        <v>1359</v>
      </c>
      <c r="W11" s="1" t="s">
        <v>1398</v>
      </c>
      <c r="X11" s="1">
        <v>18</v>
      </c>
      <c r="Y11" s="1">
        <v>24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247"/>
      <c r="AK11" s="189" t="s">
        <v>796</v>
      </c>
      <c r="AL11" s="197">
        <v>2</v>
      </c>
      <c r="AM11" s="193">
        <v>1</v>
      </c>
      <c r="AN11" s="193">
        <v>1</v>
      </c>
      <c r="AO11" s="193">
        <v>1</v>
      </c>
      <c r="AP11" s="193">
        <v>1</v>
      </c>
      <c r="AQ11" s="193">
        <v>2</v>
      </c>
      <c r="AR11" s="193">
        <v>1</v>
      </c>
      <c r="AS11" s="193">
        <v>0.5</v>
      </c>
      <c r="AT11" s="193">
        <v>1</v>
      </c>
      <c r="AU11" s="193">
        <v>0.5</v>
      </c>
      <c r="AV11" s="193">
        <v>0.5</v>
      </c>
      <c r="AW11" s="193">
        <v>0.5</v>
      </c>
      <c r="AX11" s="193">
        <v>2</v>
      </c>
      <c r="AY11" s="193">
        <v>0</v>
      </c>
      <c r="AZ11" s="193">
        <v>1</v>
      </c>
      <c r="BA11" s="193">
        <v>2</v>
      </c>
      <c r="BB11" s="193">
        <v>2</v>
      </c>
      <c r="BC11" s="198">
        <v>0.5</v>
      </c>
    </row>
    <row r="12" spans="2:55">
      <c r="B12" s="1">
        <v>9</v>
      </c>
      <c r="C12" s="1" t="s">
        <v>723</v>
      </c>
      <c r="D12" s="1" t="s">
        <v>756</v>
      </c>
      <c r="E12" s="1" t="s">
        <v>754</v>
      </c>
      <c r="F12" s="1" t="s">
        <v>82</v>
      </c>
      <c r="G12" s="1">
        <v>45</v>
      </c>
      <c r="H12" s="1">
        <v>239</v>
      </c>
      <c r="I12" s="1">
        <v>530</v>
      </c>
      <c r="J12" s="1">
        <v>79</v>
      </c>
      <c r="K12" s="1">
        <v>83</v>
      </c>
      <c r="L12" s="1">
        <v>100</v>
      </c>
      <c r="M12" s="1">
        <v>85</v>
      </c>
      <c r="N12" s="1">
        <v>105</v>
      </c>
      <c r="O12" s="1">
        <v>78</v>
      </c>
      <c r="P12" s="1" t="s">
        <v>82</v>
      </c>
      <c r="Q12" s="1" t="s">
        <v>82</v>
      </c>
      <c r="R12" s="1" t="s">
        <v>82</v>
      </c>
      <c r="S12" s="1"/>
      <c r="T12" s="1"/>
      <c r="U12" s="1" t="s">
        <v>1408</v>
      </c>
      <c r="V12" s="1" t="s">
        <v>1360</v>
      </c>
      <c r="W12" s="1" t="s">
        <v>1399</v>
      </c>
      <c r="X12" s="1">
        <v>13</v>
      </c>
      <c r="Y12" s="1">
        <v>17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247"/>
      <c r="AK12" s="189" t="s">
        <v>744</v>
      </c>
      <c r="AL12" s="197">
        <v>1</v>
      </c>
      <c r="AM12" s="193">
        <v>1</v>
      </c>
      <c r="AN12" s="193">
        <v>1</v>
      </c>
      <c r="AO12" s="193">
        <v>1</v>
      </c>
      <c r="AP12" s="193">
        <v>2</v>
      </c>
      <c r="AQ12" s="193">
        <v>1</v>
      </c>
      <c r="AR12" s="193">
        <v>1</v>
      </c>
      <c r="AS12" s="193">
        <v>0.5</v>
      </c>
      <c r="AT12" s="193">
        <v>0.5</v>
      </c>
      <c r="AU12" s="193">
        <v>1</v>
      </c>
      <c r="AV12" s="193">
        <v>1</v>
      </c>
      <c r="AW12" s="193">
        <v>1</v>
      </c>
      <c r="AX12" s="193">
        <v>0.5</v>
      </c>
      <c r="AY12" s="193">
        <v>0.5</v>
      </c>
      <c r="AZ12" s="193">
        <v>1</v>
      </c>
      <c r="BA12" s="193">
        <v>1</v>
      </c>
      <c r="BB12" s="193">
        <v>0</v>
      </c>
      <c r="BC12" s="198">
        <v>2</v>
      </c>
    </row>
    <row r="13" spans="2:55">
      <c r="B13" s="1">
        <v>10</v>
      </c>
      <c r="C13" s="1" t="s">
        <v>722</v>
      </c>
      <c r="D13" s="1" t="s">
        <v>757</v>
      </c>
      <c r="E13" s="1" t="s">
        <v>758</v>
      </c>
      <c r="F13" s="1" t="s">
        <v>82</v>
      </c>
      <c r="G13" s="1">
        <v>255</v>
      </c>
      <c r="H13" s="1">
        <v>39</v>
      </c>
      <c r="I13" s="1">
        <v>195</v>
      </c>
      <c r="J13" s="1">
        <v>45</v>
      </c>
      <c r="K13" s="1">
        <v>30</v>
      </c>
      <c r="L13" s="1">
        <v>35</v>
      </c>
      <c r="M13" s="1">
        <v>20</v>
      </c>
      <c r="N13" s="1">
        <v>20</v>
      </c>
      <c r="O13" s="1">
        <v>45</v>
      </c>
      <c r="P13" s="1">
        <v>7</v>
      </c>
      <c r="Q13" s="1">
        <v>11</v>
      </c>
      <c r="R13" s="1" t="s">
        <v>759</v>
      </c>
      <c r="S13" s="1"/>
      <c r="T13" s="1"/>
      <c r="U13" s="1" t="s">
        <v>1361</v>
      </c>
      <c r="V13" s="1" t="s">
        <v>1362</v>
      </c>
      <c r="W13" s="1" t="s">
        <v>1409</v>
      </c>
      <c r="X13" s="1">
        <v>14</v>
      </c>
      <c r="Y13" s="1">
        <v>17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247"/>
      <c r="AK13" s="189" t="s">
        <v>774</v>
      </c>
      <c r="AL13" s="197">
        <v>1</v>
      </c>
      <c r="AM13" s="193">
        <v>2</v>
      </c>
      <c r="AN13" s="193">
        <v>1</v>
      </c>
      <c r="AO13" s="193">
        <v>2</v>
      </c>
      <c r="AP13" s="193">
        <v>0.5</v>
      </c>
      <c r="AQ13" s="193">
        <v>1</v>
      </c>
      <c r="AR13" s="193">
        <v>1</v>
      </c>
      <c r="AS13" s="193">
        <v>2</v>
      </c>
      <c r="AT13" s="193">
        <v>1</v>
      </c>
      <c r="AU13" s="193">
        <v>0</v>
      </c>
      <c r="AV13" s="193">
        <v>1</v>
      </c>
      <c r="AW13" s="193">
        <v>0.5</v>
      </c>
      <c r="AX13" s="193">
        <v>2</v>
      </c>
      <c r="AY13" s="193">
        <v>1</v>
      </c>
      <c r="AZ13" s="193">
        <v>1</v>
      </c>
      <c r="BA13" s="193">
        <v>1</v>
      </c>
      <c r="BB13" s="193">
        <v>2</v>
      </c>
      <c r="BC13" s="198">
        <v>1</v>
      </c>
    </row>
    <row r="14" spans="2:55">
      <c r="B14" s="1">
        <v>11</v>
      </c>
      <c r="C14" s="1" t="s">
        <v>721</v>
      </c>
      <c r="D14" s="1" t="s">
        <v>759</v>
      </c>
      <c r="E14" s="1" t="s">
        <v>758</v>
      </c>
      <c r="F14" s="1" t="s">
        <v>82</v>
      </c>
      <c r="G14" s="1">
        <v>120</v>
      </c>
      <c r="H14" s="1">
        <v>72</v>
      </c>
      <c r="I14" s="1">
        <v>205</v>
      </c>
      <c r="J14" s="1">
        <v>50</v>
      </c>
      <c r="K14" s="1">
        <v>20</v>
      </c>
      <c r="L14" s="1">
        <v>55</v>
      </c>
      <c r="M14" s="1">
        <v>25</v>
      </c>
      <c r="N14" s="1">
        <v>25</v>
      </c>
      <c r="O14" s="1">
        <v>30</v>
      </c>
      <c r="P14" s="1">
        <v>10</v>
      </c>
      <c r="Q14" s="1">
        <v>12</v>
      </c>
      <c r="R14" s="1" t="s">
        <v>760</v>
      </c>
      <c r="S14" s="1"/>
      <c r="T14" s="1"/>
      <c r="U14" s="1" t="s">
        <v>1363</v>
      </c>
      <c r="V14" s="1" t="s">
        <v>1364</v>
      </c>
      <c r="W14" s="1" t="s">
        <v>1410</v>
      </c>
      <c r="X14" s="1">
        <v>14</v>
      </c>
      <c r="Y14" s="1">
        <v>17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247"/>
      <c r="AK14" s="189" t="s">
        <v>751</v>
      </c>
      <c r="AL14" s="197">
        <v>1</v>
      </c>
      <c r="AM14" s="193">
        <v>1</v>
      </c>
      <c r="AN14" s="193">
        <v>1</v>
      </c>
      <c r="AO14" s="193">
        <v>0.5</v>
      </c>
      <c r="AP14" s="193">
        <v>2</v>
      </c>
      <c r="AQ14" s="193">
        <v>1</v>
      </c>
      <c r="AR14" s="193">
        <v>2</v>
      </c>
      <c r="AS14" s="193">
        <v>1</v>
      </c>
      <c r="AT14" s="193">
        <v>1</v>
      </c>
      <c r="AU14" s="193">
        <v>1</v>
      </c>
      <c r="AV14" s="193">
        <v>1</v>
      </c>
      <c r="AW14" s="193">
        <v>2</v>
      </c>
      <c r="AX14" s="193">
        <v>0.5</v>
      </c>
      <c r="AY14" s="193">
        <v>1</v>
      </c>
      <c r="AZ14" s="193">
        <v>1</v>
      </c>
      <c r="BA14" s="193">
        <v>1</v>
      </c>
      <c r="BB14" s="193">
        <v>0.5</v>
      </c>
      <c r="BC14" s="198">
        <v>1</v>
      </c>
    </row>
    <row r="15" spans="2:55">
      <c r="B15" s="1">
        <v>12</v>
      </c>
      <c r="C15" s="1" t="s">
        <v>720</v>
      </c>
      <c r="D15" s="1" t="s">
        <v>760</v>
      </c>
      <c r="E15" s="1" t="s">
        <v>758</v>
      </c>
      <c r="F15" s="1" t="s">
        <v>751</v>
      </c>
      <c r="G15" s="1">
        <v>45</v>
      </c>
      <c r="H15" s="1">
        <v>178</v>
      </c>
      <c r="I15" s="1">
        <v>395</v>
      </c>
      <c r="J15" s="1">
        <v>60</v>
      </c>
      <c r="K15" s="1">
        <v>45</v>
      </c>
      <c r="L15" s="1">
        <v>50</v>
      </c>
      <c r="M15" s="1">
        <v>90</v>
      </c>
      <c r="N15" s="1">
        <v>80</v>
      </c>
      <c r="O15" s="1">
        <v>70</v>
      </c>
      <c r="P15" s="1" t="s">
        <v>82</v>
      </c>
      <c r="Q15" s="1" t="s">
        <v>82</v>
      </c>
      <c r="R15" s="1" t="s">
        <v>82</v>
      </c>
      <c r="S15" s="1"/>
      <c r="T15" s="1"/>
      <c r="U15" s="1" t="s">
        <v>1365</v>
      </c>
      <c r="V15" s="1" t="s">
        <v>1366</v>
      </c>
      <c r="W15" s="1" t="s">
        <v>1411</v>
      </c>
      <c r="X15" s="1">
        <v>22</v>
      </c>
      <c r="Y15" s="1">
        <v>30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247"/>
      <c r="AK15" s="189" t="s">
        <v>803</v>
      </c>
      <c r="AL15" s="197">
        <v>1</v>
      </c>
      <c r="AM15" s="193">
        <v>1</v>
      </c>
      <c r="AN15" s="193">
        <v>1</v>
      </c>
      <c r="AO15" s="193">
        <v>1</v>
      </c>
      <c r="AP15" s="193">
        <v>1</v>
      </c>
      <c r="AQ15" s="193">
        <v>1</v>
      </c>
      <c r="AR15" s="193">
        <v>2</v>
      </c>
      <c r="AS15" s="193">
        <v>2</v>
      </c>
      <c r="AT15" s="193">
        <v>1</v>
      </c>
      <c r="AU15" s="193">
        <v>1</v>
      </c>
      <c r="AV15" s="193">
        <v>0.5</v>
      </c>
      <c r="AW15" s="193">
        <v>1</v>
      </c>
      <c r="AX15" s="193">
        <v>1</v>
      </c>
      <c r="AY15" s="193">
        <v>1</v>
      </c>
      <c r="AZ15" s="193">
        <v>1</v>
      </c>
      <c r="BA15" s="193">
        <v>0</v>
      </c>
      <c r="BB15" s="193">
        <v>0.5</v>
      </c>
      <c r="BC15" s="198">
        <v>1</v>
      </c>
    </row>
    <row r="16" spans="2:55">
      <c r="B16" s="1">
        <v>13</v>
      </c>
      <c r="C16" s="1" t="s">
        <v>719</v>
      </c>
      <c r="D16" s="1" t="s">
        <v>761</v>
      </c>
      <c r="E16" s="1" t="s">
        <v>758</v>
      </c>
      <c r="F16" s="1" t="s">
        <v>744</v>
      </c>
      <c r="G16" s="1">
        <v>255</v>
      </c>
      <c r="H16" s="1">
        <v>39</v>
      </c>
      <c r="I16" s="1">
        <v>195</v>
      </c>
      <c r="J16" s="1">
        <v>40</v>
      </c>
      <c r="K16" s="1">
        <v>35</v>
      </c>
      <c r="L16" s="1">
        <v>30</v>
      </c>
      <c r="M16" s="1">
        <v>20</v>
      </c>
      <c r="N16" s="1">
        <v>20</v>
      </c>
      <c r="O16" s="1">
        <v>50</v>
      </c>
      <c r="P16" s="1">
        <v>7</v>
      </c>
      <c r="Q16" s="1">
        <v>14</v>
      </c>
      <c r="R16" s="1" t="s">
        <v>762</v>
      </c>
      <c r="S16" s="1"/>
      <c r="T16" s="1"/>
      <c r="U16" s="1" t="s">
        <v>1367</v>
      </c>
      <c r="V16" s="1" t="s">
        <v>1368</v>
      </c>
      <c r="W16" s="1" t="s">
        <v>1412</v>
      </c>
      <c r="X16" s="1">
        <v>25</v>
      </c>
      <c r="Y16" s="1">
        <v>30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247"/>
      <c r="AK16" s="189" t="s">
        <v>758</v>
      </c>
      <c r="AL16" s="197">
        <v>1</v>
      </c>
      <c r="AM16" s="193">
        <v>0.5</v>
      </c>
      <c r="AN16" s="193">
        <v>1</v>
      </c>
      <c r="AO16" s="193">
        <v>1</v>
      </c>
      <c r="AP16" s="193">
        <v>2</v>
      </c>
      <c r="AQ16" s="193">
        <v>1</v>
      </c>
      <c r="AR16" s="193">
        <v>0.5</v>
      </c>
      <c r="AS16" s="193">
        <v>0.5</v>
      </c>
      <c r="AT16" s="193">
        <v>1</v>
      </c>
      <c r="AU16" s="193">
        <v>0.5</v>
      </c>
      <c r="AV16" s="193">
        <v>2</v>
      </c>
      <c r="AW16" s="193">
        <v>1</v>
      </c>
      <c r="AX16" s="193">
        <v>1</v>
      </c>
      <c r="AY16" s="193">
        <v>0.5</v>
      </c>
      <c r="AZ16" s="193">
        <v>1</v>
      </c>
      <c r="BA16" s="193">
        <v>2</v>
      </c>
      <c r="BB16" s="193">
        <v>0.5</v>
      </c>
      <c r="BC16" s="198">
        <v>0.5</v>
      </c>
    </row>
    <row r="17" spans="2:55">
      <c r="B17" s="1">
        <v>14</v>
      </c>
      <c r="C17" s="1" t="s">
        <v>718</v>
      </c>
      <c r="D17" s="1" t="s">
        <v>762</v>
      </c>
      <c r="E17" s="1" t="s">
        <v>758</v>
      </c>
      <c r="F17" s="1" t="s">
        <v>744</v>
      </c>
      <c r="G17" s="1">
        <v>120</v>
      </c>
      <c r="H17" s="1">
        <v>72</v>
      </c>
      <c r="I17" s="1">
        <v>205</v>
      </c>
      <c r="J17" s="1">
        <v>45</v>
      </c>
      <c r="K17" s="1">
        <v>25</v>
      </c>
      <c r="L17" s="1">
        <v>50</v>
      </c>
      <c r="M17" s="1">
        <v>25</v>
      </c>
      <c r="N17" s="1">
        <v>25</v>
      </c>
      <c r="O17" s="1">
        <v>35</v>
      </c>
      <c r="P17" s="1">
        <v>10</v>
      </c>
      <c r="Q17" s="1">
        <v>15</v>
      </c>
      <c r="R17" s="1" t="s">
        <v>763</v>
      </c>
      <c r="S17" s="1"/>
      <c r="T17" s="1"/>
      <c r="U17" s="1" t="s">
        <v>1369</v>
      </c>
      <c r="V17" s="1" t="s">
        <v>1370</v>
      </c>
      <c r="W17" s="1" t="s">
        <v>1413</v>
      </c>
      <c r="X17" s="1">
        <v>26</v>
      </c>
      <c r="Y17" s="1">
        <v>31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247"/>
      <c r="AK17" s="189" t="s">
        <v>811</v>
      </c>
      <c r="AL17" s="197">
        <v>1</v>
      </c>
      <c r="AM17" s="193">
        <v>2</v>
      </c>
      <c r="AN17" s="193">
        <v>1</v>
      </c>
      <c r="AO17" s="193">
        <v>1</v>
      </c>
      <c r="AP17" s="193">
        <v>1</v>
      </c>
      <c r="AQ17" s="193">
        <v>2</v>
      </c>
      <c r="AR17" s="193">
        <v>0.5</v>
      </c>
      <c r="AS17" s="193">
        <v>1</v>
      </c>
      <c r="AT17" s="193">
        <v>0.5</v>
      </c>
      <c r="AU17" s="193">
        <v>2</v>
      </c>
      <c r="AV17" s="193">
        <v>1</v>
      </c>
      <c r="AW17" s="193">
        <v>2</v>
      </c>
      <c r="AX17" s="193">
        <v>1</v>
      </c>
      <c r="AY17" s="193">
        <v>1</v>
      </c>
      <c r="AZ17" s="193">
        <v>1</v>
      </c>
      <c r="BA17" s="193">
        <v>1</v>
      </c>
      <c r="BB17" s="193">
        <v>0.5</v>
      </c>
      <c r="BC17" s="198">
        <v>1</v>
      </c>
    </row>
    <row r="18" spans="2:55">
      <c r="B18" s="1">
        <v>15</v>
      </c>
      <c r="C18" s="1" t="s">
        <v>717</v>
      </c>
      <c r="D18" s="1" t="s">
        <v>763</v>
      </c>
      <c r="E18" s="1" t="s">
        <v>758</v>
      </c>
      <c r="F18" s="1" t="s">
        <v>744</v>
      </c>
      <c r="G18" s="1">
        <v>45</v>
      </c>
      <c r="H18" s="1">
        <v>178</v>
      </c>
      <c r="I18" s="1">
        <v>395</v>
      </c>
      <c r="J18" s="1">
        <v>65</v>
      </c>
      <c r="K18" s="1">
        <v>90</v>
      </c>
      <c r="L18" s="1">
        <v>40</v>
      </c>
      <c r="M18" s="1">
        <v>45</v>
      </c>
      <c r="N18" s="1">
        <v>80</v>
      </c>
      <c r="O18" s="1">
        <v>75</v>
      </c>
      <c r="P18" s="1" t="s">
        <v>82</v>
      </c>
      <c r="Q18" s="1" t="s">
        <v>82</v>
      </c>
      <c r="R18" s="1" t="s">
        <v>82</v>
      </c>
      <c r="S18" s="1"/>
      <c r="T18" s="1"/>
      <c r="U18" s="1" t="s">
        <v>1371</v>
      </c>
      <c r="V18" s="1" t="s">
        <v>1372</v>
      </c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247"/>
      <c r="AK18" s="189" t="s">
        <v>829</v>
      </c>
      <c r="AL18" s="197">
        <v>0</v>
      </c>
      <c r="AM18" s="193">
        <v>1</v>
      </c>
      <c r="AN18" s="193">
        <v>1</v>
      </c>
      <c r="AO18" s="193">
        <v>1</v>
      </c>
      <c r="AP18" s="193">
        <v>1</v>
      </c>
      <c r="AQ18" s="193">
        <v>1</v>
      </c>
      <c r="AR18" s="193">
        <v>1</v>
      </c>
      <c r="AS18" s="193">
        <v>1</v>
      </c>
      <c r="AT18" s="193">
        <v>1</v>
      </c>
      <c r="AU18" s="193">
        <v>1</v>
      </c>
      <c r="AV18" s="193">
        <v>2</v>
      </c>
      <c r="AW18" s="193">
        <v>1</v>
      </c>
      <c r="AX18" s="193">
        <v>1</v>
      </c>
      <c r="AY18" s="193">
        <v>2</v>
      </c>
      <c r="AZ18" s="193">
        <v>1</v>
      </c>
      <c r="BA18" s="193">
        <v>0.5</v>
      </c>
      <c r="BB18" s="193">
        <v>1</v>
      </c>
      <c r="BC18" s="198">
        <v>1</v>
      </c>
    </row>
    <row r="19" spans="2:55">
      <c r="B19" s="1">
        <v>16</v>
      </c>
      <c r="C19" s="1" t="s">
        <v>716</v>
      </c>
      <c r="D19" s="1" t="s">
        <v>764</v>
      </c>
      <c r="E19" s="1" t="s">
        <v>765</v>
      </c>
      <c r="F19" s="1" t="s">
        <v>751</v>
      </c>
      <c r="G19" s="1">
        <v>255</v>
      </c>
      <c r="H19" s="1">
        <v>50</v>
      </c>
      <c r="I19" s="1">
        <v>251</v>
      </c>
      <c r="J19" s="1">
        <v>40</v>
      </c>
      <c r="K19" s="1">
        <v>45</v>
      </c>
      <c r="L19" s="1">
        <v>40</v>
      </c>
      <c r="M19" s="1">
        <v>35</v>
      </c>
      <c r="N19" s="1">
        <v>35</v>
      </c>
      <c r="O19" s="1">
        <v>56</v>
      </c>
      <c r="P19" s="1">
        <v>18</v>
      </c>
      <c r="Q19" s="1">
        <v>17</v>
      </c>
      <c r="R19" s="1" t="s">
        <v>766</v>
      </c>
      <c r="S19" s="1"/>
      <c r="T19" s="1"/>
      <c r="U19" s="1" t="s">
        <v>1373</v>
      </c>
      <c r="V19" s="1" t="s">
        <v>1374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247"/>
      <c r="AK19" s="189" t="s">
        <v>752</v>
      </c>
      <c r="AL19" s="197">
        <v>1</v>
      </c>
      <c r="AM19" s="193">
        <v>1</v>
      </c>
      <c r="AN19" s="193">
        <v>1</v>
      </c>
      <c r="AO19" s="193">
        <v>1</v>
      </c>
      <c r="AP19" s="193">
        <v>1</v>
      </c>
      <c r="AQ19" s="193">
        <v>1</v>
      </c>
      <c r="AR19" s="193">
        <v>1</v>
      </c>
      <c r="AS19" s="193">
        <v>1</v>
      </c>
      <c r="AT19" s="193">
        <v>1</v>
      </c>
      <c r="AU19" s="193">
        <v>1</v>
      </c>
      <c r="AV19" s="193">
        <v>1</v>
      </c>
      <c r="AW19" s="193">
        <v>1</v>
      </c>
      <c r="AX19" s="193">
        <v>1</v>
      </c>
      <c r="AY19" s="193">
        <v>1</v>
      </c>
      <c r="AZ19" s="193">
        <v>2</v>
      </c>
      <c r="BA19" s="193">
        <v>1</v>
      </c>
      <c r="BB19" s="193">
        <v>0.5</v>
      </c>
      <c r="BC19" s="198">
        <v>0</v>
      </c>
    </row>
    <row r="20" spans="2:55">
      <c r="B20" s="1">
        <v>17</v>
      </c>
      <c r="C20" s="1" t="s">
        <v>715</v>
      </c>
      <c r="D20" s="1" t="s">
        <v>766</v>
      </c>
      <c r="E20" s="1" t="s">
        <v>765</v>
      </c>
      <c r="F20" s="1" t="s">
        <v>751</v>
      </c>
      <c r="G20" s="1">
        <v>120</v>
      </c>
      <c r="H20" s="1">
        <v>122</v>
      </c>
      <c r="I20" s="1">
        <v>349</v>
      </c>
      <c r="J20" s="1">
        <v>63</v>
      </c>
      <c r="K20" s="1">
        <v>60</v>
      </c>
      <c r="L20" s="1">
        <v>55</v>
      </c>
      <c r="M20" s="1">
        <v>50</v>
      </c>
      <c r="N20" s="1">
        <v>50</v>
      </c>
      <c r="O20" s="1">
        <v>71</v>
      </c>
      <c r="P20" s="1">
        <v>36</v>
      </c>
      <c r="Q20" s="1">
        <v>18</v>
      </c>
      <c r="R20" s="1" t="s">
        <v>767</v>
      </c>
      <c r="S20" s="1"/>
      <c r="T20" s="1"/>
      <c r="U20" s="1" t="s">
        <v>1375</v>
      </c>
      <c r="V20" s="1" t="s">
        <v>1376</v>
      </c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247"/>
      <c r="AK20" s="189" t="s">
        <v>864</v>
      </c>
      <c r="AL20" s="197">
        <v>1</v>
      </c>
      <c r="AM20" s="193">
        <v>1</v>
      </c>
      <c r="AN20" s="193">
        <v>1</v>
      </c>
      <c r="AO20" s="193">
        <v>1</v>
      </c>
      <c r="AP20" s="193">
        <v>1</v>
      </c>
      <c r="AQ20" s="193">
        <v>1</v>
      </c>
      <c r="AR20" s="193">
        <v>0.5</v>
      </c>
      <c r="AS20" s="193">
        <v>1</v>
      </c>
      <c r="AT20" s="193">
        <v>1</v>
      </c>
      <c r="AU20" s="193">
        <v>1</v>
      </c>
      <c r="AV20" s="193">
        <v>2</v>
      </c>
      <c r="AW20" s="193">
        <v>1</v>
      </c>
      <c r="AX20" s="193">
        <v>1</v>
      </c>
      <c r="AY20" s="193">
        <v>2</v>
      </c>
      <c r="AZ20" s="193">
        <v>1</v>
      </c>
      <c r="BA20" s="193">
        <v>0.5</v>
      </c>
      <c r="BB20" s="193">
        <v>1</v>
      </c>
      <c r="BC20" s="198">
        <v>0.5</v>
      </c>
    </row>
    <row r="21" spans="2:55">
      <c r="B21" s="1">
        <v>18</v>
      </c>
      <c r="C21" s="1" t="s">
        <v>714</v>
      </c>
      <c r="D21" s="1" t="s">
        <v>767</v>
      </c>
      <c r="E21" s="1" t="s">
        <v>765</v>
      </c>
      <c r="F21" s="1" t="s">
        <v>751</v>
      </c>
      <c r="G21" s="1">
        <v>45</v>
      </c>
      <c r="H21" s="1">
        <v>216</v>
      </c>
      <c r="I21" s="1">
        <v>479</v>
      </c>
      <c r="J21" s="1">
        <v>83</v>
      </c>
      <c r="K21" s="1">
        <v>80</v>
      </c>
      <c r="L21" s="1">
        <v>75</v>
      </c>
      <c r="M21" s="1">
        <v>70</v>
      </c>
      <c r="N21" s="1">
        <v>70</v>
      </c>
      <c r="O21" s="1">
        <v>101</v>
      </c>
      <c r="P21" s="1" t="s">
        <v>82</v>
      </c>
      <c r="Q21" s="1" t="s">
        <v>82</v>
      </c>
      <c r="R21" s="1" t="s">
        <v>82</v>
      </c>
      <c r="S21" s="1"/>
      <c r="T21" s="1"/>
      <c r="U21" s="1" t="s">
        <v>1377</v>
      </c>
      <c r="V21" s="1" t="s">
        <v>1378</v>
      </c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247"/>
      <c r="AK21" s="189" t="s">
        <v>818</v>
      </c>
      <c r="AL21" s="197">
        <v>1</v>
      </c>
      <c r="AM21" s="193">
        <v>0.5</v>
      </c>
      <c r="AN21" s="193">
        <v>0.5</v>
      </c>
      <c r="AO21" s="193">
        <v>0.5</v>
      </c>
      <c r="AP21" s="193">
        <v>1</v>
      </c>
      <c r="AQ21" s="193">
        <v>2</v>
      </c>
      <c r="AR21" s="193">
        <v>1</v>
      </c>
      <c r="AS21" s="193">
        <v>1</v>
      </c>
      <c r="AT21" s="193">
        <v>1</v>
      </c>
      <c r="AU21" s="193">
        <v>1</v>
      </c>
      <c r="AV21" s="193">
        <v>1</v>
      </c>
      <c r="AW21" s="193">
        <v>1</v>
      </c>
      <c r="AX21" s="193">
        <v>2</v>
      </c>
      <c r="AY21" s="193">
        <v>1</v>
      </c>
      <c r="AZ21" s="193">
        <v>1</v>
      </c>
      <c r="BA21" s="193">
        <v>1</v>
      </c>
      <c r="BB21" s="193">
        <v>0.5</v>
      </c>
      <c r="BC21" s="198">
        <v>2</v>
      </c>
    </row>
    <row r="22" spans="2:55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255</v>
      </c>
      <c r="H22" s="1">
        <v>51</v>
      </c>
      <c r="I22" s="1">
        <v>253</v>
      </c>
      <c r="J22" s="1">
        <v>30</v>
      </c>
      <c r="K22" s="1">
        <v>56</v>
      </c>
      <c r="L22" s="1">
        <v>35</v>
      </c>
      <c r="M22" s="1">
        <v>25</v>
      </c>
      <c r="N22" s="1">
        <v>35</v>
      </c>
      <c r="O22" s="1">
        <v>72</v>
      </c>
      <c r="P22" s="1">
        <v>20</v>
      </c>
      <c r="Q22" s="1">
        <v>20</v>
      </c>
      <c r="R22" s="1" t="s">
        <v>768</v>
      </c>
      <c r="S22" s="1"/>
      <c r="T22" s="1"/>
      <c r="U22" s="1" t="s">
        <v>1379</v>
      </c>
      <c r="V22" s="1" t="s">
        <v>1380</v>
      </c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248"/>
      <c r="AK22" s="190" t="s">
        <v>777</v>
      </c>
      <c r="AL22" s="199">
        <v>1</v>
      </c>
      <c r="AM22" s="200">
        <v>0.5</v>
      </c>
      <c r="AN22" s="200">
        <v>1</v>
      </c>
      <c r="AO22" s="200">
        <v>1</v>
      </c>
      <c r="AP22" s="200">
        <v>1</v>
      </c>
      <c r="AQ22" s="200">
        <v>1</v>
      </c>
      <c r="AR22" s="200">
        <v>2</v>
      </c>
      <c r="AS22" s="200">
        <v>0.5</v>
      </c>
      <c r="AT22" s="200">
        <v>1</v>
      </c>
      <c r="AU22" s="200">
        <v>1</v>
      </c>
      <c r="AV22" s="200">
        <v>1</v>
      </c>
      <c r="AW22" s="200">
        <v>1</v>
      </c>
      <c r="AX22" s="200">
        <v>1</v>
      </c>
      <c r="AY22" s="200">
        <v>1</v>
      </c>
      <c r="AZ22" s="200">
        <v>2</v>
      </c>
      <c r="BA22" s="200">
        <v>2</v>
      </c>
      <c r="BB22" s="200">
        <v>0.5</v>
      </c>
      <c r="BC22" s="201">
        <v>1</v>
      </c>
    </row>
    <row r="23" spans="2:55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127</v>
      </c>
      <c r="H23" s="1">
        <v>145</v>
      </c>
      <c r="I23" s="1">
        <v>413</v>
      </c>
      <c r="J23" s="1">
        <v>55</v>
      </c>
      <c r="K23" s="1">
        <v>81</v>
      </c>
      <c r="L23" s="1">
        <v>60</v>
      </c>
      <c r="M23" s="1">
        <v>50</v>
      </c>
      <c r="N23" s="1">
        <v>70</v>
      </c>
      <c r="O23" s="1">
        <v>97</v>
      </c>
      <c r="P23" s="1" t="s">
        <v>82</v>
      </c>
      <c r="Q23" s="1" t="s">
        <v>82</v>
      </c>
      <c r="R23" s="1"/>
      <c r="S23" s="1"/>
      <c r="T23" s="1"/>
      <c r="U23" s="1" t="s">
        <v>1381</v>
      </c>
      <c r="V23" s="1" t="s">
        <v>1382</v>
      </c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2:55">
      <c r="B24" s="1">
        <v>21</v>
      </c>
      <c r="C24" s="1" t="s">
        <v>711</v>
      </c>
      <c r="D24" s="1" t="s">
        <v>769</v>
      </c>
      <c r="E24" s="1" t="s">
        <v>765</v>
      </c>
      <c r="F24" s="1" t="s">
        <v>751</v>
      </c>
      <c r="G24" s="1">
        <v>255</v>
      </c>
      <c r="H24" s="1">
        <v>52</v>
      </c>
      <c r="I24" s="1">
        <v>262</v>
      </c>
      <c r="J24" s="1">
        <v>40</v>
      </c>
      <c r="K24" s="1">
        <v>60</v>
      </c>
      <c r="L24" s="1">
        <v>30</v>
      </c>
      <c r="M24" s="1">
        <v>31</v>
      </c>
      <c r="N24" s="1">
        <v>31</v>
      </c>
      <c r="O24" s="1">
        <v>70</v>
      </c>
      <c r="P24" s="1">
        <v>20</v>
      </c>
      <c r="Q24" s="1">
        <v>22</v>
      </c>
      <c r="R24" s="1" t="s">
        <v>770</v>
      </c>
      <c r="S24" s="1"/>
      <c r="T24" s="1"/>
      <c r="U24" s="1" t="s">
        <v>1383</v>
      </c>
      <c r="V24" s="1" t="s">
        <v>1384</v>
      </c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K24" s="184"/>
    </row>
    <row r="25" spans="2:55">
      <c r="B25" s="1">
        <v>22</v>
      </c>
      <c r="C25" s="1" t="s">
        <v>710</v>
      </c>
      <c r="D25" s="1" t="s">
        <v>770</v>
      </c>
      <c r="E25" s="1" t="s">
        <v>765</v>
      </c>
      <c r="F25" s="1" t="s">
        <v>751</v>
      </c>
      <c r="G25" s="1">
        <v>90</v>
      </c>
      <c r="H25" s="1">
        <v>155</v>
      </c>
      <c r="I25" s="1">
        <v>442</v>
      </c>
      <c r="J25" s="1">
        <v>65</v>
      </c>
      <c r="K25" s="1">
        <v>90</v>
      </c>
      <c r="L25" s="1">
        <v>65</v>
      </c>
      <c r="M25" s="1">
        <v>61</v>
      </c>
      <c r="N25" s="1">
        <v>61</v>
      </c>
      <c r="O25" s="1">
        <v>100</v>
      </c>
      <c r="P25" s="1" t="s">
        <v>82</v>
      </c>
      <c r="Q25" s="1" t="s">
        <v>82</v>
      </c>
      <c r="R25" s="1"/>
      <c r="S25" s="1"/>
      <c r="T25" s="1"/>
      <c r="U25" s="1" t="s">
        <v>1385</v>
      </c>
      <c r="V25" s="1" t="s">
        <v>1386</v>
      </c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K25" s="184"/>
    </row>
    <row r="26" spans="2:55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255</v>
      </c>
      <c r="H26" s="1">
        <v>58</v>
      </c>
      <c r="I26" s="1">
        <v>288</v>
      </c>
      <c r="J26" s="1">
        <v>35</v>
      </c>
      <c r="K26" s="1">
        <v>60</v>
      </c>
      <c r="L26" s="1">
        <v>44</v>
      </c>
      <c r="M26" s="1">
        <v>40</v>
      </c>
      <c r="N26" s="1">
        <v>54</v>
      </c>
      <c r="O26" s="1">
        <v>55</v>
      </c>
      <c r="P26" s="1">
        <v>22</v>
      </c>
      <c r="Q26" s="1">
        <v>24</v>
      </c>
      <c r="R26" s="1" t="s">
        <v>708</v>
      </c>
      <c r="S26" s="1"/>
      <c r="T26" s="1"/>
      <c r="U26" s="1" t="s">
        <v>1387</v>
      </c>
      <c r="V26" s="1" t="s">
        <v>1388</v>
      </c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2:55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90</v>
      </c>
      <c r="H27" s="1">
        <v>157</v>
      </c>
      <c r="I27" s="1">
        <v>438</v>
      </c>
      <c r="J27" s="1">
        <v>60</v>
      </c>
      <c r="K27" s="1">
        <v>85</v>
      </c>
      <c r="L27" s="1">
        <v>69</v>
      </c>
      <c r="M27" s="1">
        <v>65</v>
      </c>
      <c r="N27" s="1">
        <v>79</v>
      </c>
      <c r="O27" s="1">
        <v>80</v>
      </c>
      <c r="P27" s="1" t="s">
        <v>82</v>
      </c>
      <c r="Q27" s="1" t="s">
        <v>82</v>
      </c>
      <c r="R27" s="1"/>
      <c r="S27" s="1"/>
      <c r="T27" s="1"/>
      <c r="U27" s="1" t="s">
        <v>1415</v>
      </c>
      <c r="V27" s="1" t="s">
        <v>1326</v>
      </c>
      <c r="W27" s="1" t="s">
        <v>1417</v>
      </c>
      <c r="X27" s="1">
        <v>3</v>
      </c>
      <c r="Y27" s="1">
        <v>7</v>
      </c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2:55">
      <c r="B28" s="1">
        <v>25</v>
      </c>
      <c r="C28" s="1" t="s">
        <v>707</v>
      </c>
      <c r="D28" s="1" t="s">
        <v>707</v>
      </c>
      <c r="E28" s="1" t="s">
        <v>772</v>
      </c>
      <c r="F28" s="1" t="s">
        <v>82</v>
      </c>
      <c r="G28" s="1">
        <v>190</v>
      </c>
      <c r="H28" s="1">
        <v>112</v>
      </c>
      <c r="I28" s="1">
        <v>320</v>
      </c>
      <c r="J28" s="1">
        <v>35</v>
      </c>
      <c r="K28" s="1">
        <v>55</v>
      </c>
      <c r="L28" s="1">
        <v>40</v>
      </c>
      <c r="M28" s="1">
        <v>50</v>
      </c>
      <c r="N28" s="1">
        <v>50</v>
      </c>
      <c r="O28" s="1">
        <v>90</v>
      </c>
      <c r="P28" s="1">
        <v>30</v>
      </c>
      <c r="Q28" s="1">
        <v>26</v>
      </c>
      <c r="R28" s="1" t="s">
        <v>706</v>
      </c>
      <c r="S28" s="1" t="b">
        <v>1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P28" s="184"/>
    </row>
    <row r="29" spans="2:55">
      <c r="B29" s="1">
        <v>26</v>
      </c>
      <c r="C29" s="1" t="s">
        <v>706</v>
      </c>
      <c r="D29" s="1" t="s">
        <v>706</v>
      </c>
      <c r="E29" s="1" t="s">
        <v>772</v>
      </c>
      <c r="F29" s="1" t="s">
        <v>82</v>
      </c>
      <c r="G29" s="1">
        <v>75</v>
      </c>
      <c r="H29" s="1">
        <v>218</v>
      </c>
      <c r="I29" s="1">
        <v>485</v>
      </c>
      <c r="J29" s="1">
        <v>60</v>
      </c>
      <c r="K29" s="1">
        <v>90</v>
      </c>
      <c r="L29" s="1">
        <v>55</v>
      </c>
      <c r="M29" s="1">
        <v>90</v>
      </c>
      <c r="N29" s="1">
        <v>80</v>
      </c>
      <c r="O29" s="1">
        <v>110</v>
      </c>
      <c r="P29" s="1" t="s">
        <v>82</v>
      </c>
      <c r="Q29" s="1" t="s">
        <v>82</v>
      </c>
      <c r="R29" s="1" t="s">
        <v>82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P29" s="184"/>
    </row>
    <row r="30" spans="2:55">
      <c r="B30" s="1">
        <v>27</v>
      </c>
      <c r="C30" s="1" t="s">
        <v>705</v>
      </c>
      <c r="D30" s="1" t="s">
        <v>773</v>
      </c>
      <c r="E30" s="1" t="s">
        <v>774</v>
      </c>
      <c r="F30" s="1" t="s">
        <v>82</v>
      </c>
      <c r="G30" s="1">
        <v>255</v>
      </c>
      <c r="H30" s="1">
        <v>60</v>
      </c>
      <c r="I30" s="1">
        <v>300</v>
      </c>
      <c r="J30" s="1">
        <v>50</v>
      </c>
      <c r="K30" s="1">
        <v>75</v>
      </c>
      <c r="L30" s="1">
        <v>85</v>
      </c>
      <c r="M30" s="1">
        <v>20</v>
      </c>
      <c r="N30" s="1">
        <v>30</v>
      </c>
      <c r="O30" s="1">
        <v>40</v>
      </c>
      <c r="P30" s="1">
        <v>22</v>
      </c>
      <c r="Q30" s="1">
        <v>28</v>
      </c>
      <c r="R30" s="1" t="s">
        <v>775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P30" s="184"/>
    </row>
    <row r="31" spans="2:55">
      <c r="B31" s="1">
        <v>28</v>
      </c>
      <c r="C31" s="1" t="s">
        <v>704</v>
      </c>
      <c r="D31" s="1" t="s">
        <v>775</v>
      </c>
      <c r="E31" s="1" t="s">
        <v>774</v>
      </c>
      <c r="F31" s="1" t="s">
        <v>82</v>
      </c>
      <c r="G31" s="1">
        <v>90</v>
      </c>
      <c r="H31" s="1">
        <v>158</v>
      </c>
      <c r="I31" s="1">
        <v>450</v>
      </c>
      <c r="J31" s="1">
        <v>75</v>
      </c>
      <c r="K31" s="1">
        <v>100</v>
      </c>
      <c r="L31" s="1">
        <v>110</v>
      </c>
      <c r="M31" s="1">
        <v>45</v>
      </c>
      <c r="N31" s="1">
        <v>55</v>
      </c>
      <c r="O31" s="1">
        <v>65</v>
      </c>
      <c r="P31" s="1" t="s">
        <v>82</v>
      </c>
      <c r="Q31" s="1" t="s">
        <v>82</v>
      </c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P31" s="184"/>
    </row>
    <row r="32" spans="2:55">
      <c r="B32" s="1">
        <v>29</v>
      </c>
      <c r="C32" s="1" t="s">
        <v>703</v>
      </c>
      <c r="D32" s="1" t="s">
        <v>1391</v>
      </c>
      <c r="E32" s="1" t="s">
        <v>744</v>
      </c>
      <c r="F32" s="1" t="s">
        <v>82</v>
      </c>
      <c r="G32" s="1">
        <v>235</v>
      </c>
      <c r="H32" s="1">
        <v>55</v>
      </c>
      <c r="I32" s="1">
        <v>275</v>
      </c>
      <c r="J32" s="1">
        <v>55</v>
      </c>
      <c r="K32" s="1">
        <v>47</v>
      </c>
      <c r="L32" s="1">
        <v>52</v>
      </c>
      <c r="M32" s="1">
        <v>40</v>
      </c>
      <c r="N32" s="1">
        <v>40</v>
      </c>
      <c r="O32" s="1">
        <v>41</v>
      </c>
      <c r="P32" s="1">
        <v>16</v>
      </c>
      <c r="Q32" s="1" t="s">
        <v>82</v>
      </c>
      <c r="R32" s="1" t="s">
        <v>82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P32" s="184"/>
    </row>
    <row r="33" spans="2:42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120</v>
      </c>
      <c r="H33" s="1">
        <v>128</v>
      </c>
      <c r="I33" s="1">
        <v>365</v>
      </c>
      <c r="J33" s="1">
        <v>70</v>
      </c>
      <c r="K33" s="1">
        <v>62</v>
      </c>
      <c r="L33" s="1">
        <v>67</v>
      </c>
      <c r="M33" s="1">
        <v>55</v>
      </c>
      <c r="N33" s="1">
        <v>55</v>
      </c>
      <c r="O33" s="1">
        <v>56</v>
      </c>
      <c r="P33" s="1">
        <v>30</v>
      </c>
      <c r="Q33" s="1">
        <v>31</v>
      </c>
      <c r="R33" s="1" t="s">
        <v>701</v>
      </c>
      <c r="S33" s="1" t="b">
        <v>1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P33" s="184"/>
    </row>
    <row r="34" spans="2:42">
      <c r="B34" s="1">
        <v>31</v>
      </c>
      <c r="C34" s="1" t="s">
        <v>701</v>
      </c>
      <c r="D34" s="1" t="s">
        <v>701</v>
      </c>
      <c r="E34" s="1" t="s">
        <v>744</v>
      </c>
      <c r="F34" s="1" t="s">
        <v>774</v>
      </c>
      <c r="G34" s="1">
        <v>45</v>
      </c>
      <c r="H34" s="1">
        <v>227</v>
      </c>
      <c r="I34" s="1">
        <v>505</v>
      </c>
      <c r="J34" s="1">
        <v>90</v>
      </c>
      <c r="K34" s="1">
        <v>92</v>
      </c>
      <c r="L34" s="1">
        <v>87</v>
      </c>
      <c r="M34" s="1">
        <v>75</v>
      </c>
      <c r="N34" s="1">
        <v>85</v>
      </c>
      <c r="O34" s="1">
        <v>76</v>
      </c>
      <c r="P34" s="1" t="s">
        <v>82</v>
      </c>
      <c r="Q34" s="1" t="s">
        <v>82</v>
      </c>
      <c r="R34" s="1" t="s">
        <v>82</v>
      </c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P34" s="184"/>
    </row>
    <row r="35" spans="2:42">
      <c r="B35" s="1">
        <v>32</v>
      </c>
      <c r="C35" s="1" t="s">
        <v>700</v>
      </c>
      <c r="D35" s="1" t="s">
        <v>1392</v>
      </c>
      <c r="E35" s="1" t="s">
        <v>744</v>
      </c>
      <c r="F35" s="1" t="s">
        <v>82</v>
      </c>
      <c r="G35" s="1">
        <v>235</v>
      </c>
      <c r="H35" s="1">
        <v>55</v>
      </c>
      <c r="I35" s="1">
        <v>273</v>
      </c>
      <c r="J35" s="1">
        <v>46</v>
      </c>
      <c r="K35" s="1">
        <v>57</v>
      </c>
      <c r="L35" s="1">
        <v>40</v>
      </c>
      <c r="M35" s="1">
        <v>40</v>
      </c>
      <c r="N35" s="1">
        <v>40</v>
      </c>
      <c r="O35" s="1">
        <v>50</v>
      </c>
      <c r="P35" s="1">
        <v>16</v>
      </c>
      <c r="Q35" s="1" t="s">
        <v>82</v>
      </c>
      <c r="R35" s="1" t="s">
        <v>82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P35" s="184"/>
    </row>
    <row r="36" spans="2:42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120</v>
      </c>
      <c r="H36" s="1">
        <v>128</v>
      </c>
      <c r="I36" s="1">
        <v>365</v>
      </c>
      <c r="J36" s="1">
        <v>61</v>
      </c>
      <c r="K36" s="1">
        <v>72</v>
      </c>
      <c r="L36" s="1">
        <v>57</v>
      </c>
      <c r="M36" s="1">
        <v>55</v>
      </c>
      <c r="N36" s="1">
        <v>55</v>
      </c>
      <c r="O36" s="1">
        <v>65</v>
      </c>
      <c r="P36" s="1">
        <v>30</v>
      </c>
      <c r="Q36" s="1">
        <v>34</v>
      </c>
      <c r="R36" s="1" t="s">
        <v>698</v>
      </c>
      <c r="S36" s="1" t="b">
        <v>1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P36" s="184"/>
    </row>
    <row r="37" spans="2:42">
      <c r="B37" s="1">
        <v>34</v>
      </c>
      <c r="C37" s="1" t="s">
        <v>698</v>
      </c>
      <c r="D37" s="1" t="s">
        <v>698</v>
      </c>
      <c r="E37" s="1" t="s">
        <v>744</v>
      </c>
      <c r="F37" s="1" t="s">
        <v>774</v>
      </c>
      <c r="G37" s="1">
        <v>45</v>
      </c>
      <c r="H37" s="1">
        <v>227</v>
      </c>
      <c r="I37" s="1">
        <v>505</v>
      </c>
      <c r="J37" s="1">
        <v>81</v>
      </c>
      <c r="K37" s="1">
        <v>102</v>
      </c>
      <c r="L37" s="1">
        <v>77</v>
      </c>
      <c r="M37" s="1">
        <v>85</v>
      </c>
      <c r="N37" s="1">
        <v>75</v>
      </c>
      <c r="O37" s="1">
        <v>85</v>
      </c>
      <c r="P37" s="1" t="s">
        <v>82</v>
      </c>
      <c r="Q37" s="1" t="s">
        <v>82</v>
      </c>
      <c r="R37" s="1" t="s">
        <v>82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P37" s="184"/>
    </row>
    <row r="38" spans="2:42">
      <c r="B38" s="1">
        <v>35</v>
      </c>
      <c r="C38" s="1" t="s">
        <v>697</v>
      </c>
      <c r="D38" s="1" t="s">
        <v>776</v>
      </c>
      <c r="E38" s="1" t="s">
        <v>777</v>
      </c>
      <c r="F38" s="1" t="s">
        <v>82</v>
      </c>
      <c r="G38" s="1">
        <v>150</v>
      </c>
      <c r="H38" s="1">
        <v>113</v>
      </c>
      <c r="I38" s="1">
        <v>323</v>
      </c>
      <c r="J38" s="1">
        <v>70</v>
      </c>
      <c r="K38" s="1">
        <v>45</v>
      </c>
      <c r="L38" s="1">
        <v>48</v>
      </c>
      <c r="M38" s="1">
        <v>60</v>
      </c>
      <c r="N38" s="1">
        <v>65</v>
      </c>
      <c r="O38" s="1">
        <v>35</v>
      </c>
      <c r="P38" s="1">
        <v>30</v>
      </c>
      <c r="Q38" s="1">
        <v>36</v>
      </c>
      <c r="R38" s="1" t="s">
        <v>778</v>
      </c>
      <c r="S38" s="1" t="b">
        <v>1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P38" s="184"/>
    </row>
    <row r="39" spans="2:42">
      <c r="B39" s="1">
        <v>36</v>
      </c>
      <c r="C39" s="1" t="s">
        <v>696</v>
      </c>
      <c r="D39" s="1" t="s">
        <v>778</v>
      </c>
      <c r="E39" s="1" t="s">
        <v>777</v>
      </c>
      <c r="F39" s="1" t="s">
        <v>82</v>
      </c>
      <c r="G39" s="1">
        <v>25</v>
      </c>
      <c r="H39" s="1">
        <v>217</v>
      </c>
      <c r="I39" s="1">
        <v>483</v>
      </c>
      <c r="J39" s="1">
        <v>95</v>
      </c>
      <c r="K39" s="1">
        <v>70</v>
      </c>
      <c r="L39" s="1">
        <v>73</v>
      </c>
      <c r="M39" s="1">
        <v>95</v>
      </c>
      <c r="N39" s="1">
        <v>90</v>
      </c>
      <c r="O39" s="1">
        <v>60</v>
      </c>
      <c r="P39" s="1" t="s">
        <v>82</v>
      </c>
      <c r="Q39" s="1" t="s">
        <v>82</v>
      </c>
      <c r="R39" s="1" t="s">
        <v>82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P39" s="184"/>
    </row>
    <row r="40" spans="2:42">
      <c r="B40" s="1">
        <v>37</v>
      </c>
      <c r="C40" s="1" t="s">
        <v>695</v>
      </c>
      <c r="D40" s="1" t="s">
        <v>779</v>
      </c>
      <c r="E40" s="1" t="s">
        <v>748</v>
      </c>
      <c r="F40" s="1" t="s">
        <v>82</v>
      </c>
      <c r="G40" s="1">
        <v>190</v>
      </c>
      <c r="H40" s="1">
        <v>60</v>
      </c>
      <c r="I40" s="1">
        <v>299</v>
      </c>
      <c r="J40" s="1">
        <v>38</v>
      </c>
      <c r="K40" s="1">
        <v>41</v>
      </c>
      <c r="L40" s="1">
        <v>40</v>
      </c>
      <c r="M40" s="1">
        <v>50</v>
      </c>
      <c r="N40" s="1">
        <v>65</v>
      </c>
      <c r="O40" s="1">
        <v>65</v>
      </c>
      <c r="P40" s="1">
        <v>30</v>
      </c>
      <c r="Q40" s="1">
        <v>38</v>
      </c>
      <c r="R40" s="1" t="s">
        <v>780</v>
      </c>
      <c r="S40" s="1" t="b">
        <v>1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P40" s="184"/>
    </row>
    <row r="41" spans="2:42">
      <c r="B41" s="1">
        <v>38</v>
      </c>
      <c r="C41" s="1" t="s">
        <v>694</v>
      </c>
      <c r="D41" s="1" t="s">
        <v>780</v>
      </c>
      <c r="E41" s="1" t="s">
        <v>748</v>
      </c>
      <c r="F41" s="1" t="s">
        <v>82</v>
      </c>
      <c r="G41" s="1">
        <v>75</v>
      </c>
      <c r="H41" s="1">
        <v>177</v>
      </c>
      <c r="I41" s="1">
        <v>505</v>
      </c>
      <c r="J41" s="1">
        <v>73</v>
      </c>
      <c r="K41" s="1">
        <v>76</v>
      </c>
      <c r="L41" s="1">
        <v>75</v>
      </c>
      <c r="M41" s="1">
        <v>81</v>
      </c>
      <c r="N41" s="1">
        <v>100</v>
      </c>
      <c r="O41" s="1">
        <v>100</v>
      </c>
      <c r="P41" s="1" t="s">
        <v>82</v>
      </c>
      <c r="Q41" s="1" t="s">
        <v>82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P41" s="184"/>
    </row>
    <row r="42" spans="2:42">
      <c r="B42" s="1">
        <v>39</v>
      </c>
      <c r="C42" s="1" t="s">
        <v>693</v>
      </c>
      <c r="D42" s="1" t="s">
        <v>781</v>
      </c>
      <c r="E42" s="1" t="s">
        <v>765</v>
      </c>
      <c r="F42" s="1" t="s">
        <v>777</v>
      </c>
      <c r="G42" s="1">
        <v>170</v>
      </c>
      <c r="H42" s="1">
        <v>95</v>
      </c>
      <c r="I42" s="1">
        <v>270</v>
      </c>
      <c r="J42" s="1">
        <v>115</v>
      </c>
      <c r="K42" s="1">
        <v>45</v>
      </c>
      <c r="L42" s="1">
        <v>20</v>
      </c>
      <c r="M42" s="1">
        <v>45</v>
      </c>
      <c r="N42" s="1">
        <v>25</v>
      </c>
      <c r="O42" s="1">
        <v>20</v>
      </c>
      <c r="P42" s="1">
        <v>30</v>
      </c>
      <c r="Q42" s="1">
        <v>40</v>
      </c>
      <c r="R42" s="1" t="s">
        <v>782</v>
      </c>
      <c r="S42" s="1" t="b">
        <v>1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P42" s="184"/>
    </row>
    <row r="43" spans="2:42">
      <c r="B43" s="1">
        <v>40</v>
      </c>
      <c r="C43" s="1" t="s">
        <v>692</v>
      </c>
      <c r="D43" s="1" t="s">
        <v>782</v>
      </c>
      <c r="E43" s="1" t="s">
        <v>765</v>
      </c>
      <c r="F43" s="1" t="s">
        <v>777</v>
      </c>
      <c r="G43" s="1">
        <v>50</v>
      </c>
      <c r="H43" s="1">
        <v>196</v>
      </c>
      <c r="I43" s="1">
        <v>435</v>
      </c>
      <c r="J43" s="1">
        <v>140</v>
      </c>
      <c r="K43" s="1">
        <v>70</v>
      </c>
      <c r="L43" s="1">
        <v>45</v>
      </c>
      <c r="M43" s="1">
        <v>85</v>
      </c>
      <c r="N43" s="1">
        <v>50</v>
      </c>
      <c r="O43" s="1">
        <v>45</v>
      </c>
      <c r="P43" s="1" t="s">
        <v>82</v>
      </c>
      <c r="Q43" s="1" t="s">
        <v>82</v>
      </c>
      <c r="R43" s="1" t="s">
        <v>82</v>
      </c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P43" s="184"/>
    </row>
    <row r="44" spans="2:42">
      <c r="B44" s="1">
        <v>41</v>
      </c>
      <c r="C44" s="1" t="s">
        <v>691</v>
      </c>
      <c r="D44" s="1" t="s">
        <v>783</v>
      </c>
      <c r="E44" s="1" t="s">
        <v>744</v>
      </c>
      <c r="F44" s="1" t="s">
        <v>751</v>
      </c>
      <c r="G44" s="1">
        <v>255</v>
      </c>
      <c r="H44" s="1">
        <v>49</v>
      </c>
      <c r="I44" s="1">
        <v>245</v>
      </c>
      <c r="J44" s="1">
        <v>40</v>
      </c>
      <c r="K44" s="1">
        <v>45</v>
      </c>
      <c r="L44" s="1">
        <v>35</v>
      </c>
      <c r="M44" s="1">
        <v>30</v>
      </c>
      <c r="N44" s="1">
        <v>40</v>
      </c>
      <c r="O44" s="1">
        <v>55</v>
      </c>
      <c r="P44" s="1">
        <v>22</v>
      </c>
      <c r="Q44" s="1">
        <v>42</v>
      </c>
      <c r="R44" s="1" t="s">
        <v>784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P44" s="184"/>
    </row>
    <row r="45" spans="2:42">
      <c r="B45" s="1">
        <v>42</v>
      </c>
      <c r="C45" s="1" t="s">
        <v>690</v>
      </c>
      <c r="D45" s="1" t="s">
        <v>784</v>
      </c>
      <c r="E45" s="1" t="s">
        <v>744</v>
      </c>
      <c r="F45" s="1" t="s">
        <v>751</v>
      </c>
      <c r="G45" s="1">
        <v>90</v>
      </c>
      <c r="H45" s="1">
        <v>159</v>
      </c>
      <c r="I45" s="1">
        <v>455</v>
      </c>
      <c r="J45" s="1">
        <v>75</v>
      </c>
      <c r="K45" s="1">
        <v>80</v>
      </c>
      <c r="L45" s="1">
        <v>70</v>
      </c>
      <c r="M45" s="1">
        <v>65</v>
      </c>
      <c r="N45" s="1">
        <v>75</v>
      </c>
      <c r="O45" s="1">
        <v>90</v>
      </c>
      <c r="P45" s="1">
        <v>30</v>
      </c>
      <c r="Q45" s="1">
        <v>169</v>
      </c>
      <c r="R45" s="1" t="s">
        <v>896</v>
      </c>
      <c r="S45" s="1" t="b">
        <v>1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P45" s="184"/>
    </row>
    <row r="46" spans="2:42">
      <c r="B46" s="1">
        <v>43</v>
      </c>
      <c r="C46" s="1" t="s">
        <v>689</v>
      </c>
      <c r="D46" s="1" t="s">
        <v>785</v>
      </c>
      <c r="E46" s="1" t="s">
        <v>743</v>
      </c>
      <c r="F46" s="1" t="s">
        <v>744</v>
      </c>
      <c r="G46" s="1">
        <v>255</v>
      </c>
      <c r="H46" s="1">
        <v>64</v>
      </c>
      <c r="I46" s="1">
        <v>320</v>
      </c>
      <c r="J46" s="1">
        <v>45</v>
      </c>
      <c r="K46" s="1">
        <v>50</v>
      </c>
      <c r="L46" s="1">
        <v>55</v>
      </c>
      <c r="M46" s="1">
        <v>75</v>
      </c>
      <c r="N46" s="1">
        <v>65</v>
      </c>
      <c r="O46" s="1">
        <v>30</v>
      </c>
      <c r="P46" s="1">
        <v>21</v>
      </c>
      <c r="Q46" s="1">
        <v>44</v>
      </c>
      <c r="R46" s="1" t="s">
        <v>786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P46" s="184"/>
    </row>
    <row r="47" spans="2:42">
      <c r="B47" s="1">
        <v>44</v>
      </c>
      <c r="C47" s="1" t="s">
        <v>688</v>
      </c>
      <c r="D47" s="1" t="s">
        <v>786</v>
      </c>
      <c r="E47" s="1" t="s">
        <v>743</v>
      </c>
      <c r="F47" s="1" t="s">
        <v>744</v>
      </c>
      <c r="G47" s="1">
        <v>120</v>
      </c>
      <c r="H47" s="1">
        <v>138</v>
      </c>
      <c r="I47" s="1">
        <v>395</v>
      </c>
      <c r="J47" s="1">
        <v>60</v>
      </c>
      <c r="K47" s="1">
        <v>65</v>
      </c>
      <c r="L47" s="1">
        <v>70</v>
      </c>
      <c r="M47" s="1">
        <v>85</v>
      </c>
      <c r="N47" s="1">
        <v>75</v>
      </c>
      <c r="O47" s="1">
        <v>40</v>
      </c>
      <c r="P47" s="1">
        <v>30</v>
      </c>
      <c r="Q47" s="1">
        <v>45</v>
      </c>
      <c r="R47" s="202" t="s">
        <v>787</v>
      </c>
      <c r="S47" s="1" t="b">
        <v>1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P47" s="184"/>
    </row>
    <row r="48" spans="2:42">
      <c r="B48" s="1">
        <v>45</v>
      </c>
      <c r="C48" s="1" t="s">
        <v>687</v>
      </c>
      <c r="D48" s="1" t="s">
        <v>787</v>
      </c>
      <c r="E48" s="1" t="s">
        <v>743</v>
      </c>
      <c r="F48" s="1" t="s">
        <v>744</v>
      </c>
      <c r="G48" s="1">
        <v>45</v>
      </c>
      <c r="H48" s="1">
        <v>221</v>
      </c>
      <c r="I48" s="1">
        <v>490</v>
      </c>
      <c r="J48" s="1">
        <v>75</v>
      </c>
      <c r="K48" s="1">
        <v>80</v>
      </c>
      <c r="L48" s="1">
        <v>85</v>
      </c>
      <c r="M48" s="1">
        <v>110</v>
      </c>
      <c r="N48" s="1">
        <v>90</v>
      </c>
      <c r="O48" s="1">
        <v>50</v>
      </c>
      <c r="P48" s="1" t="s">
        <v>82</v>
      </c>
      <c r="Q48" s="1" t="s">
        <v>82</v>
      </c>
      <c r="R48" s="1" t="s">
        <v>82</v>
      </c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P48" s="184"/>
    </row>
    <row r="49" spans="2:42">
      <c r="B49" s="1">
        <v>46</v>
      </c>
      <c r="C49" s="1" t="s">
        <v>686</v>
      </c>
      <c r="D49" s="1" t="s">
        <v>686</v>
      </c>
      <c r="E49" s="1" t="s">
        <v>758</v>
      </c>
      <c r="F49" s="1" t="s">
        <v>743</v>
      </c>
      <c r="G49" s="1">
        <v>190</v>
      </c>
      <c r="H49" s="1">
        <v>57</v>
      </c>
      <c r="I49" s="1">
        <v>285</v>
      </c>
      <c r="J49" s="1">
        <v>35</v>
      </c>
      <c r="K49" s="1">
        <v>70</v>
      </c>
      <c r="L49" s="1">
        <v>55</v>
      </c>
      <c r="M49" s="1">
        <v>45</v>
      </c>
      <c r="N49" s="1">
        <v>55</v>
      </c>
      <c r="O49" s="1">
        <v>25</v>
      </c>
      <c r="P49" s="1">
        <v>24</v>
      </c>
      <c r="Q49" s="1">
        <v>47</v>
      </c>
      <c r="R49" s="1" t="s">
        <v>685</v>
      </c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P49" s="184"/>
    </row>
    <row r="50" spans="2:42">
      <c r="B50" s="1">
        <v>47</v>
      </c>
      <c r="C50" s="1" t="s">
        <v>685</v>
      </c>
      <c r="D50" s="1" t="s">
        <v>685</v>
      </c>
      <c r="E50" s="1" t="s">
        <v>758</v>
      </c>
      <c r="F50" s="1" t="s">
        <v>743</v>
      </c>
      <c r="G50" s="1">
        <v>75</v>
      </c>
      <c r="H50" s="1">
        <v>142</v>
      </c>
      <c r="I50" s="1">
        <v>405</v>
      </c>
      <c r="J50" s="1">
        <v>60</v>
      </c>
      <c r="K50" s="1">
        <v>95</v>
      </c>
      <c r="L50" s="1">
        <v>80</v>
      </c>
      <c r="M50" s="1">
        <v>60</v>
      </c>
      <c r="N50" s="1">
        <v>80</v>
      </c>
      <c r="O50" s="1">
        <v>30</v>
      </c>
      <c r="P50" s="1" t="s">
        <v>82</v>
      </c>
      <c r="Q50" s="1" t="s">
        <v>82</v>
      </c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P50" s="184"/>
    </row>
    <row r="51" spans="2:42">
      <c r="B51" s="1">
        <v>48</v>
      </c>
      <c r="C51" s="1" t="s">
        <v>684</v>
      </c>
      <c r="D51" s="1" t="s">
        <v>788</v>
      </c>
      <c r="E51" s="1" t="s">
        <v>758</v>
      </c>
      <c r="F51" s="1" t="s">
        <v>744</v>
      </c>
      <c r="G51" s="1">
        <v>190</v>
      </c>
      <c r="H51" s="1">
        <v>61</v>
      </c>
      <c r="I51" s="1">
        <v>305</v>
      </c>
      <c r="J51" s="1">
        <v>60</v>
      </c>
      <c r="K51" s="1">
        <v>55</v>
      </c>
      <c r="L51" s="1">
        <v>50</v>
      </c>
      <c r="M51" s="1">
        <v>40</v>
      </c>
      <c r="N51" s="1">
        <v>55</v>
      </c>
      <c r="O51" s="1">
        <v>45</v>
      </c>
      <c r="P51" s="1">
        <v>31</v>
      </c>
      <c r="Q51" s="1">
        <v>49</v>
      </c>
      <c r="R51" s="1" t="s">
        <v>789</v>
      </c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P51" s="184"/>
    </row>
    <row r="52" spans="2:42">
      <c r="B52" s="1">
        <v>49</v>
      </c>
      <c r="C52" s="1" t="s">
        <v>683</v>
      </c>
      <c r="D52" s="1" t="s">
        <v>789</v>
      </c>
      <c r="E52" s="1" t="s">
        <v>758</v>
      </c>
      <c r="F52" s="1" t="s">
        <v>744</v>
      </c>
      <c r="G52" s="1">
        <v>75</v>
      </c>
      <c r="H52" s="1">
        <v>158</v>
      </c>
      <c r="I52" s="1">
        <v>450</v>
      </c>
      <c r="J52" s="1">
        <v>70</v>
      </c>
      <c r="K52" s="1">
        <v>65</v>
      </c>
      <c r="L52" s="1">
        <v>60</v>
      </c>
      <c r="M52" s="1">
        <v>90</v>
      </c>
      <c r="N52" s="1">
        <v>75</v>
      </c>
      <c r="O52" s="1">
        <v>90</v>
      </c>
      <c r="P52" s="1" t="s">
        <v>82</v>
      </c>
      <c r="Q52" s="1" t="s">
        <v>82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P52" s="184"/>
    </row>
    <row r="53" spans="2:42">
      <c r="B53" s="1">
        <v>50</v>
      </c>
      <c r="C53" s="1" t="s">
        <v>682</v>
      </c>
      <c r="D53" s="1" t="s">
        <v>790</v>
      </c>
      <c r="E53" s="1" t="s">
        <v>774</v>
      </c>
      <c r="F53" s="1" t="s">
        <v>82</v>
      </c>
      <c r="G53" s="1">
        <v>255</v>
      </c>
      <c r="H53" s="1">
        <v>53</v>
      </c>
      <c r="I53" s="1">
        <v>265</v>
      </c>
      <c r="J53" s="1">
        <v>10</v>
      </c>
      <c r="K53" s="1">
        <v>55</v>
      </c>
      <c r="L53" s="1">
        <v>25</v>
      </c>
      <c r="M53" s="1">
        <v>35</v>
      </c>
      <c r="N53" s="1">
        <v>45</v>
      </c>
      <c r="O53" s="1">
        <v>95</v>
      </c>
      <c r="P53" s="1">
        <v>26</v>
      </c>
      <c r="Q53" s="1">
        <v>51</v>
      </c>
      <c r="R53" s="1" t="s">
        <v>791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P53" s="184"/>
    </row>
    <row r="54" spans="2:42">
      <c r="B54" s="1">
        <v>51</v>
      </c>
      <c r="C54" s="1" t="s">
        <v>681</v>
      </c>
      <c r="D54" s="1" t="s">
        <v>791</v>
      </c>
      <c r="E54" s="1" t="s">
        <v>774</v>
      </c>
      <c r="F54" s="1" t="s">
        <v>82</v>
      </c>
      <c r="G54" s="1">
        <v>50</v>
      </c>
      <c r="H54" s="1">
        <v>149</v>
      </c>
      <c r="I54" s="1">
        <v>405</v>
      </c>
      <c r="J54" s="1">
        <v>35</v>
      </c>
      <c r="K54" s="1">
        <v>80</v>
      </c>
      <c r="L54" s="1">
        <v>50</v>
      </c>
      <c r="M54" s="1">
        <v>50</v>
      </c>
      <c r="N54" s="1">
        <v>70</v>
      </c>
      <c r="O54" s="1">
        <v>120</v>
      </c>
      <c r="P54" s="1" t="s">
        <v>82</v>
      </c>
      <c r="Q54" s="1" t="s">
        <v>82</v>
      </c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P54" s="184"/>
    </row>
    <row r="55" spans="2:42">
      <c r="B55" s="1">
        <v>52</v>
      </c>
      <c r="C55" s="1" t="s">
        <v>680</v>
      </c>
      <c r="D55" s="1" t="s">
        <v>792</v>
      </c>
      <c r="E55" s="1" t="s">
        <v>765</v>
      </c>
      <c r="F55" s="1" t="s">
        <v>82</v>
      </c>
      <c r="G55" s="1">
        <v>255</v>
      </c>
      <c r="H55" s="1">
        <v>58</v>
      </c>
      <c r="I55" s="1">
        <v>290</v>
      </c>
      <c r="J55" s="1">
        <v>40</v>
      </c>
      <c r="K55" s="1">
        <v>45</v>
      </c>
      <c r="L55" s="1">
        <v>35</v>
      </c>
      <c r="M55" s="1">
        <v>40</v>
      </c>
      <c r="N55" s="1">
        <v>40</v>
      </c>
      <c r="O55" s="1">
        <v>90</v>
      </c>
      <c r="P55" s="1">
        <v>28</v>
      </c>
      <c r="Q55" s="1">
        <v>53</v>
      </c>
      <c r="R55" s="1" t="s">
        <v>679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P55" s="184"/>
    </row>
    <row r="56" spans="2:42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90</v>
      </c>
      <c r="H56" s="1">
        <v>154</v>
      </c>
      <c r="I56" s="1">
        <v>440</v>
      </c>
      <c r="J56" s="1">
        <v>65</v>
      </c>
      <c r="K56" s="1">
        <v>70</v>
      </c>
      <c r="L56" s="1">
        <v>60</v>
      </c>
      <c r="M56" s="1">
        <v>65</v>
      </c>
      <c r="N56" s="1">
        <v>65</v>
      </c>
      <c r="O56" s="1">
        <v>115</v>
      </c>
      <c r="P56" s="1" t="s">
        <v>82</v>
      </c>
      <c r="Q56" s="1" t="s">
        <v>82</v>
      </c>
      <c r="R56" s="1" t="s">
        <v>82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P56" s="184"/>
    </row>
    <row r="57" spans="2:42">
      <c r="B57" s="1">
        <v>54</v>
      </c>
      <c r="C57" s="1" t="s">
        <v>678</v>
      </c>
      <c r="D57" s="1" t="s">
        <v>793</v>
      </c>
      <c r="E57" s="1" t="s">
        <v>754</v>
      </c>
      <c r="F57" s="1" t="s">
        <v>82</v>
      </c>
      <c r="G57" s="1">
        <v>190</v>
      </c>
      <c r="H57" s="1">
        <v>64</v>
      </c>
      <c r="I57" s="1">
        <v>320</v>
      </c>
      <c r="J57" s="1">
        <v>50</v>
      </c>
      <c r="K57" s="1">
        <v>52</v>
      </c>
      <c r="L57" s="1">
        <v>48</v>
      </c>
      <c r="M57" s="1">
        <v>65</v>
      </c>
      <c r="N57" s="1">
        <v>50</v>
      </c>
      <c r="O57" s="1">
        <v>55</v>
      </c>
      <c r="P57" s="1">
        <v>33</v>
      </c>
      <c r="Q57" s="1">
        <v>55</v>
      </c>
      <c r="R57" s="1" t="s">
        <v>794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P57" s="184"/>
    </row>
    <row r="58" spans="2:42">
      <c r="B58" s="1">
        <v>55</v>
      </c>
      <c r="C58" s="1" t="s">
        <v>677</v>
      </c>
      <c r="D58" s="1" t="s">
        <v>794</v>
      </c>
      <c r="E58" s="1" t="s">
        <v>754</v>
      </c>
      <c r="F58" s="1" t="s">
        <v>82</v>
      </c>
      <c r="G58" s="1">
        <v>75</v>
      </c>
      <c r="H58" s="1">
        <v>175</v>
      </c>
      <c r="I58" s="1">
        <v>500</v>
      </c>
      <c r="J58" s="1">
        <v>80</v>
      </c>
      <c r="K58" s="1">
        <v>82</v>
      </c>
      <c r="L58" s="1">
        <v>78</v>
      </c>
      <c r="M58" s="1">
        <v>95</v>
      </c>
      <c r="N58" s="1">
        <v>80</v>
      </c>
      <c r="O58" s="1">
        <v>85</v>
      </c>
      <c r="P58" s="1" t="s">
        <v>82</v>
      </c>
      <c r="Q58" s="1" t="s">
        <v>82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P58" s="184"/>
    </row>
    <row r="59" spans="2:42">
      <c r="B59" s="1">
        <v>56</v>
      </c>
      <c r="C59" s="1" t="s">
        <v>676</v>
      </c>
      <c r="D59" s="1" t="s">
        <v>795</v>
      </c>
      <c r="E59" s="1" t="s">
        <v>796</v>
      </c>
      <c r="F59" s="1" t="s">
        <v>82</v>
      </c>
      <c r="G59" s="1">
        <v>190</v>
      </c>
      <c r="H59" s="1">
        <v>61</v>
      </c>
      <c r="I59" s="1">
        <v>305</v>
      </c>
      <c r="J59" s="1">
        <v>40</v>
      </c>
      <c r="K59" s="1">
        <v>80</v>
      </c>
      <c r="L59" s="1">
        <v>35</v>
      </c>
      <c r="M59" s="1">
        <v>35</v>
      </c>
      <c r="N59" s="1">
        <v>45</v>
      </c>
      <c r="O59" s="1">
        <v>70</v>
      </c>
      <c r="P59" s="1">
        <v>28</v>
      </c>
      <c r="Q59" s="1">
        <v>57</v>
      </c>
      <c r="R59" s="1" t="s">
        <v>797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P59" s="184"/>
    </row>
    <row r="60" spans="2:42">
      <c r="B60" s="1">
        <v>57</v>
      </c>
      <c r="C60" s="1" t="s">
        <v>675</v>
      </c>
      <c r="D60" s="1" t="s">
        <v>797</v>
      </c>
      <c r="E60" s="1" t="s">
        <v>796</v>
      </c>
      <c r="F60" s="1" t="s">
        <v>82</v>
      </c>
      <c r="G60" s="1">
        <v>75</v>
      </c>
      <c r="H60" s="1">
        <v>159</v>
      </c>
      <c r="I60" s="1">
        <v>455</v>
      </c>
      <c r="J60" s="1">
        <v>65</v>
      </c>
      <c r="K60" s="1">
        <v>105</v>
      </c>
      <c r="L60" s="1">
        <v>60</v>
      </c>
      <c r="M60" s="1">
        <v>60</v>
      </c>
      <c r="N60" s="1">
        <v>70</v>
      </c>
      <c r="O60" s="1">
        <v>95</v>
      </c>
      <c r="P60" s="1" t="s">
        <v>82</v>
      </c>
      <c r="Q60" s="1" t="s">
        <v>82</v>
      </c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P60" s="184"/>
    </row>
    <row r="61" spans="2:42">
      <c r="B61" s="1">
        <v>58</v>
      </c>
      <c r="C61" s="1" t="s">
        <v>674</v>
      </c>
      <c r="D61" s="1" t="s">
        <v>798</v>
      </c>
      <c r="E61" s="1" t="s">
        <v>748</v>
      </c>
      <c r="F61" s="1" t="s">
        <v>82</v>
      </c>
      <c r="G61" s="1">
        <v>190</v>
      </c>
      <c r="H61" s="1">
        <v>70</v>
      </c>
      <c r="I61" s="1">
        <v>350</v>
      </c>
      <c r="J61" s="1">
        <v>55</v>
      </c>
      <c r="K61" s="1">
        <v>70</v>
      </c>
      <c r="L61" s="1">
        <v>45</v>
      </c>
      <c r="M61" s="1">
        <v>70</v>
      </c>
      <c r="N61" s="1">
        <v>50</v>
      </c>
      <c r="O61" s="1">
        <v>60</v>
      </c>
      <c r="P61" s="1">
        <v>30</v>
      </c>
      <c r="Q61" s="1">
        <v>59</v>
      </c>
      <c r="R61" s="1" t="s">
        <v>799</v>
      </c>
      <c r="S61" s="1" t="b">
        <v>1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P61" s="184"/>
    </row>
    <row r="62" spans="2:42">
      <c r="B62" s="1">
        <v>59</v>
      </c>
      <c r="C62" s="1" t="s">
        <v>673</v>
      </c>
      <c r="D62" s="1" t="s">
        <v>799</v>
      </c>
      <c r="E62" s="1" t="s">
        <v>748</v>
      </c>
      <c r="F62" s="1" t="s">
        <v>82</v>
      </c>
      <c r="G62" s="1">
        <v>75</v>
      </c>
      <c r="H62" s="1">
        <v>194</v>
      </c>
      <c r="I62" s="1">
        <v>555</v>
      </c>
      <c r="J62" s="1">
        <v>90</v>
      </c>
      <c r="K62" s="1">
        <v>110</v>
      </c>
      <c r="L62" s="1">
        <v>80</v>
      </c>
      <c r="M62" s="1">
        <v>100</v>
      </c>
      <c r="N62" s="1">
        <v>80</v>
      </c>
      <c r="O62" s="1">
        <v>95</v>
      </c>
      <c r="P62" s="1" t="s">
        <v>82</v>
      </c>
      <c r="Q62" s="1" t="s">
        <v>82</v>
      </c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P62" s="184"/>
    </row>
    <row r="63" spans="2:42">
      <c r="B63" s="1">
        <v>60</v>
      </c>
      <c r="C63" s="1" t="s">
        <v>672</v>
      </c>
      <c r="D63" s="1" t="s">
        <v>800</v>
      </c>
      <c r="E63" s="1" t="s">
        <v>754</v>
      </c>
      <c r="F63" s="1" t="s">
        <v>82</v>
      </c>
      <c r="G63" s="1">
        <v>255</v>
      </c>
      <c r="H63" s="1">
        <v>60</v>
      </c>
      <c r="I63" s="1">
        <v>300</v>
      </c>
      <c r="J63" s="1">
        <v>40</v>
      </c>
      <c r="K63" s="1">
        <v>50</v>
      </c>
      <c r="L63" s="1">
        <v>40</v>
      </c>
      <c r="M63" s="1">
        <v>40</v>
      </c>
      <c r="N63" s="1">
        <v>40</v>
      </c>
      <c r="O63" s="1">
        <v>90</v>
      </c>
      <c r="P63" s="1">
        <v>25</v>
      </c>
      <c r="Q63" s="1">
        <v>61</v>
      </c>
      <c r="R63" s="1" t="s">
        <v>801</v>
      </c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P63" s="184"/>
    </row>
    <row r="64" spans="2:42">
      <c r="B64" s="1">
        <v>61</v>
      </c>
      <c r="C64" s="1" t="s">
        <v>671</v>
      </c>
      <c r="D64" s="1" t="s">
        <v>801</v>
      </c>
      <c r="E64" s="1" t="s">
        <v>754</v>
      </c>
      <c r="F64" s="1" t="s">
        <v>82</v>
      </c>
      <c r="G64" s="1">
        <v>120</v>
      </c>
      <c r="H64" s="1">
        <v>135</v>
      </c>
      <c r="I64" s="1">
        <v>385</v>
      </c>
      <c r="J64" s="1">
        <v>65</v>
      </c>
      <c r="K64" s="1">
        <v>65</v>
      </c>
      <c r="L64" s="1">
        <v>65</v>
      </c>
      <c r="M64" s="1">
        <v>50</v>
      </c>
      <c r="N64" s="1">
        <v>50</v>
      </c>
      <c r="O64" s="1">
        <v>90</v>
      </c>
      <c r="P64" s="1">
        <v>30</v>
      </c>
      <c r="Q64" s="1">
        <v>62</v>
      </c>
      <c r="R64" s="1" t="s">
        <v>802</v>
      </c>
      <c r="S64" s="1" t="b">
        <v>1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P64" s="184"/>
    </row>
    <row r="65" spans="2:42">
      <c r="B65" s="1">
        <v>62</v>
      </c>
      <c r="C65" s="1" t="s">
        <v>670</v>
      </c>
      <c r="D65" s="1" t="s">
        <v>802</v>
      </c>
      <c r="E65" s="1" t="s">
        <v>754</v>
      </c>
      <c r="F65" s="1" t="s">
        <v>796</v>
      </c>
      <c r="G65" s="1">
        <v>45</v>
      </c>
      <c r="H65" s="1">
        <v>230</v>
      </c>
      <c r="I65" s="1">
        <v>510</v>
      </c>
      <c r="J65" s="1">
        <v>90</v>
      </c>
      <c r="K65" s="1">
        <v>95</v>
      </c>
      <c r="L65" s="1">
        <v>95</v>
      </c>
      <c r="M65" s="1">
        <v>70</v>
      </c>
      <c r="N65" s="1">
        <v>90</v>
      </c>
      <c r="O65" s="1">
        <v>70</v>
      </c>
      <c r="P65" s="1" t="s">
        <v>82</v>
      </c>
      <c r="Q65" s="1" t="s">
        <v>82</v>
      </c>
      <c r="R65" s="1" t="s">
        <v>82</v>
      </c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P65" s="184"/>
    </row>
    <row r="66" spans="2:42">
      <c r="B66" s="1">
        <v>63</v>
      </c>
      <c r="C66" s="1" t="s">
        <v>669</v>
      </c>
      <c r="D66" s="1" t="s">
        <v>669</v>
      </c>
      <c r="E66" s="1" t="s">
        <v>803</v>
      </c>
      <c r="F66" s="1" t="s">
        <v>82</v>
      </c>
      <c r="G66" s="1">
        <v>200</v>
      </c>
      <c r="H66" s="1">
        <v>62</v>
      </c>
      <c r="I66" s="1">
        <v>310</v>
      </c>
      <c r="J66" s="1">
        <v>25</v>
      </c>
      <c r="K66" s="1">
        <v>20</v>
      </c>
      <c r="L66" s="1">
        <v>15</v>
      </c>
      <c r="M66" s="1">
        <v>105</v>
      </c>
      <c r="N66" s="1">
        <v>55</v>
      </c>
      <c r="O66" s="1">
        <v>90</v>
      </c>
      <c r="P66" s="1">
        <v>16</v>
      </c>
      <c r="Q66" s="1">
        <v>64</v>
      </c>
      <c r="R66" s="1" t="s">
        <v>668</v>
      </c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P66" s="184"/>
    </row>
    <row r="67" spans="2:42">
      <c r="B67" s="1">
        <v>64</v>
      </c>
      <c r="C67" s="1" t="s">
        <v>668</v>
      </c>
      <c r="D67" s="1" t="s">
        <v>668</v>
      </c>
      <c r="E67" s="1" t="s">
        <v>803</v>
      </c>
      <c r="F67" s="1" t="s">
        <v>82</v>
      </c>
      <c r="G67" s="1">
        <v>100</v>
      </c>
      <c r="H67" s="1">
        <v>140</v>
      </c>
      <c r="I67" s="1">
        <v>400</v>
      </c>
      <c r="J67" s="1">
        <v>40</v>
      </c>
      <c r="K67" s="1">
        <v>35</v>
      </c>
      <c r="L67" s="1">
        <v>30</v>
      </c>
      <c r="M67" s="1">
        <v>120</v>
      </c>
      <c r="N67" s="1">
        <v>70</v>
      </c>
      <c r="O67" s="1">
        <v>105</v>
      </c>
      <c r="P67" s="1">
        <v>30</v>
      </c>
      <c r="Q67" s="1">
        <v>65</v>
      </c>
      <c r="R67" s="1" t="s">
        <v>667</v>
      </c>
      <c r="S67" s="1" t="b">
        <v>1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P67" s="184"/>
    </row>
    <row r="68" spans="2:42">
      <c r="B68" s="1">
        <v>65</v>
      </c>
      <c r="C68" s="1" t="s">
        <v>667</v>
      </c>
      <c r="D68" s="1" t="s">
        <v>667</v>
      </c>
      <c r="E68" s="1" t="s">
        <v>803</v>
      </c>
      <c r="F68" s="1" t="s">
        <v>82</v>
      </c>
      <c r="G68" s="1">
        <v>50</v>
      </c>
      <c r="H68" s="1">
        <v>225</v>
      </c>
      <c r="I68" s="1">
        <v>500</v>
      </c>
      <c r="J68" s="1">
        <v>55</v>
      </c>
      <c r="K68" s="1">
        <v>50</v>
      </c>
      <c r="L68" s="1">
        <v>45</v>
      </c>
      <c r="M68" s="1">
        <v>135</v>
      </c>
      <c r="N68" s="1">
        <v>95</v>
      </c>
      <c r="O68" s="1">
        <v>120</v>
      </c>
      <c r="P68" s="1" t="s">
        <v>82</v>
      </c>
      <c r="Q68" s="1" t="s">
        <v>82</v>
      </c>
      <c r="R68" s="1" t="s">
        <v>82</v>
      </c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P68" s="184"/>
    </row>
    <row r="69" spans="2:42">
      <c r="B69" s="1">
        <v>66</v>
      </c>
      <c r="C69" s="1" t="s">
        <v>666</v>
      </c>
      <c r="D69" s="1" t="s">
        <v>804</v>
      </c>
      <c r="E69" s="1" t="s">
        <v>796</v>
      </c>
      <c r="F69" s="1" t="s">
        <v>82</v>
      </c>
      <c r="G69" s="1">
        <v>180</v>
      </c>
      <c r="H69" s="1">
        <v>61</v>
      </c>
      <c r="I69" s="1">
        <v>305</v>
      </c>
      <c r="J69" s="1">
        <v>70</v>
      </c>
      <c r="K69" s="1">
        <v>80</v>
      </c>
      <c r="L69" s="1">
        <v>50</v>
      </c>
      <c r="M69" s="1">
        <v>35</v>
      </c>
      <c r="N69" s="1">
        <v>35</v>
      </c>
      <c r="O69" s="1">
        <v>35</v>
      </c>
      <c r="P69" s="1">
        <v>28</v>
      </c>
      <c r="Q69" s="1">
        <v>67</v>
      </c>
      <c r="R69" s="1" t="s">
        <v>805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P69" s="184"/>
    </row>
    <row r="70" spans="2:42">
      <c r="B70" s="1">
        <v>67</v>
      </c>
      <c r="C70" s="1" t="s">
        <v>665</v>
      </c>
      <c r="D70" s="1" t="s">
        <v>805</v>
      </c>
      <c r="E70" s="1" t="s">
        <v>796</v>
      </c>
      <c r="F70" s="1" t="s">
        <v>82</v>
      </c>
      <c r="G70" s="1">
        <v>90</v>
      </c>
      <c r="H70" s="1">
        <v>142</v>
      </c>
      <c r="I70" s="1">
        <v>405</v>
      </c>
      <c r="J70" s="1">
        <v>80</v>
      </c>
      <c r="K70" s="1">
        <v>100</v>
      </c>
      <c r="L70" s="1">
        <v>70</v>
      </c>
      <c r="M70" s="1">
        <v>50</v>
      </c>
      <c r="N70" s="1">
        <v>60</v>
      </c>
      <c r="O70" s="1">
        <v>45</v>
      </c>
      <c r="P70" s="1">
        <v>30</v>
      </c>
      <c r="Q70" s="1">
        <v>68</v>
      </c>
      <c r="R70" s="1" t="s">
        <v>806</v>
      </c>
      <c r="S70" s="1" t="b">
        <v>1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P70" s="184"/>
    </row>
    <row r="71" spans="2:42">
      <c r="B71" s="1">
        <v>68</v>
      </c>
      <c r="C71" s="1" t="s">
        <v>664</v>
      </c>
      <c r="D71" s="1" t="s">
        <v>806</v>
      </c>
      <c r="E71" s="1" t="s">
        <v>796</v>
      </c>
      <c r="F71" s="1" t="s">
        <v>82</v>
      </c>
      <c r="G71" s="1">
        <v>45</v>
      </c>
      <c r="H71" s="1">
        <v>227</v>
      </c>
      <c r="I71" s="1">
        <v>505</v>
      </c>
      <c r="J71" s="1">
        <v>90</v>
      </c>
      <c r="K71" s="1">
        <v>130</v>
      </c>
      <c r="L71" s="1">
        <v>80</v>
      </c>
      <c r="M71" s="1">
        <v>65</v>
      </c>
      <c r="N71" s="1">
        <v>85</v>
      </c>
      <c r="O71" s="1">
        <v>55</v>
      </c>
      <c r="P71" s="1" t="s">
        <v>82</v>
      </c>
      <c r="Q71" s="1" t="s">
        <v>82</v>
      </c>
      <c r="R71" s="1" t="s">
        <v>82</v>
      </c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P71" s="184"/>
    </row>
    <row r="72" spans="2:42">
      <c r="B72" s="1">
        <v>69</v>
      </c>
      <c r="C72" s="1" t="s">
        <v>663</v>
      </c>
      <c r="D72" s="1" t="s">
        <v>807</v>
      </c>
      <c r="E72" s="1" t="s">
        <v>743</v>
      </c>
      <c r="F72" s="1" t="s">
        <v>744</v>
      </c>
      <c r="G72" s="1">
        <v>255</v>
      </c>
      <c r="H72" s="1">
        <v>60</v>
      </c>
      <c r="I72" s="1">
        <v>300</v>
      </c>
      <c r="J72" s="1">
        <v>50</v>
      </c>
      <c r="K72" s="1">
        <v>75</v>
      </c>
      <c r="L72" s="1">
        <v>35</v>
      </c>
      <c r="M72" s="1">
        <v>70</v>
      </c>
      <c r="N72" s="1">
        <v>30</v>
      </c>
      <c r="O72" s="1">
        <v>40</v>
      </c>
      <c r="P72" s="1">
        <v>21</v>
      </c>
      <c r="Q72" s="1">
        <v>70</v>
      </c>
      <c r="R72" s="1" t="s">
        <v>808</v>
      </c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P72" s="184"/>
    </row>
    <row r="73" spans="2:42">
      <c r="B73" s="1">
        <v>70</v>
      </c>
      <c r="C73" s="1" t="s">
        <v>662</v>
      </c>
      <c r="D73" s="1" t="s">
        <v>808</v>
      </c>
      <c r="E73" s="1" t="s">
        <v>743</v>
      </c>
      <c r="F73" s="1" t="s">
        <v>744</v>
      </c>
      <c r="G73" s="1">
        <v>120</v>
      </c>
      <c r="H73" s="1">
        <v>137</v>
      </c>
      <c r="I73" s="1">
        <v>390</v>
      </c>
      <c r="J73" s="1">
        <v>65</v>
      </c>
      <c r="K73" s="1">
        <v>90</v>
      </c>
      <c r="L73" s="1">
        <v>50</v>
      </c>
      <c r="M73" s="1">
        <v>85</v>
      </c>
      <c r="N73" s="1">
        <v>45</v>
      </c>
      <c r="O73" s="1">
        <v>55</v>
      </c>
      <c r="P73" s="1">
        <v>30</v>
      </c>
      <c r="Q73" s="1">
        <v>71</v>
      </c>
      <c r="R73" s="1" t="s">
        <v>809</v>
      </c>
      <c r="S73" s="1" t="b">
        <v>1</v>
      </c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P73" s="184"/>
    </row>
    <row r="74" spans="2:42">
      <c r="B74" s="1">
        <v>71</v>
      </c>
      <c r="C74" s="1" t="s">
        <v>661</v>
      </c>
      <c r="D74" s="1" t="s">
        <v>809</v>
      </c>
      <c r="E74" s="1" t="s">
        <v>743</v>
      </c>
      <c r="F74" s="1" t="s">
        <v>744</v>
      </c>
      <c r="G74" s="1">
        <v>45</v>
      </c>
      <c r="H74" s="1">
        <v>221</v>
      </c>
      <c r="I74" s="1">
        <v>490</v>
      </c>
      <c r="J74" s="1">
        <v>80</v>
      </c>
      <c r="K74" s="1">
        <v>105</v>
      </c>
      <c r="L74" s="1">
        <v>65</v>
      </c>
      <c r="M74" s="1">
        <v>100</v>
      </c>
      <c r="N74" s="1">
        <v>70</v>
      </c>
      <c r="O74" s="1">
        <v>70</v>
      </c>
      <c r="P74" s="1" t="s">
        <v>82</v>
      </c>
      <c r="Q74" s="1" t="s">
        <v>82</v>
      </c>
      <c r="R74" s="1" t="s">
        <v>82</v>
      </c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P74" s="184"/>
    </row>
    <row r="75" spans="2:42">
      <c r="B75" s="1">
        <v>72</v>
      </c>
      <c r="C75" s="1" t="s">
        <v>660</v>
      </c>
      <c r="D75" s="1" t="s">
        <v>660</v>
      </c>
      <c r="E75" s="1" t="s">
        <v>754</v>
      </c>
      <c r="F75" s="1" t="s">
        <v>744</v>
      </c>
      <c r="G75" s="1">
        <v>190</v>
      </c>
      <c r="H75" s="1">
        <v>67</v>
      </c>
      <c r="I75" s="1">
        <v>335</v>
      </c>
      <c r="J75" s="1">
        <v>40</v>
      </c>
      <c r="K75" s="1">
        <v>40</v>
      </c>
      <c r="L75" s="1">
        <v>35</v>
      </c>
      <c r="M75" s="1">
        <v>50</v>
      </c>
      <c r="N75" s="1">
        <v>100</v>
      </c>
      <c r="O75" s="1">
        <v>70</v>
      </c>
      <c r="P75" s="1">
        <v>30</v>
      </c>
      <c r="Q75" s="1">
        <v>73</v>
      </c>
      <c r="R75" s="1" t="s">
        <v>659</v>
      </c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P75" s="184"/>
    </row>
    <row r="76" spans="2:42">
      <c r="B76" s="1">
        <v>73</v>
      </c>
      <c r="C76" s="1" t="s">
        <v>659</v>
      </c>
      <c r="D76" s="1" t="s">
        <v>659</v>
      </c>
      <c r="E76" s="1" t="s">
        <v>754</v>
      </c>
      <c r="F76" s="1" t="s">
        <v>744</v>
      </c>
      <c r="G76" s="1">
        <v>60</v>
      </c>
      <c r="H76" s="1">
        <v>180</v>
      </c>
      <c r="I76" s="1">
        <v>515</v>
      </c>
      <c r="J76" s="1">
        <v>80</v>
      </c>
      <c r="K76" s="1">
        <v>70</v>
      </c>
      <c r="L76" s="1">
        <v>65</v>
      </c>
      <c r="M76" s="1">
        <v>80</v>
      </c>
      <c r="N76" s="1">
        <v>120</v>
      </c>
      <c r="O76" s="1">
        <v>100</v>
      </c>
      <c r="P76" s="1" t="s">
        <v>82</v>
      </c>
      <c r="Q76" s="1" t="s">
        <v>82</v>
      </c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P76" s="184"/>
    </row>
    <row r="77" spans="2:42">
      <c r="B77" s="1">
        <v>74</v>
      </c>
      <c r="C77" s="1" t="s">
        <v>658</v>
      </c>
      <c r="D77" s="1" t="s">
        <v>810</v>
      </c>
      <c r="E77" s="1" t="s">
        <v>811</v>
      </c>
      <c r="F77" s="1" t="s">
        <v>774</v>
      </c>
      <c r="G77" s="1">
        <v>255</v>
      </c>
      <c r="H77" s="1">
        <v>60</v>
      </c>
      <c r="I77" s="1">
        <v>300</v>
      </c>
      <c r="J77" s="1">
        <v>40</v>
      </c>
      <c r="K77" s="1">
        <v>80</v>
      </c>
      <c r="L77" s="1">
        <v>100</v>
      </c>
      <c r="M77" s="1">
        <v>30</v>
      </c>
      <c r="N77" s="1">
        <v>30</v>
      </c>
      <c r="O77" s="1">
        <v>20</v>
      </c>
      <c r="P77" s="1">
        <v>25</v>
      </c>
      <c r="Q77" s="1">
        <v>75</v>
      </c>
      <c r="R77" s="1" t="s">
        <v>812</v>
      </c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P77" s="184"/>
    </row>
    <row r="78" spans="2:42">
      <c r="B78" s="1">
        <v>75</v>
      </c>
      <c r="C78" s="1" t="s">
        <v>657</v>
      </c>
      <c r="D78" s="1" t="s">
        <v>812</v>
      </c>
      <c r="E78" s="1" t="s">
        <v>811</v>
      </c>
      <c r="F78" s="1" t="s">
        <v>774</v>
      </c>
      <c r="G78" s="1">
        <v>120</v>
      </c>
      <c r="H78" s="1">
        <v>137</v>
      </c>
      <c r="I78" s="1">
        <v>390</v>
      </c>
      <c r="J78" s="1">
        <v>55</v>
      </c>
      <c r="K78" s="1">
        <v>95</v>
      </c>
      <c r="L78" s="1">
        <v>115</v>
      </c>
      <c r="M78" s="1">
        <v>45</v>
      </c>
      <c r="N78" s="1">
        <v>45</v>
      </c>
      <c r="O78" s="1">
        <v>35</v>
      </c>
      <c r="P78" s="1">
        <v>30</v>
      </c>
      <c r="Q78" s="1">
        <v>76</v>
      </c>
      <c r="R78" s="1" t="s">
        <v>813</v>
      </c>
      <c r="S78" s="1" t="b">
        <v>1</v>
      </c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P78" s="184"/>
    </row>
    <row r="79" spans="2:42">
      <c r="B79" s="1">
        <v>76</v>
      </c>
      <c r="C79" s="1" t="s">
        <v>656</v>
      </c>
      <c r="D79" s="1" t="s">
        <v>813</v>
      </c>
      <c r="E79" s="1" t="s">
        <v>811</v>
      </c>
      <c r="F79" s="1" t="s">
        <v>774</v>
      </c>
      <c r="G79" s="1">
        <v>45</v>
      </c>
      <c r="H79" s="1">
        <v>223</v>
      </c>
      <c r="I79" s="1">
        <v>495</v>
      </c>
      <c r="J79" s="1">
        <v>80</v>
      </c>
      <c r="K79" s="1">
        <v>120</v>
      </c>
      <c r="L79" s="1">
        <v>130</v>
      </c>
      <c r="M79" s="1">
        <v>55</v>
      </c>
      <c r="N79" s="1">
        <v>65</v>
      </c>
      <c r="O79" s="1">
        <v>45</v>
      </c>
      <c r="P79" s="1" t="s">
        <v>82</v>
      </c>
      <c r="Q79" s="1" t="s">
        <v>82</v>
      </c>
      <c r="R79" s="1" t="s">
        <v>82</v>
      </c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P79" s="184"/>
    </row>
    <row r="80" spans="2:42">
      <c r="B80" s="1">
        <v>77</v>
      </c>
      <c r="C80" s="1" t="s">
        <v>655</v>
      </c>
      <c r="D80" s="1" t="s">
        <v>655</v>
      </c>
      <c r="E80" s="1" t="s">
        <v>748</v>
      </c>
      <c r="F80" s="1" t="s">
        <v>82</v>
      </c>
      <c r="G80" s="1">
        <v>190</v>
      </c>
      <c r="H80" s="1">
        <v>82</v>
      </c>
      <c r="I80" s="1">
        <v>410</v>
      </c>
      <c r="J80" s="1">
        <v>50</v>
      </c>
      <c r="K80" s="1">
        <v>85</v>
      </c>
      <c r="L80" s="1">
        <v>55</v>
      </c>
      <c r="M80" s="1">
        <v>65</v>
      </c>
      <c r="N80" s="1">
        <v>65</v>
      </c>
      <c r="O80" s="1">
        <v>90</v>
      </c>
      <c r="P80" s="1">
        <v>40</v>
      </c>
      <c r="Q80" s="1">
        <v>78</v>
      </c>
      <c r="R80" s="1" t="s">
        <v>814</v>
      </c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P80" s="184"/>
    </row>
    <row r="81" spans="2:42">
      <c r="B81" s="1">
        <v>78</v>
      </c>
      <c r="C81" s="1" t="s">
        <v>654</v>
      </c>
      <c r="D81" s="1" t="s">
        <v>814</v>
      </c>
      <c r="E81" s="1" t="s">
        <v>748</v>
      </c>
      <c r="F81" s="1" t="s">
        <v>82</v>
      </c>
      <c r="G81" s="1">
        <v>60</v>
      </c>
      <c r="H81" s="1">
        <v>175</v>
      </c>
      <c r="I81" s="1">
        <v>500</v>
      </c>
      <c r="J81" s="1">
        <v>65</v>
      </c>
      <c r="K81" s="1">
        <v>100</v>
      </c>
      <c r="L81" s="1">
        <v>70</v>
      </c>
      <c r="M81" s="1">
        <v>80</v>
      </c>
      <c r="N81" s="1">
        <v>80</v>
      </c>
      <c r="O81" s="1">
        <v>105</v>
      </c>
      <c r="P81" s="1" t="s">
        <v>82</v>
      </c>
      <c r="Q81" s="1" t="s">
        <v>82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P81" s="184"/>
    </row>
    <row r="82" spans="2:42">
      <c r="B82" s="1">
        <v>79</v>
      </c>
      <c r="C82" s="1" t="s">
        <v>653</v>
      </c>
      <c r="D82" s="1" t="s">
        <v>815</v>
      </c>
      <c r="E82" s="1" t="s">
        <v>754</v>
      </c>
      <c r="F82" s="1" t="s">
        <v>803</v>
      </c>
      <c r="G82" s="1">
        <v>190</v>
      </c>
      <c r="H82" s="1">
        <v>63</v>
      </c>
      <c r="I82" s="1">
        <v>315</v>
      </c>
      <c r="J82" s="1">
        <v>90</v>
      </c>
      <c r="K82" s="1">
        <v>65</v>
      </c>
      <c r="L82" s="1">
        <v>65</v>
      </c>
      <c r="M82" s="1">
        <v>40</v>
      </c>
      <c r="N82" s="1">
        <v>40</v>
      </c>
      <c r="O82" s="1">
        <v>15</v>
      </c>
      <c r="P82" s="1">
        <v>37</v>
      </c>
      <c r="Q82" s="1">
        <v>80</v>
      </c>
      <c r="R82" s="202" t="s">
        <v>816</v>
      </c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P82" s="184"/>
    </row>
    <row r="83" spans="2:42">
      <c r="B83" s="1">
        <v>80</v>
      </c>
      <c r="C83" s="1" t="s">
        <v>652</v>
      </c>
      <c r="D83" s="1" t="s">
        <v>816</v>
      </c>
      <c r="E83" s="1" t="s">
        <v>754</v>
      </c>
      <c r="F83" s="1" t="s">
        <v>803</v>
      </c>
      <c r="G83" s="1">
        <v>75</v>
      </c>
      <c r="H83" s="1">
        <v>172</v>
      </c>
      <c r="I83" s="1">
        <v>490</v>
      </c>
      <c r="J83" s="1">
        <v>95</v>
      </c>
      <c r="K83" s="1">
        <v>75</v>
      </c>
      <c r="L83" s="1">
        <v>110</v>
      </c>
      <c r="M83" s="1">
        <v>100</v>
      </c>
      <c r="N83" s="1">
        <v>80</v>
      </c>
      <c r="O83" s="1">
        <v>30</v>
      </c>
      <c r="P83" s="1" t="s">
        <v>82</v>
      </c>
      <c r="Q83" s="1" t="s">
        <v>82</v>
      </c>
      <c r="R83" s="1" t="s">
        <v>82</v>
      </c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P83" s="184"/>
    </row>
    <row r="84" spans="2:42">
      <c r="B84" s="1">
        <v>81</v>
      </c>
      <c r="C84" s="1" t="s">
        <v>651</v>
      </c>
      <c r="D84" s="1" t="s">
        <v>817</v>
      </c>
      <c r="E84" s="1" t="s">
        <v>772</v>
      </c>
      <c r="F84" s="1" t="s">
        <v>818</v>
      </c>
      <c r="G84" s="1">
        <v>190</v>
      </c>
      <c r="H84" s="1">
        <v>65</v>
      </c>
      <c r="I84" s="1">
        <v>325</v>
      </c>
      <c r="J84" s="1">
        <v>25</v>
      </c>
      <c r="K84" s="1">
        <v>35</v>
      </c>
      <c r="L84" s="1">
        <v>70</v>
      </c>
      <c r="M84" s="1">
        <v>95</v>
      </c>
      <c r="N84" s="1">
        <v>55</v>
      </c>
      <c r="O84" s="1">
        <v>45</v>
      </c>
      <c r="P84" s="1">
        <v>30</v>
      </c>
      <c r="Q84" s="1">
        <v>82</v>
      </c>
      <c r="R84" s="1" t="s">
        <v>819</v>
      </c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P84" s="184"/>
    </row>
    <row r="85" spans="2:42">
      <c r="B85" s="1">
        <v>82</v>
      </c>
      <c r="C85" s="1" t="s">
        <v>650</v>
      </c>
      <c r="D85" s="1" t="s">
        <v>819</v>
      </c>
      <c r="E85" s="1" t="s">
        <v>772</v>
      </c>
      <c r="F85" s="1" t="s">
        <v>818</v>
      </c>
      <c r="G85" s="1">
        <v>60</v>
      </c>
      <c r="H85" s="1">
        <v>163</v>
      </c>
      <c r="I85" s="1">
        <v>465</v>
      </c>
      <c r="J85" s="1">
        <v>50</v>
      </c>
      <c r="K85" s="1">
        <v>60</v>
      </c>
      <c r="L85" s="1">
        <v>95</v>
      </c>
      <c r="M85" s="1">
        <v>120</v>
      </c>
      <c r="N85" s="1">
        <v>70</v>
      </c>
      <c r="O85" s="1">
        <v>70</v>
      </c>
      <c r="P85" s="1">
        <v>30</v>
      </c>
      <c r="Q85" s="1">
        <v>462</v>
      </c>
      <c r="R85" s="1" t="s">
        <v>1116</v>
      </c>
      <c r="S85" s="1" t="b">
        <v>1</v>
      </c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P85" s="184"/>
    </row>
    <row r="86" spans="2:42">
      <c r="B86" s="1">
        <v>83</v>
      </c>
      <c r="C86" s="1" t="s">
        <v>649</v>
      </c>
      <c r="D86" s="1" t="s">
        <v>820</v>
      </c>
      <c r="E86" s="1" t="s">
        <v>765</v>
      </c>
      <c r="F86" s="1" t="s">
        <v>751</v>
      </c>
      <c r="G86" s="1">
        <v>45</v>
      </c>
      <c r="H86" s="1">
        <v>132</v>
      </c>
      <c r="I86" s="1">
        <v>352</v>
      </c>
      <c r="J86" s="1">
        <v>52</v>
      </c>
      <c r="K86" s="1">
        <v>65</v>
      </c>
      <c r="L86" s="1">
        <v>55</v>
      </c>
      <c r="M86" s="1">
        <v>58</v>
      </c>
      <c r="N86" s="1">
        <v>62</v>
      </c>
      <c r="O86" s="1">
        <v>60</v>
      </c>
      <c r="P86" s="1" t="s">
        <v>82</v>
      </c>
      <c r="Q86" s="1" t="s">
        <v>82</v>
      </c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P86" s="184"/>
    </row>
    <row r="87" spans="2:42">
      <c r="B87" s="1">
        <v>84</v>
      </c>
      <c r="C87" s="1" t="s">
        <v>648</v>
      </c>
      <c r="D87" s="1" t="s">
        <v>648</v>
      </c>
      <c r="E87" s="1" t="s">
        <v>765</v>
      </c>
      <c r="F87" s="1" t="s">
        <v>751</v>
      </c>
      <c r="G87" s="1">
        <v>190</v>
      </c>
      <c r="H87" s="1">
        <v>62</v>
      </c>
      <c r="I87" s="1">
        <v>310</v>
      </c>
      <c r="J87" s="1">
        <v>35</v>
      </c>
      <c r="K87" s="1">
        <v>85</v>
      </c>
      <c r="L87" s="1">
        <v>45</v>
      </c>
      <c r="M87" s="1">
        <v>35</v>
      </c>
      <c r="N87" s="1">
        <v>35</v>
      </c>
      <c r="O87" s="1">
        <v>75</v>
      </c>
      <c r="P87" s="1">
        <v>31</v>
      </c>
      <c r="Q87" s="1">
        <v>85</v>
      </c>
      <c r="R87" s="1" t="s">
        <v>647</v>
      </c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P87" s="184"/>
    </row>
    <row r="88" spans="2:42">
      <c r="B88" s="1">
        <v>85</v>
      </c>
      <c r="C88" s="1" t="s">
        <v>647</v>
      </c>
      <c r="D88" s="1" t="s">
        <v>647</v>
      </c>
      <c r="E88" s="1" t="s">
        <v>765</v>
      </c>
      <c r="F88" s="1" t="s">
        <v>751</v>
      </c>
      <c r="G88" s="1">
        <v>45</v>
      </c>
      <c r="H88" s="1">
        <v>165</v>
      </c>
      <c r="I88" s="1">
        <v>460</v>
      </c>
      <c r="J88" s="1">
        <v>60</v>
      </c>
      <c r="K88" s="1">
        <v>110</v>
      </c>
      <c r="L88" s="1">
        <v>70</v>
      </c>
      <c r="M88" s="1">
        <v>60</v>
      </c>
      <c r="N88" s="1">
        <v>60</v>
      </c>
      <c r="O88" s="1">
        <v>100</v>
      </c>
      <c r="P88" s="1" t="s">
        <v>82</v>
      </c>
      <c r="Q88" s="1" t="s">
        <v>82</v>
      </c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P88" s="184"/>
    </row>
    <row r="89" spans="2:42">
      <c r="B89" s="1">
        <v>86</v>
      </c>
      <c r="C89" s="1" t="s">
        <v>646</v>
      </c>
      <c r="D89" s="1" t="s">
        <v>821</v>
      </c>
      <c r="E89" s="1" t="s">
        <v>754</v>
      </c>
      <c r="F89" s="1" t="s">
        <v>82</v>
      </c>
      <c r="G89" s="1">
        <v>190</v>
      </c>
      <c r="H89" s="1">
        <v>65</v>
      </c>
      <c r="I89" s="1">
        <v>325</v>
      </c>
      <c r="J89" s="1">
        <v>65</v>
      </c>
      <c r="K89" s="1">
        <v>45</v>
      </c>
      <c r="L89" s="1">
        <v>55</v>
      </c>
      <c r="M89" s="1">
        <v>45</v>
      </c>
      <c r="N89" s="1">
        <v>70</v>
      </c>
      <c r="O89" s="1">
        <v>45</v>
      </c>
      <c r="P89" s="1">
        <v>34</v>
      </c>
      <c r="Q89" s="1">
        <v>87</v>
      </c>
      <c r="R89" s="1" t="s">
        <v>822</v>
      </c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P89" s="184"/>
    </row>
    <row r="90" spans="2:42">
      <c r="B90" s="1">
        <v>87</v>
      </c>
      <c r="C90" s="1" t="s">
        <v>645</v>
      </c>
      <c r="D90" s="1" t="s">
        <v>822</v>
      </c>
      <c r="E90" s="1" t="s">
        <v>754</v>
      </c>
      <c r="F90" s="1" t="s">
        <v>823</v>
      </c>
      <c r="G90" s="1">
        <v>75</v>
      </c>
      <c r="H90" s="1">
        <v>166</v>
      </c>
      <c r="I90" s="1">
        <v>475</v>
      </c>
      <c r="J90" s="1">
        <v>90</v>
      </c>
      <c r="K90" s="1">
        <v>70</v>
      </c>
      <c r="L90" s="1">
        <v>80</v>
      </c>
      <c r="M90" s="1">
        <v>70</v>
      </c>
      <c r="N90" s="1">
        <v>95</v>
      </c>
      <c r="O90" s="1">
        <v>70</v>
      </c>
      <c r="P90" s="1" t="s">
        <v>82</v>
      </c>
      <c r="Q90" s="1" t="s">
        <v>82</v>
      </c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P90" s="184"/>
    </row>
    <row r="91" spans="2:42">
      <c r="B91" s="1">
        <v>88</v>
      </c>
      <c r="C91" s="1" t="s">
        <v>644</v>
      </c>
      <c r="D91" s="1" t="s">
        <v>824</v>
      </c>
      <c r="E91" s="1" t="s">
        <v>744</v>
      </c>
      <c r="F91" s="1" t="s">
        <v>82</v>
      </c>
      <c r="G91" s="1">
        <v>190</v>
      </c>
      <c r="H91" s="1">
        <v>65</v>
      </c>
      <c r="I91" s="1">
        <v>325</v>
      </c>
      <c r="J91" s="1">
        <v>80</v>
      </c>
      <c r="K91" s="1">
        <v>80</v>
      </c>
      <c r="L91" s="1">
        <v>50</v>
      </c>
      <c r="M91" s="1">
        <v>40</v>
      </c>
      <c r="N91" s="1">
        <v>50</v>
      </c>
      <c r="O91" s="1">
        <v>25</v>
      </c>
      <c r="P91" s="1">
        <v>38</v>
      </c>
      <c r="Q91" s="1">
        <v>89</v>
      </c>
      <c r="R91" s="1" t="s">
        <v>825</v>
      </c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P91" s="184"/>
    </row>
    <row r="92" spans="2:42">
      <c r="B92" s="1">
        <v>89</v>
      </c>
      <c r="C92" s="1" t="s">
        <v>643</v>
      </c>
      <c r="D92" s="1" t="s">
        <v>825</v>
      </c>
      <c r="E92" s="1" t="s">
        <v>744</v>
      </c>
      <c r="F92" s="1" t="s">
        <v>82</v>
      </c>
      <c r="G92" s="1">
        <v>75</v>
      </c>
      <c r="H92" s="1">
        <v>175</v>
      </c>
      <c r="I92" s="1">
        <v>500</v>
      </c>
      <c r="J92" s="1">
        <v>105</v>
      </c>
      <c r="K92" s="1">
        <v>105</v>
      </c>
      <c r="L92" s="1">
        <v>75</v>
      </c>
      <c r="M92" s="1">
        <v>65</v>
      </c>
      <c r="N92" s="1">
        <v>100</v>
      </c>
      <c r="O92" s="1">
        <v>50</v>
      </c>
      <c r="P92" s="1" t="s">
        <v>82</v>
      </c>
      <c r="Q92" s="1" t="s">
        <v>82</v>
      </c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P92" s="184"/>
    </row>
    <row r="93" spans="2:42">
      <c r="B93" s="1">
        <v>90</v>
      </c>
      <c r="C93" s="1" t="s">
        <v>642</v>
      </c>
      <c r="D93" s="1" t="s">
        <v>826</v>
      </c>
      <c r="E93" s="1" t="s">
        <v>754</v>
      </c>
      <c r="F93" s="1" t="s">
        <v>82</v>
      </c>
      <c r="G93" s="1">
        <v>190</v>
      </c>
      <c r="H93" s="1">
        <v>61</v>
      </c>
      <c r="I93" s="1">
        <v>305</v>
      </c>
      <c r="J93" s="1">
        <v>30</v>
      </c>
      <c r="K93" s="1">
        <v>65</v>
      </c>
      <c r="L93" s="1">
        <v>100</v>
      </c>
      <c r="M93" s="1">
        <v>45</v>
      </c>
      <c r="N93" s="1">
        <v>25</v>
      </c>
      <c r="O93" s="1">
        <v>40</v>
      </c>
      <c r="P93" s="1">
        <v>30</v>
      </c>
      <c r="Q93" s="1">
        <v>91</v>
      </c>
      <c r="R93" s="1" t="s">
        <v>827</v>
      </c>
      <c r="S93" s="1" t="b">
        <v>1</v>
      </c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P93" s="184"/>
    </row>
    <row r="94" spans="2:42">
      <c r="B94" s="1">
        <v>91</v>
      </c>
      <c r="C94" s="1" t="s">
        <v>641</v>
      </c>
      <c r="D94" s="1" t="s">
        <v>827</v>
      </c>
      <c r="E94" s="1" t="s">
        <v>754</v>
      </c>
      <c r="F94" s="1" t="s">
        <v>823</v>
      </c>
      <c r="G94" s="1">
        <v>60</v>
      </c>
      <c r="H94" s="1">
        <v>184</v>
      </c>
      <c r="I94" s="1">
        <v>525</v>
      </c>
      <c r="J94" s="1">
        <v>50</v>
      </c>
      <c r="K94" s="1">
        <v>95</v>
      </c>
      <c r="L94" s="1">
        <v>180</v>
      </c>
      <c r="M94" s="1">
        <v>85</v>
      </c>
      <c r="N94" s="1">
        <v>45</v>
      </c>
      <c r="O94" s="1">
        <v>70</v>
      </c>
      <c r="P94" s="1" t="s">
        <v>82</v>
      </c>
      <c r="Q94" s="1" t="s">
        <v>82</v>
      </c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P94" s="184"/>
    </row>
    <row r="95" spans="2:42">
      <c r="B95" s="1">
        <v>92</v>
      </c>
      <c r="C95" s="1" t="s">
        <v>640</v>
      </c>
      <c r="D95" s="1" t="s">
        <v>828</v>
      </c>
      <c r="E95" s="1" t="s">
        <v>829</v>
      </c>
      <c r="F95" s="1" t="s">
        <v>744</v>
      </c>
      <c r="G95" s="1">
        <v>190</v>
      </c>
      <c r="H95" s="1">
        <v>62</v>
      </c>
      <c r="I95" s="1">
        <v>310</v>
      </c>
      <c r="J95" s="1">
        <v>30</v>
      </c>
      <c r="K95" s="1">
        <v>35</v>
      </c>
      <c r="L95" s="1">
        <v>30</v>
      </c>
      <c r="M95" s="1">
        <v>100</v>
      </c>
      <c r="N95" s="1">
        <v>35</v>
      </c>
      <c r="O95" s="1">
        <v>80</v>
      </c>
      <c r="P95" s="1">
        <v>25</v>
      </c>
      <c r="Q95" s="1">
        <v>93</v>
      </c>
      <c r="R95" s="1" t="s">
        <v>830</v>
      </c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P95" s="184"/>
    </row>
    <row r="96" spans="2:42">
      <c r="B96" s="1">
        <v>93</v>
      </c>
      <c r="C96" s="1" t="s">
        <v>639</v>
      </c>
      <c r="D96" s="1" t="s">
        <v>830</v>
      </c>
      <c r="E96" s="1" t="s">
        <v>829</v>
      </c>
      <c r="F96" s="1" t="s">
        <v>744</v>
      </c>
      <c r="G96" s="1">
        <v>90</v>
      </c>
      <c r="H96" s="1">
        <v>142</v>
      </c>
      <c r="I96" s="1">
        <v>405</v>
      </c>
      <c r="J96" s="1">
        <v>45</v>
      </c>
      <c r="K96" s="1">
        <v>50</v>
      </c>
      <c r="L96" s="1">
        <v>45</v>
      </c>
      <c r="M96" s="1">
        <v>115</v>
      </c>
      <c r="N96" s="1">
        <v>55</v>
      </c>
      <c r="O96" s="1">
        <v>95</v>
      </c>
      <c r="P96" s="1">
        <v>30</v>
      </c>
      <c r="Q96" s="1">
        <v>94</v>
      </c>
      <c r="R96" s="1" t="s">
        <v>831</v>
      </c>
      <c r="S96" s="1" t="b">
        <v>1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P96" s="184"/>
    </row>
    <row r="97" spans="2:42">
      <c r="B97" s="1">
        <v>94</v>
      </c>
      <c r="C97" s="1" t="s">
        <v>638</v>
      </c>
      <c r="D97" s="1" t="s">
        <v>831</v>
      </c>
      <c r="E97" s="1" t="s">
        <v>829</v>
      </c>
      <c r="F97" s="1" t="s">
        <v>744</v>
      </c>
      <c r="G97" s="1">
        <v>45</v>
      </c>
      <c r="H97" s="1">
        <v>225</v>
      </c>
      <c r="I97" s="1">
        <v>500</v>
      </c>
      <c r="J97" s="1">
        <v>60</v>
      </c>
      <c r="K97" s="1">
        <v>65</v>
      </c>
      <c r="L97" s="1">
        <v>60</v>
      </c>
      <c r="M97" s="1">
        <v>130</v>
      </c>
      <c r="N97" s="1">
        <v>75</v>
      </c>
      <c r="O97" s="1">
        <v>110</v>
      </c>
      <c r="P97" s="1" t="s">
        <v>82</v>
      </c>
      <c r="Q97" s="1" t="s">
        <v>82</v>
      </c>
      <c r="R97" s="1" t="s">
        <v>82</v>
      </c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P97" s="184"/>
    </row>
    <row r="98" spans="2:42">
      <c r="B98" s="1">
        <v>95</v>
      </c>
      <c r="C98" s="1" t="s">
        <v>637</v>
      </c>
      <c r="D98" s="1" t="s">
        <v>637</v>
      </c>
      <c r="E98" s="1" t="s">
        <v>811</v>
      </c>
      <c r="F98" s="1" t="s">
        <v>774</v>
      </c>
      <c r="G98" s="1">
        <v>45</v>
      </c>
      <c r="H98" s="1">
        <v>77</v>
      </c>
      <c r="I98" s="1">
        <v>385</v>
      </c>
      <c r="J98" s="1">
        <v>35</v>
      </c>
      <c r="K98" s="1">
        <v>45</v>
      </c>
      <c r="L98" s="1">
        <v>160</v>
      </c>
      <c r="M98" s="1">
        <v>30</v>
      </c>
      <c r="N98" s="1">
        <v>45</v>
      </c>
      <c r="O98" s="1">
        <v>70</v>
      </c>
      <c r="P98" s="1">
        <v>30</v>
      </c>
      <c r="Q98" s="1">
        <v>208</v>
      </c>
      <c r="R98" s="1" t="s">
        <v>524</v>
      </c>
      <c r="S98" s="1" t="b">
        <v>1</v>
      </c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P98" s="184"/>
    </row>
    <row r="99" spans="2:42">
      <c r="B99" s="1">
        <v>96</v>
      </c>
      <c r="C99" s="1" t="s">
        <v>636</v>
      </c>
      <c r="D99" s="1" t="s">
        <v>832</v>
      </c>
      <c r="E99" s="1" t="s">
        <v>803</v>
      </c>
      <c r="F99" s="1" t="s">
        <v>82</v>
      </c>
      <c r="G99" s="1">
        <v>190</v>
      </c>
      <c r="H99" s="1">
        <v>66</v>
      </c>
      <c r="I99" s="1">
        <v>328</v>
      </c>
      <c r="J99" s="1">
        <v>60</v>
      </c>
      <c r="K99" s="1">
        <v>48</v>
      </c>
      <c r="L99" s="1">
        <v>45</v>
      </c>
      <c r="M99" s="1">
        <v>43</v>
      </c>
      <c r="N99" s="1">
        <v>90</v>
      </c>
      <c r="O99" s="1">
        <v>42</v>
      </c>
      <c r="P99" s="1">
        <v>26</v>
      </c>
      <c r="Q99" s="1">
        <v>97</v>
      </c>
      <c r="R99" s="1" t="s">
        <v>833</v>
      </c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P99" s="184"/>
    </row>
    <row r="100" spans="2:42">
      <c r="B100" s="1">
        <v>97</v>
      </c>
      <c r="C100" s="1" t="s">
        <v>635</v>
      </c>
      <c r="D100" s="1" t="s">
        <v>833</v>
      </c>
      <c r="E100" s="1" t="s">
        <v>803</v>
      </c>
      <c r="F100" s="1" t="s">
        <v>82</v>
      </c>
      <c r="G100" s="1">
        <v>75</v>
      </c>
      <c r="H100" s="1">
        <v>169</v>
      </c>
      <c r="I100" s="1">
        <v>483</v>
      </c>
      <c r="J100" s="1">
        <v>85</v>
      </c>
      <c r="K100" s="1">
        <v>73</v>
      </c>
      <c r="L100" s="1">
        <v>70</v>
      </c>
      <c r="M100" s="1">
        <v>73</v>
      </c>
      <c r="N100" s="1">
        <v>115</v>
      </c>
      <c r="O100" s="1">
        <v>67</v>
      </c>
      <c r="P100" s="1" t="s">
        <v>82</v>
      </c>
      <c r="Q100" s="1" t="s">
        <v>82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P100" s="184"/>
    </row>
    <row r="101" spans="2:42">
      <c r="B101" s="1">
        <v>98</v>
      </c>
      <c r="C101" s="1" t="s">
        <v>634</v>
      </c>
      <c r="D101" s="1" t="s">
        <v>634</v>
      </c>
      <c r="E101" s="1" t="s">
        <v>754</v>
      </c>
      <c r="F101" s="1" t="s">
        <v>82</v>
      </c>
      <c r="G101" s="1">
        <v>225</v>
      </c>
      <c r="H101" s="1">
        <v>65</v>
      </c>
      <c r="I101" s="1">
        <v>325</v>
      </c>
      <c r="J101" s="1">
        <v>30</v>
      </c>
      <c r="K101" s="1">
        <v>105</v>
      </c>
      <c r="L101" s="1">
        <v>90</v>
      </c>
      <c r="M101" s="1">
        <v>25</v>
      </c>
      <c r="N101" s="1">
        <v>25</v>
      </c>
      <c r="O101" s="1">
        <v>50</v>
      </c>
      <c r="P101" s="1">
        <v>28</v>
      </c>
      <c r="Q101" s="1">
        <v>99</v>
      </c>
      <c r="R101" s="1" t="s">
        <v>834</v>
      </c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P101" s="184"/>
    </row>
    <row r="102" spans="2:42">
      <c r="B102" s="1">
        <v>99</v>
      </c>
      <c r="C102" s="1" t="s">
        <v>633</v>
      </c>
      <c r="D102" s="1" t="s">
        <v>834</v>
      </c>
      <c r="E102" s="1" t="s">
        <v>754</v>
      </c>
      <c r="F102" s="1" t="s">
        <v>82</v>
      </c>
      <c r="G102" s="1">
        <v>60</v>
      </c>
      <c r="H102" s="1">
        <v>166</v>
      </c>
      <c r="I102" s="1">
        <v>475</v>
      </c>
      <c r="J102" s="1">
        <v>55</v>
      </c>
      <c r="K102" s="1">
        <v>130</v>
      </c>
      <c r="L102" s="1">
        <v>115</v>
      </c>
      <c r="M102" s="1">
        <v>50</v>
      </c>
      <c r="N102" s="1">
        <v>50</v>
      </c>
      <c r="O102" s="1">
        <v>75</v>
      </c>
      <c r="P102" s="1" t="s">
        <v>82</v>
      </c>
      <c r="Q102" s="1" t="s">
        <v>82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P102" s="184"/>
    </row>
    <row r="103" spans="2:42">
      <c r="B103" s="1">
        <v>100</v>
      </c>
      <c r="C103" s="1" t="s">
        <v>632</v>
      </c>
      <c r="D103" s="1" t="s">
        <v>835</v>
      </c>
      <c r="E103" s="1" t="s">
        <v>772</v>
      </c>
      <c r="F103" s="1" t="s">
        <v>82</v>
      </c>
      <c r="G103" s="1">
        <v>190</v>
      </c>
      <c r="H103" s="1">
        <v>66</v>
      </c>
      <c r="I103" s="1">
        <v>330</v>
      </c>
      <c r="J103" s="1">
        <v>40</v>
      </c>
      <c r="K103" s="1">
        <v>30</v>
      </c>
      <c r="L103" s="1">
        <v>50</v>
      </c>
      <c r="M103" s="1">
        <v>55</v>
      </c>
      <c r="N103" s="1">
        <v>55</v>
      </c>
      <c r="O103" s="1">
        <v>100</v>
      </c>
      <c r="P103" s="1">
        <v>30</v>
      </c>
      <c r="Q103" s="1">
        <v>101</v>
      </c>
      <c r="R103" s="1" t="s">
        <v>836</v>
      </c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P103" s="184"/>
    </row>
    <row r="104" spans="2:42">
      <c r="B104" s="1">
        <v>101</v>
      </c>
      <c r="C104" s="1" t="s">
        <v>631</v>
      </c>
      <c r="D104" s="1" t="s">
        <v>836</v>
      </c>
      <c r="E104" s="1" t="s">
        <v>772</v>
      </c>
      <c r="F104" s="1" t="s">
        <v>82</v>
      </c>
      <c r="G104" s="1">
        <v>60</v>
      </c>
      <c r="H104" s="1">
        <v>172</v>
      </c>
      <c r="I104" s="1">
        <v>480</v>
      </c>
      <c r="J104" s="1">
        <v>60</v>
      </c>
      <c r="K104" s="1">
        <v>50</v>
      </c>
      <c r="L104" s="1">
        <v>70</v>
      </c>
      <c r="M104" s="1">
        <v>80</v>
      </c>
      <c r="N104" s="1">
        <v>80</v>
      </c>
      <c r="O104" s="1">
        <v>140</v>
      </c>
      <c r="P104" s="1" t="s">
        <v>82</v>
      </c>
      <c r="Q104" s="1" t="s">
        <v>82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P104" s="184"/>
    </row>
    <row r="105" spans="2:42">
      <c r="B105" s="1">
        <v>102</v>
      </c>
      <c r="C105" s="1" t="s">
        <v>630</v>
      </c>
      <c r="D105" s="1" t="s">
        <v>837</v>
      </c>
      <c r="E105" s="1" t="s">
        <v>743</v>
      </c>
      <c r="F105" s="1" t="s">
        <v>803</v>
      </c>
      <c r="G105" s="1">
        <v>90</v>
      </c>
      <c r="H105" s="1">
        <v>65</v>
      </c>
      <c r="I105" s="1">
        <v>325</v>
      </c>
      <c r="J105" s="1">
        <v>60</v>
      </c>
      <c r="K105" s="1">
        <v>40</v>
      </c>
      <c r="L105" s="1">
        <v>80</v>
      </c>
      <c r="M105" s="1">
        <v>60</v>
      </c>
      <c r="N105" s="1">
        <v>45</v>
      </c>
      <c r="O105" s="1">
        <v>40</v>
      </c>
      <c r="P105" s="1">
        <v>30</v>
      </c>
      <c r="Q105" s="1">
        <v>103</v>
      </c>
      <c r="R105" s="1" t="s">
        <v>838</v>
      </c>
      <c r="S105" s="1" t="b">
        <v>1</v>
      </c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P105" s="184"/>
    </row>
    <row r="106" spans="2:42">
      <c r="B106" s="1">
        <v>103</v>
      </c>
      <c r="C106" s="1" t="s">
        <v>629</v>
      </c>
      <c r="D106" s="1" t="s">
        <v>838</v>
      </c>
      <c r="E106" s="1" t="s">
        <v>743</v>
      </c>
      <c r="F106" s="1" t="s">
        <v>803</v>
      </c>
      <c r="G106" s="1">
        <v>45</v>
      </c>
      <c r="H106" s="1">
        <v>186</v>
      </c>
      <c r="I106" s="1">
        <v>520</v>
      </c>
      <c r="J106" s="1">
        <v>95</v>
      </c>
      <c r="K106" s="1">
        <v>95</v>
      </c>
      <c r="L106" s="1">
        <v>85</v>
      </c>
      <c r="M106" s="1">
        <v>125</v>
      </c>
      <c r="N106" s="1">
        <v>65</v>
      </c>
      <c r="O106" s="1">
        <v>55</v>
      </c>
      <c r="P106" s="1" t="s">
        <v>82</v>
      </c>
      <c r="Q106" s="1" t="s">
        <v>82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P106" s="184"/>
    </row>
    <row r="107" spans="2:42">
      <c r="B107" s="1">
        <v>104</v>
      </c>
      <c r="C107" s="1" t="s">
        <v>628</v>
      </c>
      <c r="D107" s="1" t="s">
        <v>839</v>
      </c>
      <c r="E107" s="1" t="s">
        <v>774</v>
      </c>
      <c r="F107" s="1" t="s">
        <v>82</v>
      </c>
      <c r="G107" s="1">
        <v>190</v>
      </c>
      <c r="H107" s="1">
        <v>64</v>
      </c>
      <c r="I107" s="1">
        <v>320</v>
      </c>
      <c r="J107" s="1">
        <v>50</v>
      </c>
      <c r="K107" s="1">
        <v>50</v>
      </c>
      <c r="L107" s="1">
        <v>95</v>
      </c>
      <c r="M107" s="1">
        <v>40</v>
      </c>
      <c r="N107" s="1">
        <v>50</v>
      </c>
      <c r="O107" s="1">
        <v>35</v>
      </c>
      <c r="P107" s="1">
        <v>28</v>
      </c>
      <c r="Q107" s="1">
        <v>105</v>
      </c>
      <c r="R107" s="1" t="s">
        <v>840</v>
      </c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P107" s="184"/>
    </row>
    <row r="108" spans="2:42">
      <c r="B108" s="1">
        <v>105</v>
      </c>
      <c r="C108" s="1" t="s">
        <v>627</v>
      </c>
      <c r="D108" s="1" t="s">
        <v>840</v>
      </c>
      <c r="E108" s="1" t="s">
        <v>774</v>
      </c>
      <c r="F108" s="1" t="s">
        <v>82</v>
      </c>
      <c r="G108" s="1">
        <v>75</v>
      </c>
      <c r="H108" s="1">
        <v>149</v>
      </c>
      <c r="I108" s="1">
        <v>425</v>
      </c>
      <c r="J108" s="1">
        <v>60</v>
      </c>
      <c r="K108" s="1">
        <v>80</v>
      </c>
      <c r="L108" s="1">
        <v>110</v>
      </c>
      <c r="M108" s="1">
        <v>50</v>
      </c>
      <c r="N108" s="1">
        <v>80</v>
      </c>
      <c r="O108" s="1">
        <v>45</v>
      </c>
      <c r="P108" s="1" t="s">
        <v>82</v>
      </c>
      <c r="Q108" s="1" t="s">
        <v>82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P108" s="184"/>
    </row>
    <row r="109" spans="2:42">
      <c r="B109" s="1">
        <v>106</v>
      </c>
      <c r="C109" s="1" t="s">
        <v>626</v>
      </c>
      <c r="D109" s="1" t="s">
        <v>841</v>
      </c>
      <c r="E109" s="1" t="s">
        <v>796</v>
      </c>
      <c r="F109" s="1" t="s">
        <v>82</v>
      </c>
      <c r="G109" s="1">
        <v>45</v>
      </c>
      <c r="H109" s="1">
        <v>159</v>
      </c>
      <c r="I109" s="1">
        <v>455</v>
      </c>
      <c r="J109" s="1">
        <v>50</v>
      </c>
      <c r="K109" s="1">
        <v>120</v>
      </c>
      <c r="L109" s="1">
        <v>53</v>
      </c>
      <c r="M109" s="1">
        <v>35</v>
      </c>
      <c r="N109" s="1">
        <v>110</v>
      </c>
      <c r="O109" s="1">
        <v>87</v>
      </c>
      <c r="P109" s="1" t="s">
        <v>82</v>
      </c>
      <c r="Q109" s="1" t="s">
        <v>82</v>
      </c>
      <c r="R109" s="1" t="s">
        <v>82</v>
      </c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P109" s="184"/>
    </row>
    <row r="110" spans="2:42">
      <c r="B110" s="1">
        <v>107</v>
      </c>
      <c r="C110" s="1" t="s">
        <v>625</v>
      </c>
      <c r="D110" s="1" t="s">
        <v>842</v>
      </c>
      <c r="E110" s="1" t="s">
        <v>796</v>
      </c>
      <c r="F110" s="1" t="s">
        <v>82</v>
      </c>
      <c r="G110" s="1">
        <v>45</v>
      </c>
      <c r="H110" s="1">
        <v>159</v>
      </c>
      <c r="I110" s="1">
        <v>455</v>
      </c>
      <c r="J110" s="1">
        <v>50</v>
      </c>
      <c r="K110" s="1">
        <v>105</v>
      </c>
      <c r="L110" s="1">
        <v>79</v>
      </c>
      <c r="M110" s="1">
        <v>35</v>
      </c>
      <c r="N110" s="1">
        <v>110</v>
      </c>
      <c r="O110" s="1">
        <v>76</v>
      </c>
      <c r="P110" s="1" t="s">
        <v>82</v>
      </c>
      <c r="Q110" s="1" t="s">
        <v>82</v>
      </c>
      <c r="R110" s="1" t="s">
        <v>82</v>
      </c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P110" s="184"/>
    </row>
    <row r="111" spans="2:42">
      <c r="B111" s="1">
        <v>108</v>
      </c>
      <c r="C111" s="1" t="s">
        <v>624</v>
      </c>
      <c r="D111" s="1" t="s">
        <v>843</v>
      </c>
      <c r="E111" s="1" t="s">
        <v>765</v>
      </c>
      <c r="F111" s="1" t="s">
        <v>82</v>
      </c>
      <c r="G111" s="1">
        <v>45</v>
      </c>
      <c r="H111" s="1">
        <v>77</v>
      </c>
      <c r="I111" s="1">
        <v>385</v>
      </c>
      <c r="J111" s="1">
        <v>90</v>
      </c>
      <c r="K111" s="1">
        <v>55</v>
      </c>
      <c r="L111" s="1">
        <v>75</v>
      </c>
      <c r="M111" s="1">
        <v>60</v>
      </c>
      <c r="N111" s="1">
        <v>75</v>
      </c>
      <c r="O111" s="1">
        <v>30</v>
      </c>
      <c r="P111" s="1">
        <v>30</v>
      </c>
      <c r="Q111" s="1">
        <v>463</v>
      </c>
      <c r="R111" s="1" t="s">
        <v>1117</v>
      </c>
      <c r="S111" s="1" t="b">
        <v>1</v>
      </c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P111" s="184"/>
    </row>
    <row r="112" spans="2:42">
      <c r="B112" s="1">
        <v>109</v>
      </c>
      <c r="C112" s="1" t="s">
        <v>623</v>
      </c>
      <c r="D112" s="1" t="s">
        <v>844</v>
      </c>
      <c r="E112" s="1" t="s">
        <v>744</v>
      </c>
      <c r="F112" s="1" t="s">
        <v>82</v>
      </c>
      <c r="G112" s="1">
        <v>190</v>
      </c>
      <c r="H112" s="1">
        <v>68</v>
      </c>
      <c r="I112" s="1">
        <v>340</v>
      </c>
      <c r="J112" s="1">
        <v>40</v>
      </c>
      <c r="K112" s="1">
        <v>65</v>
      </c>
      <c r="L112" s="1">
        <v>95</v>
      </c>
      <c r="M112" s="1">
        <v>60</v>
      </c>
      <c r="N112" s="1">
        <v>45</v>
      </c>
      <c r="O112" s="1">
        <v>35</v>
      </c>
      <c r="P112" s="1">
        <v>35</v>
      </c>
      <c r="Q112" s="1">
        <v>110</v>
      </c>
      <c r="R112" s="1" t="s">
        <v>845</v>
      </c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P112" s="184"/>
    </row>
    <row r="113" spans="2:42">
      <c r="B113" s="1">
        <v>110</v>
      </c>
      <c r="C113" s="1" t="s">
        <v>622</v>
      </c>
      <c r="D113" s="1" t="s">
        <v>845</v>
      </c>
      <c r="E113" s="1" t="s">
        <v>744</v>
      </c>
      <c r="F113" s="1" t="s">
        <v>82</v>
      </c>
      <c r="G113" s="1">
        <v>60</v>
      </c>
      <c r="H113" s="1">
        <v>172</v>
      </c>
      <c r="I113" s="1">
        <v>490</v>
      </c>
      <c r="J113" s="1">
        <v>65</v>
      </c>
      <c r="K113" s="1">
        <v>90</v>
      </c>
      <c r="L113" s="1">
        <v>120</v>
      </c>
      <c r="M113" s="1">
        <v>85</v>
      </c>
      <c r="N113" s="1">
        <v>70</v>
      </c>
      <c r="O113" s="1">
        <v>60</v>
      </c>
      <c r="P113" s="1" t="s">
        <v>82</v>
      </c>
      <c r="Q113" s="1" t="s">
        <v>82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P113" s="184"/>
    </row>
    <row r="114" spans="2:42">
      <c r="B114" s="1">
        <v>111</v>
      </c>
      <c r="C114" s="1" t="s">
        <v>621</v>
      </c>
      <c r="D114" s="1" t="s">
        <v>846</v>
      </c>
      <c r="E114" s="1" t="s">
        <v>774</v>
      </c>
      <c r="F114" s="1" t="s">
        <v>811</v>
      </c>
      <c r="G114" s="1">
        <v>120</v>
      </c>
      <c r="H114" s="1">
        <v>69</v>
      </c>
      <c r="I114" s="1">
        <v>345</v>
      </c>
      <c r="J114" s="1">
        <v>80</v>
      </c>
      <c r="K114" s="1">
        <v>85</v>
      </c>
      <c r="L114" s="1">
        <v>95</v>
      </c>
      <c r="M114" s="1">
        <v>30</v>
      </c>
      <c r="N114" s="1">
        <v>30</v>
      </c>
      <c r="O114" s="1">
        <v>25</v>
      </c>
      <c r="P114" s="1">
        <v>42</v>
      </c>
      <c r="Q114" s="1">
        <v>112</v>
      </c>
      <c r="R114" s="1" t="s">
        <v>847</v>
      </c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P114" s="184"/>
    </row>
    <row r="115" spans="2:42">
      <c r="B115" s="1">
        <v>112</v>
      </c>
      <c r="C115" s="1" t="s">
        <v>620</v>
      </c>
      <c r="D115" s="1" t="s">
        <v>847</v>
      </c>
      <c r="E115" s="1" t="s">
        <v>774</v>
      </c>
      <c r="F115" s="1" t="s">
        <v>811</v>
      </c>
      <c r="G115" s="1">
        <v>60</v>
      </c>
      <c r="H115" s="1">
        <v>170</v>
      </c>
      <c r="I115" s="1">
        <v>485</v>
      </c>
      <c r="J115" s="1">
        <v>105</v>
      </c>
      <c r="K115" s="1">
        <v>130</v>
      </c>
      <c r="L115" s="1">
        <v>120</v>
      </c>
      <c r="M115" s="1">
        <v>45</v>
      </c>
      <c r="N115" s="1">
        <v>45</v>
      </c>
      <c r="O115" s="1">
        <v>40</v>
      </c>
      <c r="P115" s="1">
        <v>30</v>
      </c>
      <c r="Q115" s="1">
        <v>464</v>
      </c>
      <c r="R115" s="1" t="s">
        <v>1118</v>
      </c>
      <c r="S115" s="1" t="b">
        <v>1</v>
      </c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P115" s="184"/>
    </row>
    <row r="116" spans="2:42">
      <c r="B116" s="1">
        <v>113</v>
      </c>
      <c r="C116" s="1" t="s">
        <v>619</v>
      </c>
      <c r="D116" s="1" t="s">
        <v>848</v>
      </c>
      <c r="E116" s="1" t="s">
        <v>765</v>
      </c>
      <c r="F116" s="1" t="s">
        <v>82</v>
      </c>
      <c r="G116" s="1">
        <v>30</v>
      </c>
      <c r="H116" s="1">
        <v>395</v>
      </c>
      <c r="I116" s="1">
        <v>450</v>
      </c>
      <c r="J116" s="1">
        <v>250</v>
      </c>
      <c r="K116" s="1">
        <v>5</v>
      </c>
      <c r="L116" s="1">
        <v>5</v>
      </c>
      <c r="M116" s="1">
        <v>35</v>
      </c>
      <c r="N116" s="1">
        <v>105</v>
      </c>
      <c r="O116" s="1">
        <v>50</v>
      </c>
      <c r="P116" s="1">
        <v>30</v>
      </c>
      <c r="Q116" s="1">
        <v>242</v>
      </c>
      <c r="R116" s="1" t="s">
        <v>948</v>
      </c>
      <c r="S116" s="1" t="b">
        <v>1</v>
      </c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P116" s="184"/>
    </row>
    <row r="117" spans="2:42">
      <c r="B117" s="1">
        <v>114</v>
      </c>
      <c r="C117" s="1" t="s">
        <v>618</v>
      </c>
      <c r="D117" s="1" t="s">
        <v>849</v>
      </c>
      <c r="E117" s="1" t="s">
        <v>743</v>
      </c>
      <c r="F117" s="1" t="s">
        <v>82</v>
      </c>
      <c r="G117" s="1">
        <v>45</v>
      </c>
      <c r="H117" s="1">
        <v>87</v>
      </c>
      <c r="I117" s="1">
        <v>435</v>
      </c>
      <c r="J117" s="1">
        <v>65</v>
      </c>
      <c r="K117" s="1">
        <v>55</v>
      </c>
      <c r="L117" s="1">
        <v>115</v>
      </c>
      <c r="M117" s="1">
        <v>100</v>
      </c>
      <c r="N117" s="1">
        <v>40</v>
      </c>
      <c r="O117" s="1">
        <v>60</v>
      </c>
      <c r="P117" s="1">
        <v>30</v>
      </c>
      <c r="Q117" s="1">
        <v>465</v>
      </c>
      <c r="R117" s="1" t="s">
        <v>1119</v>
      </c>
      <c r="S117" s="1" t="b">
        <v>1</v>
      </c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P117" s="184"/>
    </row>
    <row r="118" spans="2:42">
      <c r="B118" s="1">
        <v>115</v>
      </c>
      <c r="C118" s="1" t="s">
        <v>617</v>
      </c>
      <c r="D118" s="1" t="s">
        <v>850</v>
      </c>
      <c r="E118" s="1" t="s">
        <v>765</v>
      </c>
      <c r="F118" s="1" t="s">
        <v>82</v>
      </c>
      <c r="G118" s="1">
        <v>45</v>
      </c>
      <c r="H118" s="1">
        <v>172</v>
      </c>
      <c r="I118" s="1">
        <v>490</v>
      </c>
      <c r="J118" s="1">
        <v>105</v>
      </c>
      <c r="K118" s="1">
        <v>95</v>
      </c>
      <c r="L118" s="1">
        <v>80</v>
      </c>
      <c r="M118" s="1">
        <v>40</v>
      </c>
      <c r="N118" s="1">
        <v>80</v>
      </c>
      <c r="O118" s="1">
        <v>90</v>
      </c>
      <c r="P118" s="1" t="s">
        <v>82</v>
      </c>
      <c r="Q118" s="1" t="s">
        <v>82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P118" s="184"/>
    </row>
    <row r="119" spans="2:42">
      <c r="B119" s="1">
        <v>116</v>
      </c>
      <c r="C119" s="1" t="s">
        <v>616</v>
      </c>
      <c r="D119" s="1" t="s">
        <v>851</v>
      </c>
      <c r="E119" s="1" t="s">
        <v>754</v>
      </c>
      <c r="F119" s="1" t="s">
        <v>82</v>
      </c>
      <c r="G119" s="1">
        <v>225</v>
      </c>
      <c r="H119" s="1">
        <v>59</v>
      </c>
      <c r="I119" s="1">
        <v>295</v>
      </c>
      <c r="J119" s="1">
        <v>30</v>
      </c>
      <c r="K119" s="1">
        <v>40</v>
      </c>
      <c r="L119" s="1">
        <v>70</v>
      </c>
      <c r="M119" s="1">
        <v>70</v>
      </c>
      <c r="N119" s="1">
        <v>25</v>
      </c>
      <c r="O119" s="1">
        <v>60</v>
      </c>
      <c r="P119" s="1">
        <v>32</v>
      </c>
      <c r="Q119" s="1">
        <v>117</v>
      </c>
      <c r="R119" s="1" t="s">
        <v>852</v>
      </c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P119" s="184"/>
    </row>
    <row r="120" spans="2:42">
      <c r="B120" s="1">
        <v>117</v>
      </c>
      <c r="C120" s="1" t="s">
        <v>615</v>
      </c>
      <c r="D120" s="1" t="s">
        <v>852</v>
      </c>
      <c r="E120" s="1" t="s">
        <v>754</v>
      </c>
      <c r="F120" s="1" t="s">
        <v>82</v>
      </c>
      <c r="G120" s="1">
        <v>75</v>
      </c>
      <c r="H120" s="1">
        <v>154</v>
      </c>
      <c r="I120" s="1">
        <v>440</v>
      </c>
      <c r="J120" s="1">
        <v>55</v>
      </c>
      <c r="K120" s="1">
        <v>65</v>
      </c>
      <c r="L120" s="1">
        <v>95</v>
      </c>
      <c r="M120" s="1">
        <v>95</v>
      </c>
      <c r="N120" s="1">
        <v>45</v>
      </c>
      <c r="O120" s="1">
        <v>85</v>
      </c>
      <c r="P120" s="1">
        <v>30</v>
      </c>
      <c r="Q120" s="1">
        <v>230</v>
      </c>
      <c r="R120" s="1" t="s">
        <v>940</v>
      </c>
      <c r="S120" s="1" t="b">
        <v>1</v>
      </c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P120" s="184"/>
    </row>
    <row r="121" spans="2:42">
      <c r="B121" s="1">
        <v>118</v>
      </c>
      <c r="C121" s="1" t="s">
        <v>614</v>
      </c>
      <c r="D121" s="1" t="s">
        <v>853</v>
      </c>
      <c r="E121" s="1" t="s">
        <v>754</v>
      </c>
      <c r="F121" s="1" t="s">
        <v>82</v>
      </c>
      <c r="G121" s="1">
        <v>225</v>
      </c>
      <c r="H121" s="1">
        <v>64</v>
      </c>
      <c r="I121" s="1">
        <v>320</v>
      </c>
      <c r="J121" s="1">
        <v>45</v>
      </c>
      <c r="K121" s="1">
        <v>67</v>
      </c>
      <c r="L121" s="1">
        <v>60</v>
      </c>
      <c r="M121" s="1">
        <v>35</v>
      </c>
      <c r="N121" s="1">
        <v>50</v>
      </c>
      <c r="O121" s="1">
        <v>63</v>
      </c>
      <c r="P121" s="1">
        <v>33</v>
      </c>
      <c r="Q121" s="1">
        <v>119</v>
      </c>
      <c r="R121" s="1" t="s">
        <v>854</v>
      </c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P121" s="184"/>
    </row>
    <row r="122" spans="2:42">
      <c r="B122" s="1">
        <v>119</v>
      </c>
      <c r="C122" s="1" t="s">
        <v>613</v>
      </c>
      <c r="D122" s="1" t="s">
        <v>854</v>
      </c>
      <c r="E122" s="1" t="s">
        <v>754</v>
      </c>
      <c r="F122" s="1" t="s">
        <v>82</v>
      </c>
      <c r="G122" s="1">
        <v>60</v>
      </c>
      <c r="H122" s="1">
        <v>158</v>
      </c>
      <c r="I122" s="1">
        <v>450</v>
      </c>
      <c r="J122" s="1">
        <v>80</v>
      </c>
      <c r="K122" s="1">
        <v>92</v>
      </c>
      <c r="L122" s="1">
        <v>65</v>
      </c>
      <c r="M122" s="1">
        <v>65</v>
      </c>
      <c r="N122" s="1">
        <v>80</v>
      </c>
      <c r="O122" s="1">
        <v>68</v>
      </c>
      <c r="P122" s="1" t="s">
        <v>82</v>
      </c>
      <c r="Q122" s="1" t="s">
        <v>82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P122" s="184"/>
    </row>
    <row r="123" spans="2:42">
      <c r="B123" s="1">
        <v>120</v>
      </c>
      <c r="C123" s="1" t="s">
        <v>612</v>
      </c>
      <c r="D123" s="1" t="s">
        <v>855</v>
      </c>
      <c r="E123" s="1" t="s">
        <v>754</v>
      </c>
      <c r="F123" s="1" t="s">
        <v>82</v>
      </c>
      <c r="G123" s="1">
        <v>225</v>
      </c>
      <c r="H123" s="1">
        <v>68</v>
      </c>
      <c r="I123" s="1">
        <v>340</v>
      </c>
      <c r="J123" s="1">
        <v>30</v>
      </c>
      <c r="K123" s="1">
        <v>45</v>
      </c>
      <c r="L123" s="1">
        <v>55</v>
      </c>
      <c r="M123" s="1">
        <v>70</v>
      </c>
      <c r="N123" s="1">
        <v>55</v>
      </c>
      <c r="O123" s="1">
        <v>85</v>
      </c>
      <c r="P123" s="1">
        <v>30</v>
      </c>
      <c r="Q123" s="1">
        <v>121</v>
      </c>
      <c r="R123" s="1" t="s">
        <v>856</v>
      </c>
      <c r="S123" s="1" t="b">
        <v>1</v>
      </c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P123" s="184"/>
    </row>
    <row r="124" spans="2:42">
      <c r="B124" s="1">
        <v>121</v>
      </c>
      <c r="C124" s="1" t="s">
        <v>611</v>
      </c>
      <c r="D124" s="1" t="s">
        <v>856</v>
      </c>
      <c r="E124" s="1" t="s">
        <v>754</v>
      </c>
      <c r="F124" s="1" t="s">
        <v>803</v>
      </c>
      <c r="G124" s="1">
        <v>60</v>
      </c>
      <c r="H124" s="1">
        <v>182</v>
      </c>
      <c r="I124" s="1">
        <v>520</v>
      </c>
      <c r="J124" s="1">
        <v>60</v>
      </c>
      <c r="K124" s="1">
        <v>75</v>
      </c>
      <c r="L124" s="1">
        <v>85</v>
      </c>
      <c r="M124" s="1">
        <v>100</v>
      </c>
      <c r="N124" s="1">
        <v>85</v>
      </c>
      <c r="O124" s="1">
        <v>115</v>
      </c>
      <c r="P124" s="1" t="s">
        <v>82</v>
      </c>
      <c r="Q124" s="1" t="s">
        <v>82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P124" s="184"/>
    </row>
    <row r="125" spans="2:42">
      <c r="B125" s="1">
        <v>122</v>
      </c>
      <c r="C125" s="1" t="s">
        <v>610</v>
      </c>
      <c r="D125" s="1" t="s">
        <v>857</v>
      </c>
      <c r="E125" s="1" t="s">
        <v>803</v>
      </c>
      <c r="F125" s="1" t="s">
        <v>777</v>
      </c>
      <c r="G125" s="1">
        <v>45</v>
      </c>
      <c r="H125" s="1">
        <v>161</v>
      </c>
      <c r="I125" s="1">
        <v>460</v>
      </c>
      <c r="J125" s="1">
        <v>40</v>
      </c>
      <c r="K125" s="1">
        <v>45</v>
      </c>
      <c r="L125" s="1">
        <v>65</v>
      </c>
      <c r="M125" s="1">
        <v>100</v>
      </c>
      <c r="N125" s="1">
        <v>120</v>
      </c>
      <c r="O125" s="1">
        <v>90</v>
      </c>
      <c r="P125" s="1" t="s">
        <v>82</v>
      </c>
      <c r="Q125" s="1" t="s">
        <v>82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P125" s="184"/>
    </row>
    <row r="126" spans="2:42">
      <c r="B126" s="1">
        <v>123</v>
      </c>
      <c r="C126" s="1" t="s">
        <v>609</v>
      </c>
      <c r="D126" s="1" t="s">
        <v>858</v>
      </c>
      <c r="E126" s="1" t="s">
        <v>758</v>
      </c>
      <c r="F126" s="1" t="s">
        <v>751</v>
      </c>
      <c r="G126" s="1">
        <v>45</v>
      </c>
      <c r="H126" s="1">
        <v>100</v>
      </c>
      <c r="I126" s="1">
        <v>500</v>
      </c>
      <c r="J126" s="1">
        <v>70</v>
      </c>
      <c r="K126" s="1">
        <v>110</v>
      </c>
      <c r="L126" s="1">
        <v>80</v>
      </c>
      <c r="M126" s="1">
        <v>55</v>
      </c>
      <c r="N126" s="1">
        <v>80</v>
      </c>
      <c r="O126" s="1">
        <v>105</v>
      </c>
      <c r="P126" s="1" t="s">
        <v>82</v>
      </c>
      <c r="Q126" s="1" t="s">
        <v>82</v>
      </c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P126" s="184"/>
    </row>
    <row r="127" spans="2:42">
      <c r="B127" s="1">
        <v>124</v>
      </c>
      <c r="C127" s="1" t="s">
        <v>608</v>
      </c>
      <c r="D127" s="1" t="s">
        <v>859</v>
      </c>
      <c r="E127" s="1" t="s">
        <v>823</v>
      </c>
      <c r="F127" s="1" t="s">
        <v>803</v>
      </c>
      <c r="G127" s="1">
        <v>45</v>
      </c>
      <c r="H127" s="1">
        <v>159</v>
      </c>
      <c r="I127" s="1">
        <v>455</v>
      </c>
      <c r="J127" s="1">
        <v>65</v>
      </c>
      <c r="K127" s="1">
        <v>50</v>
      </c>
      <c r="L127" s="1">
        <v>35</v>
      </c>
      <c r="M127" s="1">
        <v>115</v>
      </c>
      <c r="N127" s="1">
        <v>95</v>
      </c>
      <c r="O127" s="1">
        <v>95</v>
      </c>
      <c r="P127" s="1" t="s">
        <v>82</v>
      </c>
      <c r="Q127" s="1" t="s">
        <v>82</v>
      </c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P127" s="184"/>
    </row>
    <row r="128" spans="2:42">
      <c r="B128" s="1">
        <v>125</v>
      </c>
      <c r="C128" s="1" t="s">
        <v>607</v>
      </c>
      <c r="D128" s="1" t="s">
        <v>860</v>
      </c>
      <c r="E128" s="1" t="s">
        <v>772</v>
      </c>
      <c r="F128" s="1" t="s">
        <v>82</v>
      </c>
      <c r="G128" s="1">
        <v>45</v>
      </c>
      <c r="H128" s="1">
        <v>172</v>
      </c>
      <c r="I128" s="1">
        <v>490</v>
      </c>
      <c r="J128" s="1">
        <v>65</v>
      </c>
      <c r="K128" s="1">
        <v>83</v>
      </c>
      <c r="L128" s="1">
        <v>57</v>
      </c>
      <c r="M128" s="1">
        <v>95</v>
      </c>
      <c r="N128" s="1">
        <v>85</v>
      </c>
      <c r="O128" s="1">
        <v>105</v>
      </c>
      <c r="P128" s="1">
        <v>30</v>
      </c>
      <c r="Q128" s="1">
        <v>466</v>
      </c>
      <c r="R128" s="1" t="s">
        <v>1120</v>
      </c>
      <c r="S128" s="1" t="b">
        <v>1</v>
      </c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P128" s="184"/>
    </row>
    <row r="129" spans="2:42">
      <c r="B129" s="1">
        <v>126</v>
      </c>
      <c r="C129" s="1" t="s">
        <v>606</v>
      </c>
      <c r="D129" s="1" t="s">
        <v>606</v>
      </c>
      <c r="E129" s="1" t="s">
        <v>748</v>
      </c>
      <c r="F129" s="1" t="s">
        <v>82</v>
      </c>
      <c r="G129" s="1">
        <v>45</v>
      </c>
      <c r="H129" s="1">
        <v>173</v>
      </c>
      <c r="I129" s="1">
        <v>495</v>
      </c>
      <c r="J129" s="1">
        <v>65</v>
      </c>
      <c r="K129" s="1">
        <v>95</v>
      </c>
      <c r="L129" s="1">
        <v>57</v>
      </c>
      <c r="M129" s="1">
        <v>100</v>
      </c>
      <c r="N129" s="1">
        <v>85</v>
      </c>
      <c r="O129" s="1">
        <v>93</v>
      </c>
      <c r="P129" s="1">
        <v>30</v>
      </c>
      <c r="Q129" s="1">
        <v>467</v>
      </c>
      <c r="R129" s="1" t="s">
        <v>1121</v>
      </c>
      <c r="S129" s="1" t="b">
        <v>1</v>
      </c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P129" s="184"/>
    </row>
    <row r="130" spans="2:42">
      <c r="B130" s="1">
        <v>127</v>
      </c>
      <c r="C130" s="1" t="s">
        <v>605</v>
      </c>
      <c r="D130" s="1" t="s">
        <v>861</v>
      </c>
      <c r="E130" s="1" t="s">
        <v>758</v>
      </c>
      <c r="F130" s="1" t="s">
        <v>82</v>
      </c>
      <c r="G130" s="1">
        <v>45</v>
      </c>
      <c r="H130" s="1">
        <v>175</v>
      </c>
      <c r="I130" s="1">
        <v>500</v>
      </c>
      <c r="J130" s="1">
        <v>65</v>
      </c>
      <c r="K130" s="1">
        <v>125</v>
      </c>
      <c r="L130" s="1">
        <v>100</v>
      </c>
      <c r="M130" s="1">
        <v>55</v>
      </c>
      <c r="N130" s="1">
        <v>70</v>
      </c>
      <c r="O130" s="1">
        <v>85</v>
      </c>
      <c r="P130" s="1" t="s">
        <v>82</v>
      </c>
      <c r="Q130" s="1" t="s">
        <v>82</v>
      </c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P130" s="184"/>
    </row>
    <row r="131" spans="2:42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45</v>
      </c>
      <c r="H131" s="1">
        <v>172</v>
      </c>
      <c r="I131" s="1">
        <v>490</v>
      </c>
      <c r="J131" s="1">
        <v>75</v>
      </c>
      <c r="K131" s="1">
        <v>100</v>
      </c>
      <c r="L131" s="1">
        <v>95</v>
      </c>
      <c r="M131" s="1">
        <v>40</v>
      </c>
      <c r="N131" s="1">
        <v>70</v>
      </c>
      <c r="O131" s="1">
        <v>110</v>
      </c>
      <c r="P131" s="1" t="s">
        <v>82</v>
      </c>
      <c r="Q131" s="1" t="s">
        <v>82</v>
      </c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P131" s="184"/>
    </row>
    <row r="132" spans="2:42">
      <c r="B132" s="1">
        <v>129</v>
      </c>
      <c r="C132" s="1" t="s">
        <v>603</v>
      </c>
      <c r="D132" s="1" t="s">
        <v>862</v>
      </c>
      <c r="E132" s="1" t="s">
        <v>754</v>
      </c>
      <c r="F132" s="1" t="s">
        <v>82</v>
      </c>
      <c r="G132" s="1">
        <v>255</v>
      </c>
      <c r="H132" s="1">
        <v>40</v>
      </c>
      <c r="I132" s="1">
        <v>200</v>
      </c>
      <c r="J132" s="1">
        <v>20</v>
      </c>
      <c r="K132" s="1">
        <v>10</v>
      </c>
      <c r="L132" s="1">
        <v>55</v>
      </c>
      <c r="M132" s="1">
        <v>15</v>
      </c>
      <c r="N132" s="1">
        <v>20</v>
      </c>
      <c r="O132" s="1">
        <v>80</v>
      </c>
      <c r="P132" s="1">
        <v>20</v>
      </c>
      <c r="Q132" s="1">
        <v>130</v>
      </c>
      <c r="R132" s="1" t="s">
        <v>863</v>
      </c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P132" s="184"/>
    </row>
    <row r="133" spans="2:42">
      <c r="B133" s="1">
        <v>130</v>
      </c>
      <c r="C133" s="1" t="s">
        <v>602</v>
      </c>
      <c r="D133" s="1" t="s">
        <v>863</v>
      </c>
      <c r="E133" s="1" t="s">
        <v>754</v>
      </c>
      <c r="F133" s="1" t="s">
        <v>751</v>
      </c>
      <c r="G133" s="1">
        <v>45</v>
      </c>
      <c r="H133" s="1">
        <v>189</v>
      </c>
      <c r="I133" s="1">
        <v>540</v>
      </c>
      <c r="J133" s="1">
        <v>95</v>
      </c>
      <c r="K133" s="1">
        <v>125</v>
      </c>
      <c r="L133" s="1">
        <v>79</v>
      </c>
      <c r="M133" s="1">
        <v>60</v>
      </c>
      <c r="N133" s="1">
        <v>100</v>
      </c>
      <c r="O133" s="1">
        <v>81</v>
      </c>
      <c r="P133" s="1" t="s">
        <v>82</v>
      </c>
      <c r="Q133" s="1" t="s">
        <v>82</v>
      </c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P133" s="184"/>
    </row>
    <row r="134" spans="2:42">
      <c r="B134" s="1">
        <v>131</v>
      </c>
      <c r="C134" s="1" t="s">
        <v>601</v>
      </c>
      <c r="D134" s="1" t="s">
        <v>865</v>
      </c>
      <c r="E134" s="1" t="s">
        <v>754</v>
      </c>
      <c r="F134" s="1" t="s">
        <v>823</v>
      </c>
      <c r="G134" s="1">
        <v>45</v>
      </c>
      <c r="H134" s="1">
        <v>187</v>
      </c>
      <c r="I134" s="1">
        <v>535</v>
      </c>
      <c r="J134" s="1">
        <v>130</v>
      </c>
      <c r="K134" s="1">
        <v>85</v>
      </c>
      <c r="L134" s="1">
        <v>80</v>
      </c>
      <c r="M134" s="1">
        <v>85</v>
      </c>
      <c r="N134" s="1">
        <v>95</v>
      </c>
      <c r="O134" s="1">
        <v>60</v>
      </c>
      <c r="P134" s="1" t="s">
        <v>82</v>
      </c>
      <c r="Q134" s="1" t="s">
        <v>82</v>
      </c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P134" s="184"/>
    </row>
    <row r="135" spans="2:42">
      <c r="B135" s="1">
        <v>132</v>
      </c>
      <c r="C135" s="1" t="s">
        <v>600</v>
      </c>
      <c r="D135" s="1" t="s">
        <v>866</v>
      </c>
      <c r="E135" s="1" t="s">
        <v>765</v>
      </c>
      <c r="F135" s="1" t="s">
        <v>82</v>
      </c>
      <c r="G135" s="1">
        <v>35</v>
      </c>
      <c r="H135" s="1">
        <v>101</v>
      </c>
      <c r="I135" s="1">
        <v>288</v>
      </c>
      <c r="J135" s="1">
        <v>48</v>
      </c>
      <c r="K135" s="1">
        <v>48</v>
      </c>
      <c r="L135" s="1">
        <v>48</v>
      </c>
      <c r="M135" s="1">
        <v>48</v>
      </c>
      <c r="N135" s="1">
        <v>48</v>
      </c>
      <c r="O135" s="1">
        <v>48</v>
      </c>
      <c r="P135" s="1" t="s">
        <v>82</v>
      </c>
      <c r="Q135" s="1" t="s">
        <v>82</v>
      </c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P135" s="184"/>
    </row>
    <row r="136" spans="2:42">
      <c r="B136" s="1">
        <v>133</v>
      </c>
      <c r="C136" s="1" t="s">
        <v>599</v>
      </c>
      <c r="D136" s="1" t="s">
        <v>867</v>
      </c>
      <c r="E136" s="1" t="s">
        <v>765</v>
      </c>
      <c r="F136" s="1" t="s">
        <v>82</v>
      </c>
      <c r="G136" s="1">
        <v>45</v>
      </c>
      <c r="H136" s="1">
        <v>65</v>
      </c>
      <c r="I136" s="1">
        <v>325</v>
      </c>
      <c r="J136" s="1">
        <v>55</v>
      </c>
      <c r="K136" s="1">
        <v>55</v>
      </c>
      <c r="L136" s="1">
        <v>50</v>
      </c>
      <c r="M136" s="1">
        <v>45</v>
      </c>
      <c r="N136" s="1">
        <v>65</v>
      </c>
      <c r="O136" s="1">
        <v>55</v>
      </c>
      <c r="P136" s="1">
        <v>30</v>
      </c>
      <c r="Q136" s="1">
        <v>135</v>
      </c>
      <c r="R136" s="202" t="s">
        <v>869</v>
      </c>
      <c r="S136" s="1" t="b">
        <v>1</v>
      </c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P136" s="184"/>
    </row>
    <row r="137" spans="2:42">
      <c r="B137" s="1">
        <v>134</v>
      </c>
      <c r="C137" s="1" t="s">
        <v>598</v>
      </c>
      <c r="D137" s="1" t="s">
        <v>868</v>
      </c>
      <c r="E137" s="1" t="s">
        <v>754</v>
      </c>
      <c r="F137" s="1" t="s">
        <v>82</v>
      </c>
      <c r="G137" s="1">
        <v>45</v>
      </c>
      <c r="H137" s="1">
        <v>184</v>
      </c>
      <c r="I137" s="1">
        <v>525</v>
      </c>
      <c r="J137" s="1">
        <v>130</v>
      </c>
      <c r="K137" s="1">
        <v>65</v>
      </c>
      <c r="L137" s="1">
        <v>60</v>
      </c>
      <c r="M137" s="1">
        <v>110</v>
      </c>
      <c r="N137" s="1">
        <v>95</v>
      </c>
      <c r="O137" s="1">
        <v>65</v>
      </c>
      <c r="P137" s="1" t="s">
        <v>82</v>
      </c>
      <c r="Q137" s="1" t="s">
        <v>82</v>
      </c>
      <c r="R137" s="1" t="s">
        <v>82</v>
      </c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P137" s="184"/>
    </row>
    <row r="138" spans="2:42">
      <c r="B138" s="1">
        <v>135</v>
      </c>
      <c r="C138" s="1" t="s">
        <v>597</v>
      </c>
      <c r="D138" s="1" t="s">
        <v>869</v>
      </c>
      <c r="E138" s="1" t="s">
        <v>772</v>
      </c>
      <c r="F138" s="1" t="s">
        <v>82</v>
      </c>
      <c r="G138" s="1">
        <v>45</v>
      </c>
      <c r="H138" s="1">
        <v>184</v>
      </c>
      <c r="I138" s="1">
        <v>525</v>
      </c>
      <c r="J138" s="1">
        <v>65</v>
      </c>
      <c r="K138" s="1">
        <v>65</v>
      </c>
      <c r="L138" s="1">
        <v>60</v>
      </c>
      <c r="M138" s="1">
        <v>110</v>
      </c>
      <c r="N138" s="1">
        <v>95</v>
      </c>
      <c r="O138" s="1">
        <v>130</v>
      </c>
      <c r="P138" s="1" t="s">
        <v>82</v>
      </c>
      <c r="Q138" s="1" t="s">
        <v>82</v>
      </c>
      <c r="R138" s="1" t="s">
        <v>82</v>
      </c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P138" s="184"/>
    </row>
    <row r="139" spans="2:42">
      <c r="B139" s="1">
        <v>136</v>
      </c>
      <c r="C139" s="1" t="s">
        <v>596</v>
      </c>
      <c r="D139" s="1" t="s">
        <v>870</v>
      </c>
      <c r="E139" s="1" t="s">
        <v>748</v>
      </c>
      <c r="F139" s="1" t="s">
        <v>82</v>
      </c>
      <c r="G139" s="1">
        <v>45</v>
      </c>
      <c r="H139" s="1">
        <v>184</v>
      </c>
      <c r="I139" s="1">
        <v>525</v>
      </c>
      <c r="J139" s="1">
        <v>65</v>
      </c>
      <c r="K139" s="1">
        <v>130</v>
      </c>
      <c r="L139" s="1">
        <v>60</v>
      </c>
      <c r="M139" s="1">
        <v>95</v>
      </c>
      <c r="N139" s="1">
        <v>110</v>
      </c>
      <c r="O139" s="1">
        <v>65</v>
      </c>
      <c r="P139" s="1" t="s">
        <v>82</v>
      </c>
      <c r="Q139" s="1" t="s">
        <v>82</v>
      </c>
      <c r="R139" s="1" t="s">
        <v>82</v>
      </c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P139" s="184"/>
    </row>
    <row r="140" spans="2:42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45</v>
      </c>
      <c r="H140" s="1">
        <v>79</v>
      </c>
      <c r="I140" s="1">
        <v>395</v>
      </c>
      <c r="J140" s="1">
        <v>65</v>
      </c>
      <c r="K140" s="1">
        <v>60</v>
      </c>
      <c r="L140" s="1">
        <v>70</v>
      </c>
      <c r="M140" s="1">
        <v>85</v>
      </c>
      <c r="N140" s="1">
        <v>75</v>
      </c>
      <c r="O140" s="1">
        <v>40</v>
      </c>
      <c r="P140" s="1">
        <v>30</v>
      </c>
      <c r="Q140" s="1">
        <v>233</v>
      </c>
      <c r="R140" s="1" t="s">
        <v>499</v>
      </c>
      <c r="S140" s="1" t="b">
        <v>1</v>
      </c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P140" s="184"/>
    </row>
    <row r="141" spans="2:42">
      <c r="B141" s="1">
        <v>138</v>
      </c>
      <c r="C141" s="1" t="s">
        <v>594</v>
      </c>
      <c r="D141" s="1" t="s">
        <v>871</v>
      </c>
      <c r="E141" s="1" t="s">
        <v>811</v>
      </c>
      <c r="F141" s="1" t="s">
        <v>754</v>
      </c>
      <c r="G141" s="1">
        <v>45</v>
      </c>
      <c r="H141" s="1">
        <v>71</v>
      </c>
      <c r="I141" s="1">
        <v>355</v>
      </c>
      <c r="J141" s="1">
        <v>35</v>
      </c>
      <c r="K141" s="1">
        <v>40</v>
      </c>
      <c r="L141" s="1">
        <v>100</v>
      </c>
      <c r="M141" s="1">
        <v>90</v>
      </c>
      <c r="N141" s="1">
        <v>55</v>
      </c>
      <c r="O141" s="1">
        <v>35</v>
      </c>
      <c r="P141" s="1">
        <v>40</v>
      </c>
      <c r="Q141" s="1">
        <v>139</v>
      </c>
      <c r="R141" s="1" t="s">
        <v>872</v>
      </c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P141" s="184"/>
    </row>
    <row r="142" spans="2:42">
      <c r="B142" s="1">
        <v>139</v>
      </c>
      <c r="C142" s="1" t="s">
        <v>593</v>
      </c>
      <c r="D142" s="1" t="s">
        <v>872</v>
      </c>
      <c r="E142" s="1" t="s">
        <v>811</v>
      </c>
      <c r="F142" s="1" t="s">
        <v>754</v>
      </c>
      <c r="G142" s="1">
        <v>45</v>
      </c>
      <c r="H142" s="1">
        <v>173</v>
      </c>
      <c r="I142" s="1">
        <v>495</v>
      </c>
      <c r="J142" s="1">
        <v>70</v>
      </c>
      <c r="K142" s="1">
        <v>60</v>
      </c>
      <c r="L142" s="1">
        <v>125</v>
      </c>
      <c r="M142" s="1">
        <v>115</v>
      </c>
      <c r="N142" s="1">
        <v>70</v>
      </c>
      <c r="O142" s="1">
        <v>55</v>
      </c>
      <c r="P142" s="1" t="s">
        <v>82</v>
      </c>
      <c r="Q142" s="1" t="s">
        <v>82</v>
      </c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P142" s="184"/>
    </row>
    <row r="143" spans="2:42">
      <c r="B143" s="1">
        <v>140</v>
      </c>
      <c r="C143" s="1" t="s">
        <v>592</v>
      </c>
      <c r="D143" s="1" t="s">
        <v>592</v>
      </c>
      <c r="E143" s="1" t="s">
        <v>811</v>
      </c>
      <c r="F143" s="1" t="s">
        <v>754</v>
      </c>
      <c r="G143" s="1">
        <v>45</v>
      </c>
      <c r="H143" s="1">
        <v>71</v>
      </c>
      <c r="I143" s="1">
        <v>355</v>
      </c>
      <c r="J143" s="1">
        <v>30</v>
      </c>
      <c r="K143" s="1">
        <v>80</v>
      </c>
      <c r="L143" s="1">
        <v>90</v>
      </c>
      <c r="M143" s="1">
        <v>55</v>
      </c>
      <c r="N143" s="1">
        <v>45</v>
      </c>
      <c r="O143" s="1">
        <v>55</v>
      </c>
      <c r="P143" s="1">
        <v>40</v>
      </c>
      <c r="Q143" s="1">
        <v>141</v>
      </c>
      <c r="R143" s="1" t="s">
        <v>591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P143" s="184"/>
    </row>
    <row r="144" spans="2:42">
      <c r="B144" s="1">
        <v>141</v>
      </c>
      <c r="C144" s="1" t="s">
        <v>591</v>
      </c>
      <c r="D144" s="1" t="s">
        <v>591</v>
      </c>
      <c r="E144" s="1" t="s">
        <v>811</v>
      </c>
      <c r="F144" s="1" t="s">
        <v>754</v>
      </c>
      <c r="G144" s="1">
        <v>45</v>
      </c>
      <c r="H144" s="1">
        <v>173</v>
      </c>
      <c r="I144" s="1">
        <v>495</v>
      </c>
      <c r="J144" s="1">
        <v>60</v>
      </c>
      <c r="K144" s="1">
        <v>115</v>
      </c>
      <c r="L144" s="1">
        <v>105</v>
      </c>
      <c r="M144" s="1">
        <v>65</v>
      </c>
      <c r="N144" s="1">
        <v>70</v>
      </c>
      <c r="O144" s="1">
        <v>80</v>
      </c>
      <c r="P144" s="1" t="s">
        <v>82</v>
      </c>
      <c r="Q144" s="1" t="s">
        <v>82</v>
      </c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P144" s="184"/>
    </row>
    <row r="145" spans="2:42">
      <c r="B145" s="1">
        <v>142</v>
      </c>
      <c r="C145" s="1" t="s">
        <v>590</v>
      </c>
      <c r="D145" s="1" t="s">
        <v>873</v>
      </c>
      <c r="E145" s="1" t="s">
        <v>811</v>
      </c>
      <c r="F145" s="1" t="s">
        <v>751</v>
      </c>
      <c r="G145" s="1">
        <v>45</v>
      </c>
      <c r="H145" s="1">
        <v>180</v>
      </c>
      <c r="I145" s="1">
        <v>515</v>
      </c>
      <c r="J145" s="1">
        <v>80</v>
      </c>
      <c r="K145" s="1">
        <v>105</v>
      </c>
      <c r="L145" s="1">
        <v>65</v>
      </c>
      <c r="M145" s="1">
        <v>60</v>
      </c>
      <c r="N145" s="1">
        <v>75</v>
      </c>
      <c r="O145" s="1">
        <v>130</v>
      </c>
      <c r="P145" s="1" t="s">
        <v>82</v>
      </c>
      <c r="Q145" s="1" t="s">
        <v>82</v>
      </c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P145" s="184"/>
    </row>
    <row r="146" spans="2:42">
      <c r="B146" s="1">
        <v>143</v>
      </c>
      <c r="C146" s="1" t="s">
        <v>589</v>
      </c>
      <c r="D146" s="1" t="s">
        <v>874</v>
      </c>
      <c r="E146" s="1" t="s">
        <v>765</v>
      </c>
      <c r="F146" s="1" t="s">
        <v>82</v>
      </c>
      <c r="G146" s="1">
        <v>25</v>
      </c>
      <c r="H146" s="1">
        <v>189</v>
      </c>
      <c r="I146" s="1">
        <v>540</v>
      </c>
      <c r="J146" s="1">
        <v>160</v>
      </c>
      <c r="K146" s="1">
        <v>110</v>
      </c>
      <c r="L146" s="1">
        <v>65</v>
      </c>
      <c r="M146" s="1">
        <v>65</v>
      </c>
      <c r="N146" s="1">
        <v>110</v>
      </c>
      <c r="O146" s="1">
        <v>30</v>
      </c>
      <c r="P146" s="1" t="s">
        <v>82</v>
      </c>
      <c r="Q146" s="1" t="s">
        <v>82</v>
      </c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P146" s="184"/>
    </row>
    <row r="147" spans="2:42">
      <c r="B147" s="1">
        <v>144</v>
      </c>
      <c r="C147" s="1" t="s">
        <v>588</v>
      </c>
      <c r="D147" s="1" t="s">
        <v>875</v>
      </c>
      <c r="E147" s="1" t="s">
        <v>823</v>
      </c>
      <c r="F147" s="1" t="s">
        <v>751</v>
      </c>
      <c r="G147" s="1">
        <v>3</v>
      </c>
      <c r="H147" s="1">
        <v>261</v>
      </c>
      <c r="I147" s="1">
        <v>580</v>
      </c>
      <c r="J147" s="1">
        <v>90</v>
      </c>
      <c r="K147" s="1">
        <v>85</v>
      </c>
      <c r="L147" s="1">
        <v>100</v>
      </c>
      <c r="M147" s="1">
        <v>95</v>
      </c>
      <c r="N147" s="1">
        <v>125</v>
      </c>
      <c r="O147" s="1">
        <v>85</v>
      </c>
      <c r="P147" s="1" t="s">
        <v>82</v>
      </c>
      <c r="Q147" s="1" t="s">
        <v>82</v>
      </c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P147" s="184"/>
    </row>
    <row r="148" spans="2:42">
      <c r="B148" s="1">
        <v>145</v>
      </c>
      <c r="C148" s="1" t="s">
        <v>587</v>
      </c>
      <c r="D148" s="1" t="s">
        <v>876</v>
      </c>
      <c r="E148" s="1" t="s">
        <v>772</v>
      </c>
      <c r="F148" s="1" t="s">
        <v>751</v>
      </c>
      <c r="G148" s="1">
        <v>3</v>
      </c>
      <c r="H148" s="1">
        <v>261</v>
      </c>
      <c r="I148" s="1">
        <v>580</v>
      </c>
      <c r="J148" s="1">
        <v>90</v>
      </c>
      <c r="K148" s="1">
        <v>90</v>
      </c>
      <c r="L148" s="1">
        <v>85</v>
      </c>
      <c r="M148" s="1">
        <v>125</v>
      </c>
      <c r="N148" s="1">
        <v>90</v>
      </c>
      <c r="O148" s="1">
        <v>100</v>
      </c>
      <c r="P148" s="1" t="s">
        <v>82</v>
      </c>
      <c r="Q148" s="1" t="s">
        <v>82</v>
      </c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P148" s="184"/>
    </row>
    <row r="149" spans="2:42">
      <c r="B149" s="1">
        <v>146</v>
      </c>
      <c r="C149" s="1" t="s">
        <v>586</v>
      </c>
      <c r="D149" s="1" t="s">
        <v>877</v>
      </c>
      <c r="E149" s="1" t="s">
        <v>748</v>
      </c>
      <c r="F149" s="1" t="s">
        <v>751</v>
      </c>
      <c r="G149" s="1">
        <v>3</v>
      </c>
      <c r="H149" s="1">
        <v>261</v>
      </c>
      <c r="I149" s="1">
        <v>580</v>
      </c>
      <c r="J149" s="1">
        <v>90</v>
      </c>
      <c r="K149" s="1">
        <v>100</v>
      </c>
      <c r="L149" s="1">
        <v>90</v>
      </c>
      <c r="M149" s="1">
        <v>125</v>
      </c>
      <c r="N149" s="1">
        <v>85</v>
      </c>
      <c r="O149" s="1">
        <v>90</v>
      </c>
      <c r="P149" s="1" t="s">
        <v>82</v>
      </c>
      <c r="Q149" s="1" t="s">
        <v>82</v>
      </c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P149" s="184"/>
    </row>
    <row r="150" spans="2:42">
      <c r="B150" s="1">
        <v>147</v>
      </c>
      <c r="C150" s="1" t="s">
        <v>585</v>
      </c>
      <c r="D150" s="1" t="s">
        <v>878</v>
      </c>
      <c r="E150" s="1" t="s">
        <v>752</v>
      </c>
      <c r="F150" s="1" t="s">
        <v>82</v>
      </c>
      <c r="G150" s="1">
        <v>45</v>
      </c>
      <c r="H150" s="1">
        <v>60</v>
      </c>
      <c r="I150" s="1">
        <v>300</v>
      </c>
      <c r="J150" s="1">
        <v>41</v>
      </c>
      <c r="K150" s="1">
        <v>64</v>
      </c>
      <c r="L150" s="1">
        <v>45</v>
      </c>
      <c r="M150" s="1">
        <v>50</v>
      </c>
      <c r="N150" s="1">
        <v>50</v>
      </c>
      <c r="O150" s="1">
        <v>50</v>
      </c>
      <c r="P150" s="1">
        <v>30</v>
      </c>
      <c r="Q150" s="1">
        <v>148</v>
      </c>
      <c r="R150" s="1" t="s">
        <v>879</v>
      </c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P150" s="184"/>
    </row>
    <row r="151" spans="2:42">
      <c r="B151" s="1">
        <v>148</v>
      </c>
      <c r="C151" s="1" t="s">
        <v>584</v>
      </c>
      <c r="D151" s="1" t="s">
        <v>879</v>
      </c>
      <c r="E151" s="1" t="s">
        <v>752</v>
      </c>
      <c r="F151" s="1" t="s">
        <v>82</v>
      </c>
      <c r="G151" s="1">
        <v>45</v>
      </c>
      <c r="H151" s="1">
        <v>147</v>
      </c>
      <c r="I151" s="1">
        <v>420</v>
      </c>
      <c r="J151" s="1">
        <v>61</v>
      </c>
      <c r="K151" s="1">
        <v>84</v>
      </c>
      <c r="L151" s="1">
        <v>65</v>
      </c>
      <c r="M151" s="1">
        <v>70</v>
      </c>
      <c r="N151" s="1">
        <v>70</v>
      </c>
      <c r="O151" s="1">
        <v>70</v>
      </c>
      <c r="P151" s="1">
        <v>55</v>
      </c>
      <c r="Q151" s="1">
        <v>149</v>
      </c>
      <c r="R151" s="1" t="s">
        <v>880</v>
      </c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P151" s="184"/>
    </row>
    <row r="152" spans="2:42">
      <c r="B152" s="1">
        <v>149</v>
      </c>
      <c r="C152" s="1" t="s">
        <v>583</v>
      </c>
      <c r="D152" s="1" t="s">
        <v>880</v>
      </c>
      <c r="E152" s="1" t="s">
        <v>752</v>
      </c>
      <c r="F152" s="1" t="s">
        <v>751</v>
      </c>
      <c r="G152" s="1">
        <v>45</v>
      </c>
      <c r="H152" s="1">
        <v>270</v>
      </c>
      <c r="I152" s="1">
        <v>600</v>
      </c>
      <c r="J152" s="1">
        <v>91</v>
      </c>
      <c r="K152" s="1">
        <v>134</v>
      </c>
      <c r="L152" s="1">
        <v>95</v>
      </c>
      <c r="M152" s="1">
        <v>100</v>
      </c>
      <c r="N152" s="1">
        <v>100</v>
      </c>
      <c r="O152" s="1">
        <v>80</v>
      </c>
      <c r="P152" s="1" t="s">
        <v>82</v>
      </c>
      <c r="Q152" s="1" t="s">
        <v>82</v>
      </c>
      <c r="R152" s="1" t="s">
        <v>82</v>
      </c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P152" s="184"/>
    </row>
    <row r="153" spans="2:42">
      <c r="B153" s="1">
        <v>150</v>
      </c>
      <c r="C153" s="1" t="s">
        <v>582</v>
      </c>
      <c r="D153" s="1" t="s">
        <v>582</v>
      </c>
      <c r="E153" s="1" t="s">
        <v>803</v>
      </c>
      <c r="F153" s="1" t="s">
        <v>82</v>
      </c>
      <c r="G153" s="1">
        <v>3</v>
      </c>
      <c r="H153" s="1">
        <v>306</v>
      </c>
      <c r="I153" s="1">
        <v>680</v>
      </c>
      <c r="J153" s="1">
        <v>106</v>
      </c>
      <c r="K153" s="1">
        <v>110</v>
      </c>
      <c r="L153" s="1">
        <v>90</v>
      </c>
      <c r="M153" s="1">
        <v>154</v>
      </c>
      <c r="N153" s="1">
        <v>90</v>
      </c>
      <c r="O153" s="1">
        <v>130</v>
      </c>
      <c r="P153" s="1" t="s">
        <v>82</v>
      </c>
      <c r="Q153" s="1" t="s">
        <v>82</v>
      </c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P153" s="184"/>
    </row>
    <row r="154" spans="2:42">
      <c r="B154" s="1">
        <v>151</v>
      </c>
      <c r="C154" s="1" t="s">
        <v>581</v>
      </c>
      <c r="D154" s="1" t="s">
        <v>581</v>
      </c>
      <c r="E154" s="1" t="s">
        <v>803</v>
      </c>
      <c r="F154" s="1" t="s">
        <v>82</v>
      </c>
      <c r="G154" s="1">
        <v>45</v>
      </c>
      <c r="H154" s="1">
        <v>270</v>
      </c>
      <c r="I154" s="1">
        <v>600</v>
      </c>
      <c r="J154" s="1">
        <v>100</v>
      </c>
      <c r="K154" s="1">
        <v>100</v>
      </c>
      <c r="L154" s="1">
        <v>100</v>
      </c>
      <c r="M154" s="1">
        <v>100</v>
      </c>
      <c r="N154" s="1">
        <v>100</v>
      </c>
      <c r="O154" s="1">
        <v>100</v>
      </c>
      <c r="P154" s="1" t="s">
        <v>82</v>
      </c>
      <c r="Q154" s="1" t="s">
        <v>82</v>
      </c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P154" s="184"/>
    </row>
    <row r="155" spans="2:42">
      <c r="B155" s="1">
        <v>152</v>
      </c>
      <c r="C155" s="1" t="s">
        <v>580</v>
      </c>
      <c r="D155" s="1" t="s">
        <v>881</v>
      </c>
      <c r="E155" s="1" t="s">
        <v>743</v>
      </c>
      <c r="F155" s="1" t="s">
        <v>82</v>
      </c>
      <c r="G155" s="1">
        <v>45</v>
      </c>
      <c r="H155" s="1">
        <v>64</v>
      </c>
      <c r="I155" s="1">
        <v>318</v>
      </c>
      <c r="J155" s="1">
        <v>45</v>
      </c>
      <c r="K155" s="1">
        <v>49</v>
      </c>
      <c r="L155" s="1">
        <v>65</v>
      </c>
      <c r="M155" s="1">
        <v>49</v>
      </c>
      <c r="N155" s="1">
        <v>65</v>
      </c>
      <c r="O155" s="1">
        <v>45</v>
      </c>
      <c r="P155" s="1">
        <v>16</v>
      </c>
      <c r="Q155" s="1">
        <v>153</v>
      </c>
      <c r="R155" s="1" t="s">
        <v>882</v>
      </c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P155" s="184"/>
    </row>
    <row r="156" spans="2:42">
      <c r="B156" s="1">
        <v>153</v>
      </c>
      <c r="C156" s="1" t="s">
        <v>579</v>
      </c>
      <c r="D156" s="1" t="s">
        <v>882</v>
      </c>
      <c r="E156" s="1" t="s">
        <v>743</v>
      </c>
      <c r="F156" s="1" t="s">
        <v>82</v>
      </c>
      <c r="G156" s="1">
        <v>45</v>
      </c>
      <c r="H156" s="1">
        <v>142</v>
      </c>
      <c r="I156" s="1">
        <v>405</v>
      </c>
      <c r="J156" s="1">
        <v>60</v>
      </c>
      <c r="K156" s="1">
        <v>62</v>
      </c>
      <c r="L156" s="1">
        <v>80</v>
      </c>
      <c r="M156" s="1">
        <v>63</v>
      </c>
      <c r="N156" s="1">
        <v>80</v>
      </c>
      <c r="O156" s="1">
        <v>60</v>
      </c>
      <c r="P156" s="1">
        <v>32</v>
      </c>
      <c r="Q156" s="1">
        <v>154</v>
      </c>
      <c r="R156" s="1" t="s">
        <v>883</v>
      </c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P156" s="184"/>
    </row>
    <row r="157" spans="2:42">
      <c r="B157" s="1">
        <v>154</v>
      </c>
      <c r="C157" s="1" t="s">
        <v>578</v>
      </c>
      <c r="D157" s="1" t="s">
        <v>883</v>
      </c>
      <c r="E157" s="1" t="s">
        <v>743</v>
      </c>
      <c r="F157" s="1" t="s">
        <v>82</v>
      </c>
      <c r="G157" s="1">
        <v>45</v>
      </c>
      <c r="H157" s="1">
        <v>236</v>
      </c>
      <c r="I157" s="1">
        <v>525</v>
      </c>
      <c r="J157" s="1">
        <v>80</v>
      </c>
      <c r="K157" s="1">
        <v>82</v>
      </c>
      <c r="L157" s="1">
        <v>100</v>
      </c>
      <c r="M157" s="1">
        <v>83</v>
      </c>
      <c r="N157" s="1">
        <v>100</v>
      </c>
      <c r="O157" s="1">
        <v>80</v>
      </c>
      <c r="P157" s="1" t="s">
        <v>82</v>
      </c>
      <c r="Q157" s="1" t="s">
        <v>82</v>
      </c>
      <c r="R157" s="1" t="s">
        <v>82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P157" s="184"/>
    </row>
    <row r="158" spans="2:42">
      <c r="B158" s="1">
        <v>155</v>
      </c>
      <c r="C158" s="1" t="s">
        <v>577</v>
      </c>
      <c r="D158" s="1" t="s">
        <v>884</v>
      </c>
      <c r="E158" s="1" t="s">
        <v>748</v>
      </c>
      <c r="F158" s="1" t="s">
        <v>82</v>
      </c>
      <c r="G158" s="1">
        <v>45</v>
      </c>
      <c r="H158" s="1">
        <v>62</v>
      </c>
      <c r="I158" s="1">
        <v>309</v>
      </c>
      <c r="J158" s="1">
        <v>39</v>
      </c>
      <c r="K158" s="1">
        <v>52</v>
      </c>
      <c r="L158" s="1">
        <v>43</v>
      </c>
      <c r="M158" s="1">
        <v>60</v>
      </c>
      <c r="N158" s="1">
        <v>50</v>
      </c>
      <c r="O158" s="1">
        <v>65</v>
      </c>
      <c r="P158" s="1">
        <v>14</v>
      </c>
      <c r="Q158" s="1">
        <v>156</v>
      </c>
      <c r="R158" s="1" t="s">
        <v>885</v>
      </c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P158" s="184"/>
    </row>
    <row r="159" spans="2:42">
      <c r="B159" s="1">
        <v>156</v>
      </c>
      <c r="C159" s="1" t="s">
        <v>576</v>
      </c>
      <c r="D159" s="1" t="s">
        <v>885</v>
      </c>
      <c r="E159" s="1" t="s">
        <v>748</v>
      </c>
      <c r="F159" s="1" t="s">
        <v>82</v>
      </c>
      <c r="G159" s="1">
        <v>45</v>
      </c>
      <c r="H159" s="1">
        <v>142</v>
      </c>
      <c r="I159" s="1">
        <v>405</v>
      </c>
      <c r="J159" s="1">
        <v>58</v>
      </c>
      <c r="K159" s="1">
        <v>64</v>
      </c>
      <c r="L159" s="1">
        <v>58</v>
      </c>
      <c r="M159" s="1">
        <v>80</v>
      </c>
      <c r="N159" s="1">
        <v>65</v>
      </c>
      <c r="O159" s="1">
        <v>80</v>
      </c>
      <c r="P159" s="1">
        <v>36</v>
      </c>
      <c r="Q159" s="1">
        <v>157</v>
      </c>
      <c r="R159" s="1" t="s">
        <v>575</v>
      </c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P159" s="184"/>
    </row>
    <row r="160" spans="2:42">
      <c r="B160" s="1">
        <v>157</v>
      </c>
      <c r="C160" s="1" t="s">
        <v>575</v>
      </c>
      <c r="D160" s="1" t="s">
        <v>575</v>
      </c>
      <c r="E160" s="1" t="s">
        <v>748</v>
      </c>
      <c r="F160" s="1" t="s">
        <v>82</v>
      </c>
      <c r="G160" s="1">
        <v>45</v>
      </c>
      <c r="H160" s="1">
        <v>240</v>
      </c>
      <c r="I160" s="1">
        <v>534</v>
      </c>
      <c r="J160" s="1">
        <v>78</v>
      </c>
      <c r="K160" s="1">
        <v>84</v>
      </c>
      <c r="L160" s="1">
        <v>78</v>
      </c>
      <c r="M160" s="1">
        <v>109</v>
      </c>
      <c r="N160" s="1">
        <v>85</v>
      </c>
      <c r="O160" s="1">
        <v>100</v>
      </c>
      <c r="P160" s="1" t="s">
        <v>82</v>
      </c>
      <c r="Q160" s="1" t="s">
        <v>82</v>
      </c>
      <c r="R160" s="1" t="s">
        <v>82</v>
      </c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P160" s="184"/>
    </row>
    <row r="161" spans="2:42">
      <c r="B161" s="1">
        <v>158</v>
      </c>
      <c r="C161" s="1" t="s">
        <v>574</v>
      </c>
      <c r="D161" s="1" t="s">
        <v>886</v>
      </c>
      <c r="E161" s="1" t="s">
        <v>754</v>
      </c>
      <c r="F161" s="1" t="s">
        <v>82</v>
      </c>
      <c r="G161" s="1">
        <v>45</v>
      </c>
      <c r="H161" s="1">
        <v>63</v>
      </c>
      <c r="I161" s="1">
        <v>314</v>
      </c>
      <c r="J161" s="1">
        <v>50</v>
      </c>
      <c r="K161" s="1">
        <v>65</v>
      </c>
      <c r="L161" s="1">
        <v>64</v>
      </c>
      <c r="M161" s="1">
        <v>44</v>
      </c>
      <c r="N161" s="1">
        <v>48</v>
      </c>
      <c r="O161" s="1">
        <v>43</v>
      </c>
      <c r="P161" s="1">
        <v>18</v>
      </c>
      <c r="Q161" s="1">
        <v>159</v>
      </c>
      <c r="R161" s="1" t="s">
        <v>887</v>
      </c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P161" s="184"/>
    </row>
    <row r="162" spans="2:42">
      <c r="B162" s="1">
        <v>159</v>
      </c>
      <c r="C162" s="1" t="s">
        <v>573</v>
      </c>
      <c r="D162" s="1" t="s">
        <v>887</v>
      </c>
      <c r="E162" s="1" t="s">
        <v>754</v>
      </c>
      <c r="F162" s="1" t="s">
        <v>82</v>
      </c>
      <c r="G162" s="1">
        <v>45</v>
      </c>
      <c r="H162" s="1">
        <v>142</v>
      </c>
      <c r="I162" s="1">
        <v>405</v>
      </c>
      <c r="J162" s="1">
        <v>65</v>
      </c>
      <c r="K162" s="1">
        <v>80</v>
      </c>
      <c r="L162" s="1">
        <v>80</v>
      </c>
      <c r="M162" s="1">
        <v>59</v>
      </c>
      <c r="N162" s="1">
        <v>63</v>
      </c>
      <c r="O162" s="1">
        <v>58</v>
      </c>
      <c r="P162" s="1">
        <v>30</v>
      </c>
      <c r="Q162" s="1">
        <v>160</v>
      </c>
      <c r="R162" s="1" t="s">
        <v>888</v>
      </c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P162" s="184"/>
    </row>
    <row r="163" spans="2:42">
      <c r="B163" s="1">
        <v>160</v>
      </c>
      <c r="C163" s="1" t="s">
        <v>572</v>
      </c>
      <c r="D163" s="1" t="s">
        <v>888</v>
      </c>
      <c r="E163" s="1" t="s">
        <v>754</v>
      </c>
      <c r="F163" s="1" t="s">
        <v>82</v>
      </c>
      <c r="G163" s="1">
        <v>45</v>
      </c>
      <c r="H163" s="1">
        <v>239</v>
      </c>
      <c r="I163" s="1">
        <v>530</v>
      </c>
      <c r="J163" s="1">
        <v>85</v>
      </c>
      <c r="K163" s="1">
        <v>105</v>
      </c>
      <c r="L163" s="1">
        <v>100</v>
      </c>
      <c r="M163" s="1">
        <v>79</v>
      </c>
      <c r="N163" s="1">
        <v>83</v>
      </c>
      <c r="O163" s="1">
        <v>78</v>
      </c>
      <c r="P163" s="1" t="s">
        <v>82</v>
      </c>
      <c r="Q163" s="1" t="s">
        <v>82</v>
      </c>
      <c r="R163" s="1" t="s">
        <v>82</v>
      </c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P163" s="184"/>
    </row>
    <row r="164" spans="2:42">
      <c r="B164" s="1">
        <v>161</v>
      </c>
      <c r="C164" s="1" t="s">
        <v>571</v>
      </c>
      <c r="D164" s="1" t="s">
        <v>889</v>
      </c>
      <c r="E164" s="1" t="s">
        <v>765</v>
      </c>
      <c r="F164" s="1" t="s">
        <v>82</v>
      </c>
      <c r="G164" s="1">
        <v>255</v>
      </c>
      <c r="H164" s="1">
        <v>43</v>
      </c>
      <c r="I164" s="1">
        <v>215</v>
      </c>
      <c r="J164" s="1">
        <v>35</v>
      </c>
      <c r="K164" s="1">
        <v>46</v>
      </c>
      <c r="L164" s="1">
        <v>34</v>
      </c>
      <c r="M164" s="1">
        <v>35</v>
      </c>
      <c r="N164" s="1">
        <v>45</v>
      </c>
      <c r="O164" s="1">
        <v>20</v>
      </c>
      <c r="P164" s="1">
        <v>15</v>
      </c>
      <c r="Q164" s="1">
        <v>162</v>
      </c>
      <c r="R164" s="1" t="s">
        <v>890</v>
      </c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P164" s="184"/>
    </row>
    <row r="165" spans="2:42">
      <c r="B165" s="1">
        <v>162</v>
      </c>
      <c r="C165" s="1" t="s">
        <v>570</v>
      </c>
      <c r="D165" s="1" t="s">
        <v>890</v>
      </c>
      <c r="E165" s="1" t="s">
        <v>765</v>
      </c>
      <c r="F165" s="1" t="s">
        <v>82</v>
      </c>
      <c r="G165" s="1">
        <v>90</v>
      </c>
      <c r="H165" s="1">
        <v>145</v>
      </c>
      <c r="I165" s="1">
        <v>415</v>
      </c>
      <c r="J165" s="1">
        <v>85</v>
      </c>
      <c r="K165" s="1">
        <v>76</v>
      </c>
      <c r="L165" s="1">
        <v>64</v>
      </c>
      <c r="M165" s="1">
        <v>45</v>
      </c>
      <c r="N165" s="1">
        <v>55</v>
      </c>
      <c r="O165" s="1">
        <v>90</v>
      </c>
      <c r="P165" s="1" t="s">
        <v>82</v>
      </c>
      <c r="Q165" s="1" t="s">
        <v>82</v>
      </c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P165" s="184"/>
    </row>
    <row r="166" spans="2:42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751</v>
      </c>
      <c r="G166" s="1">
        <v>255</v>
      </c>
      <c r="H166" s="1">
        <v>52</v>
      </c>
      <c r="I166" s="1">
        <v>262</v>
      </c>
      <c r="J166" s="1">
        <v>60</v>
      </c>
      <c r="K166" s="1">
        <v>30</v>
      </c>
      <c r="L166" s="1">
        <v>30</v>
      </c>
      <c r="M166" s="1">
        <v>36</v>
      </c>
      <c r="N166" s="1">
        <v>56</v>
      </c>
      <c r="O166" s="1">
        <v>50</v>
      </c>
      <c r="P166" s="1">
        <v>20</v>
      </c>
      <c r="Q166" s="1">
        <v>164</v>
      </c>
      <c r="R166" s="1" t="s">
        <v>891</v>
      </c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P166" s="184"/>
    </row>
    <row r="167" spans="2:42">
      <c r="B167" s="1">
        <v>164</v>
      </c>
      <c r="C167" s="1" t="s">
        <v>568</v>
      </c>
      <c r="D167" s="1" t="s">
        <v>891</v>
      </c>
      <c r="E167" s="1" t="s">
        <v>765</v>
      </c>
      <c r="F167" s="1" t="s">
        <v>751</v>
      </c>
      <c r="G167" s="1">
        <v>90</v>
      </c>
      <c r="H167" s="1">
        <v>158</v>
      </c>
      <c r="I167" s="1">
        <v>442</v>
      </c>
      <c r="J167" s="1">
        <v>100</v>
      </c>
      <c r="K167" s="1">
        <v>50</v>
      </c>
      <c r="L167" s="1">
        <v>50</v>
      </c>
      <c r="M167" s="1">
        <v>76</v>
      </c>
      <c r="N167" s="1">
        <v>96</v>
      </c>
      <c r="O167" s="1">
        <v>70</v>
      </c>
      <c r="P167" s="1" t="s">
        <v>82</v>
      </c>
      <c r="Q167" s="1" t="s">
        <v>82</v>
      </c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P167" s="184"/>
    </row>
    <row r="168" spans="2:42">
      <c r="B168" s="1">
        <v>165</v>
      </c>
      <c r="C168" s="1" t="s">
        <v>567</v>
      </c>
      <c r="D168" s="1" t="s">
        <v>892</v>
      </c>
      <c r="E168" s="1" t="s">
        <v>758</v>
      </c>
      <c r="F168" s="1" t="s">
        <v>751</v>
      </c>
      <c r="G168" s="1">
        <v>255</v>
      </c>
      <c r="H168" s="1">
        <v>53</v>
      </c>
      <c r="I168" s="1">
        <v>265</v>
      </c>
      <c r="J168" s="1">
        <v>40</v>
      </c>
      <c r="K168" s="1">
        <v>20</v>
      </c>
      <c r="L168" s="1">
        <v>30</v>
      </c>
      <c r="M168" s="1">
        <v>40</v>
      </c>
      <c r="N168" s="1">
        <v>80</v>
      </c>
      <c r="O168" s="1">
        <v>55</v>
      </c>
      <c r="P168" s="1">
        <v>18</v>
      </c>
      <c r="Q168" s="1">
        <v>166</v>
      </c>
      <c r="R168" s="1" t="s">
        <v>893</v>
      </c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P168" s="184"/>
    </row>
    <row r="169" spans="2:42">
      <c r="B169" s="1">
        <v>166</v>
      </c>
      <c r="C169" s="1" t="s">
        <v>566</v>
      </c>
      <c r="D169" s="1" t="s">
        <v>893</v>
      </c>
      <c r="E169" s="1" t="s">
        <v>758</v>
      </c>
      <c r="F169" s="1" t="s">
        <v>751</v>
      </c>
      <c r="G169" s="1">
        <v>90</v>
      </c>
      <c r="H169" s="1">
        <v>137</v>
      </c>
      <c r="I169" s="1">
        <v>390</v>
      </c>
      <c r="J169" s="1">
        <v>55</v>
      </c>
      <c r="K169" s="1">
        <v>35</v>
      </c>
      <c r="L169" s="1">
        <v>50</v>
      </c>
      <c r="M169" s="1">
        <v>55</v>
      </c>
      <c r="N169" s="1">
        <v>110</v>
      </c>
      <c r="O169" s="1">
        <v>85</v>
      </c>
      <c r="P169" s="1" t="s">
        <v>82</v>
      </c>
      <c r="Q169" s="1" t="s">
        <v>82</v>
      </c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P169" s="184"/>
    </row>
    <row r="170" spans="2:42">
      <c r="B170" s="1">
        <v>167</v>
      </c>
      <c r="C170" s="1" t="s">
        <v>565</v>
      </c>
      <c r="D170" s="1" t="s">
        <v>894</v>
      </c>
      <c r="E170" s="1" t="s">
        <v>758</v>
      </c>
      <c r="F170" s="1" t="s">
        <v>744</v>
      </c>
      <c r="G170" s="1">
        <v>255</v>
      </c>
      <c r="H170" s="1">
        <v>50</v>
      </c>
      <c r="I170" s="1">
        <v>250</v>
      </c>
      <c r="J170" s="1">
        <v>40</v>
      </c>
      <c r="K170" s="1">
        <v>60</v>
      </c>
      <c r="L170" s="1">
        <v>40</v>
      </c>
      <c r="M170" s="1">
        <v>40</v>
      </c>
      <c r="N170" s="1">
        <v>40</v>
      </c>
      <c r="O170" s="1">
        <v>30</v>
      </c>
      <c r="P170" s="1">
        <v>22</v>
      </c>
      <c r="Q170" s="1">
        <v>168</v>
      </c>
      <c r="R170" s="1" t="s">
        <v>895</v>
      </c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P170" s="184"/>
    </row>
    <row r="171" spans="2:42">
      <c r="B171" s="1">
        <v>168</v>
      </c>
      <c r="C171" s="1" t="s">
        <v>564</v>
      </c>
      <c r="D171" s="1" t="s">
        <v>895</v>
      </c>
      <c r="E171" s="1" t="s">
        <v>758</v>
      </c>
      <c r="F171" s="1" t="s">
        <v>744</v>
      </c>
      <c r="G171" s="1">
        <v>90</v>
      </c>
      <c r="H171" s="1">
        <v>140</v>
      </c>
      <c r="I171" s="1">
        <v>390</v>
      </c>
      <c r="J171" s="1">
        <v>70</v>
      </c>
      <c r="K171" s="1">
        <v>90</v>
      </c>
      <c r="L171" s="1">
        <v>70</v>
      </c>
      <c r="M171" s="1">
        <v>60</v>
      </c>
      <c r="N171" s="1">
        <v>60</v>
      </c>
      <c r="O171" s="1">
        <v>40</v>
      </c>
      <c r="P171" s="1" t="s">
        <v>82</v>
      </c>
      <c r="Q171" s="1" t="s">
        <v>82</v>
      </c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P171" s="184"/>
    </row>
    <row r="172" spans="2:42">
      <c r="B172" s="1">
        <v>169</v>
      </c>
      <c r="C172" s="1" t="s">
        <v>563</v>
      </c>
      <c r="D172" s="1" t="s">
        <v>896</v>
      </c>
      <c r="E172" s="1" t="s">
        <v>744</v>
      </c>
      <c r="F172" s="1" t="s">
        <v>751</v>
      </c>
      <c r="G172" s="1">
        <v>90</v>
      </c>
      <c r="H172" s="1">
        <v>241</v>
      </c>
      <c r="I172" s="1">
        <v>535</v>
      </c>
      <c r="J172" s="1">
        <v>85</v>
      </c>
      <c r="K172" s="1">
        <v>90</v>
      </c>
      <c r="L172" s="1">
        <v>80</v>
      </c>
      <c r="M172" s="1">
        <v>70</v>
      </c>
      <c r="N172" s="1">
        <v>80</v>
      </c>
      <c r="O172" s="1">
        <v>130</v>
      </c>
      <c r="P172" s="1" t="s">
        <v>82</v>
      </c>
      <c r="Q172" s="1" t="s">
        <v>82</v>
      </c>
      <c r="R172" s="1" t="s">
        <v>82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P172" s="184"/>
    </row>
    <row r="173" spans="2:42">
      <c r="B173" s="1">
        <v>170</v>
      </c>
      <c r="C173" s="1" t="s">
        <v>562</v>
      </c>
      <c r="D173" s="1" t="s">
        <v>897</v>
      </c>
      <c r="E173" s="1" t="s">
        <v>754</v>
      </c>
      <c r="F173" s="1" t="s">
        <v>772</v>
      </c>
      <c r="G173" s="1">
        <v>190</v>
      </c>
      <c r="H173" s="1">
        <v>66</v>
      </c>
      <c r="I173" s="1">
        <v>330</v>
      </c>
      <c r="J173" s="1">
        <v>75</v>
      </c>
      <c r="K173" s="1">
        <v>38</v>
      </c>
      <c r="L173" s="1">
        <v>38</v>
      </c>
      <c r="M173" s="1">
        <v>56</v>
      </c>
      <c r="N173" s="1">
        <v>56</v>
      </c>
      <c r="O173" s="1">
        <v>67</v>
      </c>
      <c r="P173" s="1">
        <v>27</v>
      </c>
      <c r="Q173" s="1">
        <v>171</v>
      </c>
      <c r="R173" s="1" t="s">
        <v>561</v>
      </c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P173" s="184"/>
    </row>
    <row r="174" spans="2:42">
      <c r="B174" s="1">
        <v>171</v>
      </c>
      <c r="C174" s="1" t="s">
        <v>561</v>
      </c>
      <c r="D174" s="1" t="s">
        <v>561</v>
      </c>
      <c r="E174" s="1" t="s">
        <v>754</v>
      </c>
      <c r="F174" s="1" t="s">
        <v>772</v>
      </c>
      <c r="G174" s="1">
        <v>75</v>
      </c>
      <c r="H174" s="1">
        <v>161</v>
      </c>
      <c r="I174" s="1">
        <v>460</v>
      </c>
      <c r="J174" s="1">
        <v>125</v>
      </c>
      <c r="K174" s="1">
        <v>58</v>
      </c>
      <c r="L174" s="1">
        <v>58</v>
      </c>
      <c r="M174" s="1">
        <v>76</v>
      </c>
      <c r="N174" s="1">
        <v>76</v>
      </c>
      <c r="O174" s="1">
        <v>67</v>
      </c>
      <c r="P174" s="1" t="s">
        <v>82</v>
      </c>
      <c r="Q174" s="1" t="s">
        <v>82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P174" s="184"/>
    </row>
    <row r="175" spans="2:42">
      <c r="B175" s="1">
        <v>172</v>
      </c>
      <c r="C175" s="1" t="s">
        <v>560</v>
      </c>
      <c r="D175" s="1" t="s">
        <v>560</v>
      </c>
      <c r="E175" s="1" t="s">
        <v>772</v>
      </c>
      <c r="F175" s="1" t="s">
        <v>82</v>
      </c>
      <c r="G175" s="1">
        <v>190</v>
      </c>
      <c r="H175" s="1">
        <v>41</v>
      </c>
      <c r="I175" s="1">
        <v>205</v>
      </c>
      <c r="J175" s="1">
        <v>20</v>
      </c>
      <c r="K175" s="1">
        <v>40</v>
      </c>
      <c r="L175" s="1">
        <v>15</v>
      </c>
      <c r="M175" s="1">
        <v>35</v>
      </c>
      <c r="N175" s="1">
        <v>35</v>
      </c>
      <c r="O175" s="1">
        <v>60</v>
      </c>
      <c r="P175" s="1">
        <v>15</v>
      </c>
      <c r="Q175" s="1">
        <v>25</v>
      </c>
      <c r="R175" s="1" t="s">
        <v>707</v>
      </c>
      <c r="S175" s="1" t="b">
        <v>1</v>
      </c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P175" s="184"/>
    </row>
    <row r="176" spans="2:42">
      <c r="B176" s="1">
        <v>173</v>
      </c>
      <c r="C176" s="1" t="s">
        <v>559</v>
      </c>
      <c r="D176" s="1" t="s">
        <v>898</v>
      </c>
      <c r="E176" s="1" t="s">
        <v>777</v>
      </c>
      <c r="F176" s="1" t="s">
        <v>82</v>
      </c>
      <c r="G176" s="1">
        <v>150</v>
      </c>
      <c r="H176" s="1">
        <v>44</v>
      </c>
      <c r="I176" s="1">
        <v>218</v>
      </c>
      <c r="J176" s="1">
        <v>50</v>
      </c>
      <c r="K176" s="1">
        <v>25</v>
      </c>
      <c r="L176" s="1">
        <v>28</v>
      </c>
      <c r="M176" s="1">
        <v>45</v>
      </c>
      <c r="N176" s="1">
        <v>55</v>
      </c>
      <c r="O176" s="1">
        <v>15</v>
      </c>
      <c r="P176" s="1">
        <v>15</v>
      </c>
      <c r="Q176" s="1">
        <v>35</v>
      </c>
      <c r="R176" s="1" t="s">
        <v>776</v>
      </c>
      <c r="S176" s="1" t="b">
        <v>1</v>
      </c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P176" s="184"/>
    </row>
    <row r="177" spans="2:42">
      <c r="B177" s="1">
        <v>174</v>
      </c>
      <c r="C177" s="1" t="s">
        <v>558</v>
      </c>
      <c r="D177" s="1" t="s">
        <v>899</v>
      </c>
      <c r="E177" s="1" t="s">
        <v>765</v>
      </c>
      <c r="F177" s="1" t="s">
        <v>777</v>
      </c>
      <c r="G177" s="1">
        <v>170</v>
      </c>
      <c r="H177" s="1">
        <v>42</v>
      </c>
      <c r="I177" s="1">
        <v>210</v>
      </c>
      <c r="J177" s="1">
        <v>90</v>
      </c>
      <c r="K177" s="1">
        <v>30</v>
      </c>
      <c r="L177" s="1">
        <v>15</v>
      </c>
      <c r="M177" s="1">
        <v>40</v>
      </c>
      <c r="N177" s="1">
        <v>20</v>
      </c>
      <c r="O177" s="1">
        <v>15</v>
      </c>
      <c r="P177" s="1">
        <v>15</v>
      </c>
      <c r="Q177" s="1">
        <v>39</v>
      </c>
      <c r="R177" s="1" t="s">
        <v>781</v>
      </c>
      <c r="S177" s="1" t="b">
        <v>1</v>
      </c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P177" s="184"/>
    </row>
    <row r="178" spans="2:42">
      <c r="B178" s="1">
        <v>175</v>
      </c>
      <c r="C178" s="1" t="s">
        <v>557</v>
      </c>
      <c r="D178" s="1" t="s">
        <v>557</v>
      </c>
      <c r="E178" s="1" t="s">
        <v>777</v>
      </c>
      <c r="F178" s="1" t="s">
        <v>82</v>
      </c>
      <c r="G178" s="1">
        <v>190</v>
      </c>
      <c r="H178" s="1">
        <v>49</v>
      </c>
      <c r="I178" s="1">
        <v>245</v>
      </c>
      <c r="J178" s="1">
        <v>35</v>
      </c>
      <c r="K178" s="1">
        <v>20</v>
      </c>
      <c r="L178" s="1">
        <v>65</v>
      </c>
      <c r="M178" s="1">
        <v>40</v>
      </c>
      <c r="N178" s="1">
        <v>65</v>
      </c>
      <c r="O178" s="1">
        <v>20</v>
      </c>
      <c r="P178" s="1">
        <v>15</v>
      </c>
      <c r="Q178" s="1">
        <v>176</v>
      </c>
      <c r="R178" s="1" t="s">
        <v>556</v>
      </c>
      <c r="S178" s="1" t="b">
        <v>1</v>
      </c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P178" s="184"/>
    </row>
    <row r="179" spans="2:42">
      <c r="B179" s="1">
        <v>176</v>
      </c>
      <c r="C179" s="1" t="s">
        <v>556</v>
      </c>
      <c r="D179" s="1" t="s">
        <v>556</v>
      </c>
      <c r="E179" s="1" t="s">
        <v>777</v>
      </c>
      <c r="F179" s="1" t="s">
        <v>751</v>
      </c>
      <c r="G179" s="1">
        <v>75</v>
      </c>
      <c r="H179" s="1">
        <v>142</v>
      </c>
      <c r="I179" s="1">
        <v>405</v>
      </c>
      <c r="J179" s="1">
        <v>55</v>
      </c>
      <c r="K179" s="1">
        <v>40</v>
      </c>
      <c r="L179" s="1">
        <v>85</v>
      </c>
      <c r="M179" s="1">
        <v>80</v>
      </c>
      <c r="N179" s="1">
        <v>105</v>
      </c>
      <c r="O179" s="1">
        <v>40</v>
      </c>
      <c r="P179" s="1">
        <v>30</v>
      </c>
      <c r="Q179" s="1">
        <v>468</v>
      </c>
      <c r="R179" s="1" t="s">
        <v>264</v>
      </c>
      <c r="S179" s="1" t="b">
        <v>1</v>
      </c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P179" s="184"/>
    </row>
    <row r="180" spans="2:42">
      <c r="B180" s="1">
        <v>177</v>
      </c>
      <c r="C180" s="1" t="s">
        <v>555</v>
      </c>
      <c r="D180" s="1" t="s">
        <v>555</v>
      </c>
      <c r="E180" s="1" t="s">
        <v>803</v>
      </c>
      <c r="F180" s="1" t="s">
        <v>751</v>
      </c>
      <c r="G180" s="1">
        <v>190</v>
      </c>
      <c r="H180" s="1">
        <v>64</v>
      </c>
      <c r="I180" s="1">
        <v>320</v>
      </c>
      <c r="J180" s="1">
        <v>40</v>
      </c>
      <c r="K180" s="1">
        <v>50</v>
      </c>
      <c r="L180" s="1">
        <v>45</v>
      </c>
      <c r="M180" s="1">
        <v>70</v>
      </c>
      <c r="N180" s="1">
        <v>45</v>
      </c>
      <c r="O180" s="1">
        <v>70</v>
      </c>
      <c r="P180" s="1">
        <v>25</v>
      </c>
      <c r="Q180" s="1">
        <v>178</v>
      </c>
      <c r="R180" s="1" t="s">
        <v>554</v>
      </c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P180" s="184"/>
    </row>
    <row r="181" spans="2:42">
      <c r="B181" s="1">
        <v>178</v>
      </c>
      <c r="C181" s="1" t="s">
        <v>554</v>
      </c>
      <c r="D181" s="1" t="s">
        <v>554</v>
      </c>
      <c r="E181" s="1" t="s">
        <v>803</v>
      </c>
      <c r="F181" s="1" t="s">
        <v>751</v>
      </c>
      <c r="G181" s="1">
        <v>75</v>
      </c>
      <c r="H181" s="1">
        <v>165</v>
      </c>
      <c r="I181" s="1">
        <v>470</v>
      </c>
      <c r="J181" s="1">
        <v>65</v>
      </c>
      <c r="K181" s="1">
        <v>75</v>
      </c>
      <c r="L181" s="1">
        <v>70</v>
      </c>
      <c r="M181" s="1">
        <v>95</v>
      </c>
      <c r="N181" s="1">
        <v>70</v>
      </c>
      <c r="O181" s="1">
        <v>95</v>
      </c>
      <c r="P181" s="1" t="s">
        <v>82</v>
      </c>
      <c r="Q181" s="1" t="s">
        <v>82</v>
      </c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P181" s="184"/>
    </row>
    <row r="182" spans="2:42">
      <c r="B182" s="1">
        <v>179</v>
      </c>
      <c r="C182" s="1" t="s">
        <v>553</v>
      </c>
      <c r="D182" s="1" t="s">
        <v>900</v>
      </c>
      <c r="E182" s="1" t="s">
        <v>772</v>
      </c>
      <c r="F182" s="1" t="s">
        <v>82</v>
      </c>
      <c r="G182" s="1">
        <v>235</v>
      </c>
      <c r="H182" s="1">
        <v>56</v>
      </c>
      <c r="I182" s="1">
        <v>280</v>
      </c>
      <c r="J182" s="1">
        <v>55</v>
      </c>
      <c r="K182" s="1">
        <v>40</v>
      </c>
      <c r="L182" s="1">
        <v>40</v>
      </c>
      <c r="M182" s="1">
        <v>65</v>
      </c>
      <c r="N182" s="1">
        <v>45</v>
      </c>
      <c r="O182" s="1">
        <v>35</v>
      </c>
      <c r="P182" s="1">
        <v>15</v>
      </c>
      <c r="Q182" s="1">
        <v>180</v>
      </c>
      <c r="R182" s="1" t="s">
        <v>901</v>
      </c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P182" s="184"/>
    </row>
    <row r="183" spans="2:42">
      <c r="B183" s="1">
        <v>180</v>
      </c>
      <c r="C183" s="1" t="s">
        <v>552</v>
      </c>
      <c r="D183" s="1" t="s">
        <v>901</v>
      </c>
      <c r="E183" s="1" t="s">
        <v>772</v>
      </c>
      <c r="F183" s="1" t="s">
        <v>82</v>
      </c>
      <c r="G183" s="1">
        <v>120</v>
      </c>
      <c r="H183" s="1">
        <v>128</v>
      </c>
      <c r="I183" s="1">
        <v>365</v>
      </c>
      <c r="J183" s="1">
        <v>70</v>
      </c>
      <c r="K183" s="1">
        <v>55</v>
      </c>
      <c r="L183" s="1">
        <v>55</v>
      </c>
      <c r="M183" s="1">
        <v>80</v>
      </c>
      <c r="N183" s="1">
        <v>60</v>
      </c>
      <c r="O183" s="1">
        <v>45</v>
      </c>
      <c r="P183" s="1">
        <v>30</v>
      </c>
      <c r="Q183" s="1">
        <v>181</v>
      </c>
      <c r="R183" s="1" t="s">
        <v>902</v>
      </c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P183" s="184"/>
    </row>
    <row r="184" spans="2:42">
      <c r="B184" s="1">
        <v>181</v>
      </c>
      <c r="C184" s="1" t="s">
        <v>551</v>
      </c>
      <c r="D184" s="1" t="s">
        <v>902</v>
      </c>
      <c r="E184" s="1" t="s">
        <v>772</v>
      </c>
      <c r="F184" s="1" t="s">
        <v>82</v>
      </c>
      <c r="G184" s="1">
        <v>45</v>
      </c>
      <c r="H184" s="1">
        <v>230</v>
      </c>
      <c r="I184" s="1">
        <v>510</v>
      </c>
      <c r="J184" s="1">
        <v>90</v>
      </c>
      <c r="K184" s="1">
        <v>75</v>
      </c>
      <c r="L184" s="1">
        <v>85</v>
      </c>
      <c r="M184" s="1">
        <v>115</v>
      </c>
      <c r="N184" s="1">
        <v>90</v>
      </c>
      <c r="O184" s="1">
        <v>55</v>
      </c>
      <c r="P184" s="1" t="s">
        <v>82</v>
      </c>
      <c r="Q184" s="1" t="s">
        <v>82</v>
      </c>
      <c r="R184" s="1" t="s">
        <v>82</v>
      </c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P184" s="184"/>
    </row>
    <row r="185" spans="2:42">
      <c r="B185" s="1">
        <v>182</v>
      </c>
      <c r="C185" s="1" t="s">
        <v>550</v>
      </c>
      <c r="D185" s="1" t="s">
        <v>903</v>
      </c>
      <c r="E185" s="1" t="s">
        <v>743</v>
      </c>
      <c r="F185" s="1" t="s">
        <v>82</v>
      </c>
      <c r="G185" s="1">
        <v>45</v>
      </c>
      <c r="H185" s="1">
        <v>221</v>
      </c>
      <c r="I185" s="1">
        <v>490</v>
      </c>
      <c r="J185" s="1">
        <v>75</v>
      </c>
      <c r="K185" s="1">
        <v>80</v>
      </c>
      <c r="L185" s="1">
        <v>95</v>
      </c>
      <c r="M185" s="1">
        <v>90</v>
      </c>
      <c r="N185" s="1">
        <v>100</v>
      </c>
      <c r="O185" s="1">
        <v>50</v>
      </c>
      <c r="P185" s="1" t="s">
        <v>82</v>
      </c>
      <c r="Q185" s="1" t="s">
        <v>82</v>
      </c>
      <c r="R185" s="1" t="s">
        <v>82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P185" s="184"/>
    </row>
    <row r="186" spans="2:42">
      <c r="B186" s="1">
        <v>183</v>
      </c>
      <c r="C186" s="1" t="s">
        <v>549</v>
      </c>
      <c r="D186" s="1" t="s">
        <v>549</v>
      </c>
      <c r="E186" s="1" t="s">
        <v>754</v>
      </c>
      <c r="F186" s="1" t="s">
        <v>777</v>
      </c>
      <c r="G186" s="1">
        <v>190</v>
      </c>
      <c r="H186" s="1">
        <v>88</v>
      </c>
      <c r="I186" s="1">
        <v>250</v>
      </c>
      <c r="J186" s="1">
        <v>70</v>
      </c>
      <c r="K186" s="1">
        <v>20</v>
      </c>
      <c r="L186" s="1">
        <v>50</v>
      </c>
      <c r="M186" s="1">
        <v>20</v>
      </c>
      <c r="N186" s="1">
        <v>50</v>
      </c>
      <c r="O186" s="1">
        <v>40</v>
      </c>
      <c r="P186" s="1">
        <v>18</v>
      </c>
      <c r="Q186" s="1">
        <v>184</v>
      </c>
      <c r="R186" s="1" t="s">
        <v>548</v>
      </c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P186" s="184"/>
    </row>
    <row r="187" spans="2:42">
      <c r="B187" s="1">
        <v>184</v>
      </c>
      <c r="C187" s="1" t="s">
        <v>548</v>
      </c>
      <c r="D187" s="1" t="s">
        <v>548</v>
      </c>
      <c r="E187" s="1" t="s">
        <v>754</v>
      </c>
      <c r="F187" s="1" t="s">
        <v>777</v>
      </c>
      <c r="G187" s="1">
        <v>75</v>
      </c>
      <c r="H187" s="1">
        <v>189</v>
      </c>
      <c r="I187" s="1">
        <v>420</v>
      </c>
      <c r="J187" s="1">
        <v>100</v>
      </c>
      <c r="K187" s="1">
        <v>50</v>
      </c>
      <c r="L187" s="1">
        <v>80</v>
      </c>
      <c r="M187" s="1">
        <v>60</v>
      </c>
      <c r="N187" s="1">
        <v>80</v>
      </c>
      <c r="O187" s="1">
        <v>50</v>
      </c>
      <c r="P187" s="1" t="s">
        <v>82</v>
      </c>
      <c r="Q187" s="1" t="s">
        <v>82</v>
      </c>
      <c r="R187" s="1" t="s">
        <v>82</v>
      </c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P187" s="184"/>
    </row>
    <row r="188" spans="2:42">
      <c r="B188" s="1">
        <v>185</v>
      </c>
      <c r="C188" s="1" t="s">
        <v>547</v>
      </c>
      <c r="D188" s="1" t="s">
        <v>904</v>
      </c>
      <c r="E188" s="1" t="s">
        <v>811</v>
      </c>
      <c r="F188" s="1" t="s">
        <v>82</v>
      </c>
      <c r="G188" s="1">
        <v>65</v>
      </c>
      <c r="H188" s="1">
        <v>144</v>
      </c>
      <c r="I188" s="1">
        <v>410</v>
      </c>
      <c r="J188" s="1">
        <v>70</v>
      </c>
      <c r="K188" s="1">
        <v>100</v>
      </c>
      <c r="L188" s="1">
        <v>115</v>
      </c>
      <c r="M188" s="1">
        <v>30</v>
      </c>
      <c r="N188" s="1">
        <v>65</v>
      </c>
      <c r="O188" s="1">
        <v>30</v>
      </c>
      <c r="P188" s="1" t="s">
        <v>82</v>
      </c>
      <c r="Q188" s="1" t="s">
        <v>82</v>
      </c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P188" s="184"/>
    </row>
    <row r="189" spans="2:42">
      <c r="B189" s="1">
        <v>186</v>
      </c>
      <c r="C189" s="1" t="s">
        <v>546</v>
      </c>
      <c r="D189" s="1" t="s">
        <v>905</v>
      </c>
      <c r="E189" s="1" t="s">
        <v>754</v>
      </c>
      <c r="F189" s="1" t="s">
        <v>82</v>
      </c>
      <c r="G189" s="1">
        <v>45</v>
      </c>
      <c r="H189" s="1">
        <v>225</v>
      </c>
      <c r="I189" s="1">
        <v>500</v>
      </c>
      <c r="J189" s="1">
        <v>90</v>
      </c>
      <c r="K189" s="1">
        <v>75</v>
      </c>
      <c r="L189" s="1">
        <v>75</v>
      </c>
      <c r="M189" s="1">
        <v>90</v>
      </c>
      <c r="N189" s="1">
        <v>100</v>
      </c>
      <c r="O189" s="1">
        <v>70</v>
      </c>
      <c r="P189" s="1" t="s">
        <v>82</v>
      </c>
      <c r="Q189" s="1" t="s">
        <v>82</v>
      </c>
      <c r="R189" s="1" t="s">
        <v>82</v>
      </c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P189" s="184"/>
    </row>
    <row r="190" spans="2:42">
      <c r="B190" s="1">
        <v>187</v>
      </c>
      <c r="C190" s="1" t="s">
        <v>545</v>
      </c>
      <c r="D190" s="1" t="s">
        <v>906</v>
      </c>
      <c r="E190" s="1" t="s">
        <v>743</v>
      </c>
      <c r="F190" s="1" t="s">
        <v>751</v>
      </c>
      <c r="G190" s="1">
        <v>255</v>
      </c>
      <c r="H190" s="1">
        <v>50</v>
      </c>
      <c r="I190" s="1">
        <v>250</v>
      </c>
      <c r="J190" s="1">
        <v>35</v>
      </c>
      <c r="K190" s="1">
        <v>35</v>
      </c>
      <c r="L190" s="1">
        <v>40</v>
      </c>
      <c r="M190" s="1">
        <v>35</v>
      </c>
      <c r="N190" s="1">
        <v>55</v>
      </c>
      <c r="O190" s="1">
        <v>50</v>
      </c>
      <c r="P190" s="1">
        <v>18</v>
      </c>
      <c r="Q190" s="1">
        <v>188</v>
      </c>
      <c r="R190" s="1" t="s">
        <v>907</v>
      </c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P190" s="184"/>
    </row>
    <row r="191" spans="2:42">
      <c r="B191" s="1">
        <v>188</v>
      </c>
      <c r="C191" s="1" t="s">
        <v>544</v>
      </c>
      <c r="D191" s="1" t="s">
        <v>907</v>
      </c>
      <c r="E191" s="1" t="s">
        <v>743</v>
      </c>
      <c r="F191" s="1" t="s">
        <v>751</v>
      </c>
      <c r="G191" s="1">
        <v>120</v>
      </c>
      <c r="H191" s="1">
        <v>119</v>
      </c>
      <c r="I191" s="1">
        <v>340</v>
      </c>
      <c r="J191" s="1">
        <v>55</v>
      </c>
      <c r="K191" s="1">
        <v>45</v>
      </c>
      <c r="L191" s="1">
        <v>50</v>
      </c>
      <c r="M191" s="1">
        <v>45</v>
      </c>
      <c r="N191" s="1">
        <v>65</v>
      </c>
      <c r="O191" s="1">
        <v>80</v>
      </c>
      <c r="P191" s="1">
        <v>27</v>
      </c>
      <c r="Q191" s="1">
        <v>189</v>
      </c>
      <c r="R191" s="1" t="s">
        <v>908</v>
      </c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P191" s="184"/>
    </row>
    <row r="192" spans="2:42">
      <c r="B192" s="1">
        <v>189</v>
      </c>
      <c r="C192" s="1" t="s">
        <v>543</v>
      </c>
      <c r="D192" s="1" t="s">
        <v>908</v>
      </c>
      <c r="E192" s="1" t="s">
        <v>743</v>
      </c>
      <c r="F192" s="1" t="s">
        <v>751</v>
      </c>
      <c r="G192" s="1">
        <v>45</v>
      </c>
      <c r="H192" s="1">
        <v>207</v>
      </c>
      <c r="I192" s="1">
        <v>460</v>
      </c>
      <c r="J192" s="1">
        <v>75</v>
      </c>
      <c r="K192" s="1">
        <v>55</v>
      </c>
      <c r="L192" s="1">
        <v>70</v>
      </c>
      <c r="M192" s="1">
        <v>55</v>
      </c>
      <c r="N192" s="1">
        <v>95</v>
      </c>
      <c r="O192" s="1">
        <v>110</v>
      </c>
      <c r="P192" s="1" t="s">
        <v>82</v>
      </c>
      <c r="Q192" s="1" t="s">
        <v>82</v>
      </c>
      <c r="R192" s="1" t="s">
        <v>82</v>
      </c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P192" s="184"/>
    </row>
    <row r="193" spans="2:42">
      <c r="B193" s="1">
        <v>190</v>
      </c>
      <c r="C193" s="1" t="s">
        <v>542</v>
      </c>
      <c r="D193" s="1" t="s">
        <v>909</v>
      </c>
      <c r="E193" s="1" t="s">
        <v>765</v>
      </c>
      <c r="F193" s="1" t="s">
        <v>82</v>
      </c>
      <c r="G193" s="1">
        <v>45</v>
      </c>
      <c r="H193" s="1">
        <v>72</v>
      </c>
      <c r="I193" s="1">
        <v>360</v>
      </c>
      <c r="J193" s="1">
        <v>55</v>
      </c>
      <c r="K193" s="1">
        <v>70</v>
      </c>
      <c r="L193" s="1">
        <v>55</v>
      </c>
      <c r="M193" s="1">
        <v>40</v>
      </c>
      <c r="N193" s="1">
        <v>55</v>
      </c>
      <c r="O193" s="1">
        <v>85</v>
      </c>
      <c r="P193" s="1">
        <v>25</v>
      </c>
      <c r="Q193" s="1">
        <v>424</v>
      </c>
      <c r="R193" s="1" t="s">
        <v>1083</v>
      </c>
      <c r="S193" s="1" t="b">
        <v>1</v>
      </c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P193" s="184"/>
    </row>
    <row r="194" spans="2:42">
      <c r="B194" s="1">
        <v>191</v>
      </c>
      <c r="C194" s="1" t="s">
        <v>541</v>
      </c>
      <c r="D194" s="1" t="s">
        <v>910</v>
      </c>
      <c r="E194" s="1" t="s">
        <v>743</v>
      </c>
      <c r="F194" s="1" t="s">
        <v>82</v>
      </c>
      <c r="G194" s="1">
        <v>235</v>
      </c>
      <c r="H194" s="1">
        <v>36</v>
      </c>
      <c r="I194" s="1">
        <v>180</v>
      </c>
      <c r="J194" s="1">
        <v>30</v>
      </c>
      <c r="K194" s="1">
        <v>30</v>
      </c>
      <c r="L194" s="1">
        <v>30</v>
      </c>
      <c r="M194" s="1">
        <v>30</v>
      </c>
      <c r="N194" s="1">
        <v>30</v>
      </c>
      <c r="O194" s="1">
        <v>30</v>
      </c>
      <c r="P194" s="1">
        <v>25</v>
      </c>
      <c r="Q194" s="1">
        <v>192</v>
      </c>
      <c r="R194" s="1" t="s">
        <v>911</v>
      </c>
      <c r="S194" s="1" t="b">
        <v>1</v>
      </c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P194" s="184"/>
    </row>
    <row r="195" spans="2:42">
      <c r="B195" s="1">
        <v>192</v>
      </c>
      <c r="C195" s="1" t="s">
        <v>540</v>
      </c>
      <c r="D195" s="1" t="s">
        <v>911</v>
      </c>
      <c r="E195" s="1" t="s">
        <v>743</v>
      </c>
      <c r="F195" s="1" t="s">
        <v>82</v>
      </c>
      <c r="G195" s="1">
        <v>120</v>
      </c>
      <c r="H195" s="1">
        <v>149</v>
      </c>
      <c r="I195" s="1">
        <v>425</v>
      </c>
      <c r="J195" s="1">
        <v>75</v>
      </c>
      <c r="K195" s="1">
        <v>75</v>
      </c>
      <c r="L195" s="1">
        <v>55</v>
      </c>
      <c r="M195" s="1">
        <v>105</v>
      </c>
      <c r="N195" s="1">
        <v>85</v>
      </c>
      <c r="O195" s="1">
        <v>30</v>
      </c>
      <c r="P195" s="1" t="s">
        <v>82</v>
      </c>
      <c r="Q195" s="1" t="s">
        <v>82</v>
      </c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P195" s="184"/>
    </row>
    <row r="196" spans="2:42">
      <c r="B196" s="1">
        <v>193</v>
      </c>
      <c r="C196" s="1" t="s">
        <v>539</v>
      </c>
      <c r="D196" s="1" t="s">
        <v>539</v>
      </c>
      <c r="E196" s="1" t="s">
        <v>758</v>
      </c>
      <c r="F196" s="1" t="s">
        <v>751</v>
      </c>
      <c r="G196" s="1">
        <v>75</v>
      </c>
      <c r="H196" s="1">
        <v>78</v>
      </c>
      <c r="I196" s="1">
        <v>390</v>
      </c>
      <c r="J196" s="1">
        <v>65</v>
      </c>
      <c r="K196" s="1">
        <v>65</v>
      </c>
      <c r="L196" s="1">
        <v>45</v>
      </c>
      <c r="M196" s="1">
        <v>75</v>
      </c>
      <c r="N196" s="1">
        <v>45</v>
      </c>
      <c r="O196" s="1">
        <v>95</v>
      </c>
      <c r="P196" s="1">
        <v>30</v>
      </c>
      <c r="Q196" s="1">
        <v>469</v>
      </c>
      <c r="R196" s="1" t="s">
        <v>263</v>
      </c>
      <c r="S196" s="1" t="b">
        <v>1</v>
      </c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P196" s="184"/>
    </row>
    <row r="197" spans="2:42">
      <c r="B197" s="1">
        <v>194</v>
      </c>
      <c r="C197" s="1" t="s">
        <v>538</v>
      </c>
      <c r="D197" s="1" t="s">
        <v>912</v>
      </c>
      <c r="E197" s="1" t="s">
        <v>754</v>
      </c>
      <c r="F197" s="1" t="s">
        <v>774</v>
      </c>
      <c r="G197" s="1">
        <v>255</v>
      </c>
      <c r="H197" s="1">
        <v>42</v>
      </c>
      <c r="I197" s="1">
        <v>210</v>
      </c>
      <c r="J197" s="1">
        <v>55</v>
      </c>
      <c r="K197" s="1">
        <v>45</v>
      </c>
      <c r="L197" s="1">
        <v>45</v>
      </c>
      <c r="M197" s="1">
        <v>25</v>
      </c>
      <c r="N197" s="1">
        <v>25</v>
      </c>
      <c r="O197" s="1">
        <v>15</v>
      </c>
      <c r="P197" s="1">
        <v>20</v>
      </c>
      <c r="Q197" s="1">
        <v>195</v>
      </c>
      <c r="R197" s="1" t="s">
        <v>913</v>
      </c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P197" s="184"/>
    </row>
    <row r="198" spans="2:42">
      <c r="B198" s="1">
        <v>195</v>
      </c>
      <c r="C198" s="1" t="s">
        <v>537</v>
      </c>
      <c r="D198" s="1" t="s">
        <v>913</v>
      </c>
      <c r="E198" s="1" t="s">
        <v>754</v>
      </c>
      <c r="F198" s="1" t="s">
        <v>774</v>
      </c>
      <c r="G198" s="1">
        <v>90</v>
      </c>
      <c r="H198" s="1">
        <v>151</v>
      </c>
      <c r="I198" s="1">
        <v>430</v>
      </c>
      <c r="J198" s="1">
        <v>95</v>
      </c>
      <c r="K198" s="1">
        <v>85</v>
      </c>
      <c r="L198" s="1">
        <v>85</v>
      </c>
      <c r="M198" s="1">
        <v>65</v>
      </c>
      <c r="N198" s="1">
        <v>65</v>
      </c>
      <c r="O198" s="1">
        <v>35</v>
      </c>
      <c r="P198" s="1" t="s">
        <v>82</v>
      </c>
      <c r="Q198" s="1" t="s">
        <v>82</v>
      </c>
      <c r="R198" s="1" t="s">
        <v>82</v>
      </c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P198" s="184"/>
    </row>
    <row r="199" spans="2:42">
      <c r="B199" s="1">
        <v>196</v>
      </c>
      <c r="C199" s="1" t="s">
        <v>536</v>
      </c>
      <c r="D199" s="1" t="s">
        <v>914</v>
      </c>
      <c r="E199" s="1" t="s">
        <v>803</v>
      </c>
      <c r="F199" s="1" t="s">
        <v>82</v>
      </c>
      <c r="G199" s="1">
        <v>45</v>
      </c>
      <c r="H199" s="1">
        <v>184</v>
      </c>
      <c r="I199" s="1">
        <v>525</v>
      </c>
      <c r="J199" s="1">
        <v>65</v>
      </c>
      <c r="K199" s="1">
        <v>65</v>
      </c>
      <c r="L199" s="1">
        <v>60</v>
      </c>
      <c r="M199" s="1">
        <v>130</v>
      </c>
      <c r="N199" s="1">
        <v>95</v>
      </c>
      <c r="O199" s="1">
        <v>110</v>
      </c>
      <c r="P199" s="1" t="s">
        <v>82</v>
      </c>
      <c r="Q199" s="1" t="s">
        <v>82</v>
      </c>
      <c r="R199" s="1" t="s">
        <v>82</v>
      </c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P199" s="184"/>
    </row>
    <row r="200" spans="2:42">
      <c r="B200" s="1">
        <v>197</v>
      </c>
      <c r="C200" s="1" t="s">
        <v>535</v>
      </c>
      <c r="D200" s="1" t="s">
        <v>915</v>
      </c>
      <c r="E200" s="1" t="s">
        <v>864</v>
      </c>
      <c r="F200" s="1" t="s">
        <v>82</v>
      </c>
      <c r="G200" s="1">
        <v>45</v>
      </c>
      <c r="H200" s="1">
        <v>184</v>
      </c>
      <c r="I200" s="1">
        <v>525</v>
      </c>
      <c r="J200" s="1">
        <v>95</v>
      </c>
      <c r="K200" s="1">
        <v>65</v>
      </c>
      <c r="L200" s="1">
        <v>110</v>
      </c>
      <c r="M200" s="1">
        <v>60</v>
      </c>
      <c r="N200" s="1">
        <v>130</v>
      </c>
      <c r="O200" s="1">
        <v>65</v>
      </c>
      <c r="P200" s="1" t="s">
        <v>82</v>
      </c>
      <c r="Q200" s="1" t="s">
        <v>82</v>
      </c>
      <c r="R200" s="1" t="s">
        <v>82</v>
      </c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P200" s="184"/>
    </row>
    <row r="201" spans="2:42">
      <c r="B201" s="1">
        <v>198</v>
      </c>
      <c r="C201" s="1" t="s">
        <v>534</v>
      </c>
      <c r="D201" s="1" t="s">
        <v>916</v>
      </c>
      <c r="E201" s="1" t="s">
        <v>864</v>
      </c>
      <c r="F201" s="1" t="s">
        <v>751</v>
      </c>
      <c r="G201" s="1">
        <v>30</v>
      </c>
      <c r="H201" s="1">
        <v>81</v>
      </c>
      <c r="I201" s="1">
        <v>405</v>
      </c>
      <c r="J201" s="1">
        <v>60</v>
      </c>
      <c r="K201" s="1">
        <v>85</v>
      </c>
      <c r="L201" s="1">
        <v>42</v>
      </c>
      <c r="M201" s="1">
        <v>85</v>
      </c>
      <c r="N201" s="1">
        <v>42</v>
      </c>
      <c r="O201" s="1">
        <v>91</v>
      </c>
      <c r="P201" s="1">
        <v>30</v>
      </c>
      <c r="Q201" s="1">
        <v>430</v>
      </c>
      <c r="R201" s="1" t="s">
        <v>1089</v>
      </c>
      <c r="S201" s="1" t="b">
        <v>1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P201" s="184"/>
    </row>
    <row r="202" spans="2:42">
      <c r="B202" s="1">
        <v>199</v>
      </c>
      <c r="C202" s="1" t="s">
        <v>533</v>
      </c>
      <c r="D202" s="1" t="s">
        <v>917</v>
      </c>
      <c r="E202" s="1" t="s">
        <v>754</v>
      </c>
      <c r="F202" s="1" t="s">
        <v>803</v>
      </c>
      <c r="G202" s="1">
        <v>70</v>
      </c>
      <c r="H202" s="1">
        <v>172</v>
      </c>
      <c r="I202" s="1">
        <v>490</v>
      </c>
      <c r="J202" s="1">
        <v>95</v>
      </c>
      <c r="K202" s="1">
        <v>75</v>
      </c>
      <c r="L202" s="1">
        <v>80</v>
      </c>
      <c r="M202" s="1">
        <v>100</v>
      </c>
      <c r="N202" s="1">
        <v>110</v>
      </c>
      <c r="O202" s="1">
        <v>30</v>
      </c>
      <c r="P202" s="1" t="s">
        <v>82</v>
      </c>
      <c r="Q202" s="1" t="s">
        <v>82</v>
      </c>
      <c r="R202" s="1" t="s">
        <v>82</v>
      </c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P202" s="184"/>
    </row>
    <row r="203" spans="2:42">
      <c r="B203" s="1">
        <v>200</v>
      </c>
      <c r="C203" s="1" t="s">
        <v>532</v>
      </c>
      <c r="D203" s="1" t="s">
        <v>918</v>
      </c>
      <c r="E203" s="1" t="s">
        <v>829</v>
      </c>
      <c r="F203" s="1" t="s">
        <v>82</v>
      </c>
      <c r="G203" s="1">
        <v>45</v>
      </c>
      <c r="H203" s="1">
        <v>87</v>
      </c>
      <c r="I203" s="1">
        <v>435</v>
      </c>
      <c r="J203" s="1">
        <v>60</v>
      </c>
      <c r="K203" s="1">
        <v>60</v>
      </c>
      <c r="L203" s="1">
        <v>60</v>
      </c>
      <c r="M203" s="1">
        <v>85</v>
      </c>
      <c r="N203" s="1">
        <v>85</v>
      </c>
      <c r="O203" s="1">
        <v>85</v>
      </c>
      <c r="P203" s="1">
        <v>30</v>
      </c>
      <c r="Q203" s="1">
        <v>429</v>
      </c>
      <c r="R203" s="1" t="s">
        <v>1088</v>
      </c>
      <c r="S203" s="1" t="b">
        <v>1</v>
      </c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P203" s="184"/>
    </row>
    <row r="204" spans="2:42">
      <c r="B204" s="1">
        <v>201</v>
      </c>
      <c r="C204" s="1" t="s">
        <v>531</v>
      </c>
      <c r="D204" s="1" t="s">
        <v>919</v>
      </c>
      <c r="E204" s="1" t="s">
        <v>803</v>
      </c>
      <c r="F204" s="1" t="s">
        <v>82</v>
      </c>
      <c r="G204" s="1">
        <v>225</v>
      </c>
      <c r="H204" s="1">
        <v>118</v>
      </c>
      <c r="I204" s="1">
        <v>336</v>
      </c>
      <c r="J204" s="1">
        <v>48</v>
      </c>
      <c r="K204" s="1">
        <v>72</v>
      </c>
      <c r="L204" s="1">
        <v>48</v>
      </c>
      <c r="M204" s="1">
        <v>72</v>
      </c>
      <c r="N204" s="1">
        <v>48</v>
      </c>
      <c r="O204" s="1">
        <v>48</v>
      </c>
      <c r="P204" s="1" t="s">
        <v>82</v>
      </c>
      <c r="Q204" s="1" t="s">
        <v>82</v>
      </c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P204" s="184"/>
    </row>
    <row r="205" spans="2:42">
      <c r="B205" s="1">
        <v>202</v>
      </c>
      <c r="C205" s="1" t="s">
        <v>530</v>
      </c>
      <c r="D205" s="1" t="s">
        <v>920</v>
      </c>
      <c r="E205" s="1" t="s">
        <v>803</v>
      </c>
      <c r="F205" s="1" t="s">
        <v>82</v>
      </c>
      <c r="G205" s="1">
        <v>45</v>
      </c>
      <c r="H205" s="1">
        <v>142</v>
      </c>
      <c r="I205" s="1">
        <v>405</v>
      </c>
      <c r="J205" s="1">
        <v>190</v>
      </c>
      <c r="K205" s="1">
        <v>33</v>
      </c>
      <c r="L205" s="1">
        <v>58</v>
      </c>
      <c r="M205" s="1">
        <v>33</v>
      </c>
      <c r="N205" s="1">
        <v>58</v>
      </c>
      <c r="O205" s="1">
        <v>33</v>
      </c>
      <c r="P205" s="1" t="s">
        <v>82</v>
      </c>
      <c r="Q205" s="1" t="s">
        <v>82</v>
      </c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P205" s="184"/>
    </row>
    <row r="206" spans="2:42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803</v>
      </c>
      <c r="G206" s="1">
        <v>60</v>
      </c>
      <c r="H206" s="1">
        <v>159</v>
      </c>
      <c r="I206" s="1">
        <v>455</v>
      </c>
      <c r="J206" s="1">
        <v>70</v>
      </c>
      <c r="K206" s="1">
        <v>80</v>
      </c>
      <c r="L206" s="1">
        <v>65</v>
      </c>
      <c r="M206" s="1">
        <v>90</v>
      </c>
      <c r="N206" s="1">
        <v>65</v>
      </c>
      <c r="O206" s="1">
        <v>85</v>
      </c>
      <c r="P206" s="1" t="s">
        <v>82</v>
      </c>
      <c r="Q206" s="1" t="s">
        <v>82</v>
      </c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P206" s="184"/>
    </row>
    <row r="207" spans="2:42">
      <c r="B207" s="1">
        <v>204</v>
      </c>
      <c r="C207" s="1" t="s">
        <v>528</v>
      </c>
      <c r="D207" s="1" t="s">
        <v>921</v>
      </c>
      <c r="E207" s="1" t="s">
        <v>758</v>
      </c>
      <c r="F207" s="1" t="s">
        <v>82</v>
      </c>
      <c r="G207" s="1">
        <v>190</v>
      </c>
      <c r="H207" s="1">
        <v>58</v>
      </c>
      <c r="I207" s="1">
        <v>290</v>
      </c>
      <c r="J207" s="1">
        <v>50</v>
      </c>
      <c r="K207" s="1">
        <v>65</v>
      </c>
      <c r="L207" s="1">
        <v>90</v>
      </c>
      <c r="M207" s="1">
        <v>35</v>
      </c>
      <c r="N207" s="1">
        <v>35</v>
      </c>
      <c r="O207" s="1">
        <v>15</v>
      </c>
      <c r="P207" s="1">
        <v>31</v>
      </c>
      <c r="Q207" s="1">
        <v>205</v>
      </c>
      <c r="R207" s="1" t="s">
        <v>922</v>
      </c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P207" s="184"/>
    </row>
    <row r="208" spans="2:42">
      <c r="B208" s="1">
        <v>205</v>
      </c>
      <c r="C208" s="1" t="s">
        <v>527</v>
      </c>
      <c r="D208" s="1" t="s">
        <v>922</v>
      </c>
      <c r="E208" s="1" t="s">
        <v>758</v>
      </c>
      <c r="F208" s="1" t="s">
        <v>818</v>
      </c>
      <c r="G208" s="1">
        <v>75</v>
      </c>
      <c r="H208" s="1">
        <v>163</v>
      </c>
      <c r="I208" s="1">
        <v>465</v>
      </c>
      <c r="J208" s="1">
        <v>75</v>
      </c>
      <c r="K208" s="1">
        <v>90</v>
      </c>
      <c r="L208" s="1">
        <v>140</v>
      </c>
      <c r="M208" s="1">
        <v>60</v>
      </c>
      <c r="N208" s="1">
        <v>60</v>
      </c>
      <c r="O208" s="1">
        <v>40</v>
      </c>
      <c r="P208" s="1" t="s">
        <v>82</v>
      </c>
      <c r="Q208" s="1" t="s">
        <v>82</v>
      </c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P208" s="184"/>
    </row>
    <row r="209" spans="2:42">
      <c r="B209" s="1">
        <v>206</v>
      </c>
      <c r="C209" s="1" t="s">
        <v>526</v>
      </c>
      <c r="D209" s="1" t="s">
        <v>923</v>
      </c>
      <c r="E209" s="1" t="s">
        <v>765</v>
      </c>
      <c r="F209" s="1" t="s">
        <v>82</v>
      </c>
      <c r="G209" s="1">
        <v>190</v>
      </c>
      <c r="H209" s="1">
        <v>145</v>
      </c>
      <c r="I209" s="1">
        <v>415</v>
      </c>
      <c r="J209" s="1">
        <v>100</v>
      </c>
      <c r="K209" s="1">
        <v>70</v>
      </c>
      <c r="L209" s="1">
        <v>70</v>
      </c>
      <c r="M209" s="1">
        <v>65</v>
      </c>
      <c r="N209" s="1">
        <v>65</v>
      </c>
      <c r="O209" s="1">
        <v>45</v>
      </c>
      <c r="P209" s="1" t="s">
        <v>82</v>
      </c>
      <c r="Q209" s="1" t="s">
        <v>82</v>
      </c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P209" s="184"/>
    </row>
    <row r="210" spans="2:42">
      <c r="B210" s="1">
        <v>207</v>
      </c>
      <c r="C210" s="1" t="s">
        <v>525</v>
      </c>
      <c r="D210" s="1" t="s">
        <v>924</v>
      </c>
      <c r="E210" s="1" t="s">
        <v>774</v>
      </c>
      <c r="F210" s="1" t="s">
        <v>751</v>
      </c>
      <c r="G210" s="1">
        <v>60</v>
      </c>
      <c r="H210" s="1">
        <v>86</v>
      </c>
      <c r="I210" s="1">
        <v>430</v>
      </c>
      <c r="J210" s="1">
        <v>65</v>
      </c>
      <c r="K210" s="1">
        <v>75</v>
      </c>
      <c r="L210" s="1">
        <v>105</v>
      </c>
      <c r="M210" s="1">
        <v>35</v>
      </c>
      <c r="N210" s="1">
        <v>65</v>
      </c>
      <c r="O210" s="1">
        <v>85</v>
      </c>
      <c r="P210" s="1">
        <v>30</v>
      </c>
      <c r="Q210" s="1">
        <v>472</v>
      </c>
      <c r="R210" s="1" t="s">
        <v>1124</v>
      </c>
      <c r="S210" s="1" t="b">
        <v>1</v>
      </c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P210" s="184"/>
    </row>
    <row r="211" spans="2:42">
      <c r="B211" s="1">
        <v>208</v>
      </c>
      <c r="C211" s="1" t="s">
        <v>524</v>
      </c>
      <c r="D211" s="1" t="s">
        <v>524</v>
      </c>
      <c r="E211" s="1" t="s">
        <v>818</v>
      </c>
      <c r="F211" s="1" t="s">
        <v>774</v>
      </c>
      <c r="G211" s="1">
        <v>25</v>
      </c>
      <c r="H211" s="1">
        <v>179</v>
      </c>
      <c r="I211" s="1">
        <v>510</v>
      </c>
      <c r="J211" s="1">
        <v>75</v>
      </c>
      <c r="K211" s="1">
        <v>85</v>
      </c>
      <c r="L211" s="1">
        <v>200</v>
      </c>
      <c r="M211" s="1">
        <v>55</v>
      </c>
      <c r="N211" s="1">
        <v>65</v>
      </c>
      <c r="O211" s="1">
        <v>30</v>
      </c>
      <c r="P211" s="1" t="s">
        <v>82</v>
      </c>
      <c r="Q211" s="1" t="s">
        <v>82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P211" s="184"/>
    </row>
    <row r="212" spans="2:42">
      <c r="B212" s="1">
        <v>209</v>
      </c>
      <c r="C212" s="1" t="s">
        <v>523</v>
      </c>
      <c r="D212" s="1" t="s">
        <v>523</v>
      </c>
      <c r="E212" s="1" t="s">
        <v>777</v>
      </c>
      <c r="F212" s="1" t="s">
        <v>82</v>
      </c>
      <c r="G212" s="1">
        <v>190</v>
      </c>
      <c r="H212" s="1">
        <v>60</v>
      </c>
      <c r="I212" s="1">
        <v>300</v>
      </c>
      <c r="J212" s="1">
        <v>60</v>
      </c>
      <c r="K212" s="1">
        <v>80</v>
      </c>
      <c r="L212" s="1">
        <v>50</v>
      </c>
      <c r="M212" s="1">
        <v>40</v>
      </c>
      <c r="N212" s="1">
        <v>40</v>
      </c>
      <c r="O212" s="1">
        <v>30</v>
      </c>
      <c r="P212" s="1">
        <v>23</v>
      </c>
      <c r="Q212" s="1">
        <v>210</v>
      </c>
      <c r="R212" s="1" t="s">
        <v>522</v>
      </c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P212" s="184"/>
    </row>
    <row r="213" spans="2:42">
      <c r="B213" s="1">
        <v>210</v>
      </c>
      <c r="C213" s="1" t="s">
        <v>522</v>
      </c>
      <c r="D213" s="1" t="s">
        <v>522</v>
      </c>
      <c r="E213" s="1" t="s">
        <v>777</v>
      </c>
      <c r="F213" s="1" t="s">
        <v>82</v>
      </c>
      <c r="G213" s="1">
        <v>75</v>
      </c>
      <c r="H213" s="1">
        <v>158</v>
      </c>
      <c r="I213" s="1">
        <v>450</v>
      </c>
      <c r="J213" s="1">
        <v>90</v>
      </c>
      <c r="K213" s="1">
        <v>120</v>
      </c>
      <c r="L213" s="1">
        <v>75</v>
      </c>
      <c r="M213" s="1">
        <v>60</v>
      </c>
      <c r="N213" s="1">
        <v>60</v>
      </c>
      <c r="O213" s="1">
        <v>45</v>
      </c>
      <c r="P213" s="1" t="s">
        <v>82</v>
      </c>
      <c r="Q213" s="1" t="s">
        <v>82</v>
      </c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P213" s="184"/>
    </row>
    <row r="214" spans="2:42">
      <c r="B214" s="1">
        <v>211</v>
      </c>
      <c r="C214" s="1" t="s">
        <v>521</v>
      </c>
      <c r="D214" s="1" t="s">
        <v>521</v>
      </c>
      <c r="E214" s="1" t="s">
        <v>754</v>
      </c>
      <c r="F214" s="1" t="s">
        <v>744</v>
      </c>
      <c r="G214" s="1">
        <v>45</v>
      </c>
      <c r="H214" s="1">
        <v>88</v>
      </c>
      <c r="I214" s="1">
        <v>430</v>
      </c>
      <c r="J214" s="1">
        <v>65</v>
      </c>
      <c r="K214" s="1">
        <v>95</v>
      </c>
      <c r="L214" s="1">
        <v>75</v>
      </c>
      <c r="M214" s="1">
        <v>55</v>
      </c>
      <c r="N214" s="1">
        <v>55</v>
      </c>
      <c r="O214" s="1">
        <v>85</v>
      </c>
      <c r="P214" s="1" t="s">
        <v>82</v>
      </c>
      <c r="Q214" s="1" t="s">
        <v>82</v>
      </c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P214" s="184"/>
    </row>
    <row r="215" spans="2:42">
      <c r="B215" s="1">
        <v>212</v>
      </c>
      <c r="C215" s="1" t="s">
        <v>520</v>
      </c>
      <c r="D215" s="1" t="s">
        <v>925</v>
      </c>
      <c r="E215" s="1" t="s">
        <v>758</v>
      </c>
      <c r="F215" s="1" t="s">
        <v>818</v>
      </c>
      <c r="G215" s="1">
        <v>25</v>
      </c>
      <c r="H215" s="1">
        <v>175</v>
      </c>
      <c r="I215" s="1">
        <v>500</v>
      </c>
      <c r="J215" s="1">
        <v>70</v>
      </c>
      <c r="K215" s="1">
        <v>130</v>
      </c>
      <c r="L215" s="1">
        <v>100</v>
      </c>
      <c r="M215" s="1">
        <v>55</v>
      </c>
      <c r="N215" s="1">
        <v>80</v>
      </c>
      <c r="O215" s="1">
        <v>65</v>
      </c>
      <c r="P215" s="1" t="s">
        <v>82</v>
      </c>
      <c r="Q215" s="1" t="s">
        <v>82</v>
      </c>
      <c r="R215" s="1" t="s">
        <v>82</v>
      </c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P215" s="184"/>
    </row>
    <row r="216" spans="2:42">
      <c r="B216" s="1">
        <v>213</v>
      </c>
      <c r="C216" s="1" t="s">
        <v>519</v>
      </c>
      <c r="D216" s="1" t="s">
        <v>926</v>
      </c>
      <c r="E216" s="1" t="s">
        <v>758</v>
      </c>
      <c r="F216" s="1" t="s">
        <v>811</v>
      </c>
      <c r="G216" s="1">
        <v>190</v>
      </c>
      <c r="H216" s="1">
        <v>177</v>
      </c>
      <c r="I216" s="1">
        <v>505</v>
      </c>
      <c r="J216" s="1">
        <v>20</v>
      </c>
      <c r="K216" s="1">
        <v>10</v>
      </c>
      <c r="L216" s="1">
        <v>230</v>
      </c>
      <c r="M216" s="1">
        <v>10</v>
      </c>
      <c r="N216" s="1">
        <v>230</v>
      </c>
      <c r="O216" s="1">
        <v>5</v>
      </c>
      <c r="P216" s="1" t="s">
        <v>82</v>
      </c>
      <c r="Q216" s="1" t="s">
        <v>82</v>
      </c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P216" s="184"/>
    </row>
    <row r="217" spans="2:42">
      <c r="B217" s="1">
        <v>214</v>
      </c>
      <c r="C217" s="1" t="s">
        <v>518</v>
      </c>
      <c r="D217" s="1" t="s">
        <v>927</v>
      </c>
      <c r="E217" s="1" t="s">
        <v>758</v>
      </c>
      <c r="F217" s="1" t="s">
        <v>796</v>
      </c>
      <c r="G217" s="1">
        <v>45</v>
      </c>
      <c r="H217" s="1">
        <v>175</v>
      </c>
      <c r="I217" s="1">
        <v>500</v>
      </c>
      <c r="J217" s="1">
        <v>80</v>
      </c>
      <c r="K217" s="1">
        <v>125</v>
      </c>
      <c r="L217" s="1">
        <v>75</v>
      </c>
      <c r="M217" s="1">
        <v>40</v>
      </c>
      <c r="N217" s="1">
        <v>95</v>
      </c>
      <c r="O217" s="1">
        <v>85</v>
      </c>
      <c r="P217" s="1" t="s">
        <v>82</v>
      </c>
      <c r="Q217" s="1" t="s">
        <v>82</v>
      </c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P217" s="184"/>
    </row>
    <row r="218" spans="2:42">
      <c r="B218" s="1">
        <v>215</v>
      </c>
      <c r="C218" s="1" t="s">
        <v>517</v>
      </c>
      <c r="D218" s="1" t="s">
        <v>928</v>
      </c>
      <c r="E218" s="1" t="s">
        <v>864</v>
      </c>
      <c r="F218" s="1" t="s">
        <v>823</v>
      </c>
      <c r="G218" s="1">
        <v>60</v>
      </c>
      <c r="H218" s="1">
        <v>86</v>
      </c>
      <c r="I218" s="1">
        <v>430</v>
      </c>
      <c r="J218" s="1">
        <v>55</v>
      </c>
      <c r="K218" s="1">
        <v>95</v>
      </c>
      <c r="L218" s="1">
        <v>55</v>
      </c>
      <c r="M218" s="1">
        <v>35</v>
      </c>
      <c r="N218" s="1">
        <v>75</v>
      </c>
      <c r="O218" s="1">
        <v>115</v>
      </c>
      <c r="P218" s="1">
        <v>35</v>
      </c>
      <c r="Q218" s="1">
        <v>461</v>
      </c>
      <c r="R218" s="202" t="s">
        <v>1115</v>
      </c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P218" s="184"/>
    </row>
    <row r="219" spans="2:42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120</v>
      </c>
      <c r="H219" s="1">
        <v>66</v>
      </c>
      <c r="I219" s="1">
        <v>330</v>
      </c>
      <c r="J219" s="1">
        <v>60</v>
      </c>
      <c r="K219" s="1">
        <v>80</v>
      </c>
      <c r="L219" s="1">
        <v>50</v>
      </c>
      <c r="M219" s="1">
        <v>50</v>
      </c>
      <c r="N219" s="1">
        <v>50</v>
      </c>
      <c r="O219" s="1">
        <v>40</v>
      </c>
      <c r="P219" s="1">
        <v>30</v>
      </c>
      <c r="Q219" s="1">
        <v>217</v>
      </c>
      <c r="R219" s="1" t="s">
        <v>515</v>
      </c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P219" s="184"/>
    </row>
    <row r="220" spans="2:42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60</v>
      </c>
      <c r="H220" s="1">
        <v>175</v>
      </c>
      <c r="I220" s="1">
        <v>500</v>
      </c>
      <c r="J220" s="1">
        <v>90</v>
      </c>
      <c r="K220" s="1">
        <v>130</v>
      </c>
      <c r="L220" s="1">
        <v>75</v>
      </c>
      <c r="M220" s="1">
        <v>75</v>
      </c>
      <c r="N220" s="1">
        <v>75</v>
      </c>
      <c r="O220" s="1">
        <v>55</v>
      </c>
      <c r="P220" s="1" t="s">
        <v>82</v>
      </c>
      <c r="Q220" s="1" t="s">
        <v>82</v>
      </c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P220" s="184"/>
    </row>
    <row r="221" spans="2:42">
      <c r="B221" s="1">
        <v>218</v>
      </c>
      <c r="C221" s="1" t="s">
        <v>514</v>
      </c>
      <c r="D221" s="1" t="s">
        <v>929</v>
      </c>
      <c r="E221" s="1" t="s">
        <v>748</v>
      </c>
      <c r="F221" s="1" t="s">
        <v>82</v>
      </c>
      <c r="G221" s="1">
        <v>190</v>
      </c>
      <c r="H221" s="1">
        <v>50</v>
      </c>
      <c r="I221" s="1">
        <v>250</v>
      </c>
      <c r="J221" s="1">
        <v>40</v>
      </c>
      <c r="K221" s="1">
        <v>40</v>
      </c>
      <c r="L221" s="1">
        <v>40</v>
      </c>
      <c r="M221" s="1">
        <v>70</v>
      </c>
      <c r="N221" s="1">
        <v>40</v>
      </c>
      <c r="O221" s="1">
        <v>20</v>
      </c>
      <c r="P221" s="1">
        <v>38</v>
      </c>
      <c r="Q221" s="1">
        <v>219</v>
      </c>
      <c r="R221" s="1" t="s">
        <v>930</v>
      </c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P221" s="184"/>
    </row>
    <row r="222" spans="2:42">
      <c r="B222" s="1">
        <v>219</v>
      </c>
      <c r="C222" s="1" t="s">
        <v>513</v>
      </c>
      <c r="D222" s="1" t="s">
        <v>930</v>
      </c>
      <c r="E222" s="1" t="s">
        <v>748</v>
      </c>
      <c r="F222" s="1" t="s">
        <v>811</v>
      </c>
      <c r="G222" s="1">
        <v>75</v>
      </c>
      <c r="H222" s="1">
        <v>151</v>
      </c>
      <c r="I222" s="1">
        <v>410</v>
      </c>
      <c r="J222" s="1">
        <v>50</v>
      </c>
      <c r="K222" s="1">
        <v>50</v>
      </c>
      <c r="L222" s="1">
        <v>120</v>
      </c>
      <c r="M222" s="1">
        <v>80</v>
      </c>
      <c r="N222" s="1">
        <v>80</v>
      </c>
      <c r="O222" s="1">
        <v>30</v>
      </c>
      <c r="P222" s="1" t="s">
        <v>82</v>
      </c>
      <c r="Q222" s="1" t="s">
        <v>82</v>
      </c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P222" s="184"/>
    </row>
    <row r="223" spans="2:42">
      <c r="B223" s="1">
        <v>220</v>
      </c>
      <c r="C223" s="1" t="s">
        <v>512</v>
      </c>
      <c r="D223" s="1" t="s">
        <v>931</v>
      </c>
      <c r="E223" s="1" t="s">
        <v>823</v>
      </c>
      <c r="F223" s="1" t="s">
        <v>774</v>
      </c>
      <c r="G223" s="1">
        <v>225</v>
      </c>
      <c r="H223" s="1">
        <v>50</v>
      </c>
      <c r="I223" s="1">
        <v>250</v>
      </c>
      <c r="J223" s="1">
        <v>50</v>
      </c>
      <c r="K223" s="1">
        <v>50</v>
      </c>
      <c r="L223" s="1">
        <v>40</v>
      </c>
      <c r="M223" s="1">
        <v>30</v>
      </c>
      <c r="N223" s="1">
        <v>30</v>
      </c>
      <c r="O223" s="1">
        <v>50</v>
      </c>
      <c r="P223" s="1">
        <v>33</v>
      </c>
      <c r="Q223" s="1">
        <v>221</v>
      </c>
      <c r="R223" s="1" t="s">
        <v>932</v>
      </c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P223" s="184"/>
    </row>
    <row r="224" spans="2:42">
      <c r="B224" s="1">
        <v>221</v>
      </c>
      <c r="C224" s="1" t="s">
        <v>511</v>
      </c>
      <c r="D224" s="1" t="s">
        <v>932</v>
      </c>
      <c r="E224" s="1" t="s">
        <v>823</v>
      </c>
      <c r="F224" s="1" t="s">
        <v>774</v>
      </c>
      <c r="G224" s="1">
        <v>75</v>
      </c>
      <c r="H224" s="1">
        <v>158</v>
      </c>
      <c r="I224" s="1">
        <v>450</v>
      </c>
      <c r="J224" s="1">
        <v>100</v>
      </c>
      <c r="K224" s="1">
        <v>100</v>
      </c>
      <c r="L224" s="1">
        <v>80</v>
      </c>
      <c r="M224" s="1">
        <v>60</v>
      </c>
      <c r="N224" s="1">
        <v>60</v>
      </c>
      <c r="O224" s="1">
        <v>50</v>
      </c>
      <c r="P224" s="1">
        <v>30</v>
      </c>
      <c r="Q224" s="1">
        <v>473</v>
      </c>
      <c r="R224" s="1" t="s">
        <v>1125</v>
      </c>
      <c r="S224" s="1" t="b">
        <v>1</v>
      </c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P224" s="184"/>
    </row>
    <row r="225" spans="2:42">
      <c r="B225" s="1">
        <v>222</v>
      </c>
      <c r="C225" s="1" t="s">
        <v>510</v>
      </c>
      <c r="D225" s="1" t="s">
        <v>933</v>
      </c>
      <c r="E225" s="1" t="s">
        <v>754</v>
      </c>
      <c r="F225" s="1" t="s">
        <v>811</v>
      </c>
      <c r="G225" s="1">
        <v>60</v>
      </c>
      <c r="H225" s="1">
        <v>144</v>
      </c>
      <c r="I225" s="1">
        <v>380</v>
      </c>
      <c r="J225" s="1">
        <v>55</v>
      </c>
      <c r="K225" s="1">
        <v>55</v>
      </c>
      <c r="L225" s="1">
        <v>85</v>
      </c>
      <c r="M225" s="1">
        <v>65</v>
      </c>
      <c r="N225" s="1">
        <v>85</v>
      </c>
      <c r="O225" s="1">
        <v>35</v>
      </c>
      <c r="P225" s="1" t="s">
        <v>82</v>
      </c>
      <c r="Q225" s="1" t="s">
        <v>82</v>
      </c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P225" s="184"/>
    </row>
    <row r="226" spans="2:42">
      <c r="B226" s="1">
        <v>223</v>
      </c>
      <c r="C226" s="1" t="s">
        <v>509</v>
      </c>
      <c r="D226" s="1" t="s">
        <v>934</v>
      </c>
      <c r="E226" s="1" t="s">
        <v>754</v>
      </c>
      <c r="F226" s="1" t="s">
        <v>82</v>
      </c>
      <c r="G226" s="1">
        <v>190</v>
      </c>
      <c r="H226" s="1">
        <v>60</v>
      </c>
      <c r="I226" s="1">
        <v>300</v>
      </c>
      <c r="J226" s="1">
        <v>35</v>
      </c>
      <c r="K226" s="1">
        <v>65</v>
      </c>
      <c r="L226" s="1">
        <v>35</v>
      </c>
      <c r="M226" s="1">
        <v>65</v>
      </c>
      <c r="N226" s="1">
        <v>35</v>
      </c>
      <c r="O226" s="1">
        <v>65</v>
      </c>
      <c r="P226" s="1">
        <v>25</v>
      </c>
      <c r="Q226" s="1">
        <v>224</v>
      </c>
      <c r="R226" s="1" t="s">
        <v>508</v>
      </c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P226" s="184"/>
    </row>
    <row r="227" spans="2:42">
      <c r="B227" s="1">
        <v>224</v>
      </c>
      <c r="C227" s="1" t="s">
        <v>508</v>
      </c>
      <c r="D227" s="1" t="s">
        <v>508</v>
      </c>
      <c r="E227" s="1" t="s">
        <v>754</v>
      </c>
      <c r="F227" s="1" t="s">
        <v>82</v>
      </c>
      <c r="G227" s="1">
        <v>75</v>
      </c>
      <c r="H227" s="1">
        <v>168</v>
      </c>
      <c r="I227" s="1">
        <v>480</v>
      </c>
      <c r="J227" s="1">
        <v>75</v>
      </c>
      <c r="K227" s="1">
        <v>105</v>
      </c>
      <c r="L227" s="1">
        <v>75</v>
      </c>
      <c r="M227" s="1">
        <v>105</v>
      </c>
      <c r="N227" s="1">
        <v>75</v>
      </c>
      <c r="O227" s="1">
        <v>45</v>
      </c>
      <c r="P227" s="1" t="s">
        <v>82</v>
      </c>
      <c r="Q227" s="1" t="s">
        <v>82</v>
      </c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P227" s="184"/>
    </row>
    <row r="228" spans="2:42">
      <c r="B228" s="1">
        <v>225</v>
      </c>
      <c r="C228" s="1" t="s">
        <v>507</v>
      </c>
      <c r="D228" s="1" t="s">
        <v>935</v>
      </c>
      <c r="E228" s="1" t="s">
        <v>823</v>
      </c>
      <c r="F228" s="1" t="s">
        <v>751</v>
      </c>
      <c r="G228" s="1">
        <v>45</v>
      </c>
      <c r="H228" s="1">
        <v>116</v>
      </c>
      <c r="I228" s="1">
        <v>330</v>
      </c>
      <c r="J228" s="1">
        <v>45</v>
      </c>
      <c r="K228" s="1">
        <v>55</v>
      </c>
      <c r="L228" s="1">
        <v>45</v>
      </c>
      <c r="M228" s="1">
        <v>65</v>
      </c>
      <c r="N228" s="1">
        <v>45</v>
      </c>
      <c r="O228" s="1">
        <v>75</v>
      </c>
      <c r="P228" s="1" t="s">
        <v>82</v>
      </c>
      <c r="Q228" s="1" t="s">
        <v>82</v>
      </c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P228" s="184"/>
    </row>
    <row r="229" spans="2:42">
      <c r="B229" s="1">
        <v>226</v>
      </c>
      <c r="C229" s="1" t="s">
        <v>506</v>
      </c>
      <c r="D229" s="1" t="s">
        <v>936</v>
      </c>
      <c r="E229" s="1" t="s">
        <v>754</v>
      </c>
      <c r="F229" s="1" t="s">
        <v>751</v>
      </c>
      <c r="G229" s="1">
        <v>25</v>
      </c>
      <c r="H229" s="1">
        <v>170</v>
      </c>
      <c r="I229" s="1">
        <v>465</v>
      </c>
      <c r="J229" s="1">
        <v>65</v>
      </c>
      <c r="K229" s="1">
        <v>40</v>
      </c>
      <c r="L229" s="1">
        <v>70</v>
      </c>
      <c r="M229" s="1">
        <v>80</v>
      </c>
      <c r="N229" s="1">
        <v>140</v>
      </c>
      <c r="O229" s="1">
        <v>70</v>
      </c>
      <c r="P229" s="1" t="s">
        <v>82</v>
      </c>
      <c r="Q229" s="1" t="s">
        <v>82</v>
      </c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P229" s="184"/>
    </row>
    <row r="230" spans="2:42">
      <c r="B230" s="1">
        <v>227</v>
      </c>
      <c r="C230" s="1" t="s">
        <v>505</v>
      </c>
      <c r="D230" s="1" t="s">
        <v>937</v>
      </c>
      <c r="E230" s="1" t="s">
        <v>818</v>
      </c>
      <c r="F230" s="1" t="s">
        <v>751</v>
      </c>
      <c r="G230" s="1">
        <v>25</v>
      </c>
      <c r="H230" s="1">
        <v>163</v>
      </c>
      <c r="I230" s="1">
        <v>465</v>
      </c>
      <c r="J230" s="1">
        <v>65</v>
      </c>
      <c r="K230" s="1">
        <v>80</v>
      </c>
      <c r="L230" s="1">
        <v>140</v>
      </c>
      <c r="M230" s="1">
        <v>40</v>
      </c>
      <c r="N230" s="1">
        <v>70</v>
      </c>
      <c r="O230" s="1">
        <v>70</v>
      </c>
      <c r="P230" s="1" t="s">
        <v>82</v>
      </c>
      <c r="Q230" s="1" t="s">
        <v>82</v>
      </c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P230" s="184"/>
    </row>
    <row r="231" spans="2:42">
      <c r="B231" s="1">
        <v>228</v>
      </c>
      <c r="C231" s="1" t="s">
        <v>504</v>
      </c>
      <c r="D231" s="1" t="s">
        <v>938</v>
      </c>
      <c r="E231" s="1" t="s">
        <v>864</v>
      </c>
      <c r="F231" s="1" t="s">
        <v>748</v>
      </c>
      <c r="G231" s="1">
        <v>120</v>
      </c>
      <c r="H231" s="1">
        <v>66</v>
      </c>
      <c r="I231" s="1">
        <v>330</v>
      </c>
      <c r="J231" s="1">
        <v>45</v>
      </c>
      <c r="K231" s="1">
        <v>60</v>
      </c>
      <c r="L231" s="1">
        <v>30</v>
      </c>
      <c r="M231" s="1">
        <v>80</v>
      </c>
      <c r="N231" s="1">
        <v>50</v>
      </c>
      <c r="O231" s="1">
        <v>65</v>
      </c>
      <c r="P231" s="1">
        <v>24</v>
      </c>
      <c r="Q231" s="1">
        <v>229</v>
      </c>
      <c r="R231" s="1" t="s">
        <v>939</v>
      </c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P231" s="184"/>
    </row>
    <row r="232" spans="2:42">
      <c r="B232" s="1">
        <v>229</v>
      </c>
      <c r="C232" s="1" t="s">
        <v>503</v>
      </c>
      <c r="D232" s="1" t="s">
        <v>939</v>
      </c>
      <c r="E232" s="1" t="s">
        <v>864</v>
      </c>
      <c r="F232" s="1" t="s">
        <v>748</v>
      </c>
      <c r="G232" s="1">
        <v>45</v>
      </c>
      <c r="H232" s="1">
        <v>175</v>
      </c>
      <c r="I232" s="1">
        <v>500</v>
      </c>
      <c r="J232" s="1">
        <v>75</v>
      </c>
      <c r="K232" s="1">
        <v>90</v>
      </c>
      <c r="L232" s="1">
        <v>50</v>
      </c>
      <c r="M232" s="1">
        <v>110</v>
      </c>
      <c r="N232" s="1">
        <v>80</v>
      </c>
      <c r="O232" s="1">
        <v>95</v>
      </c>
      <c r="P232" s="1" t="s">
        <v>82</v>
      </c>
      <c r="Q232" s="1" t="s">
        <v>82</v>
      </c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P232" s="184"/>
    </row>
    <row r="233" spans="2:42">
      <c r="B233" s="1">
        <v>230</v>
      </c>
      <c r="C233" s="1" t="s">
        <v>502</v>
      </c>
      <c r="D233" s="1" t="s">
        <v>940</v>
      </c>
      <c r="E233" s="1" t="s">
        <v>754</v>
      </c>
      <c r="F233" s="1" t="s">
        <v>752</v>
      </c>
      <c r="G233" s="1">
        <v>45</v>
      </c>
      <c r="H233" s="1">
        <v>243</v>
      </c>
      <c r="I233" s="1">
        <v>540</v>
      </c>
      <c r="J233" s="1">
        <v>75</v>
      </c>
      <c r="K233" s="1">
        <v>95</v>
      </c>
      <c r="L233" s="1">
        <v>95</v>
      </c>
      <c r="M233" s="1">
        <v>95</v>
      </c>
      <c r="N233" s="1">
        <v>95</v>
      </c>
      <c r="O233" s="1">
        <v>85</v>
      </c>
      <c r="P233" s="1" t="s">
        <v>82</v>
      </c>
      <c r="Q233" s="1" t="s">
        <v>82</v>
      </c>
      <c r="R233" s="1" t="s">
        <v>82</v>
      </c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P233" s="184"/>
    </row>
    <row r="234" spans="2:42">
      <c r="B234" s="1">
        <v>231</v>
      </c>
      <c r="C234" s="1" t="s">
        <v>501</v>
      </c>
      <c r="D234" s="1" t="s">
        <v>501</v>
      </c>
      <c r="E234" s="1" t="s">
        <v>774</v>
      </c>
      <c r="F234" s="1" t="s">
        <v>82</v>
      </c>
      <c r="G234" s="1">
        <v>120</v>
      </c>
      <c r="H234" s="1">
        <v>66</v>
      </c>
      <c r="I234" s="1">
        <v>330</v>
      </c>
      <c r="J234" s="1">
        <v>90</v>
      </c>
      <c r="K234" s="1">
        <v>60</v>
      </c>
      <c r="L234" s="1">
        <v>60</v>
      </c>
      <c r="M234" s="1">
        <v>40</v>
      </c>
      <c r="N234" s="1">
        <v>40</v>
      </c>
      <c r="O234" s="1">
        <v>40</v>
      </c>
      <c r="P234" s="1">
        <v>25</v>
      </c>
      <c r="Q234" s="1">
        <v>232</v>
      </c>
      <c r="R234" s="1" t="s">
        <v>500</v>
      </c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P234" s="184"/>
    </row>
    <row r="235" spans="2:42">
      <c r="B235" s="1">
        <v>232</v>
      </c>
      <c r="C235" s="1" t="s">
        <v>500</v>
      </c>
      <c r="D235" s="1" t="s">
        <v>500</v>
      </c>
      <c r="E235" s="1" t="s">
        <v>774</v>
      </c>
      <c r="F235" s="1" t="s">
        <v>82</v>
      </c>
      <c r="G235" s="1">
        <v>60</v>
      </c>
      <c r="H235" s="1">
        <v>175</v>
      </c>
      <c r="I235" s="1">
        <v>500</v>
      </c>
      <c r="J235" s="1">
        <v>90</v>
      </c>
      <c r="K235" s="1">
        <v>120</v>
      </c>
      <c r="L235" s="1">
        <v>120</v>
      </c>
      <c r="M235" s="1">
        <v>60</v>
      </c>
      <c r="N235" s="1">
        <v>60</v>
      </c>
      <c r="O235" s="1">
        <v>50</v>
      </c>
      <c r="P235" s="1" t="s">
        <v>82</v>
      </c>
      <c r="Q235" s="1" t="s">
        <v>82</v>
      </c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P235" s="184"/>
    </row>
    <row r="236" spans="2:42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45</v>
      </c>
      <c r="H236" s="1">
        <v>180</v>
      </c>
      <c r="I236" s="1">
        <v>515</v>
      </c>
      <c r="J236" s="1">
        <v>85</v>
      </c>
      <c r="K236" s="1">
        <v>80</v>
      </c>
      <c r="L236" s="1">
        <v>90</v>
      </c>
      <c r="M236" s="1">
        <v>105</v>
      </c>
      <c r="N236" s="1">
        <v>95</v>
      </c>
      <c r="O236" s="1">
        <v>60</v>
      </c>
      <c r="P236" s="1">
        <v>30</v>
      </c>
      <c r="Q236" s="1">
        <v>474</v>
      </c>
      <c r="R236" s="1" t="s">
        <v>258</v>
      </c>
      <c r="S236" s="1" t="b">
        <v>1</v>
      </c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P236" s="184"/>
    </row>
    <row r="237" spans="2:42">
      <c r="B237" s="1">
        <v>234</v>
      </c>
      <c r="C237" s="1" t="s">
        <v>498</v>
      </c>
      <c r="D237" s="1" t="s">
        <v>941</v>
      </c>
      <c r="E237" s="1" t="s">
        <v>765</v>
      </c>
      <c r="F237" s="1" t="s">
        <v>82</v>
      </c>
      <c r="G237" s="1">
        <v>45</v>
      </c>
      <c r="H237" s="1">
        <v>163</v>
      </c>
      <c r="I237" s="1">
        <v>465</v>
      </c>
      <c r="J237" s="1">
        <v>73</v>
      </c>
      <c r="K237" s="1">
        <v>95</v>
      </c>
      <c r="L237" s="1">
        <v>62</v>
      </c>
      <c r="M237" s="1">
        <v>85</v>
      </c>
      <c r="N237" s="1">
        <v>65</v>
      </c>
      <c r="O237" s="1">
        <v>85</v>
      </c>
      <c r="P237" s="1" t="s">
        <v>82</v>
      </c>
      <c r="Q237" s="1" t="s">
        <v>82</v>
      </c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P237" s="184"/>
    </row>
    <row r="238" spans="2:42">
      <c r="B238" s="1">
        <v>235</v>
      </c>
      <c r="C238" s="1" t="s">
        <v>497</v>
      </c>
      <c r="D238" s="1" t="s">
        <v>942</v>
      </c>
      <c r="E238" s="1" t="s">
        <v>765</v>
      </c>
      <c r="F238" s="1" t="s">
        <v>82</v>
      </c>
      <c r="G238" s="1">
        <v>45</v>
      </c>
      <c r="H238" s="1">
        <v>88</v>
      </c>
      <c r="I238" s="1">
        <v>250</v>
      </c>
      <c r="J238" s="1">
        <v>55</v>
      </c>
      <c r="K238" s="1">
        <v>20</v>
      </c>
      <c r="L238" s="1">
        <v>35</v>
      </c>
      <c r="M238" s="1">
        <v>20</v>
      </c>
      <c r="N238" s="1">
        <v>45</v>
      </c>
      <c r="O238" s="1">
        <v>75</v>
      </c>
      <c r="P238" s="1" t="s">
        <v>82</v>
      </c>
      <c r="Q238" s="1" t="s">
        <v>82</v>
      </c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P238" s="184"/>
    </row>
    <row r="239" spans="2:42">
      <c r="B239" s="1">
        <v>236</v>
      </c>
      <c r="C239" s="1" t="s">
        <v>496</v>
      </c>
      <c r="D239" s="1" t="s">
        <v>943</v>
      </c>
      <c r="E239" s="1" t="s">
        <v>796</v>
      </c>
      <c r="F239" s="1" t="s">
        <v>82</v>
      </c>
      <c r="G239" s="1">
        <v>75</v>
      </c>
      <c r="H239" s="1">
        <v>42</v>
      </c>
      <c r="I239" s="1">
        <v>210</v>
      </c>
      <c r="J239" s="1">
        <v>35</v>
      </c>
      <c r="K239" s="1">
        <v>35</v>
      </c>
      <c r="L239" s="1">
        <v>35</v>
      </c>
      <c r="M239" s="1">
        <v>35</v>
      </c>
      <c r="N239" s="1">
        <v>35</v>
      </c>
      <c r="O239" s="1">
        <v>35</v>
      </c>
      <c r="P239" s="1">
        <v>20</v>
      </c>
      <c r="Q239" s="1">
        <v>106</v>
      </c>
      <c r="R239" s="1" t="s">
        <v>841</v>
      </c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P239" s="184"/>
    </row>
    <row r="240" spans="2:42">
      <c r="B240" s="1">
        <v>237</v>
      </c>
      <c r="C240" s="1" t="s">
        <v>495</v>
      </c>
      <c r="D240" s="1" t="s">
        <v>944</v>
      </c>
      <c r="E240" s="1" t="s">
        <v>796</v>
      </c>
      <c r="F240" s="1" t="s">
        <v>82</v>
      </c>
      <c r="G240" s="1">
        <v>45</v>
      </c>
      <c r="H240" s="1">
        <v>159</v>
      </c>
      <c r="I240" s="1">
        <v>455</v>
      </c>
      <c r="J240" s="1">
        <v>50</v>
      </c>
      <c r="K240" s="1">
        <v>95</v>
      </c>
      <c r="L240" s="1">
        <v>95</v>
      </c>
      <c r="M240" s="1">
        <v>35</v>
      </c>
      <c r="N240" s="1">
        <v>110</v>
      </c>
      <c r="O240" s="1">
        <v>70</v>
      </c>
      <c r="P240" s="1" t="s">
        <v>82</v>
      </c>
      <c r="Q240" s="1" t="s">
        <v>82</v>
      </c>
      <c r="R240" s="1" t="s">
        <v>82</v>
      </c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P240" s="184"/>
    </row>
    <row r="241" spans="2:42">
      <c r="B241" s="1">
        <v>238</v>
      </c>
      <c r="C241" s="1" t="s">
        <v>494</v>
      </c>
      <c r="D241" s="1" t="s">
        <v>945</v>
      </c>
      <c r="E241" s="1" t="s">
        <v>823</v>
      </c>
      <c r="F241" s="1" t="s">
        <v>803</v>
      </c>
      <c r="G241" s="1">
        <v>45</v>
      </c>
      <c r="H241" s="1">
        <v>61</v>
      </c>
      <c r="I241" s="1">
        <v>305</v>
      </c>
      <c r="J241" s="1">
        <v>45</v>
      </c>
      <c r="K241" s="1">
        <v>30</v>
      </c>
      <c r="L241" s="1">
        <v>15</v>
      </c>
      <c r="M241" s="1">
        <v>85</v>
      </c>
      <c r="N241" s="1">
        <v>65</v>
      </c>
      <c r="O241" s="1">
        <v>65</v>
      </c>
      <c r="P241" s="1">
        <v>30</v>
      </c>
      <c r="Q241" s="1">
        <v>124</v>
      </c>
      <c r="R241" s="1" t="s">
        <v>859</v>
      </c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P241" s="184"/>
    </row>
    <row r="242" spans="2:42">
      <c r="B242" s="1">
        <v>239</v>
      </c>
      <c r="C242" s="1" t="s">
        <v>493</v>
      </c>
      <c r="D242" s="1" t="s">
        <v>946</v>
      </c>
      <c r="E242" s="1" t="s">
        <v>772</v>
      </c>
      <c r="F242" s="1" t="s">
        <v>82</v>
      </c>
      <c r="G242" s="1">
        <v>45</v>
      </c>
      <c r="H242" s="1">
        <v>72</v>
      </c>
      <c r="I242" s="1">
        <v>360</v>
      </c>
      <c r="J242" s="1">
        <v>45</v>
      </c>
      <c r="K242" s="1">
        <v>63</v>
      </c>
      <c r="L242" s="1">
        <v>37</v>
      </c>
      <c r="M242" s="1">
        <v>65</v>
      </c>
      <c r="N242" s="1">
        <v>55</v>
      </c>
      <c r="O242" s="1">
        <v>95</v>
      </c>
      <c r="P242" s="1">
        <v>30</v>
      </c>
      <c r="Q242" s="1">
        <v>125</v>
      </c>
      <c r="R242" s="1" t="s">
        <v>860</v>
      </c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P242" s="184"/>
    </row>
    <row r="243" spans="2:42">
      <c r="B243" s="1">
        <v>240</v>
      </c>
      <c r="C243" s="1" t="s">
        <v>492</v>
      </c>
      <c r="D243" s="1" t="s">
        <v>492</v>
      </c>
      <c r="E243" s="1" t="s">
        <v>748</v>
      </c>
      <c r="F243" s="1" t="s">
        <v>82</v>
      </c>
      <c r="G243" s="1">
        <v>45</v>
      </c>
      <c r="H243" s="1">
        <v>73</v>
      </c>
      <c r="I243" s="1">
        <v>365</v>
      </c>
      <c r="J243" s="1">
        <v>45</v>
      </c>
      <c r="K243" s="1">
        <v>75</v>
      </c>
      <c r="L243" s="1">
        <v>37</v>
      </c>
      <c r="M243" s="1">
        <v>70</v>
      </c>
      <c r="N243" s="1">
        <v>55</v>
      </c>
      <c r="O243" s="1">
        <v>83</v>
      </c>
      <c r="P243" s="1">
        <v>30</v>
      </c>
      <c r="Q243" s="1">
        <v>126</v>
      </c>
      <c r="R243" s="1" t="s">
        <v>606</v>
      </c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P243" s="184"/>
    </row>
    <row r="244" spans="2:42">
      <c r="B244" s="1">
        <v>241</v>
      </c>
      <c r="C244" s="1" t="s">
        <v>491</v>
      </c>
      <c r="D244" s="1" t="s">
        <v>947</v>
      </c>
      <c r="E244" s="1" t="s">
        <v>765</v>
      </c>
      <c r="F244" s="1" t="s">
        <v>82</v>
      </c>
      <c r="G244" s="1">
        <v>45</v>
      </c>
      <c r="H244" s="1">
        <v>172</v>
      </c>
      <c r="I244" s="1">
        <v>490</v>
      </c>
      <c r="J244" s="1">
        <v>95</v>
      </c>
      <c r="K244" s="1">
        <v>80</v>
      </c>
      <c r="L244" s="1">
        <v>105</v>
      </c>
      <c r="M244" s="1">
        <v>40</v>
      </c>
      <c r="N244" s="1">
        <v>70</v>
      </c>
      <c r="O244" s="1">
        <v>100</v>
      </c>
      <c r="P244" s="1" t="s">
        <v>82</v>
      </c>
      <c r="Q244" s="1" t="s">
        <v>82</v>
      </c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P244" s="184"/>
    </row>
    <row r="245" spans="2:42">
      <c r="B245" s="1">
        <v>242</v>
      </c>
      <c r="C245" s="1" t="s">
        <v>490</v>
      </c>
      <c r="D245" s="1" t="s">
        <v>948</v>
      </c>
      <c r="E245" s="1" t="s">
        <v>765</v>
      </c>
      <c r="F245" s="1" t="s">
        <v>82</v>
      </c>
      <c r="G245" s="1">
        <v>30</v>
      </c>
      <c r="H245" s="1">
        <v>608</v>
      </c>
      <c r="I245" s="1">
        <v>540</v>
      </c>
      <c r="J245" s="1">
        <v>255</v>
      </c>
      <c r="K245" s="1">
        <v>10</v>
      </c>
      <c r="L245" s="1">
        <v>10</v>
      </c>
      <c r="M245" s="1">
        <v>75</v>
      </c>
      <c r="N245" s="1">
        <v>135</v>
      </c>
      <c r="O245" s="1">
        <v>55</v>
      </c>
      <c r="P245" s="1" t="s">
        <v>82</v>
      </c>
      <c r="Q245" s="1" t="s">
        <v>82</v>
      </c>
      <c r="R245" s="1" t="s">
        <v>82</v>
      </c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P245" s="184"/>
    </row>
    <row r="246" spans="2:42">
      <c r="B246" s="1">
        <v>243</v>
      </c>
      <c r="C246" s="1" t="s">
        <v>489</v>
      </c>
      <c r="D246" s="1" t="s">
        <v>489</v>
      </c>
      <c r="E246" s="1" t="s">
        <v>772</v>
      </c>
      <c r="F246" s="1" t="s">
        <v>82</v>
      </c>
      <c r="G246" s="1">
        <v>3</v>
      </c>
      <c r="H246" s="1">
        <v>261</v>
      </c>
      <c r="I246" s="1">
        <v>580</v>
      </c>
      <c r="J246" s="1">
        <v>90</v>
      </c>
      <c r="K246" s="1">
        <v>85</v>
      </c>
      <c r="L246" s="1">
        <v>75</v>
      </c>
      <c r="M246" s="1">
        <v>115</v>
      </c>
      <c r="N246" s="1">
        <v>100</v>
      </c>
      <c r="O246" s="1">
        <v>115</v>
      </c>
      <c r="P246" s="1" t="s">
        <v>82</v>
      </c>
      <c r="Q246" s="1" t="s">
        <v>82</v>
      </c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P246" s="184"/>
    </row>
    <row r="247" spans="2:42">
      <c r="B247" s="1">
        <v>244</v>
      </c>
      <c r="C247" s="1" t="s">
        <v>488</v>
      </c>
      <c r="D247" s="1" t="s">
        <v>488</v>
      </c>
      <c r="E247" s="1" t="s">
        <v>748</v>
      </c>
      <c r="F247" s="1" t="s">
        <v>82</v>
      </c>
      <c r="G247" s="1">
        <v>3</v>
      </c>
      <c r="H247" s="1">
        <v>261</v>
      </c>
      <c r="I247" s="1">
        <v>580</v>
      </c>
      <c r="J247" s="1">
        <v>115</v>
      </c>
      <c r="K247" s="1">
        <v>115</v>
      </c>
      <c r="L247" s="1">
        <v>85</v>
      </c>
      <c r="M247" s="1">
        <v>90</v>
      </c>
      <c r="N247" s="1">
        <v>75</v>
      </c>
      <c r="O247" s="1">
        <v>100</v>
      </c>
      <c r="P247" s="1" t="s">
        <v>82</v>
      </c>
      <c r="Q247" s="1" t="s">
        <v>82</v>
      </c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P247" s="184"/>
    </row>
    <row r="248" spans="2:42">
      <c r="B248" s="1">
        <v>245</v>
      </c>
      <c r="C248" s="1" t="s">
        <v>487</v>
      </c>
      <c r="D248" s="1" t="s">
        <v>487</v>
      </c>
      <c r="E248" s="1" t="s">
        <v>754</v>
      </c>
      <c r="F248" s="1" t="s">
        <v>82</v>
      </c>
      <c r="G248" s="1">
        <v>3</v>
      </c>
      <c r="H248" s="1">
        <v>261</v>
      </c>
      <c r="I248" s="1">
        <v>580</v>
      </c>
      <c r="J248" s="1">
        <v>100</v>
      </c>
      <c r="K248" s="1">
        <v>75</v>
      </c>
      <c r="L248" s="1">
        <v>115</v>
      </c>
      <c r="M248" s="1">
        <v>90</v>
      </c>
      <c r="N248" s="1">
        <v>115</v>
      </c>
      <c r="O248" s="1">
        <v>85</v>
      </c>
      <c r="P248" s="1" t="s">
        <v>82</v>
      </c>
      <c r="Q248" s="1" t="s">
        <v>82</v>
      </c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P248" s="184"/>
    </row>
    <row r="249" spans="2:42">
      <c r="B249" s="1">
        <v>246</v>
      </c>
      <c r="C249" s="1" t="s">
        <v>486</v>
      </c>
      <c r="D249" s="1" t="s">
        <v>949</v>
      </c>
      <c r="E249" s="1" t="s">
        <v>811</v>
      </c>
      <c r="F249" s="1" t="s">
        <v>774</v>
      </c>
      <c r="G249" s="1">
        <v>45</v>
      </c>
      <c r="H249" s="1">
        <v>60</v>
      </c>
      <c r="I249" s="1">
        <v>300</v>
      </c>
      <c r="J249" s="1">
        <v>50</v>
      </c>
      <c r="K249" s="1">
        <v>64</v>
      </c>
      <c r="L249" s="1">
        <v>50</v>
      </c>
      <c r="M249" s="1">
        <v>45</v>
      </c>
      <c r="N249" s="1">
        <v>50</v>
      </c>
      <c r="O249" s="1">
        <v>41</v>
      </c>
      <c r="P249" s="1">
        <v>30</v>
      </c>
      <c r="Q249" s="1">
        <v>247</v>
      </c>
      <c r="R249" s="1" t="s">
        <v>950</v>
      </c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P249" s="184"/>
    </row>
    <row r="250" spans="2:42">
      <c r="B250" s="1">
        <v>247</v>
      </c>
      <c r="C250" s="1" t="s">
        <v>485</v>
      </c>
      <c r="D250" s="1" t="s">
        <v>950</v>
      </c>
      <c r="E250" s="1" t="s">
        <v>811</v>
      </c>
      <c r="F250" s="1" t="s">
        <v>774</v>
      </c>
      <c r="G250" s="1">
        <v>45</v>
      </c>
      <c r="H250" s="1">
        <v>144</v>
      </c>
      <c r="I250" s="1">
        <v>410</v>
      </c>
      <c r="J250" s="1">
        <v>70</v>
      </c>
      <c r="K250" s="1">
        <v>84</v>
      </c>
      <c r="L250" s="1">
        <v>70</v>
      </c>
      <c r="M250" s="1">
        <v>65</v>
      </c>
      <c r="N250" s="1">
        <v>70</v>
      </c>
      <c r="O250" s="1">
        <v>51</v>
      </c>
      <c r="P250" s="1">
        <v>55</v>
      </c>
      <c r="Q250" s="1">
        <v>248</v>
      </c>
      <c r="R250" s="1" t="s">
        <v>951</v>
      </c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P250" s="184"/>
    </row>
    <row r="251" spans="2:42">
      <c r="B251" s="1">
        <v>248</v>
      </c>
      <c r="C251" s="1" t="s">
        <v>484</v>
      </c>
      <c r="D251" s="1" t="s">
        <v>951</v>
      </c>
      <c r="E251" s="1" t="s">
        <v>811</v>
      </c>
      <c r="F251" s="1" t="s">
        <v>864</v>
      </c>
      <c r="G251" s="1">
        <v>45</v>
      </c>
      <c r="H251" s="1">
        <v>270</v>
      </c>
      <c r="I251" s="1">
        <v>600</v>
      </c>
      <c r="J251" s="1">
        <v>100</v>
      </c>
      <c r="K251" s="1">
        <v>134</v>
      </c>
      <c r="L251" s="1">
        <v>110</v>
      </c>
      <c r="M251" s="1">
        <v>95</v>
      </c>
      <c r="N251" s="1">
        <v>100</v>
      </c>
      <c r="O251" s="1">
        <v>61</v>
      </c>
      <c r="P251" s="1" t="s">
        <v>82</v>
      </c>
      <c r="Q251" s="1" t="s">
        <v>82</v>
      </c>
      <c r="R251" s="1" t="s">
        <v>82</v>
      </c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P251" s="184"/>
    </row>
    <row r="252" spans="2:42">
      <c r="B252" s="1">
        <v>249</v>
      </c>
      <c r="C252" s="1" t="s">
        <v>483</v>
      </c>
      <c r="D252" s="1" t="s">
        <v>483</v>
      </c>
      <c r="E252" s="1" t="s">
        <v>803</v>
      </c>
      <c r="F252" s="1" t="s">
        <v>751</v>
      </c>
      <c r="G252" s="1">
        <v>3</v>
      </c>
      <c r="H252" s="1">
        <v>306</v>
      </c>
      <c r="I252" s="1">
        <v>680</v>
      </c>
      <c r="J252" s="1">
        <v>106</v>
      </c>
      <c r="K252" s="1">
        <v>90</v>
      </c>
      <c r="L252" s="1">
        <v>130</v>
      </c>
      <c r="M252" s="1">
        <v>90</v>
      </c>
      <c r="N252" s="1">
        <v>154</v>
      </c>
      <c r="O252" s="1">
        <v>110</v>
      </c>
      <c r="P252" s="1" t="s">
        <v>82</v>
      </c>
      <c r="Q252" s="1" t="s">
        <v>82</v>
      </c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P252" s="184"/>
    </row>
    <row r="253" spans="2:42">
      <c r="B253" s="1">
        <v>250</v>
      </c>
      <c r="C253" s="1" t="s">
        <v>482</v>
      </c>
      <c r="D253" s="1" t="s">
        <v>952</v>
      </c>
      <c r="E253" s="1" t="s">
        <v>748</v>
      </c>
      <c r="F253" s="1" t="s">
        <v>751</v>
      </c>
      <c r="G253" s="1">
        <v>3</v>
      </c>
      <c r="H253" s="1">
        <v>306</v>
      </c>
      <c r="I253" s="1">
        <v>680</v>
      </c>
      <c r="J253" s="1">
        <v>106</v>
      </c>
      <c r="K253" s="1">
        <v>130</v>
      </c>
      <c r="L253" s="1">
        <v>90</v>
      </c>
      <c r="M253" s="1">
        <v>110</v>
      </c>
      <c r="N253" s="1">
        <v>154</v>
      </c>
      <c r="O253" s="1">
        <v>90</v>
      </c>
      <c r="P253" s="1" t="s">
        <v>82</v>
      </c>
      <c r="Q253" s="1" t="s">
        <v>82</v>
      </c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P253" s="184"/>
    </row>
    <row r="254" spans="2:42">
      <c r="B254" s="1">
        <v>251</v>
      </c>
      <c r="C254" s="1" t="s">
        <v>481</v>
      </c>
      <c r="D254" s="1" t="s">
        <v>481</v>
      </c>
      <c r="E254" s="1" t="s">
        <v>803</v>
      </c>
      <c r="F254" s="1" t="s">
        <v>743</v>
      </c>
      <c r="G254" s="1">
        <v>45</v>
      </c>
      <c r="H254" s="1">
        <v>270</v>
      </c>
      <c r="I254" s="1">
        <v>600</v>
      </c>
      <c r="J254" s="1">
        <v>100</v>
      </c>
      <c r="K254" s="1">
        <v>100</v>
      </c>
      <c r="L254" s="1">
        <v>100</v>
      </c>
      <c r="M254" s="1">
        <v>100</v>
      </c>
      <c r="N254" s="1">
        <v>100</v>
      </c>
      <c r="O254" s="1">
        <v>100</v>
      </c>
      <c r="P254" s="1" t="s">
        <v>82</v>
      </c>
      <c r="Q254" s="1" t="s">
        <v>82</v>
      </c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P254" s="184"/>
    </row>
    <row r="255" spans="2:42">
      <c r="B255" s="1">
        <v>252</v>
      </c>
      <c r="C255" s="1" t="s">
        <v>480</v>
      </c>
      <c r="D255" s="1" t="s">
        <v>953</v>
      </c>
      <c r="E255" s="1" t="s">
        <v>743</v>
      </c>
      <c r="F255" s="1" t="s">
        <v>82</v>
      </c>
      <c r="G255" s="1">
        <v>45</v>
      </c>
      <c r="H255" s="1">
        <v>62</v>
      </c>
      <c r="I255" s="1">
        <v>310</v>
      </c>
      <c r="J255" s="1">
        <v>40</v>
      </c>
      <c r="K255" s="1">
        <v>45</v>
      </c>
      <c r="L255" s="1">
        <v>35</v>
      </c>
      <c r="M255" s="1">
        <v>65</v>
      </c>
      <c r="N255" s="1">
        <v>55</v>
      </c>
      <c r="O255" s="1">
        <v>70</v>
      </c>
      <c r="P255" s="1">
        <v>16</v>
      </c>
      <c r="Q255" s="1">
        <v>253</v>
      </c>
      <c r="R255" s="1" t="s">
        <v>954</v>
      </c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P255" s="184"/>
    </row>
    <row r="256" spans="2:42">
      <c r="B256" s="1">
        <v>253</v>
      </c>
      <c r="C256" s="1" t="s">
        <v>479</v>
      </c>
      <c r="D256" s="1" t="s">
        <v>954</v>
      </c>
      <c r="E256" s="1" t="s">
        <v>743</v>
      </c>
      <c r="F256" s="1" t="s">
        <v>82</v>
      </c>
      <c r="G256" s="1">
        <v>45</v>
      </c>
      <c r="H256" s="1">
        <v>142</v>
      </c>
      <c r="I256" s="1">
        <v>405</v>
      </c>
      <c r="J256" s="1">
        <v>50</v>
      </c>
      <c r="K256" s="1">
        <v>65</v>
      </c>
      <c r="L256" s="1">
        <v>45</v>
      </c>
      <c r="M256" s="1">
        <v>85</v>
      </c>
      <c r="N256" s="1">
        <v>65</v>
      </c>
      <c r="O256" s="1">
        <v>95</v>
      </c>
      <c r="P256" s="1">
        <v>36</v>
      </c>
      <c r="Q256" s="1">
        <v>254</v>
      </c>
      <c r="R256" s="1" t="s">
        <v>955</v>
      </c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P256" s="184"/>
    </row>
    <row r="257" spans="2:42">
      <c r="B257" s="1">
        <v>254</v>
      </c>
      <c r="C257" s="1" t="s">
        <v>478</v>
      </c>
      <c r="D257" s="1" t="s">
        <v>955</v>
      </c>
      <c r="E257" s="1" t="s">
        <v>743</v>
      </c>
      <c r="F257" s="1" t="s">
        <v>82</v>
      </c>
      <c r="G257" s="1">
        <v>45</v>
      </c>
      <c r="H257" s="1">
        <v>239</v>
      </c>
      <c r="I257" s="1">
        <v>530</v>
      </c>
      <c r="J257" s="1">
        <v>70</v>
      </c>
      <c r="K257" s="1">
        <v>85</v>
      </c>
      <c r="L257" s="1">
        <v>65</v>
      </c>
      <c r="M257" s="1">
        <v>105</v>
      </c>
      <c r="N257" s="1">
        <v>85</v>
      </c>
      <c r="O257" s="1">
        <v>120</v>
      </c>
      <c r="P257" s="1" t="s">
        <v>82</v>
      </c>
      <c r="Q257" s="1" t="s">
        <v>82</v>
      </c>
      <c r="R257" s="1" t="s">
        <v>82</v>
      </c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P257" s="184"/>
    </row>
    <row r="258" spans="2:42">
      <c r="B258" s="1">
        <v>255</v>
      </c>
      <c r="C258" s="1" t="s">
        <v>477</v>
      </c>
      <c r="D258" s="1" t="s">
        <v>956</v>
      </c>
      <c r="E258" s="1" t="s">
        <v>748</v>
      </c>
      <c r="F258" s="1" t="s">
        <v>82</v>
      </c>
      <c r="G258" s="1">
        <v>45</v>
      </c>
      <c r="H258" s="1">
        <v>62</v>
      </c>
      <c r="I258" s="1">
        <v>310</v>
      </c>
      <c r="J258" s="1">
        <v>45</v>
      </c>
      <c r="K258" s="1">
        <v>60</v>
      </c>
      <c r="L258" s="1">
        <v>40</v>
      </c>
      <c r="M258" s="1">
        <v>70</v>
      </c>
      <c r="N258" s="1">
        <v>50</v>
      </c>
      <c r="O258" s="1">
        <v>45</v>
      </c>
      <c r="P258" s="1">
        <v>16</v>
      </c>
      <c r="Q258" s="1">
        <v>256</v>
      </c>
      <c r="R258" s="1" t="s">
        <v>957</v>
      </c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P258" s="184"/>
    </row>
    <row r="259" spans="2:42">
      <c r="B259" s="1">
        <v>256</v>
      </c>
      <c r="C259" s="1" t="s">
        <v>476</v>
      </c>
      <c r="D259" s="1" t="s">
        <v>957</v>
      </c>
      <c r="E259" s="1" t="s">
        <v>748</v>
      </c>
      <c r="F259" s="1" t="s">
        <v>796</v>
      </c>
      <c r="G259" s="1">
        <v>45</v>
      </c>
      <c r="H259" s="1">
        <v>142</v>
      </c>
      <c r="I259" s="1">
        <v>405</v>
      </c>
      <c r="J259" s="1">
        <v>60</v>
      </c>
      <c r="K259" s="1">
        <v>85</v>
      </c>
      <c r="L259" s="1">
        <v>60</v>
      </c>
      <c r="M259" s="1">
        <v>85</v>
      </c>
      <c r="N259" s="1">
        <v>60</v>
      </c>
      <c r="O259" s="1">
        <v>55</v>
      </c>
      <c r="P259" s="1">
        <v>36</v>
      </c>
      <c r="Q259" s="1">
        <v>257</v>
      </c>
      <c r="R259" s="1" t="s">
        <v>958</v>
      </c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P259" s="184"/>
    </row>
    <row r="260" spans="2:42">
      <c r="B260" s="1">
        <v>257</v>
      </c>
      <c r="C260" s="1" t="s">
        <v>475</v>
      </c>
      <c r="D260" s="1" t="s">
        <v>958</v>
      </c>
      <c r="E260" s="1" t="s">
        <v>748</v>
      </c>
      <c r="F260" s="1" t="s">
        <v>796</v>
      </c>
      <c r="G260" s="1">
        <v>45</v>
      </c>
      <c r="H260" s="1">
        <v>239</v>
      </c>
      <c r="I260" s="1">
        <v>530</v>
      </c>
      <c r="J260" s="1">
        <v>80</v>
      </c>
      <c r="K260" s="1">
        <v>120</v>
      </c>
      <c r="L260" s="1">
        <v>70</v>
      </c>
      <c r="M260" s="1">
        <v>110</v>
      </c>
      <c r="N260" s="1">
        <v>70</v>
      </c>
      <c r="O260" s="1">
        <v>80</v>
      </c>
      <c r="P260" s="1" t="s">
        <v>82</v>
      </c>
      <c r="Q260" s="1" t="s">
        <v>82</v>
      </c>
      <c r="R260" s="1" t="s">
        <v>82</v>
      </c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P260" s="184"/>
    </row>
    <row r="261" spans="2:42">
      <c r="B261" s="1">
        <v>258</v>
      </c>
      <c r="C261" s="1" t="s">
        <v>474</v>
      </c>
      <c r="D261" s="1" t="s">
        <v>959</v>
      </c>
      <c r="E261" s="1" t="s">
        <v>754</v>
      </c>
      <c r="F261" s="1" t="s">
        <v>82</v>
      </c>
      <c r="G261" s="1">
        <v>45</v>
      </c>
      <c r="H261" s="1">
        <v>62</v>
      </c>
      <c r="I261" s="1">
        <v>310</v>
      </c>
      <c r="J261" s="1">
        <v>50</v>
      </c>
      <c r="K261" s="1">
        <v>70</v>
      </c>
      <c r="L261" s="1">
        <v>50</v>
      </c>
      <c r="M261" s="1">
        <v>50</v>
      </c>
      <c r="N261" s="1">
        <v>50</v>
      </c>
      <c r="O261" s="1">
        <v>40</v>
      </c>
      <c r="P261" s="1">
        <v>16</v>
      </c>
      <c r="Q261" s="1">
        <v>259</v>
      </c>
      <c r="R261" s="1" t="s">
        <v>960</v>
      </c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P261" s="184"/>
    </row>
    <row r="262" spans="2:42">
      <c r="B262" s="1">
        <v>259</v>
      </c>
      <c r="C262" s="1" t="s">
        <v>473</v>
      </c>
      <c r="D262" s="1" t="s">
        <v>960</v>
      </c>
      <c r="E262" s="1" t="s">
        <v>754</v>
      </c>
      <c r="F262" s="1" t="s">
        <v>774</v>
      </c>
      <c r="G262" s="1">
        <v>45</v>
      </c>
      <c r="H262" s="1">
        <v>142</v>
      </c>
      <c r="I262" s="1">
        <v>405</v>
      </c>
      <c r="J262" s="1">
        <v>70</v>
      </c>
      <c r="K262" s="1">
        <v>85</v>
      </c>
      <c r="L262" s="1">
        <v>70</v>
      </c>
      <c r="M262" s="1">
        <v>60</v>
      </c>
      <c r="N262" s="1">
        <v>70</v>
      </c>
      <c r="O262" s="1">
        <v>50</v>
      </c>
      <c r="P262" s="1">
        <v>36</v>
      </c>
      <c r="Q262" s="1">
        <v>260</v>
      </c>
      <c r="R262" s="1" t="s">
        <v>961</v>
      </c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P262" s="184"/>
    </row>
    <row r="263" spans="2:42">
      <c r="B263" s="1">
        <v>260</v>
      </c>
      <c r="C263" s="1" t="s">
        <v>472</v>
      </c>
      <c r="D263" s="1" t="s">
        <v>961</v>
      </c>
      <c r="E263" s="1" t="s">
        <v>754</v>
      </c>
      <c r="F263" s="1" t="s">
        <v>774</v>
      </c>
      <c r="G263" s="1">
        <v>45</v>
      </c>
      <c r="H263" s="1">
        <v>241</v>
      </c>
      <c r="I263" s="1">
        <v>535</v>
      </c>
      <c r="J263" s="1">
        <v>100</v>
      </c>
      <c r="K263" s="1">
        <v>110</v>
      </c>
      <c r="L263" s="1">
        <v>90</v>
      </c>
      <c r="M263" s="1">
        <v>85</v>
      </c>
      <c r="N263" s="1">
        <v>90</v>
      </c>
      <c r="O263" s="1">
        <v>60</v>
      </c>
      <c r="P263" s="1" t="s">
        <v>82</v>
      </c>
      <c r="Q263" s="1" t="s">
        <v>82</v>
      </c>
      <c r="R263" s="1" t="s">
        <v>82</v>
      </c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P263" s="184"/>
    </row>
    <row r="264" spans="2:42">
      <c r="B264" s="1">
        <v>261</v>
      </c>
      <c r="C264" s="1" t="s">
        <v>471</v>
      </c>
      <c r="D264" s="1" t="s">
        <v>962</v>
      </c>
      <c r="E264" s="1" t="s">
        <v>864</v>
      </c>
      <c r="F264" s="1" t="s">
        <v>82</v>
      </c>
      <c r="G264" s="1">
        <v>255</v>
      </c>
      <c r="H264" s="1">
        <v>56</v>
      </c>
      <c r="I264" s="1">
        <v>220</v>
      </c>
      <c r="J264" s="1">
        <v>35</v>
      </c>
      <c r="K264" s="1">
        <v>55</v>
      </c>
      <c r="L264" s="1">
        <v>35</v>
      </c>
      <c r="M264" s="1">
        <v>30</v>
      </c>
      <c r="N264" s="1">
        <v>30</v>
      </c>
      <c r="O264" s="1">
        <v>35</v>
      </c>
      <c r="P264" s="1">
        <v>18</v>
      </c>
      <c r="Q264" s="1">
        <v>262</v>
      </c>
      <c r="R264" s="1" t="s">
        <v>963</v>
      </c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P264" s="184"/>
    </row>
    <row r="265" spans="2:42">
      <c r="B265" s="1">
        <v>262</v>
      </c>
      <c r="C265" s="1" t="s">
        <v>470</v>
      </c>
      <c r="D265" s="1" t="s">
        <v>963</v>
      </c>
      <c r="E265" s="1" t="s">
        <v>864</v>
      </c>
      <c r="F265" s="1" t="s">
        <v>82</v>
      </c>
      <c r="G265" s="1">
        <v>127</v>
      </c>
      <c r="H265" s="1">
        <v>147</v>
      </c>
      <c r="I265" s="1">
        <v>420</v>
      </c>
      <c r="J265" s="1">
        <v>70</v>
      </c>
      <c r="K265" s="1">
        <v>90</v>
      </c>
      <c r="L265" s="1">
        <v>70</v>
      </c>
      <c r="M265" s="1">
        <v>60</v>
      </c>
      <c r="N265" s="1">
        <v>60</v>
      </c>
      <c r="O265" s="1">
        <v>70</v>
      </c>
      <c r="P265" s="1" t="s">
        <v>82</v>
      </c>
      <c r="Q265" s="1" t="s">
        <v>82</v>
      </c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P265" s="184"/>
    </row>
    <row r="266" spans="2:42">
      <c r="B266" s="1">
        <v>263</v>
      </c>
      <c r="C266" s="1" t="s">
        <v>469</v>
      </c>
      <c r="D266" s="1" t="s">
        <v>964</v>
      </c>
      <c r="E266" s="1" t="s">
        <v>765</v>
      </c>
      <c r="F266" s="1" t="s">
        <v>82</v>
      </c>
      <c r="G266" s="1">
        <v>255</v>
      </c>
      <c r="H266" s="1">
        <v>56</v>
      </c>
      <c r="I266" s="1">
        <v>240</v>
      </c>
      <c r="J266" s="1">
        <v>38</v>
      </c>
      <c r="K266" s="1">
        <v>30</v>
      </c>
      <c r="L266" s="1">
        <v>41</v>
      </c>
      <c r="M266" s="1">
        <v>30</v>
      </c>
      <c r="N266" s="1">
        <v>41</v>
      </c>
      <c r="O266" s="1">
        <v>60</v>
      </c>
      <c r="P266" s="1">
        <v>20</v>
      </c>
      <c r="Q266" s="1">
        <v>264</v>
      </c>
      <c r="R266" s="1" t="s">
        <v>965</v>
      </c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P266" s="184"/>
    </row>
    <row r="267" spans="2:42">
      <c r="B267" s="1">
        <v>264</v>
      </c>
      <c r="C267" s="1" t="s">
        <v>468</v>
      </c>
      <c r="D267" s="1" t="s">
        <v>965</v>
      </c>
      <c r="E267" s="1" t="s">
        <v>765</v>
      </c>
      <c r="F267" s="1" t="s">
        <v>82</v>
      </c>
      <c r="G267" s="1">
        <v>90</v>
      </c>
      <c r="H267" s="1">
        <v>147</v>
      </c>
      <c r="I267" s="1">
        <v>420</v>
      </c>
      <c r="J267" s="1">
        <v>78</v>
      </c>
      <c r="K267" s="1">
        <v>70</v>
      </c>
      <c r="L267" s="1">
        <v>61</v>
      </c>
      <c r="M267" s="1">
        <v>50</v>
      </c>
      <c r="N267" s="1">
        <v>61</v>
      </c>
      <c r="O267" s="1">
        <v>100</v>
      </c>
      <c r="P267" s="1" t="s">
        <v>82</v>
      </c>
      <c r="Q267" s="1" t="s">
        <v>82</v>
      </c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P267" s="184"/>
    </row>
    <row r="268" spans="2:42">
      <c r="B268" s="1">
        <v>265</v>
      </c>
      <c r="C268" s="1" t="s">
        <v>467</v>
      </c>
      <c r="D268" s="1" t="s">
        <v>966</v>
      </c>
      <c r="E268" s="1" t="s">
        <v>758</v>
      </c>
      <c r="F268" s="1" t="s">
        <v>82</v>
      </c>
      <c r="G268" s="1">
        <v>255</v>
      </c>
      <c r="H268" s="1">
        <v>56</v>
      </c>
      <c r="I268" s="1">
        <v>195</v>
      </c>
      <c r="J268" s="1">
        <v>45</v>
      </c>
      <c r="K268" s="1">
        <v>45</v>
      </c>
      <c r="L268" s="1">
        <v>35</v>
      </c>
      <c r="M268" s="1">
        <v>20</v>
      </c>
      <c r="N268" s="1">
        <v>30</v>
      </c>
      <c r="O268" s="1">
        <v>20</v>
      </c>
      <c r="P268" s="1">
        <v>7</v>
      </c>
      <c r="Q268" s="1">
        <v>266</v>
      </c>
      <c r="R268" s="1" t="s">
        <v>967</v>
      </c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P268" s="184"/>
    </row>
    <row r="269" spans="2:42">
      <c r="B269" s="1">
        <v>266</v>
      </c>
      <c r="C269" s="1" t="s">
        <v>466</v>
      </c>
      <c r="D269" s="1" t="s">
        <v>967</v>
      </c>
      <c r="E269" s="1" t="s">
        <v>758</v>
      </c>
      <c r="F269" s="1" t="s">
        <v>82</v>
      </c>
      <c r="G269" s="1">
        <v>120</v>
      </c>
      <c r="H269" s="1">
        <v>72</v>
      </c>
      <c r="I269" s="1">
        <v>205</v>
      </c>
      <c r="J269" s="1">
        <v>50</v>
      </c>
      <c r="K269" s="1">
        <v>35</v>
      </c>
      <c r="L269" s="1">
        <v>55</v>
      </c>
      <c r="M269" s="1">
        <v>25</v>
      </c>
      <c r="N269" s="1">
        <v>25</v>
      </c>
      <c r="O269" s="1">
        <v>15</v>
      </c>
      <c r="P269" s="1">
        <v>10</v>
      </c>
      <c r="Q269" s="1" t="s">
        <v>82</v>
      </c>
      <c r="R269" s="1" t="s">
        <v>82</v>
      </c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P269" s="184"/>
    </row>
    <row r="270" spans="2:42">
      <c r="B270" s="1">
        <v>267</v>
      </c>
      <c r="C270" s="1" t="s">
        <v>465</v>
      </c>
      <c r="D270" s="1" t="s">
        <v>968</v>
      </c>
      <c r="E270" s="1" t="s">
        <v>758</v>
      </c>
      <c r="F270" s="1" t="s">
        <v>751</v>
      </c>
      <c r="G270" s="1">
        <v>45</v>
      </c>
      <c r="H270" s="1">
        <v>178</v>
      </c>
      <c r="I270" s="1">
        <v>395</v>
      </c>
      <c r="J270" s="1">
        <v>60</v>
      </c>
      <c r="K270" s="1">
        <v>70</v>
      </c>
      <c r="L270" s="1">
        <v>50</v>
      </c>
      <c r="M270" s="1">
        <v>100</v>
      </c>
      <c r="N270" s="1">
        <v>50</v>
      </c>
      <c r="O270" s="1">
        <v>65</v>
      </c>
      <c r="P270" s="1" t="s">
        <v>82</v>
      </c>
      <c r="Q270" s="1" t="s">
        <v>82</v>
      </c>
      <c r="R270" s="1" t="s">
        <v>82</v>
      </c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P270" s="184"/>
    </row>
    <row r="271" spans="2:42">
      <c r="B271" s="1">
        <v>268</v>
      </c>
      <c r="C271" s="1" t="s">
        <v>464</v>
      </c>
      <c r="D271" s="1" t="s">
        <v>969</v>
      </c>
      <c r="E271" s="1" t="s">
        <v>758</v>
      </c>
      <c r="F271" s="1" t="s">
        <v>82</v>
      </c>
      <c r="G271" s="1">
        <v>120</v>
      </c>
      <c r="H271" s="1">
        <v>72</v>
      </c>
      <c r="I271" s="1">
        <v>205</v>
      </c>
      <c r="J271" s="1">
        <v>50</v>
      </c>
      <c r="K271" s="1">
        <v>35</v>
      </c>
      <c r="L271" s="1">
        <v>55</v>
      </c>
      <c r="M271" s="1">
        <v>25</v>
      </c>
      <c r="N271" s="1">
        <v>25</v>
      </c>
      <c r="O271" s="1">
        <v>15</v>
      </c>
      <c r="P271" s="1">
        <v>10</v>
      </c>
      <c r="Q271" s="1" t="s">
        <v>82</v>
      </c>
      <c r="R271" s="1" t="s">
        <v>82</v>
      </c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P271" s="184"/>
    </row>
    <row r="272" spans="2:42">
      <c r="B272" s="1">
        <v>269</v>
      </c>
      <c r="C272" s="1" t="s">
        <v>463</v>
      </c>
      <c r="D272" s="1" t="s">
        <v>970</v>
      </c>
      <c r="E272" s="1" t="s">
        <v>758</v>
      </c>
      <c r="F272" s="1" t="s">
        <v>744</v>
      </c>
      <c r="G272" s="1">
        <v>45</v>
      </c>
      <c r="H272" s="1">
        <v>173</v>
      </c>
      <c r="I272" s="1">
        <v>385</v>
      </c>
      <c r="J272" s="1">
        <v>60</v>
      </c>
      <c r="K272" s="1">
        <v>50</v>
      </c>
      <c r="L272" s="1">
        <v>70</v>
      </c>
      <c r="M272" s="1">
        <v>50</v>
      </c>
      <c r="N272" s="1">
        <v>90</v>
      </c>
      <c r="O272" s="1">
        <v>65</v>
      </c>
      <c r="P272" s="1" t="s">
        <v>82</v>
      </c>
      <c r="Q272" s="1" t="s">
        <v>82</v>
      </c>
      <c r="R272" s="1" t="s">
        <v>82</v>
      </c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P272" s="184"/>
    </row>
    <row r="273" spans="2:42">
      <c r="B273" s="1">
        <v>270</v>
      </c>
      <c r="C273" s="1" t="s">
        <v>462</v>
      </c>
      <c r="D273" s="1" t="s">
        <v>971</v>
      </c>
      <c r="E273" s="1" t="s">
        <v>754</v>
      </c>
      <c r="F273" s="1" t="s">
        <v>743</v>
      </c>
      <c r="G273" s="1">
        <v>255</v>
      </c>
      <c r="H273" s="1">
        <v>44</v>
      </c>
      <c r="I273" s="1">
        <v>220</v>
      </c>
      <c r="J273" s="1">
        <v>40</v>
      </c>
      <c r="K273" s="1">
        <v>30</v>
      </c>
      <c r="L273" s="1">
        <v>30</v>
      </c>
      <c r="M273" s="1">
        <v>40</v>
      </c>
      <c r="N273" s="1">
        <v>50</v>
      </c>
      <c r="O273" s="1">
        <v>30</v>
      </c>
      <c r="P273" s="1">
        <v>14</v>
      </c>
      <c r="Q273" s="1">
        <v>271</v>
      </c>
      <c r="R273" s="1" t="s">
        <v>461</v>
      </c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P273" s="184"/>
    </row>
    <row r="274" spans="2:42">
      <c r="B274" s="1">
        <v>271</v>
      </c>
      <c r="C274" s="1" t="s">
        <v>461</v>
      </c>
      <c r="D274" s="1" t="s">
        <v>461</v>
      </c>
      <c r="E274" s="1" t="s">
        <v>754</v>
      </c>
      <c r="F274" s="1" t="s">
        <v>743</v>
      </c>
      <c r="G274" s="1">
        <v>120</v>
      </c>
      <c r="H274" s="1">
        <v>119</v>
      </c>
      <c r="I274" s="1">
        <v>340</v>
      </c>
      <c r="J274" s="1">
        <v>60</v>
      </c>
      <c r="K274" s="1">
        <v>50</v>
      </c>
      <c r="L274" s="1">
        <v>50</v>
      </c>
      <c r="M274" s="1">
        <v>60</v>
      </c>
      <c r="N274" s="1">
        <v>70</v>
      </c>
      <c r="O274" s="1">
        <v>50</v>
      </c>
      <c r="P274" s="1">
        <v>30</v>
      </c>
      <c r="Q274" s="1">
        <v>272</v>
      </c>
      <c r="R274" s="1" t="s">
        <v>460</v>
      </c>
      <c r="S274" s="1" t="b">
        <v>1</v>
      </c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P274" s="184"/>
    </row>
    <row r="275" spans="2:42">
      <c r="B275" s="1">
        <v>272</v>
      </c>
      <c r="C275" s="1" t="s">
        <v>460</v>
      </c>
      <c r="D275" s="1" t="s">
        <v>460</v>
      </c>
      <c r="E275" s="1" t="s">
        <v>754</v>
      </c>
      <c r="F275" s="1" t="s">
        <v>743</v>
      </c>
      <c r="G275" s="1">
        <v>45</v>
      </c>
      <c r="H275" s="1">
        <v>216</v>
      </c>
      <c r="I275" s="1">
        <v>480</v>
      </c>
      <c r="J275" s="1">
        <v>80</v>
      </c>
      <c r="K275" s="1">
        <v>70</v>
      </c>
      <c r="L275" s="1">
        <v>70</v>
      </c>
      <c r="M275" s="1">
        <v>90</v>
      </c>
      <c r="N275" s="1">
        <v>100</v>
      </c>
      <c r="O275" s="1">
        <v>70</v>
      </c>
      <c r="P275" s="1" t="s">
        <v>82</v>
      </c>
      <c r="Q275" s="1" t="s">
        <v>82</v>
      </c>
      <c r="R275" s="1" t="s">
        <v>82</v>
      </c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P275" s="184"/>
    </row>
    <row r="276" spans="2:42">
      <c r="B276" s="1">
        <v>273</v>
      </c>
      <c r="C276" s="1" t="s">
        <v>459</v>
      </c>
      <c r="D276" s="1" t="s">
        <v>972</v>
      </c>
      <c r="E276" s="1" t="s">
        <v>743</v>
      </c>
      <c r="F276" s="1" t="s">
        <v>82</v>
      </c>
      <c r="G276" s="1">
        <v>255</v>
      </c>
      <c r="H276" s="1">
        <v>44</v>
      </c>
      <c r="I276" s="1">
        <v>220</v>
      </c>
      <c r="J276" s="1">
        <v>40</v>
      </c>
      <c r="K276" s="1">
        <v>40</v>
      </c>
      <c r="L276" s="1">
        <v>50</v>
      </c>
      <c r="M276" s="1">
        <v>30</v>
      </c>
      <c r="N276" s="1">
        <v>30</v>
      </c>
      <c r="O276" s="1">
        <v>30</v>
      </c>
      <c r="P276" s="1">
        <v>14</v>
      </c>
      <c r="Q276" s="1">
        <v>274</v>
      </c>
      <c r="R276" s="1" t="s">
        <v>973</v>
      </c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P276" s="184"/>
    </row>
    <row r="277" spans="2:42">
      <c r="B277" s="1">
        <v>274</v>
      </c>
      <c r="C277" s="1" t="s">
        <v>458</v>
      </c>
      <c r="D277" s="1" t="s">
        <v>973</v>
      </c>
      <c r="E277" s="1" t="s">
        <v>743</v>
      </c>
      <c r="F277" s="1" t="s">
        <v>864</v>
      </c>
      <c r="G277" s="1">
        <v>120</v>
      </c>
      <c r="H277" s="1">
        <v>119</v>
      </c>
      <c r="I277" s="1">
        <v>340</v>
      </c>
      <c r="J277" s="1">
        <v>70</v>
      </c>
      <c r="K277" s="1">
        <v>70</v>
      </c>
      <c r="L277" s="1">
        <v>40</v>
      </c>
      <c r="M277" s="1">
        <v>60</v>
      </c>
      <c r="N277" s="1">
        <v>40</v>
      </c>
      <c r="O277" s="1">
        <v>60</v>
      </c>
      <c r="P277" s="1">
        <v>30</v>
      </c>
      <c r="Q277" s="1">
        <v>275</v>
      </c>
      <c r="R277" s="1" t="s">
        <v>974</v>
      </c>
      <c r="S277" s="1" t="b">
        <v>1</v>
      </c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P277" s="184"/>
    </row>
    <row r="278" spans="2:42">
      <c r="B278" s="1">
        <v>275</v>
      </c>
      <c r="C278" s="1" t="s">
        <v>457</v>
      </c>
      <c r="D278" s="1" t="s">
        <v>974</v>
      </c>
      <c r="E278" s="1" t="s">
        <v>743</v>
      </c>
      <c r="F278" s="1" t="s">
        <v>864</v>
      </c>
      <c r="G278" s="1">
        <v>45</v>
      </c>
      <c r="H278" s="1">
        <v>216</v>
      </c>
      <c r="I278" s="1">
        <v>480</v>
      </c>
      <c r="J278" s="1">
        <v>90</v>
      </c>
      <c r="K278" s="1">
        <v>100</v>
      </c>
      <c r="L278" s="1">
        <v>60</v>
      </c>
      <c r="M278" s="1">
        <v>90</v>
      </c>
      <c r="N278" s="1">
        <v>60</v>
      </c>
      <c r="O278" s="1">
        <v>80</v>
      </c>
      <c r="P278" s="1" t="s">
        <v>82</v>
      </c>
      <c r="Q278" s="1" t="s">
        <v>82</v>
      </c>
      <c r="R278" s="1" t="s">
        <v>82</v>
      </c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P278" s="184"/>
    </row>
    <row r="279" spans="2:42">
      <c r="B279" s="1">
        <v>276</v>
      </c>
      <c r="C279" s="1" t="s">
        <v>456</v>
      </c>
      <c r="D279" s="1" t="s">
        <v>975</v>
      </c>
      <c r="E279" s="1" t="s">
        <v>765</v>
      </c>
      <c r="F279" s="1" t="s">
        <v>751</v>
      </c>
      <c r="G279" s="1">
        <v>200</v>
      </c>
      <c r="H279" s="1">
        <v>54</v>
      </c>
      <c r="I279" s="1">
        <v>270</v>
      </c>
      <c r="J279" s="1">
        <v>40</v>
      </c>
      <c r="K279" s="1">
        <v>55</v>
      </c>
      <c r="L279" s="1">
        <v>30</v>
      </c>
      <c r="M279" s="1">
        <v>30</v>
      </c>
      <c r="N279" s="1">
        <v>30</v>
      </c>
      <c r="O279" s="1">
        <v>85</v>
      </c>
      <c r="P279" s="1">
        <v>22</v>
      </c>
      <c r="Q279" s="1">
        <v>277</v>
      </c>
      <c r="R279" s="1" t="s">
        <v>976</v>
      </c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P279" s="184"/>
    </row>
    <row r="280" spans="2:42">
      <c r="B280" s="1">
        <v>277</v>
      </c>
      <c r="C280" s="1" t="s">
        <v>455</v>
      </c>
      <c r="D280" s="1" t="s">
        <v>976</v>
      </c>
      <c r="E280" s="1" t="s">
        <v>765</v>
      </c>
      <c r="F280" s="1" t="s">
        <v>751</v>
      </c>
      <c r="G280" s="1">
        <v>45</v>
      </c>
      <c r="H280" s="1">
        <v>159</v>
      </c>
      <c r="I280" s="1">
        <v>430</v>
      </c>
      <c r="J280" s="1">
        <v>60</v>
      </c>
      <c r="K280" s="1">
        <v>85</v>
      </c>
      <c r="L280" s="1">
        <v>60</v>
      </c>
      <c r="M280" s="1">
        <v>50</v>
      </c>
      <c r="N280" s="1">
        <v>50</v>
      </c>
      <c r="O280" s="1">
        <v>125</v>
      </c>
      <c r="P280" s="1" t="s">
        <v>82</v>
      </c>
      <c r="Q280" s="1" t="s">
        <v>82</v>
      </c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P280" s="184"/>
    </row>
    <row r="281" spans="2:42">
      <c r="B281" s="1">
        <v>278</v>
      </c>
      <c r="C281" s="1" t="s">
        <v>454</v>
      </c>
      <c r="D281" s="1" t="s">
        <v>977</v>
      </c>
      <c r="E281" s="1" t="s">
        <v>754</v>
      </c>
      <c r="F281" s="1" t="s">
        <v>751</v>
      </c>
      <c r="G281" s="1">
        <v>190</v>
      </c>
      <c r="H281" s="1">
        <v>54</v>
      </c>
      <c r="I281" s="1">
        <v>270</v>
      </c>
      <c r="J281" s="1">
        <v>40</v>
      </c>
      <c r="K281" s="1">
        <v>30</v>
      </c>
      <c r="L281" s="1">
        <v>30</v>
      </c>
      <c r="M281" s="1">
        <v>55</v>
      </c>
      <c r="N281" s="1">
        <v>30</v>
      </c>
      <c r="O281" s="1">
        <v>85</v>
      </c>
      <c r="P281" s="1">
        <v>25</v>
      </c>
      <c r="Q281" s="1">
        <v>279</v>
      </c>
      <c r="R281" s="1" t="s">
        <v>978</v>
      </c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P281" s="184"/>
    </row>
    <row r="282" spans="2:42">
      <c r="B282" s="1">
        <v>279</v>
      </c>
      <c r="C282" s="1" t="s">
        <v>453</v>
      </c>
      <c r="D282" s="1" t="s">
        <v>978</v>
      </c>
      <c r="E282" s="1" t="s">
        <v>754</v>
      </c>
      <c r="F282" s="1" t="s">
        <v>751</v>
      </c>
      <c r="G282" s="1">
        <v>45</v>
      </c>
      <c r="H282" s="1">
        <v>154</v>
      </c>
      <c r="I282" s="1">
        <v>430</v>
      </c>
      <c r="J282" s="1">
        <v>60</v>
      </c>
      <c r="K282" s="1">
        <v>50</v>
      </c>
      <c r="L282" s="1">
        <v>100</v>
      </c>
      <c r="M282" s="1">
        <v>85</v>
      </c>
      <c r="N282" s="1">
        <v>70</v>
      </c>
      <c r="O282" s="1">
        <v>65</v>
      </c>
      <c r="P282" s="1" t="s">
        <v>82</v>
      </c>
      <c r="Q282" s="1" t="s">
        <v>82</v>
      </c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P282" s="184"/>
    </row>
    <row r="283" spans="2:42">
      <c r="B283" s="1">
        <v>280</v>
      </c>
      <c r="C283" s="1" t="s">
        <v>452</v>
      </c>
      <c r="D283" s="1" t="s">
        <v>979</v>
      </c>
      <c r="E283" s="1" t="s">
        <v>803</v>
      </c>
      <c r="F283" s="1" t="s">
        <v>777</v>
      </c>
      <c r="G283" s="1">
        <v>235</v>
      </c>
      <c r="H283" s="1">
        <v>40</v>
      </c>
      <c r="I283" s="1">
        <v>198</v>
      </c>
      <c r="J283" s="1">
        <v>28</v>
      </c>
      <c r="K283" s="1">
        <v>25</v>
      </c>
      <c r="L283" s="1">
        <v>25</v>
      </c>
      <c r="M283" s="1">
        <v>45</v>
      </c>
      <c r="N283" s="1">
        <v>35</v>
      </c>
      <c r="O283" s="1">
        <v>40</v>
      </c>
      <c r="P283" s="1">
        <v>20</v>
      </c>
      <c r="Q283" s="1">
        <v>281</v>
      </c>
      <c r="R283" s="1" t="s">
        <v>451</v>
      </c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P283" s="184"/>
    </row>
    <row r="284" spans="2:42">
      <c r="B284" s="1">
        <v>281</v>
      </c>
      <c r="C284" s="1" t="s">
        <v>451</v>
      </c>
      <c r="D284" s="1" t="s">
        <v>451</v>
      </c>
      <c r="E284" s="1" t="s">
        <v>803</v>
      </c>
      <c r="F284" s="1" t="s">
        <v>777</v>
      </c>
      <c r="G284" s="1">
        <v>120</v>
      </c>
      <c r="H284" s="1">
        <v>97</v>
      </c>
      <c r="I284" s="1">
        <v>278</v>
      </c>
      <c r="J284" s="1">
        <v>38</v>
      </c>
      <c r="K284" s="1">
        <v>35</v>
      </c>
      <c r="L284" s="1">
        <v>35</v>
      </c>
      <c r="M284" s="1">
        <v>65</v>
      </c>
      <c r="N284" s="1">
        <v>55</v>
      </c>
      <c r="O284" s="1">
        <v>50</v>
      </c>
      <c r="P284" s="1">
        <v>30</v>
      </c>
      <c r="Q284" s="1">
        <v>282</v>
      </c>
      <c r="R284" s="1" t="s">
        <v>450</v>
      </c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P284" s="184"/>
    </row>
    <row r="285" spans="2:42">
      <c r="B285" s="1">
        <v>282</v>
      </c>
      <c r="C285" s="1" t="s">
        <v>450</v>
      </c>
      <c r="D285" s="1" t="s">
        <v>450</v>
      </c>
      <c r="E285" s="1" t="s">
        <v>803</v>
      </c>
      <c r="F285" s="1" t="s">
        <v>777</v>
      </c>
      <c r="G285" s="1">
        <v>45</v>
      </c>
      <c r="H285" s="1">
        <v>233</v>
      </c>
      <c r="I285" s="1">
        <v>518</v>
      </c>
      <c r="J285" s="1">
        <v>68</v>
      </c>
      <c r="K285" s="1">
        <v>65</v>
      </c>
      <c r="L285" s="1">
        <v>65</v>
      </c>
      <c r="M285" s="1">
        <v>125</v>
      </c>
      <c r="N285" s="1">
        <v>115</v>
      </c>
      <c r="O285" s="1">
        <v>80</v>
      </c>
      <c r="P285" s="1" t="s">
        <v>82</v>
      </c>
      <c r="Q285" s="1" t="s">
        <v>82</v>
      </c>
      <c r="R285" s="1" t="s">
        <v>82</v>
      </c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P285" s="184"/>
    </row>
    <row r="286" spans="2:42">
      <c r="B286" s="1">
        <v>283</v>
      </c>
      <c r="C286" s="1" t="s">
        <v>449</v>
      </c>
      <c r="D286" s="1" t="s">
        <v>980</v>
      </c>
      <c r="E286" s="1" t="s">
        <v>758</v>
      </c>
      <c r="F286" s="1" t="s">
        <v>754</v>
      </c>
      <c r="G286" s="1">
        <v>200</v>
      </c>
      <c r="H286" s="1">
        <v>54</v>
      </c>
      <c r="I286" s="1">
        <v>269</v>
      </c>
      <c r="J286" s="1">
        <v>40</v>
      </c>
      <c r="K286" s="1">
        <v>30</v>
      </c>
      <c r="L286" s="1">
        <v>32</v>
      </c>
      <c r="M286" s="1">
        <v>50</v>
      </c>
      <c r="N286" s="1">
        <v>52</v>
      </c>
      <c r="O286" s="1">
        <v>65</v>
      </c>
      <c r="P286" s="1">
        <v>22</v>
      </c>
      <c r="Q286" s="1">
        <v>284</v>
      </c>
      <c r="R286" s="1" t="s">
        <v>981</v>
      </c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P286" s="184"/>
    </row>
    <row r="287" spans="2:42">
      <c r="B287" s="1">
        <v>284</v>
      </c>
      <c r="C287" s="1" t="s">
        <v>448</v>
      </c>
      <c r="D287" s="1" t="s">
        <v>981</v>
      </c>
      <c r="E287" s="1" t="s">
        <v>758</v>
      </c>
      <c r="F287" s="1" t="s">
        <v>751</v>
      </c>
      <c r="G287" s="1">
        <v>75</v>
      </c>
      <c r="H287" s="1">
        <v>159</v>
      </c>
      <c r="I287" s="1">
        <v>414</v>
      </c>
      <c r="J287" s="1">
        <v>70</v>
      </c>
      <c r="K287" s="1">
        <v>60</v>
      </c>
      <c r="L287" s="1">
        <v>62</v>
      </c>
      <c r="M287" s="1">
        <v>80</v>
      </c>
      <c r="N287" s="1">
        <v>82</v>
      </c>
      <c r="O287" s="1">
        <v>60</v>
      </c>
      <c r="P287" s="1" t="s">
        <v>82</v>
      </c>
      <c r="Q287" s="1" t="s">
        <v>82</v>
      </c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P287" s="184"/>
    </row>
    <row r="288" spans="2:42">
      <c r="B288" s="1">
        <v>285</v>
      </c>
      <c r="C288" s="1" t="s">
        <v>447</v>
      </c>
      <c r="D288" s="1" t="s">
        <v>982</v>
      </c>
      <c r="E288" s="1" t="s">
        <v>743</v>
      </c>
      <c r="F288" s="1" t="s">
        <v>82</v>
      </c>
      <c r="G288" s="1">
        <v>255</v>
      </c>
      <c r="H288" s="1">
        <v>59</v>
      </c>
      <c r="I288" s="1">
        <v>295</v>
      </c>
      <c r="J288" s="1">
        <v>60</v>
      </c>
      <c r="K288" s="1">
        <v>40</v>
      </c>
      <c r="L288" s="1">
        <v>60</v>
      </c>
      <c r="M288" s="1">
        <v>40</v>
      </c>
      <c r="N288" s="1">
        <v>60</v>
      </c>
      <c r="O288" s="1">
        <v>35</v>
      </c>
      <c r="P288" s="1">
        <v>23</v>
      </c>
      <c r="Q288" s="1">
        <v>286</v>
      </c>
      <c r="R288" s="1" t="s">
        <v>983</v>
      </c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P288" s="184"/>
    </row>
    <row r="289" spans="2:42">
      <c r="B289" s="1">
        <v>286</v>
      </c>
      <c r="C289" s="1" t="s">
        <v>446</v>
      </c>
      <c r="D289" s="1" t="s">
        <v>983</v>
      </c>
      <c r="E289" s="1" t="s">
        <v>743</v>
      </c>
      <c r="F289" s="1" t="s">
        <v>796</v>
      </c>
      <c r="G289" s="1">
        <v>90</v>
      </c>
      <c r="H289" s="1">
        <v>161</v>
      </c>
      <c r="I289" s="1">
        <v>460</v>
      </c>
      <c r="J289" s="1">
        <v>60</v>
      </c>
      <c r="K289" s="1">
        <v>130</v>
      </c>
      <c r="L289" s="1">
        <v>80</v>
      </c>
      <c r="M289" s="1">
        <v>60</v>
      </c>
      <c r="N289" s="1">
        <v>60</v>
      </c>
      <c r="O289" s="1">
        <v>70</v>
      </c>
      <c r="P289" s="1" t="s">
        <v>82</v>
      </c>
      <c r="Q289" s="1" t="s">
        <v>82</v>
      </c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P289" s="184"/>
    </row>
    <row r="290" spans="2:42">
      <c r="B290" s="1">
        <v>287</v>
      </c>
      <c r="C290" s="1" t="s">
        <v>445</v>
      </c>
      <c r="D290" s="1" t="s">
        <v>984</v>
      </c>
      <c r="E290" s="1" t="s">
        <v>765</v>
      </c>
      <c r="F290" s="1" t="s">
        <v>82</v>
      </c>
      <c r="G290" s="1">
        <v>255</v>
      </c>
      <c r="H290" s="1">
        <v>56</v>
      </c>
      <c r="I290" s="1">
        <v>280</v>
      </c>
      <c r="J290" s="1">
        <v>60</v>
      </c>
      <c r="K290" s="1">
        <v>60</v>
      </c>
      <c r="L290" s="1">
        <v>60</v>
      </c>
      <c r="M290" s="1">
        <v>35</v>
      </c>
      <c r="N290" s="1">
        <v>35</v>
      </c>
      <c r="O290" s="1">
        <v>30</v>
      </c>
      <c r="P290" s="1">
        <v>18</v>
      </c>
      <c r="Q290" s="1">
        <v>288</v>
      </c>
      <c r="R290" s="1" t="s">
        <v>444</v>
      </c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P290" s="184"/>
    </row>
    <row r="291" spans="2:42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120</v>
      </c>
      <c r="H291" s="1">
        <v>154</v>
      </c>
      <c r="I291" s="1">
        <v>440</v>
      </c>
      <c r="J291" s="1">
        <v>80</v>
      </c>
      <c r="K291" s="1">
        <v>80</v>
      </c>
      <c r="L291" s="1">
        <v>80</v>
      </c>
      <c r="M291" s="1">
        <v>55</v>
      </c>
      <c r="N291" s="1">
        <v>55</v>
      </c>
      <c r="O291" s="1">
        <v>90</v>
      </c>
      <c r="P291" s="1">
        <v>36</v>
      </c>
      <c r="Q291" s="1">
        <v>289</v>
      </c>
      <c r="R291" s="1" t="s">
        <v>985</v>
      </c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P291" s="184"/>
    </row>
    <row r="292" spans="2:42">
      <c r="B292" s="1">
        <v>289</v>
      </c>
      <c r="C292" s="1" t="s">
        <v>443</v>
      </c>
      <c r="D292" s="1" t="s">
        <v>985</v>
      </c>
      <c r="E292" s="1" t="s">
        <v>765</v>
      </c>
      <c r="F292" s="1" t="s">
        <v>82</v>
      </c>
      <c r="G292" s="1">
        <v>45</v>
      </c>
      <c r="H292" s="1">
        <v>252</v>
      </c>
      <c r="I292" s="1">
        <v>670</v>
      </c>
      <c r="J292" s="1">
        <v>150</v>
      </c>
      <c r="K292" s="1">
        <v>160</v>
      </c>
      <c r="L292" s="1">
        <v>100</v>
      </c>
      <c r="M292" s="1">
        <v>95</v>
      </c>
      <c r="N292" s="1">
        <v>65</v>
      </c>
      <c r="O292" s="1">
        <v>100</v>
      </c>
      <c r="P292" s="1" t="s">
        <v>82</v>
      </c>
      <c r="Q292" s="1" t="s">
        <v>82</v>
      </c>
      <c r="R292" s="1" t="s">
        <v>82</v>
      </c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P292" s="184"/>
    </row>
    <row r="293" spans="2:42">
      <c r="B293" s="1">
        <v>290</v>
      </c>
      <c r="C293" s="1" t="s">
        <v>442</v>
      </c>
      <c r="D293" s="1" t="s">
        <v>986</v>
      </c>
      <c r="E293" s="1" t="s">
        <v>758</v>
      </c>
      <c r="F293" s="1" t="s">
        <v>774</v>
      </c>
      <c r="G293" s="1">
        <v>255</v>
      </c>
      <c r="H293" s="1">
        <v>53</v>
      </c>
      <c r="I293" s="1">
        <v>266</v>
      </c>
      <c r="J293" s="1">
        <v>31</v>
      </c>
      <c r="K293" s="1">
        <v>45</v>
      </c>
      <c r="L293" s="1">
        <v>90</v>
      </c>
      <c r="M293" s="1">
        <v>30</v>
      </c>
      <c r="N293" s="1">
        <v>30</v>
      </c>
      <c r="O293" s="1">
        <v>40</v>
      </c>
      <c r="P293" s="1">
        <v>20</v>
      </c>
      <c r="Q293" s="1">
        <v>291</v>
      </c>
      <c r="R293" s="1" t="s">
        <v>441</v>
      </c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P293" s="184"/>
    </row>
    <row r="294" spans="2:42">
      <c r="B294" s="1">
        <v>291</v>
      </c>
      <c r="C294" s="1" t="s">
        <v>441</v>
      </c>
      <c r="D294" s="1" t="s">
        <v>441</v>
      </c>
      <c r="E294" s="1" t="s">
        <v>758</v>
      </c>
      <c r="F294" s="1" t="s">
        <v>751</v>
      </c>
      <c r="G294" s="1">
        <v>120</v>
      </c>
      <c r="H294" s="1">
        <v>160</v>
      </c>
      <c r="I294" s="1">
        <v>456</v>
      </c>
      <c r="J294" s="1">
        <v>61</v>
      </c>
      <c r="K294" s="1">
        <v>90</v>
      </c>
      <c r="L294" s="1">
        <v>45</v>
      </c>
      <c r="M294" s="1">
        <v>50</v>
      </c>
      <c r="N294" s="1">
        <v>50</v>
      </c>
      <c r="O294" s="1">
        <v>160</v>
      </c>
      <c r="P294" s="1" t="s">
        <v>82</v>
      </c>
      <c r="Q294" s="1" t="s">
        <v>82</v>
      </c>
      <c r="R294" s="1" t="s">
        <v>82</v>
      </c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P294" s="184"/>
    </row>
    <row r="295" spans="2:42">
      <c r="B295" s="1">
        <v>292</v>
      </c>
      <c r="C295" s="1" t="s">
        <v>440</v>
      </c>
      <c r="D295" s="1" t="s">
        <v>987</v>
      </c>
      <c r="E295" s="1" t="s">
        <v>758</v>
      </c>
      <c r="F295" s="1" t="s">
        <v>829</v>
      </c>
      <c r="G295" s="1">
        <v>45</v>
      </c>
      <c r="H295" s="1">
        <v>83</v>
      </c>
      <c r="I295" s="1">
        <v>236</v>
      </c>
      <c r="J295" s="1">
        <v>1</v>
      </c>
      <c r="K295" s="1">
        <v>90</v>
      </c>
      <c r="L295" s="1">
        <v>45</v>
      </c>
      <c r="M295" s="1">
        <v>30</v>
      </c>
      <c r="N295" s="1">
        <v>30</v>
      </c>
      <c r="O295" s="1">
        <v>40</v>
      </c>
      <c r="P295" s="1" t="s">
        <v>82</v>
      </c>
      <c r="Q295" s="1" t="s">
        <v>82</v>
      </c>
      <c r="R295" s="1" t="s">
        <v>82</v>
      </c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P295" s="184"/>
    </row>
    <row r="296" spans="2:42">
      <c r="B296" s="1">
        <v>293</v>
      </c>
      <c r="C296" s="1" t="s">
        <v>439</v>
      </c>
      <c r="D296" s="1" t="s">
        <v>988</v>
      </c>
      <c r="E296" s="1" t="s">
        <v>765</v>
      </c>
      <c r="F296" s="1" t="s">
        <v>82</v>
      </c>
      <c r="G296" s="1">
        <v>190</v>
      </c>
      <c r="H296" s="1">
        <v>48</v>
      </c>
      <c r="I296" s="1">
        <v>240</v>
      </c>
      <c r="J296" s="1">
        <v>64</v>
      </c>
      <c r="K296" s="1">
        <v>51</v>
      </c>
      <c r="L296" s="1">
        <v>23</v>
      </c>
      <c r="M296" s="1">
        <v>51</v>
      </c>
      <c r="N296" s="1">
        <v>23</v>
      </c>
      <c r="O296" s="1">
        <v>28</v>
      </c>
      <c r="P296" s="1">
        <v>20</v>
      </c>
      <c r="Q296" s="1">
        <v>294</v>
      </c>
      <c r="R296" s="1" t="s">
        <v>989</v>
      </c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P296" s="184"/>
    </row>
    <row r="297" spans="2:42">
      <c r="B297" s="1">
        <v>294</v>
      </c>
      <c r="C297" s="1" t="s">
        <v>438</v>
      </c>
      <c r="D297" s="1" t="s">
        <v>989</v>
      </c>
      <c r="E297" s="1" t="s">
        <v>765</v>
      </c>
      <c r="F297" s="1" t="s">
        <v>82</v>
      </c>
      <c r="G297" s="1">
        <v>120</v>
      </c>
      <c r="H297" s="1">
        <v>126</v>
      </c>
      <c r="I297" s="1">
        <v>360</v>
      </c>
      <c r="J297" s="1">
        <v>84</v>
      </c>
      <c r="K297" s="1">
        <v>71</v>
      </c>
      <c r="L297" s="1">
        <v>43</v>
      </c>
      <c r="M297" s="1">
        <v>71</v>
      </c>
      <c r="N297" s="1">
        <v>43</v>
      </c>
      <c r="O297" s="1">
        <v>48</v>
      </c>
      <c r="P297" s="1">
        <v>40</v>
      </c>
      <c r="Q297" s="1">
        <v>295</v>
      </c>
      <c r="R297" s="1" t="s">
        <v>990</v>
      </c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P297" s="184"/>
    </row>
    <row r="298" spans="2:42">
      <c r="B298" s="1">
        <v>295</v>
      </c>
      <c r="C298" s="1" t="s">
        <v>437</v>
      </c>
      <c r="D298" s="1" t="s">
        <v>990</v>
      </c>
      <c r="E298" s="1" t="s">
        <v>765</v>
      </c>
      <c r="F298" s="1" t="s">
        <v>82</v>
      </c>
      <c r="G298" s="1">
        <v>45</v>
      </c>
      <c r="H298" s="1">
        <v>221</v>
      </c>
      <c r="I298" s="1">
        <v>490</v>
      </c>
      <c r="J298" s="1">
        <v>104</v>
      </c>
      <c r="K298" s="1">
        <v>91</v>
      </c>
      <c r="L298" s="1">
        <v>63</v>
      </c>
      <c r="M298" s="1">
        <v>91</v>
      </c>
      <c r="N298" s="1">
        <v>73</v>
      </c>
      <c r="O298" s="1">
        <v>68</v>
      </c>
      <c r="P298" s="1" t="s">
        <v>82</v>
      </c>
      <c r="Q298" s="1" t="s">
        <v>82</v>
      </c>
      <c r="R298" s="1" t="s">
        <v>82</v>
      </c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P298" s="184"/>
    </row>
    <row r="299" spans="2:42">
      <c r="B299" s="1">
        <v>296</v>
      </c>
      <c r="C299" s="1" t="s">
        <v>436</v>
      </c>
      <c r="D299" s="1" t="s">
        <v>436</v>
      </c>
      <c r="E299" s="1" t="s">
        <v>796</v>
      </c>
      <c r="F299" s="1" t="s">
        <v>82</v>
      </c>
      <c r="G299" s="1">
        <v>180</v>
      </c>
      <c r="H299" s="1">
        <v>47</v>
      </c>
      <c r="I299" s="1">
        <v>237</v>
      </c>
      <c r="J299" s="1">
        <v>72</v>
      </c>
      <c r="K299" s="1">
        <v>60</v>
      </c>
      <c r="L299" s="1">
        <v>30</v>
      </c>
      <c r="M299" s="1">
        <v>20</v>
      </c>
      <c r="N299" s="1">
        <v>30</v>
      </c>
      <c r="O299" s="1">
        <v>25</v>
      </c>
      <c r="P299" s="1">
        <v>24</v>
      </c>
      <c r="Q299" s="1">
        <v>297</v>
      </c>
      <c r="R299" s="1" t="s">
        <v>435</v>
      </c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P299" s="184"/>
    </row>
    <row r="300" spans="2:42">
      <c r="B300" s="1">
        <v>297</v>
      </c>
      <c r="C300" s="1" t="s">
        <v>435</v>
      </c>
      <c r="D300" s="1" t="s">
        <v>435</v>
      </c>
      <c r="E300" s="1" t="s">
        <v>796</v>
      </c>
      <c r="F300" s="1" t="s">
        <v>82</v>
      </c>
      <c r="G300" s="1">
        <v>200</v>
      </c>
      <c r="H300" s="1">
        <v>166</v>
      </c>
      <c r="I300" s="1">
        <v>474</v>
      </c>
      <c r="J300" s="1">
        <v>144</v>
      </c>
      <c r="K300" s="1">
        <v>120</v>
      </c>
      <c r="L300" s="1">
        <v>60</v>
      </c>
      <c r="M300" s="1">
        <v>40</v>
      </c>
      <c r="N300" s="1">
        <v>60</v>
      </c>
      <c r="O300" s="1">
        <v>50</v>
      </c>
      <c r="P300" s="1" t="s">
        <v>82</v>
      </c>
      <c r="Q300" s="1" t="s">
        <v>82</v>
      </c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P300" s="184"/>
    </row>
    <row r="301" spans="2:42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777</v>
      </c>
      <c r="G301" s="1">
        <v>150</v>
      </c>
      <c r="H301" s="1">
        <v>38</v>
      </c>
      <c r="I301" s="1">
        <v>190</v>
      </c>
      <c r="J301" s="1">
        <v>50</v>
      </c>
      <c r="K301" s="1">
        <v>20</v>
      </c>
      <c r="L301" s="1">
        <v>40</v>
      </c>
      <c r="M301" s="1">
        <v>20</v>
      </c>
      <c r="N301" s="1">
        <v>40</v>
      </c>
      <c r="O301" s="1">
        <v>20</v>
      </c>
      <c r="P301" s="1">
        <v>15</v>
      </c>
      <c r="Q301" s="1">
        <v>183</v>
      </c>
      <c r="R301" s="1" t="s">
        <v>549</v>
      </c>
      <c r="S301" s="1" t="b">
        <v>1</v>
      </c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P301" s="184"/>
    </row>
    <row r="302" spans="2:42">
      <c r="B302" s="1">
        <v>299</v>
      </c>
      <c r="C302" s="1" t="s">
        <v>433</v>
      </c>
      <c r="D302" s="1" t="s">
        <v>991</v>
      </c>
      <c r="E302" s="1" t="s">
        <v>811</v>
      </c>
      <c r="F302" s="1" t="s">
        <v>82</v>
      </c>
      <c r="G302" s="1">
        <v>255</v>
      </c>
      <c r="H302" s="1">
        <v>75</v>
      </c>
      <c r="I302" s="1">
        <v>375</v>
      </c>
      <c r="J302" s="1">
        <v>30</v>
      </c>
      <c r="K302" s="1">
        <v>45</v>
      </c>
      <c r="L302" s="1">
        <v>135</v>
      </c>
      <c r="M302" s="1">
        <v>45</v>
      </c>
      <c r="N302" s="1">
        <v>90</v>
      </c>
      <c r="O302" s="1">
        <v>30</v>
      </c>
      <c r="P302" s="1">
        <v>30</v>
      </c>
      <c r="Q302" s="1">
        <v>476</v>
      </c>
      <c r="R302" s="1" t="s">
        <v>1127</v>
      </c>
      <c r="S302" s="1" t="b">
        <v>1</v>
      </c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P302" s="184"/>
    </row>
    <row r="303" spans="2:42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255</v>
      </c>
      <c r="H303" s="1">
        <v>52</v>
      </c>
      <c r="I303" s="1">
        <v>260</v>
      </c>
      <c r="J303" s="1">
        <v>50</v>
      </c>
      <c r="K303" s="1">
        <v>45</v>
      </c>
      <c r="L303" s="1">
        <v>45</v>
      </c>
      <c r="M303" s="1">
        <v>35</v>
      </c>
      <c r="N303" s="1">
        <v>35</v>
      </c>
      <c r="O303" s="1">
        <v>50</v>
      </c>
      <c r="P303" s="1">
        <v>30</v>
      </c>
      <c r="Q303" s="1">
        <v>301</v>
      </c>
      <c r="R303" s="1" t="s">
        <v>431</v>
      </c>
      <c r="S303" s="1" t="b">
        <v>1</v>
      </c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P303" s="184"/>
    </row>
    <row r="304" spans="2:42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60</v>
      </c>
      <c r="H304" s="1">
        <v>140</v>
      </c>
      <c r="I304" s="1">
        <v>380</v>
      </c>
      <c r="J304" s="1">
        <v>70</v>
      </c>
      <c r="K304" s="1">
        <v>65</v>
      </c>
      <c r="L304" s="1">
        <v>65</v>
      </c>
      <c r="M304" s="1">
        <v>55</v>
      </c>
      <c r="N304" s="1">
        <v>55</v>
      </c>
      <c r="O304" s="1">
        <v>70</v>
      </c>
      <c r="P304" s="1" t="s">
        <v>82</v>
      </c>
      <c r="Q304" s="1" t="s">
        <v>82</v>
      </c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P304" s="184"/>
    </row>
    <row r="305" spans="2:42">
      <c r="B305" s="1">
        <v>302</v>
      </c>
      <c r="C305" s="1" t="s">
        <v>430</v>
      </c>
      <c r="D305" s="1" t="s">
        <v>992</v>
      </c>
      <c r="E305" s="1" t="s">
        <v>864</v>
      </c>
      <c r="F305" s="1" t="s">
        <v>829</v>
      </c>
      <c r="G305" s="1">
        <v>45</v>
      </c>
      <c r="H305" s="1">
        <v>133</v>
      </c>
      <c r="I305" s="1">
        <v>380</v>
      </c>
      <c r="J305" s="1">
        <v>50</v>
      </c>
      <c r="K305" s="1">
        <v>75</v>
      </c>
      <c r="L305" s="1">
        <v>75</v>
      </c>
      <c r="M305" s="1">
        <v>65</v>
      </c>
      <c r="N305" s="1">
        <v>65</v>
      </c>
      <c r="O305" s="1">
        <v>50</v>
      </c>
      <c r="P305" s="1" t="s">
        <v>82</v>
      </c>
      <c r="Q305" s="1" t="s">
        <v>82</v>
      </c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P305" s="184"/>
    </row>
    <row r="306" spans="2:42">
      <c r="B306" s="1">
        <v>303</v>
      </c>
      <c r="C306" s="1" t="s">
        <v>429</v>
      </c>
      <c r="D306" s="1" t="s">
        <v>993</v>
      </c>
      <c r="E306" s="1" t="s">
        <v>818</v>
      </c>
      <c r="F306" s="1" t="s">
        <v>777</v>
      </c>
      <c r="G306" s="1">
        <v>45</v>
      </c>
      <c r="H306" s="1">
        <v>133</v>
      </c>
      <c r="I306" s="1">
        <v>380</v>
      </c>
      <c r="J306" s="1">
        <v>50</v>
      </c>
      <c r="K306" s="1">
        <v>85</v>
      </c>
      <c r="L306" s="1">
        <v>85</v>
      </c>
      <c r="M306" s="1">
        <v>55</v>
      </c>
      <c r="N306" s="1">
        <v>55</v>
      </c>
      <c r="O306" s="1">
        <v>50</v>
      </c>
      <c r="P306" s="1" t="s">
        <v>82</v>
      </c>
      <c r="Q306" s="1" t="s">
        <v>82</v>
      </c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P306" s="184"/>
    </row>
    <row r="307" spans="2:42">
      <c r="B307" s="1">
        <v>304</v>
      </c>
      <c r="C307" s="1" t="s">
        <v>428</v>
      </c>
      <c r="D307" s="1" t="s">
        <v>994</v>
      </c>
      <c r="E307" s="1" t="s">
        <v>818</v>
      </c>
      <c r="F307" s="1" t="s">
        <v>811</v>
      </c>
      <c r="G307" s="1">
        <v>180</v>
      </c>
      <c r="H307" s="1">
        <v>66</v>
      </c>
      <c r="I307" s="1">
        <v>330</v>
      </c>
      <c r="J307" s="1">
        <v>50</v>
      </c>
      <c r="K307" s="1">
        <v>70</v>
      </c>
      <c r="L307" s="1">
        <v>100</v>
      </c>
      <c r="M307" s="1">
        <v>40</v>
      </c>
      <c r="N307" s="1">
        <v>40</v>
      </c>
      <c r="O307" s="1">
        <v>30</v>
      </c>
      <c r="P307" s="1">
        <v>32</v>
      </c>
      <c r="Q307" s="1">
        <v>305</v>
      </c>
      <c r="R307" s="1" t="s">
        <v>995</v>
      </c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P307" s="184"/>
    </row>
    <row r="308" spans="2:42">
      <c r="B308" s="1">
        <v>305</v>
      </c>
      <c r="C308" s="1" t="s">
        <v>427</v>
      </c>
      <c r="D308" s="1" t="s">
        <v>995</v>
      </c>
      <c r="E308" s="1" t="s">
        <v>818</v>
      </c>
      <c r="F308" s="1" t="s">
        <v>811</v>
      </c>
      <c r="G308" s="1">
        <v>90</v>
      </c>
      <c r="H308" s="1">
        <v>151</v>
      </c>
      <c r="I308" s="1">
        <v>430</v>
      </c>
      <c r="J308" s="1">
        <v>60</v>
      </c>
      <c r="K308" s="1">
        <v>90</v>
      </c>
      <c r="L308" s="1">
        <v>140</v>
      </c>
      <c r="M308" s="1">
        <v>50</v>
      </c>
      <c r="N308" s="1">
        <v>50</v>
      </c>
      <c r="O308" s="1">
        <v>40</v>
      </c>
      <c r="P308" s="1">
        <v>42</v>
      </c>
      <c r="Q308" s="1">
        <v>306</v>
      </c>
      <c r="R308" s="1" t="s">
        <v>996</v>
      </c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P308" s="184"/>
    </row>
    <row r="309" spans="2:42">
      <c r="B309" s="1">
        <v>306</v>
      </c>
      <c r="C309" s="1" t="s">
        <v>426</v>
      </c>
      <c r="D309" s="1" t="s">
        <v>996</v>
      </c>
      <c r="E309" s="1" t="s">
        <v>818</v>
      </c>
      <c r="F309" s="1" t="s">
        <v>811</v>
      </c>
      <c r="G309" s="1">
        <v>45</v>
      </c>
      <c r="H309" s="1">
        <v>239</v>
      </c>
      <c r="I309" s="1">
        <v>530</v>
      </c>
      <c r="J309" s="1">
        <v>70</v>
      </c>
      <c r="K309" s="1">
        <v>110</v>
      </c>
      <c r="L309" s="1">
        <v>180</v>
      </c>
      <c r="M309" s="1">
        <v>60</v>
      </c>
      <c r="N309" s="1">
        <v>60</v>
      </c>
      <c r="O309" s="1">
        <v>50</v>
      </c>
      <c r="P309" s="1" t="s">
        <v>82</v>
      </c>
      <c r="Q309" s="1" t="s">
        <v>82</v>
      </c>
      <c r="R309" s="1" t="s">
        <v>82</v>
      </c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P309" s="184"/>
    </row>
    <row r="310" spans="2:42">
      <c r="B310" s="1">
        <v>307</v>
      </c>
      <c r="C310" s="1" t="s">
        <v>425</v>
      </c>
      <c r="D310" s="1" t="s">
        <v>997</v>
      </c>
      <c r="E310" s="1" t="s">
        <v>796</v>
      </c>
      <c r="F310" s="1" t="s">
        <v>803</v>
      </c>
      <c r="G310" s="1">
        <v>180</v>
      </c>
      <c r="H310" s="1">
        <v>56</v>
      </c>
      <c r="I310" s="1">
        <v>280</v>
      </c>
      <c r="J310" s="1">
        <v>30</v>
      </c>
      <c r="K310" s="1">
        <v>40</v>
      </c>
      <c r="L310" s="1">
        <v>55</v>
      </c>
      <c r="M310" s="1">
        <v>40</v>
      </c>
      <c r="N310" s="1">
        <v>55</v>
      </c>
      <c r="O310" s="1">
        <v>60</v>
      </c>
      <c r="P310" s="1">
        <v>37</v>
      </c>
      <c r="Q310" s="1">
        <v>308</v>
      </c>
      <c r="R310" s="1" t="s">
        <v>998</v>
      </c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spans="2:42">
      <c r="B311" s="1">
        <v>308</v>
      </c>
      <c r="C311" s="1" t="s">
        <v>424</v>
      </c>
      <c r="D311" s="1" t="s">
        <v>998</v>
      </c>
      <c r="E311" s="1" t="s">
        <v>796</v>
      </c>
      <c r="F311" s="1" t="s">
        <v>803</v>
      </c>
      <c r="G311" s="1">
        <v>90</v>
      </c>
      <c r="H311" s="1">
        <v>144</v>
      </c>
      <c r="I311" s="1">
        <v>410</v>
      </c>
      <c r="J311" s="1">
        <v>60</v>
      </c>
      <c r="K311" s="1">
        <v>60</v>
      </c>
      <c r="L311" s="1">
        <v>75</v>
      </c>
      <c r="M311" s="1">
        <v>60</v>
      </c>
      <c r="N311" s="1">
        <v>75</v>
      </c>
      <c r="O311" s="1">
        <v>80</v>
      </c>
      <c r="P311" s="1" t="s">
        <v>82</v>
      </c>
      <c r="Q311" s="1" t="s">
        <v>82</v>
      </c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spans="2:42">
      <c r="B312" s="1">
        <v>309</v>
      </c>
      <c r="C312" s="1" t="s">
        <v>423</v>
      </c>
      <c r="D312" s="1" t="s">
        <v>999</v>
      </c>
      <c r="E312" s="1" t="s">
        <v>772</v>
      </c>
      <c r="F312" s="1" t="s">
        <v>82</v>
      </c>
      <c r="G312" s="1">
        <v>120</v>
      </c>
      <c r="H312" s="1">
        <v>59</v>
      </c>
      <c r="I312" s="1">
        <v>295</v>
      </c>
      <c r="J312" s="1">
        <v>40</v>
      </c>
      <c r="K312" s="1">
        <v>45</v>
      </c>
      <c r="L312" s="1">
        <v>40</v>
      </c>
      <c r="M312" s="1">
        <v>65</v>
      </c>
      <c r="N312" s="1">
        <v>40</v>
      </c>
      <c r="O312" s="1">
        <v>65</v>
      </c>
      <c r="P312" s="1">
        <v>26</v>
      </c>
      <c r="Q312" s="1">
        <v>310</v>
      </c>
      <c r="R312" s="1" t="s">
        <v>1000</v>
      </c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spans="2:42">
      <c r="B313" s="1">
        <v>310</v>
      </c>
      <c r="C313" s="1" t="s">
        <v>422</v>
      </c>
      <c r="D313" s="1" t="s">
        <v>1000</v>
      </c>
      <c r="E313" s="1" t="s">
        <v>772</v>
      </c>
      <c r="F313" s="1" t="s">
        <v>82</v>
      </c>
      <c r="G313" s="1">
        <v>45</v>
      </c>
      <c r="H313" s="1">
        <v>166</v>
      </c>
      <c r="I313" s="1">
        <v>475</v>
      </c>
      <c r="J313" s="1">
        <v>70</v>
      </c>
      <c r="K313" s="1">
        <v>75</v>
      </c>
      <c r="L313" s="1">
        <v>60</v>
      </c>
      <c r="M313" s="1">
        <v>105</v>
      </c>
      <c r="N313" s="1">
        <v>60</v>
      </c>
      <c r="O313" s="1">
        <v>105</v>
      </c>
      <c r="P313" s="1" t="s">
        <v>82</v>
      </c>
      <c r="Q313" s="1" t="s">
        <v>82</v>
      </c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spans="2:42">
      <c r="B314" s="1">
        <v>311</v>
      </c>
      <c r="C314" s="1" t="s">
        <v>421</v>
      </c>
      <c r="D314" s="1" t="s">
        <v>1001</v>
      </c>
      <c r="E314" s="1" t="s">
        <v>772</v>
      </c>
      <c r="F314" s="1" t="s">
        <v>82</v>
      </c>
      <c r="G314" s="1">
        <v>200</v>
      </c>
      <c r="H314" s="1">
        <v>142</v>
      </c>
      <c r="I314" s="1">
        <v>405</v>
      </c>
      <c r="J314" s="1">
        <v>60</v>
      </c>
      <c r="K314" s="1">
        <v>50</v>
      </c>
      <c r="L314" s="1">
        <v>40</v>
      </c>
      <c r="M314" s="1">
        <v>85</v>
      </c>
      <c r="N314" s="1">
        <v>75</v>
      </c>
      <c r="O314" s="1">
        <v>95</v>
      </c>
      <c r="P314" s="1" t="s">
        <v>82</v>
      </c>
      <c r="Q314" s="1" t="s">
        <v>82</v>
      </c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spans="2:42">
      <c r="B315" s="1">
        <v>312</v>
      </c>
      <c r="C315" s="1" t="s">
        <v>420</v>
      </c>
      <c r="D315" s="1" t="s">
        <v>1002</v>
      </c>
      <c r="E315" s="1" t="s">
        <v>772</v>
      </c>
      <c r="F315" s="1" t="s">
        <v>82</v>
      </c>
      <c r="G315" s="1">
        <v>200</v>
      </c>
      <c r="H315" s="1">
        <v>142</v>
      </c>
      <c r="I315" s="1">
        <v>405</v>
      </c>
      <c r="J315" s="1">
        <v>60</v>
      </c>
      <c r="K315" s="1">
        <v>40</v>
      </c>
      <c r="L315" s="1">
        <v>50</v>
      </c>
      <c r="M315" s="1">
        <v>75</v>
      </c>
      <c r="N315" s="1">
        <v>85</v>
      </c>
      <c r="O315" s="1">
        <v>95</v>
      </c>
      <c r="P315" s="1" t="s">
        <v>82</v>
      </c>
      <c r="Q315" s="1" t="s">
        <v>82</v>
      </c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spans="2:42">
      <c r="B316" s="1">
        <v>313</v>
      </c>
      <c r="C316" s="1" t="s">
        <v>419</v>
      </c>
      <c r="D316" s="1" t="s">
        <v>1003</v>
      </c>
      <c r="E316" s="1" t="s">
        <v>758</v>
      </c>
      <c r="F316" s="1" t="s">
        <v>82</v>
      </c>
      <c r="G316" s="1">
        <v>150</v>
      </c>
      <c r="H316" s="1">
        <v>151</v>
      </c>
      <c r="I316" s="1">
        <v>400</v>
      </c>
      <c r="J316" s="1">
        <v>65</v>
      </c>
      <c r="K316" s="1">
        <v>73</v>
      </c>
      <c r="L316" s="1">
        <v>55</v>
      </c>
      <c r="M316" s="1">
        <v>47</v>
      </c>
      <c r="N316" s="1">
        <v>75</v>
      </c>
      <c r="O316" s="1">
        <v>85</v>
      </c>
      <c r="P316" s="1" t="s">
        <v>82</v>
      </c>
      <c r="Q316" s="1" t="s">
        <v>82</v>
      </c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spans="2:42">
      <c r="B317" s="1">
        <v>314</v>
      </c>
      <c r="C317" s="1" t="s">
        <v>418</v>
      </c>
      <c r="D317" s="1" t="s">
        <v>1004</v>
      </c>
      <c r="E317" s="1" t="s">
        <v>758</v>
      </c>
      <c r="F317" s="1" t="s">
        <v>82</v>
      </c>
      <c r="G317" s="1">
        <v>150</v>
      </c>
      <c r="H317" s="1">
        <v>151</v>
      </c>
      <c r="I317" s="1">
        <v>400</v>
      </c>
      <c r="J317" s="1">
        <v>65</v>
      </c>
      <c r="K317" s="1">
        <v>47</v>
      </c>
      <c r="L317" s="1">
        <v>55</v>
      </c>
      <c r="M317" s="1">
        <v>73</v>
      </c>
      <c r="N317" s="1">
        <v>75</v>
      </c>
      <c r="O317" s="1">
        <v>85</v>
      </c>
      <c r="P317" s="1" t="s">
        <v>82</v>
      </c>
      <c r="Q317" s="1" t="s">
        <v>82</v>
      </c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spans="2:42">
      <c r="B318" s="1">
        <v>315</v>
      </c>
      <c r="C318" s="1" t="s">
        <v>417</v>
      </c>
      <c r="D318" s="1" t="s">
        <v>1005</v>
      </c>
      <c r="E318" s="1" t="s">
        <v>743</v>
      </c>
      <c r="F318" s="1" t="s">
        <v>744</v>
      </c>
      <c r="G318" s="1">
        <v>150</v>
      </c>
      <c r="H318" s="1">
        <v>140</v>
      </c>
      <c r="I318" s="1">
        <v>400</v>
      </c>
      <c r="J318" s="1">
        <v>50</v>
      </c>
      <c r="K318" s="1">
        <v>60</v>
      </c>
      <c r="L318" s="1">
        <v>45</v>
      </c>
      <c r="M318" s="1">
        <v>100</v>
      </c>
      <c r="N318" s="1">
        <v>80</v>
      </c>
      <c r="O318" s="1">
        <v>65</v>
      </c>
      <c r="P318" s="1">
        <v>30</v>
      </c>
      <c r="Q318" s="1">
        <v>407</v>
      </c>
      <c r="R318" s="1" t="s">
        <v>325</v>
      </c>
      <c r="S318" s="1" t="b">
        <v>1</v>
      </c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spans="2:42">
      <c r="B319" s="1">
        <v>316</v>
      </c>
      <c r="C319" s="1" t="s">
        <v>416</v>
      </c>
      <c r="D319" s="1" t="s">
        <v>1006</v>
      </c>
      <c r="E319" s="1" t="s">
        <v>744</v>
      </c>
      <c r="F319" s="1" t="s">
        <v>82</v>
      </c>
      <c r="G319" s="1">
        <v>225</v>
      </c>
      <c r="H319" s="1">
        <v>60</v>
      </c>
      <c r="I319" s="1">
        <v>302</v>
      </c>
      <c r="J319" s="1">
        <v>70</v>
      </c>
      <c r="K319" s="1">
        <v>43</v>
      </c>
      <c r="L319" s="1">
        <v>53</v>
      </c>
      <c r="M319" s="1">
        <v>43</v>
      </c>
      <c r="N319" s="1">
        <v>53</v>
      </c>
      <c r="O319" s="1">
        <v>40</v>
      </c>
      <c r="P319" s="1">
        <v>26</v>
      </c>
      <c r="Q319" s="1">
        <v>317</v>
      </c>
      <c r="R319" s="1" t="s">
        <v>1007</v>
      </c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spans="2:42">
      <c r="B320" s="1">
        <v>317</v>
      </c>
      <c r="C320" s="1" t="s">
        <v>415</v>
      </c>
      <c r="D320" s="1" t="s">
        <v>1007</v>
      </c>
      <c r="E320" s="1" t="s">
        <v>744</v>
      </c>
      <c r="F320" s="1" t="s">
        <v>82</v>
      </c>
      <c r="G320" s="1">
        <v>75</v>
      </c>
      <c r="H320" s="1">
        <v>163</v>
      </c>
      <c r="I320" s="1">
        <v>467</v>
      </c>
      <c r="J320" s="1">
        <v>100</v>
      </c>
      <c r="K320" s="1">
        <v>73</v>
      </c>
      <c r="L320" s="1">
        <v>83</v>
      </c>
      <c r="M320" s="1">
        <v>73</v>
      </c>
      <c r="N320" s="1">
        <v>83</v>
      </c>
      <c r="O320" s="1">
        <v>55</v>
      </c>
      <c r="P320" s="1" t="s">
        <v>82</v>
      </c>
      <c r="Q320" s="1" t="s">
        <v>82</v>
      </c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spans="2:35">
      <c r="B321" s="1">
        <v>318</v>
      </c>
      <c r="C321" s="1" t="s">
        <v>414</v>
      </c>
      <c r="D321" s="1" t="s">
        <v>414</v>
      </c>
      <c r="E321" s="1" t="s">
        <v>754</v>
      </c>
      <c r="F321" s="1" t="s">
        <v>864</v>
      </c>
      <c r="G321" s="1">
        <v>225</v>
      </c>
      <c r="H321" s="1">
        <v>61</v>
      </c>
      <c r="I321" s="1">
        <v>305</v>
      </c>
      <c r="J321" s="1">
        <v>45</v>
      </c>
      <c r="K321" s="1">
        <v>90</v>
      </c>
      <c r="L321" s="1">
        <v>20</v>
      </c>
      <c r="M321" s="1">
        <v>65</v>
      </c>
      <c r="N321" s="1">
        <v>20</v>
      </c>
      <c r="O321" s="1">
        <v>65</v>
      </c>
      <c r="P321" s="1">
        <v>30</v>
      </c>
      <c r="Q321" s="1">
        <v>319</v>
      </c>
      <c r="R321" s="1" t="s">
        <v>413</v>
      </c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spans="2:35">
      <c r="B322" s="1">
        <v>319</v>
      </c>
      <c r="C322" s="1" t="s">
        <v>413</v>
      </c>
      <c r="D322" s="1" t="s">
        <v>413</v>
      </c>
      <c r="E322" s="1" t="s">
        <v>754</v>
      </c>
      <c r="F322" s="1" t="s">
        <v>864</v>
      </c>
      <c r="G322" s="1">
        <v>60</v>
      </c>
      <c r="H322" s="1">
        <v>161</v>
      </c>
      <c r="I322" s="1">
        <v>460</v>
      </c>
      <c r="J322" s="1">
        <v>70</v>
      </c>
      <c r="K322" s="1">
        <v>120</v>
      </c>
      <c r="L322" s="1">
        <v>40</v>
      </c>
      <c r="M322" s="1">
        <v>95</v>
      </c>
      <c r="N322" s="1">
        <v>40</v>
      </c>
      <c r="O322" s="1">
        <v>95</v>
      </c>
      <c r="P322" s="1" t="s">
        <v>82</v>
      </c>
      <c r="Q322" s="1" t="s">
        <v>82</v>
      </c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spans="2:35">
      <c r="B323" s="1">
        <v>320</v>
      </c>
      <c r="C323" s="1" t="s">
        <v>412</v>
      </c>
      <c r="D323" s="1" t="s">
        <v>412</v>
      </c>
      <c r="E323" s="1" t="s">
        <v>754</v>
      </c>
      <c r="F323" s="1" t="s">
        <v>82</v>
      </c>
      <c r="G323" s="1">
        <v>125</v>
      </c>
      <c r="H323" s="1">
        <v>80</v>
      </c>
      <c r="I323" s="1">
        <v>400</v>
      </c>
      <c r="J323" s="1">
        <v>130</v>
      </c>
      <c r="K323" s="1">
        <v>70</v>
      </c>
      <c r="L323" s="1">
        <v>35</v>
      </c>
      <c r="M323" s="1">
        <v>70</v>
      </c>
      <c r="N323" s="1">
        <v>35</v>
      </c>
      <c r="O323" s="1">
        <v>60</v>
      </c>
      <c r="P323" s="1">
        <v>40</v>
      </c>
      <c r="Q323" s="1">
        <v>321</v>
      </c>
      <c r="R323" s="1" t="s">
        <v>411</v>
      </c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spans="2:35">
      <c r="B324" s="1">
        <v>321</v>
      </c>
      <c r="C324" s="1" t="s">
        <v>411</v>
      </c>
      <c r="D324" s="1" t="s">
        <v>411</v>
      </c>
      <c r="E324" s="1" t="s">
        <v>754</v>
      </c>
      <c r="F324" s="1" t="s">
        <v>82</v>
      </c>
      <c r="G324" s="1">
        <v>60</v>
      </c>
      <c r="H324" s="1">
        <v>175</v>
      </c>
      <c r="I324" s="1">
        <v>500</v>
      </c>
      <c r="J324" s="1">
        <v>170</v>
      </c>
      <c r="K324" s="1">
        <v>90</v>
      </c>
      <c r="L324" s="1">
        <v>45</v>
      </c>
      <c r="M324" s="1">
        <v>90</v>
      </c>
      <c r="N324" s="1">
        <v>45</v>
      </c>
      <c r="O324" s="1">
        <v>60</v>
      </c>
      <c r="P324" s="1" t="s">
        <v>82</v>
      </c>
      <c r="Q324" s="1" t="s">
        <v>82</v>
      </c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spans="2:35">
      <c r="B325" s="1">
        <v>322</v>
      </c>
      <c r="C325" s="1" t="s">
        <v>410</v>
      </c>
      <c r="D325" s="1" t="s">
        <v>1008</v>
      </c>
      <c r="E325" s="1" t="s">
        <v>748</v>
      </c>
      <c r="F325" s="1" t="s">
        <v>774</v>
      </c>
      <c r="G325" s="1">
        <v>255</v>
      </c>
      <c r="H325" s="1">
        <v>61</v>
      </c>
      <c r="I325" s="1">
        <v>305</v>
      </c>
      <c r="J325" s="1">
        <v>60</v>
      </c>
      <c r="K325" s="1">
        <v>60</v>
      </c>
      <c r="L325" s="1">
        <v>40</v>
      </c>
      <c r="M325" s="1">
        <v>65</v>
      </c>
      <c r="N325" s="1">
        <v>45</v>
      </c>
      <c r="O325" s="1">
        <v>35</v>
      </c>
      <c r="P325" s="1">
        <v>33</v>
      </c>
      <c r="Q325" s="1">
        <v>323</v>
      </c>
      <c r="R325" s="1" t="s">
        <v>1009</v>
      </c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spans="2:35">
      <c r="B326" s="1">
        <v>323</v>
      </c>
      <c r="C326" s="1" t="s">
        <v>409</v>
      </c>
      <c r="D326" s="1" t="s">
        <v>1009</v>
      </c>
      <c r="E326" s="1" t="s">
        <v>748</v>
      </c>
      <c r="F326" s="1" t="s">
        <v>774</v>
      </c>
      <c r="G326" s="1">
        <v>150</v>
      </c>
      <c r="H326" s="1">
        <v>161</v>
      </c>
      <c r="I326" s="1">
        <v>460</v>
      </c>
      <c r="J326" s="1">
        <v>70</v>
      </c>
      <c r="K326" s="1">
        <v>100</v>
      </c>
      <c r="L326" s="1">
        <v>70</v>
      </c>
      <c r="M326" s="1">
        <v>105</v>
      </c>
      <c r="N326" s="1">
        <v>75</v>
      </c>
      <c r="O326" s="1">
        <v>40</v>
      </c>
      <c r="P326" s="1" t="s">
        <v>82</v>
      </c>
      <c r="Q326" s="1" t="s">
        <v>82</v>
      </c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spans="2:35">
      <c r="B327" s="1">
        <v>324</v>
      </c>
      <c r="C327" s="1" t="s">
        <v>408</v>
      </c>
      <c r="D327" s="1" t="s">
        <v>1010</v>
      </c>
      <c r="E327" s="1" t="s">
        <v>748</v>
      </c>
      <c r="F327" s="1" t="s">
        <v>82</v>
      </c>
      <c r="G327" s="1">
        <v>90</v>
      </c>
      <c r="H327" s="1">
        <v>165</v>
      </c>
      <c r="I327" s="1">
        <v>470</v>
      </c>
      <c r="J327" s="1">
        <v>70</v>
      </c>
      <c r="K327" s="1">
        <v>85</v>
      </c>
      <c r="L327" s="1">
        <v>140</v>
      </c>
      <c r="M327" s="1">
        <v>85</v>
      </c>
      <c r="N327" s="1">
        <v>70</v>
      </c>
      <c r="O327" s="1">
        <v>20</v>
      </c>
      <c r="P327" s="1" t="s">
        <v>82</v>
      </c>
      <c r="Q327" s="1" t="s">
        <v>82</v>
      </c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spans="2:35">
      <c r="B328" s="1">
        <v>325</v>
      </c>
      <c r="C328" s="1" t="s">
        <v>407</v>
      </c>
      <c r="D328" s="1" t="s">
        <v>407</v>
      </c>
      <c r="E328" s="1" t="s">
        <v>803</v>
      </c>
      <c r="F328" s="1" t="s">
        <v>82</v>
      </c>
      <c r="G328" s="1">
        <v>255</v>
      </c>
      <c r="H328" s="1">
        <v>66</v>
      </c>
      <c r="I328" s="1">
        <v>330</v>
      </c>
      <c r="J328" s="1">
        <v>60</v>
      </c>
      <c r="K328" s="1">
        <v>25</v>
      </c>
      <c r="L328" s="1">
        <v>35</v>
      </c>
      <c r="M328" s="1">
        <v>70</v>
      </c>
      <c r="N328" s="1">
        <v>80</v>
      </c>
      <c r="O328" s="1">
        <v>60</v>
      </c>
      <c r="P328" s="1">
        <v>32</v>
      </c>
      <c r="Q328" s="1">
        <v>326</v>
      </c>
      <c r="R328" s="1" t="s">
        <v>1011</v>
      </c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spans="2:35">
      <c r="B329" s="1">
        <v>326</v>
      </c>
      <c r="C329" s="1" t="s">
        <v>406</v>
      </c>
      <c r="D329" s="1" t="s">
        <v>1011</v>
      </c>
      <c r="E329" s="1" t="s">
        <v>803</v>
      </c>
      <c r="F329" s="1" t="s">
        <v>82</v>
      </c>
      <c r="G329" s="1">
        <v>60</v>
      </c>
      <c r="H329" s="1">
        <v>165</v>
      </c>
      <c r="I329" s="1">
        <v>470</v>
      </c>
      <c r="J329" s="1">
        <v>80</v>
      </c>
      <c r="K329" s="1">
        <v>45</v>
      </c>
      <c r="L329" s="1">
        <v>65</v>
      </c>
      <c r="M329" s="1">
        <v>90</v>
      </c>
      <c r="N329" s="1">
        <v>110</v>
      </c>
      <c r="O329" s="1">
        <v>80</v>
      </c>
      <c r="P329" s="1" t="s">
        <v>82</v>
      </c>
      <c r="Q329" s="1" t="s">
        <v>82</v>
      </c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spans="2:35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255</v>
      </c>
      <c r="H330" s="1">
        <v>126</v>
      </c>
      <c r="I330" s="1">
        <v>360</v>
      </c>
      <c r="J330" s="1">
        <v>60</v>
      </c>
      <c r="K330" s="1">
        <v>60</v>
      </c>
      <c r="L330" s="1">
        <v>60</v>
      </c>
      <c r="M330" s="1">
        <v>60</v>
      </c>
      <c r="N330" s="1">
        <v>60</v>
      </c>
      <c r="O330" s="1">
        <v>60</v>
      </c>
      <c r="P330" s="1" t="s">
        <v>82</v>
      </c>
      <c r="Q330" s="1" t="s">
        <v>82</v>
      </c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spans="2:35">
      <c r="B331" s="1">
        <v>328</v>
      </c>
      <c r="C331" s="1" t="s">
        <v>404</v>
      </c>
      <c r="D331" s="1" t="s">
        <v>1012</v>
      </c>
      <c r="E331" s="1" t="s">
        <v>774</v>
      </c>
      <c r="F331" s="1" t="s">
        <v>82</v>
      </c>
      <c r="G331" s="1">
        <v>255</v>
      </c>
      <c r="H331" s="1">
        <v>58</v>
      </c>
      <c r="I331" s="1">
        <v>290</v>
      </c>
      <c r="J331" s="1">
        <v>45</v>
      </c>
      <c r="K331" s="1">
        <v>100</v>
      </c>
      <c r="L331" s="1">
        <v>45</v>
      </c>
      <c r="M331" s="1">
        <v>45</v>
      </c>
      <c r="N331" s="1">
        <v>45</v>
      </c>
      <c r="O331" s="1">
        <v>10</v>
      </c>
      <c r="P331" s="1">
        <v>35</v>
      </c>
      <c r="Q331" s="1">
        <v>329</v>
      </c>
      <c r="R331" s="1" t="s">
        <v>1013</v>
      </c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spans="2:35">
      <c r="B332" s="1">
        <v>329</v>
      </c>
      <c r="C332" s="1" t="s">
        <v>403</v>
      </c>
      <c r="D332" s="1" t="s">
        <v>1013</v>
      </c>
      <c r="E332" s="1" t="s">
        <v>774</v>
      </c>
      <c r="F332" s="1" t="s">
        <v>752</v>
      </c>
      <c r="G332" s="1">
        <v>120</v>
      </c>
      <c r="H332" s="1">
        <v>119</v>
      </c>
      <c r="I332" s="1">
        <v>340</v>
      </c>
      <c r="J332" s="1">
        <v>50</v>
      </c>
      <c r="K332" s="1">
        <v>70</v>
      </c>
      <c r="L332" s="1">
        <v>50</v>
      </c>
      <c r="M332" s="1">
        <v>50</v>
      </c>
      <c r="N332" s="1">
        <v>50</v>
      </c>
      <c r="O332" s="1">
        <v>70</v>
      </c>
      <c r="P332" s="1">
        <v>45</v>
      </c>
      <c r="Q332" s="1">
        <v>330</v>
      </c>
      <c r="R332" s="1" t="s">
        <v>1014</v>
      </c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spans="2:35">
      <c r="B333" s="1">
        <v>330</v>
      </c>
      <c r="C333" s="1" t="s">
        <v>402</v>
      </c>
      <c r="D333" s="1" t="s">
        <v>1014</v>
      </c>
      <c r="E333" s="1" t="s">
        <v>774</v>
      </c>
      <c r="F333" s="1" t="s">
        <v>752</v>
      </c>
      <c r="G333" s="1">
        <v>45</v>
      </c>
      <c r="H333" s="1">
        <v>234</v>
      </c>
      <c r="I333" s="1">
        <v>520</v>
      </c>
      <c r="J333" s="1">
        <v>80</v>
      </c>
      <c r="K333" s="1">
        <v>100</v>
      </c>
      <c r="L333" s="1">
        <v>80</v>
      </c>
      <c r="M333" s="1">
        <v>80</v>
      </c>
      <c r="N333" s="1">
        <v>80</v>
      </c>
      <c r="O333" s="1">
        <v>100</v>
      </c>
      <c r="P333" s="1" t="s">
        <v>82</v>
      </c>
      <c r="Q333" s="1" t="s">
        <v>82</v>
      </c>
      <c r="R333" s="1" t="s">
        <v>82</v>
      </c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spans="2:35">
      <c r="B334" s="1">
        <v>331</v>
      </c>
      <c r="C334" s="1" t="s">
        <v>401</v>
      </c>
      <c r="D334" s="1" t="s">
        <v>401</v>
      </c>
      <c r="E334" s="1" t="s">
        <v>743</v>
      </c>
      <c r="F334" s="1" t="s">
        <v>82</v>
      </c>
      <c r="G334" s="1">
        <v>190</v>
      </c>
      <c r="H334" s="1">
        <v>67</v>
      </c>
      <c r="I334" s="1">
        <v>335</v>
      </c>
      <c r="J334" s="1">
        <v>50</v>
      </c>
      <c r="K334" s="1">
        <v>85</v>
      </c>
      <c r="L334" s="1">
        <v>40</v>
      </c>
      <c r="M334" s="1">
        <v>85</v>
      </c>
      <c r="N334" s="1">
        <v>40</v>
      </c>
      <c r="O334" s="1">
        <v>35</v>
      </c>
      <c r="P334" s="1">
        <v>32</v>
      </c>
      <c r="Q334" s="1">
        <v>332</v>
      </c>
      <c r="R334" s="1" t="s">
        <v>400</v>
      </c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spans="2:35">
      <c r="B335" s="1">
        <v>332</v>
      </c>
      <c r="C335" s="1" t="s">
        <v>400</v>
      </c>
      <c r="D335" s="1" t="s">
        <v>400</v>
      </c>
      <c r="E335" s="1" t="s">
        <v>743</v>
      </c>
      <c r="F335" s="1" t="s">
        <v>864</v>
      </c>
      <c r="G335" s="1">
        <v>60</v>
      </c>
      <c r="H335" s="1">
        <v>166</v>
      </c>
      <c r="I335" s="1">
        <v>475</v>
      </c>
      <c r="J335" s="1">
        <v>70</v>
      </c>
      <c r="K335" s="1">
        <v>115</v>
      </c>
      <c r="L335" s="1">
        <v>60</v>
      </c>
      <c r="M335" s="1">
        <v>115</v>
      </c>
      <c r="N335" s="1">
        <v>60</v>
      </c>
      <c r="O335" s="1">
        <v>55</v>
      </c>
      <c r="P335" s="1" t="s">
        <v>82</v>
      </c>
      <c r="Q335" s="1" t="s">
        <v>82</v>
      </c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spans="2:35">
      <c r="B336" s="1">
        <v>333</v>
      </c>
      <c r="C336" s="1" t="s">
        <v>399</v>
      </c>
      <c r="D336" s="1" t="s">
        <v>1015</v>
      </c>
      <c r="E336" s="1" t="s">
        <v>765</v>
      </c>
      <c r="F336" s="1" t="s">
        <v>751</v>
      </c>
      <c r="G336" s="1">
        <v>255</v>
      </c>
      <c r="H336" s="1">
        <v>62</v>
      </c>
      <c r="I336" s="1">
        <v>310</v>
      </c>
      <c r="J336" s="1">
        <v>45</v>
      </c>
      <c r="K336" s="1">
        <v>40</v>
      </c>
      <c r="L336" s="1">
        <v>60</v>
      </c>
      <c r="M336" s="1">
        <v>40</v>
      </c>
      <c r="N336" s="1">
        <v>75</v>
      </c>
      <c r="O336" s="1">
        <v>50</v>
      </c>
      <c r="P336" s="1">
        <v>35</v>
      </c>
      <c r="Q336" s="1">
        <v>334</v>
      </c>
      <c r="R336" s="1" t="s">
        <v>398</v>
      </c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spans="2:35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751</v>
      </c>
      <c r="G337" s="1">
        <v>45</v>
      </c>
      <c r="H337" s="1">
        <v>172</v>
      </c>
      <c r="I337" s="1">
        <v>490</v>
      </c>
      <c r="J337" s="1">
        <v>75</v>
      </c>
      <c r="K337" s="1">
        <v>70</v>
      </c>
      <c r="L337" s="1">
        <v>90</v>
      </c>
      <c r="M337" s="1">
        <v>70</v>
      </c>
      <c r="N337" s="1">
        <v>105</v>
      </c>
      <c r="O337" s="1">
        <v>80</v>
      </c>
      <c r="P337" s="1" t="s">
        <v>82</v>
      </c>
      <c r="Q337" s="1" t="s">
        <v>82</v>
      </c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spans="2:35">
      <c r="B338" s="1">
        <v>335</v>
      </c>
      <c r="C338" s="1" t="s">
        <v>397</v>
      </c>
      <c r="D338" s="1" t="s">
        <v>1016</v>
      </c>
      <c r="E338" s="1" t="s">
        <v>765</v>
      </c>
      <c r="F338" s="1" t="s">
        <v>82</v>
      </c>
      <c r="G338" s="1">
        <v>90</v>
      </c>
      <c r="H338" s="1">
        <v>160</v>
      </c>
      <c r="I338" s="1">
        <v>458</v>
      </c>
      <c r="J338" s="1">
        <v>73</v>
      </c>
      <c r="K338" s="1">
        <v>115</v>
      </c>
      <c r="L338" s="1">
        <v>60</v>
      </c>
      <c r="M338" s="1">
        <v>60</v>
      </c>
      <c r="N338" s="1">
        <v>60</v>
      </c>
      <c r="O338" s="1">
        <v>90</v>
      </c>
      <c r="P338" s="1" t="s">
        <v>82</v>
      </c>
      <c r="Q338" s="1" t="s">
        <v>82</v>
      </c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spans="2:35">
      <c r="B339" s="1">
        <v>336</v>
      </c>
      <c r="C339" s="1" t="s">
        <v>396</v>
      </c>
      <c r="D339" s="1" t="s">
        <v>1017</v>
      </c>
      <c r="E339" s="1" t="s">
        <v>744</v>
      </c>
      <c r="F339" s="1" t="s">
        <v>82</v>
      </c>
      <c r="G339" s="1">
        <v>90</v>
      </c>
      <c r="H339" s="1">
        <v>160</v>
      </c>
      <c r="I339" s="1">
        <v>458</v>
      </c>
      <c r="J339" s="1">
        <v>73</v>
      </c>
      <c r="K339" s="1">
        <v>100</v>
      </c>
      <c r="L339" s="1">
        <v>60</v>
      </c>
      <c r="M339" s="1">
        <v>100</v>
      </c>
      <c r="N339" s="1">
        <v>60</v>
      </c>
      <c r="O339" s="1">
        <v>65</v>
      </c>
      <c r="P339" s="1" t="s">
        <v>82</v>
      </c>
      <c r="Q339" s="1" t="s">
        <v>82</v>
      </c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spans="2:35">
      <c r="B340" s="1">
        <v>337</v>
      </c>
      <c r="C340" s="1" t="s">
        <v>395</v>
      </c>
      <c r="D340" s="1" t="s">
        <v>1018</v>
      </c>
      <c r="E340" s="1" t="s">
        <v>811</v>
      </c>
      <c r="F340" s="1" t="s">
        <v>803</v>
      </c>
      <c r="G340" s="1">
        <v>45</v>
      </c>
      <c r="H340" s="1">
        <v>161</v>
      </c>
      <c r="I340" s="1">
        <v>440</v>
      </c>
      <c r="J340" s="1">
        <v>70</v>
      </c>
      <c r="K340" s="1">
        <v>55</v>
      </c>
      <c r="L340" s="1">
        <v>65</v>
      </c>
      <c r="M340" s="1">
        <v>95</v>
      </c>
      <c r="N340" s="1">
        <v>85</v>
      </c>
      <c r="O340" s="1">
        <v>70</v>
      </c>
      <c r="P340" s="1" t="s">
        <v>82</v>
      </c>
      <c r="Q340" s="1" t="s">
        <v>82</v>
      </c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spans="2:35">
      <c r="B341" s="1">
        <v>338</v>
      </c>
      <c r="C341" s="1" t="s">
        <v>394</v>
      </c>
      <c r="D341" s="1" t="s">
        <v>1019</v>
      </c>
      <c r="E341" s="1" t="s">
        <v>811</v>
      </c>
      <c r="F341" s="1" t="s">
        <v>803</v>
      </c>
      <c r="G341" s="1">
        <v>45</v>
      </c>
      <c r="H341" s="1">
        <v>161</v>
      </c>
      <c r="I341" s="1">
        <v>440</v>
      </c>
      <c r="J341" s="1">
        <v>70</v>
      </c>
      <c r="K341" s="1">
        <v>95</v>
      </c>
      <c r="L341" s="1">
        <v>85</v>
      </c>
      <c r="M341" s="1">
        <v>55</v>
      </c>
      <c r="N341" s="1">
        <v>65</v>
      </c>
      <c r="O341" s="1">
        <v>70</v>
      </c>
      <c r="P341" s="1" t="s">
        <v>82</v>
      </c>
      <c r="Q341" s="1" t="s">
        <v>82</v>
      </c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spans="2:35">
      <c r="B342" s="1">
        <v>339</v>
      </c>
      <c r="C342" s="1" t="s">
        <v>393</v>
      </c>
      <c r="D342" s="1" t="s">
        <v>1020</v>
      </c>
      <c r="E342" s="1" t="s">
        <v>754</v>
      </c>
      <c r="F342" s="1" t="s">
        <v>774</v>
      </c>
      <c r="G342" s="1">
        <v>190</v>
      </c>
      <c r="H342" s="1">
        <v>58</v>
      </c>
      <c r="I342" s="1">
        <v>288</v>
      </c>
      <c r="J342" s="1">
        <v>50</v>
      </c>
      <c r="K342" s="1">
        <v>48</v>
      </c>
      <c r="L342" s="1">
        <v>43</v>
      </c>
      <c r="M342" s="1">
        <v>46</v>
      </c>
      <c r="N342" s="1">
        <v>41</v>
      </c>
      <c r="O342" s="1">
        <v>60</v>
      </c>
      <c r="P342" s="1">
        <v>30</v>
      </c>
      <c r="Q342" s="1">
        <v>340</v>
      </c>
      <c r="R342" s="1" t="s">
        <v>1021</v>
      </c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spans="2:35">
      <c r="B343" s="1">
        <v>340</v>
      </c>
      <c r="C343" s="1" t="s">
        <v>392</v>
      </c>
      <c r="D343" s="1" t="s">
        <v>1021</v>
      </c>
      <c r="E343" s="1" t="s">
        <v>754</v>
      </c>
      <c r="F343" s="1" t="s">
        <v>774</v>
      </c>
      <c r="G343" s="1">
        <v>75</v>
      </c>
      <c r="H343" s="1">
        <v>164</v>
      </c>
      <c r="I343" s="1">
        <v>468</v>
      </c>
      <c r="J343" s="1">
        <v>110</v>
      </c>
      <c r="K343" s="1">
        <v>78</v>
      </c>
      <c r="L343" s="1">
        <v>73</v>
      </c>
      <c r="M343" s="1">
        <v>76</v>
      </c>
      <c r="N343" s="1">
        <v>71</v>
      </c>
      <c r="O343" s="1">
        <v>60</v>
      </c>
      <c r="P343" s="1" t="s">
        <v>82</v>
      </c>
      <c r="Q343" s="1" t="s">
        <v>82</v>
      </c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  <row r="344" spans="2:35">
      <c r="B344" s="1">
        <v>341</v>
      </c>
      <c r="C344" s="1" t="s">
        <v>391</v>
      </c>
      <c r="D344" s="1" t="s">
        <v>1022</v>
      </c>
      <c r="E344" s="1" t="s">
        <v>754</v>
      </c>
      <c r="F344" s="1" t="s">
        <v>82</v>
      </c>
      <c r="G344" s="1">
        <v>205</v>
      </c>
      <c r="H344" s="1">
        <v>62</v>
      </c>
      <c r="I344" s="1">
        <v>308</v>
      </c>
      <c r="J344" s="1">
        <v>43</v>
      </c>
      <c r="K344" s="1">
        <v>80</v>
      </c>
      <c r="L344" s="1">
        <v>65</v>
      </c>
      <c r="M344" s="1">
        <v>50</v>
      </c>
      <c r="N344" s="1">
        <v>35</v>
      </c>
      <c r="O344" s="1">
        <v>35</v>
      </c>
      <c r="P344" s="1">
        <v>30</v>
      </c>
      <c r="Q344" s="1">
        <v>342</v>
      </c>
      <c r="R344" s="1" t="s">
        <v>1023</v>
      </c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</row>
    <row r="345" spans="2:35">
      <c r="B345" s="1">
        <v>342</v>
      </c>
      <c r="C345" s="1" t="s">
        <v>390</v>
      </c>
      <c r="D345" s="1" t="s">
        <v>1023</v>
      </c>
      <c r="E345" s="1" t="s">
        <v>754</v>
      </c>
      <c r="F345" s="1" t="s">
        <v>864</v>
      </c>
      <c r="G345" s="1">
        <v>155</v>
      </c>
      <c r="H345" s="1">
        <v>164</v>
      </c>
      <c r="I345" s="1">
        <v>468</v>
      </c>
      <c r="J345" s="1">
        <v>63</v>
      </c>
      <c r="K345" s="1">
        <v>120</v>
      </c>
      <c r="L345" s="1">
        <v>85</v>
      </c>
      <c r="M345" s="1">
        <v>90</v>
      </c>
      <c r="N345" s="1">
        <v>55</v>
      </c>
      <c r="O345" s="1">
        <v>55</v>
      </c>
      <c r="P345" s="1" t="s">
        <v>82</v>
      </c>
      <c r="Q345" s="1" t="s">
        <v>82</v>
      </c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</row>
    <row r="346" spans="2:35">
      <c r="B346" s="1">
        <v>343</v>
      </c>
      <c r="C346" s="1" t="s">
        <v>389</v>
      </c>
      <c r="D346" s="1" t="s">
        <v>1024</v>
      </c>
      <c r="E346" s="1" t="s">
        <v>774</v>
      </c>
      <c r="F346" s="1" t="s">
        <v>803</v>
      </c>
      <c r="G346" s="1">
        <v>255</v>
      </c>
      <c r="H346" s="1">
        <v>60</v>
      </c>
      <c r="I346" s="1">
        <v>300</v>
      </c>
      <c r="J346" s="1">
        <v>40</v>
      </c>
      <c r="K346" s="1">
        <v>40</v>
      </c>
      <c r="L346" s="1">
        <v>55</v>
      </c>
      <c r="M346" s="1">
        <v>40</v>
      </c>
      <c r="N346" s="1">
        <v>70</v>
      </c>
      <c r="O346" s="1">
        <v>55</v>
      </c>
      <c r="P346" s="1">
        <v>36</v>
      </c>
      <c r="Q346" s="1">
        <v>344</v>
      </c>
      <c r="R346" s="1" t="s">
        <v>1025</v>
      </c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</row>
    <row r="347" spans="2:35">
      <c r="B347" s="1">
        <v>344</v>
      </c>
      <c r="C347" s="1" t="s">
        <v>388</v>
      </c>
      <c r="D347" s="1" t="s">
        <v>1025</v>
      </c>
      <c r="E347" s="1" t="s">
        <v>774</v>
      </c>
      <c r="F347" s="1" t="s">
        <v>803</v>
      </c>
      <c r="G347" s="1">
        <v>90</v>
      </c>
      <c r="H347" s="1">
        <v>175</v>
      </c>
      <c r="I347" s="1">
        <v>500</v>
      </c>
      <c r="J347" s="1">
        <v>60</v>
      </c>
      <c r="K347" s="1">
        <v>70</v>
      </c>
      <c r="L347" s="1">
        <v>105</v>
      </c>
      <c r="M347" s="1">
        <v>70</v>
      </c>
      <c r="N347" s="1">
        <v>120</v>
      </c>
      <c r="O347" s="1">
        <v>75</v>
      </c>
      <c r="P347" s="1" t="s">
        <v>82</v>
      </c>
      <c r="Q347" s="1" t="s">
        <v>82</v>
      </c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</row>
    <row r="348" spans="2:35">
      <c r="B348" s="1">
        <v>345</v>
      </c>
      <c r="C348" s="1" t="s">
        <v>387</v>
      </c>
      <c r="D348" s="1" t="s">
        <v>1026</v>
      </c>
      <c r="E348" s="1" t="s">
        <v>811</v>
      </c>
      <c r="F348" s="1" t="s">
        <v>743</v>
      </c>
      <c r="G348" s="1">
        <v>45</v>
      </c>
      <c r="H348" s="1">
        <v>71</v>
      </c>
      <c r="I348" s="1">
        <v>355</v>
      </c>
      <c r="J348" s="1">
        <v>66</v>
      </c>
      <c r="K348" s="1">
        <v>41</v>
      </c>
      <c r="L348" s="1">
        <v>77</v>
      </c>
      <c r="M348" s="1">
        <v>61</v>
      </c>
      <c r="N348" s="1">
        <v>87</v>
      </c>
      <c r="O348" s="1">
        <v>23</v>
      </c>
      <c r="P348" s="1">
        <v>40</v>
      </c>
      <c r="Q348" s="1">
        <v>346</v>
      </c>
      <c r="R348" s="1" t="s">
        <v>1027</v>
      </c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</row>
    <row r="349" spans="2:35">
      <c r="B349" s="1">
        <v>346</v>
      </c>
      <c r="C349" s="1" t="s">
        <v>386</v>
      </c>
      <c r="D349" s="1" t="s">
        <v>1027</v>
      </c>
      <c r="E349" s="1" t="s">
        <v>811</v>
      </c>
      <c r="F349" s="1" t="s">
        <v>743</v>
      </c>
      <c r="G349" s="1">
        <v>45</v>
      </c>
      <c r="H349" s="1">
        <v>173</v>
      </c>
      <c r="I349" s="1">
        <v>495</v>
      </c>
      <c r="J349" s="1">
        <v>86</v>
      </c>
      <c r="K349" s="1">
        <v>81</v>
      </c>
      <c r="L349" s="1">
        <v>97</v>
      </c>
      <c r="M349" s="1">
        <v>81</v>
      </c>
      <c r="N349" s="1">
        <v>107</v>
      </c>
      <c r="O349" s="1">
        <v>43</v>
      </c>
      <c r="P349" s="1" t="s">
        <v>82</v>
      </c>
      <c r="Q349" s="1" t="s">
        <v>82</v>
      </c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</row>
    <row r="350" spans="2:35">
      <c r="B350" s="1">
        <v>347</v>
      </c>
      <c r="C350" s="1" t="s">
        <v>385</v>
      </c>
      <c r="D350" s="1" t="s">
        <v>385</v>
      </c>
      <c r="E350" s="1" t="s">
        <v>811</v>
      </c>
      <c r="F350" s="1" t="s">
        <v>758</v>
      </c>
      <c r="G350" s="1">
        <v>45</v>
      </c>
      <c r="H350" s="1">
        <v>71</v>
      </c>
      <c r="I350" s="1">
        <v>355</v>
      </c>
      <c r="J350" s="1">
        <v>45</v>
      </c>
      <c r="K350" s="1">
        <v>95</v>
      </c>
      <c r="L350" s="1">
        <v>50</v>
      </c>
      <c r="M350" s="1">
        <v>40</v>
      </c>
      <c r="N350" s="1">
        <v>50</v>
      </c>
      <c r="O350" s="1">
        <v>75</v>
      </c>
      <c r="P350" s="1">
        <v>40</v>
      </c>
      <c r="Q350" s="1">
        <v>348</v>
      </c>
      <c r="R350" s="1" t="s">
        <v>384</v>
      </c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</row>
    <row r="351" spans="2:35">
      <c r="B351" s="1">
        <v>348</v>
      </c>
      <c r="C351" s="1" t="s">
        <v>384</v>
      </c>
      <c r="D351" s="1" t="s">
        <v>384</v>
      </c>
      <c r="E351" s="1" t="s">
        <v>811</v>
      </c>
      <c r="F351" s="1" t="s">
        <v>758</v>
      </c>
      <c r="G351" s="1">
        <v>45</v>
      </c>
      <c r="H351" s="1">
        <v>173</v>
      </c>
      <c r="I351" s="1">
        <v>495</v>
      </c>
      <c r="J351" s="1">
        <v>75</v>
      </c>
      <c r="K351" s="1">
        <v>125</v>
      </c>
      <c r="L351" s="1">
        <v>100</v>
      </c>
      <c r="M351" s="1">
        <v>70</v>
      </c>
      <c r="N351" s="1">
        <v>80</v>
      </c>
      <c r="O351" s="1">
        <v>45</v>
      </c>
      <c r="P351" s="1" t="s">
        <v>82</v>
      </c>
      <c r="Q351" s="1" t="s">
        <v>82</v>
      </c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</row>
    <row r="352" spans="2:35">
      <c r="B352" s="1">
        <v>349</v>
      </c>
      <c r="C352" s="1" t="s">
        <v>383</v>
      </c>
      <c r="D352" s="1" t="s">
        <v>1028</v>
      </c>
      <c r="E352" s="1" t="s">
        <v>754</v>
      </c>
      <c r="F352" s="1" t="s">
        <v>82</v>
      </c>
      <c r="G352" s="1">
        <v>255</v>
      </c>
      <c r="H352" s="1">
        <v>40</v>
      </c>
      <c r="I352" s="1">
        <v>200</v>
      </c>
      <c r="J352" s="1">
        <v>20</v>
      </c>
      <c r="K352" s="1">
        <v>15</v>
      </c>
      <c r="L352" s="1">
        <v>20</v>
      </c>
      <c r="M352" s="1">
        <v>10</v>
      </c>
      <c r="N352" s="1">
        <v>55</v>
      </c>
      <c r="O352" s="1">
        <v>80</v>
      </c>
      <c r="P352" s="1">
        <v>30</v>
      </c>
      <c r="Q352" s="1">
        <v>350</v>
      </c>
      <c r="R352" s="1" t="s">
        <v>1029</v>
      </c>
      <c r="S352" s="1" t="b">
        <v>1</v>
      </c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</row>
    <row r="353" spans="2:35">
      <c r="B353" s="1">
        <v>350</v>
      </c>
      <c r="C353" s="1" t="s">
        <v>382</v>
      </c>
      <c r="D353" s="1" t="s">
        <v>1029</v>
      </c>
      <c r="E353" s="1" t="s">
        <v>754</v>
      </c>
      <c r="F353" s="1" t="s">
        <v>82</v>
      </c>
      <c r="G353" s="1">
        <v>60</v>
      </c>
      <c r="H353" s="1">
        <v>189</v>
      </c>
      <c r="I353" s="1">
        <v>540</v>
      </c>
      <c r="J353" s="1">
        <v>95</v>
      </c>
      <c r="K353" s="1">
        <v>60</v>
      </c>
      <c r="L353" s="1">
        <v>79</v>
      </c>
      <c r="M353" s="1">
        <v>100</v>
      </c>
      <c r="N353" s="1">
        <v>125</v>
      </c>
      <c r="O353" s="1">
        <v>81</v>
      </c>
      <c r="P353" s="1" t="s">
        <v>82</v>
      </c>
      <c r="Q353" s="1" t="s">
        <v>82</v>
      </c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</row>
    <row r="354" spans="2:35">
      <c r="B354" s="1">
        <v>351</v>
      </c>
      <c r="C354" s="1" t="s">
        <v>381</v>
      </c>
      <c r="D354" s="1" t="s">
        <v>1030</v>
      </c>
      <c r="E354" s="1" t="s">
        <v>765</v>
      </c>
      <c r="F354" s="1" t="s">
        <v>82</v>
      </c>
      <c r="G354" s="1">
        <v>45</v>
      </c>
      <c r="H354" s="1">
        <v>147</v>
      </c>
      <c r="I354" s="1">
        <v>420</v>
      </c>
      <c r="J354" s="1">
        <v>70</v>
      </c>
      <c r="K354" s="1">
        <v>70</v>
      </c>
      <c r="L354" s="1">
        <v>70</v>
      </c>
      <c r="M354" s="1">
        <v>70</v>
      </c>
      <c r="N354" s="1">
        <v>70</v>
      </c>
      <c r="O354" s="1">
        <v>70</v>
      </c>
      <c r="P354" s="1" t="s">
        <v>82</v>
      </c>
      <c r="Q354" s="1" t="s">
        <v>82</v>
      </c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</row>
    <row r="355" spans="2:35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200</v>
      </c>
      <c r="H355" s="1">
        <v>154</v>
      </c>
      <c r="I355" s="1">
        <v>440</v>
      </c>
      <c r="J355" s="1">
        <v>60</v>
      </c>
      <c r="K355" s="1">
        <v>90</v>
      </c>
      <c r="L355" s="1">
        <v>70</v>
      </c>
      <c r="M355" s="1">
        <v>60</v>
      </c>
      <c r="N355" s="1">
        <v>120</v>
      </c>
      <c r="O355" s="1">
        <v>40</v>
      </c>
      <c r="P355" s="1" t="s">
        <v>82</v>
      </c>
      <c r="Q355" s="1" t="s">
        <v>82</v>
      </c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</row>
    <row r="356" spans="2:35">
      <c r="B356" s="1">
        <v>353</v>
      </c>
      <c r="C356" s="1" t="s">
        <v>379</v>
      </c>
      <c r="D356" s="1" t="s">
        <v>1031</v>
      </c>
      <c r="E356" s="1" t="s">
        <v>829</v>
      </c>
      <c r="F356" s="1" t="s">
        <v>82</v>
      </c>
      <c r="G356" s="1">
        <v>225</v>
      </c>
      <c r="H356" s="1">
        <v>59</v>
      </c>
      <c r="I356" s="1">
        <v>295</v>
      </c>
      <c r="J356" s="1">
        <v>44</v>
      </c>
      <c r="K356" s="1">
        <v>75</v>
      </c>
      <c r="L356" s="1">
        <v>35</v>
      </c>
      <c r="M356" s="1">
        <v>63</v>
      </c>
      <c r="N356" s="1">
        <v>33</v>
      </c>
      <c r="O356" s="1">
        <v>45</v>
      </c>
      <c r="P356" s="1">
        <v>37</v>
      </c>
      <c r="Q356" s="1">
        <v>354</v>
      </c>
      <c r="R356" s="1" t="s">
        <v>1032</v>
      </c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</row>
    <row r="357" spans="2:35">
      <c r="B357" s="1">
        <v>354</v>
      </c>
      <c r="C357" s="1" t="s">
        <v>378</v>
      </c>
      <c r="D357" s="1" t="s">
        <v>1032</v>
      </c>
      <c r="E357" s="1" t="s">
        <v>829</v>
      </c>
      <c r="F357" s="1" t="s">
        <v>82</v>
      </c>
      <c r="G357" s="1">
        <v>45</v>
      </c>
      <c r="H357" s="1">
        <v>159</v>
      </c>
      <c r="I357" s="1">
        <v>455</v>
      </c>
      <c r="J357" s="1">
        <v>64</v>
      </c>
      <c r="K357" s="1">
        <v>115</v>
      </c>
      <c r="L357" s="1">
        <v>65</v>
      </c>
      <c r="M357" s="1">
        <v>83</v>
      </c>
      <c r="N357" s="1">
        <v>63</v>
      </c>
      <c r="O357" s="1">
        <v>65</v>
      </c>
      <c r="P357" s="1" t="s">
        <v>82</v>
      </c>
      <c r="Q357" s="1" t="s">
        <v>82</v>
      </c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</row>
    <row r="358" spans="2:35">
      <c r="B358" s="1">
        <v>355</v>
      </c>
      <c r="C358" s="1" t="s">
        <v>377</v>
      </c>
      <c r="D358" s="1" t="s">
        <v>1033</v>
      </c>
      <c r="E358" s="1" t="s">
        <v>829</v>
      </c>
      <c r="F358" s="1" t="s">
        <v>82</v>
      </c>
      <c r="G358" s="1">
        <v>190</v>
      </c>
      <c r="H358" s="1">
        <v>59</v>
      </c>
      <c r="I358" s="1">
        <v>295</v>
      </c>
      <c r="J358" s="1">
        <v>20</v>
      </c>
      <c r="K358" s="1">
        <v>40</v>
      </c>
      <c r="L358" s="1">
        <v>90</v>
      </c>
      <c r="M358" s="1">
        <v>30</v>
      </c>
      <c r="N358" s="1">
        <v>90</v>
      </c>
      <c r="O358" s="1">
        <v>25</v>
      </c>
      <c r="P358" s="1">
        <v>37</v>
      </c>
      <c r="Q358" s="1">
        <v>356</v>
      </c>
      <c r="R358" s="1" t="s">
        <v>1034</v>
      </c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</row>
    <row r="359" spans="2:35">
      <c r="B359" s="1">
        <v>356</v>
      </c>
      <c r="C359" s="1" t="s">
        <v>376</v>
      </c>
      <c r="D359" s="1" t="s">
        <v>1034</v>
      </c>
      <c r="E359" s="1" t="s">
        <v>829</v>
      </c>
      <c r="F359" s="1" t="s">
        <v>82</v>
      </c>
      <c r="G359" s="1">
        <v>90</v>
      </c>
      <c r="H359" s="1">
        <v>159</v>
      </c>
      <c r="I359" s="1">
        <v>455</v>
      </c>
      <c r="J359" s="1">
        <v>40</v>
      </c>
      <c r="K359" s="1">
        <v>70</v>
      </c>
      <c r="L359" s="1">
        <v>130</v>
      </c>
      <c r="M359" s="1">
        <v>60</v>
      </c>
      <c r="N359" s="1">
        <v>130</v>
      </c>
      <c r="O359" s="1">
        <v>25</v>
      </c>
      <c r="P359" s="1">
        <v>30</v>
      </c>
      <c r="Q359" s="1">
        <v>477</v>
      </c>
      <c r="R359" s="1" t="s">
        <v>1128</v>
      </c>
      <c r="S359" s="1" t="b">
        <v>1</v>
      </c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</row>
    <row r="360" spans="2:35">
      <c r="B360" s="1">
        <v>357</v>
      </c>
      <c r="C360" s="1" t="s">
        <v>375</v>
      </c>
      <c r="D360" s="1" t="s">
        <v>375</v>
      </c>
      <c r="E360" s="1" t="s">
        <v>743</v>
      </c>
      <c r="F360" s="1" t="s">
        <v>751</v>
      </c>
      <c r="G360" s="1">
        <v>200</v>
      </c>
      <c r="H360" s="1">
        <v>161</v>
      </c>
      <c r="I360" s="1">
        <v>460</v>
      </c>
      <c r="J360" s="1">
        <v>99</v>
      </c>
      <c r="K360" s="1">
        <v>68</v>
      </c>
      <c r="L360" s="1">
        <v>83</v>
      </c>
      <c r="M360" s="1">
        <v>72</v>
      </c>
      <c r="N360" s="1">
        <v>87</v>
      </c>
      <c r="O360" s="1">
        <v>51</v>
      </c>
      <c r="P360" s="1" t="s">
        <v>82</v>
      </c>
      <c r="Q360" s="1" t="s">
        <v>82</v>
      </c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</row>
    <row r="361" spans="2:35">
      <c r="B361" s="1">
        <v>358</v>
      </c>
      <c r="C361" s="1" t="s">
        <v>374</v>
      </c>
      <c r="D361" s="1" t="s">
        <v>1035</v>
      </c>
      <c r="E361" s="1" t="s">
        <v>803</v>
      </c>
      <c r="F361" s="1" t="s">
        <v>82</v>
      </c>
      <c r="G361" s="1">
        <v>45</v>
      </c>
      <c r="H361" s="1">
        <v>159</v>
      </c>
      <c r="I361" s="1">
        <v>425</v>
      </c>
      <c r="J361" s="1">
        <v>65</v>
      </c>
      <c r="K361" s="1">
        <v>50</v>
      </c>
      <c r="L361" s="1">
        <v>70</v>
      </c>
      <c r="M361" s="1">
        <v>95</v>
      </c>
      <c r="N361" s="1">
        <v>80</v>
      </c>
      <c r="O361" s="1">
        <v>65</v>
      </c>
      <c r="P361" s="1" t="s">
        <v>82</v>
      </c>
      <c r="Q361" s="1" t="s">
        <v>82</v>
      </c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</row>
    <row r="362" spans="2:35">
      <c r="B362" s="1">
        <v>359</v>
      </c>
      <c r="C362" s="1" t="s">
        <v>373</v>
      </c>
      <c r="D362" s="1" t="s">
        <v>373</v>
      </c>
      <c r="E362" s="1" t="s">
        <v>864</v>
      </c>
      <c r="F362" s="1" t="s">
        <v>82</v>
      </c>
      <c r="G362" s="1">
        <v>30</v>
      </c>
      <c r="H362" s="1">
        <v>163</v>
      </c>
      <c r="I362" s="1">
        <v>465</v>
      </c>
      <c r="J362" s="1">
        <v>65</v>
      </c>
      <c r="K362" s="1">
        <v>130</v>
      </c>
      <c r="L362" s="1">
        <v>60</v>
      </c>
      <c r="M362" s="1">
        <v>75</v>
      </c>
      <c r="N362" s="1">
        <v>60</v>
      </c>
      <c r="O362" s="1">
        <v>75</v>
      </c>
      <c r="P362" s="1" t="s">
        <v>82</v>
      </c>
      <c r="Q362" s="1" t="s">
        <v>82</v>
      </c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</row>
    <row r="363" spans="2:35">
      <c r="B363" s="1">
        <v>360</v>
      </c>
      <c r="C363" s="1" t="s">
        <v>372</v>
      </c>
      <c r="D363" s="1" t="s">
        <v>1036</v>
      </c>
      <c r="E363" s="1" t="s">
        <v>803</v>
      </c>
      <c r="F363" s="1" t="s">
        <v>82</v>
      </c>
      <c r="G363" s="1">
        <v>125</v>
      </c>
      <c r="H363" s="1">
        <v>52</v>
      </c>
      <c r="I363" s="1">
        <v>260</v>
      </c>
      <c r="J363" s="1">
        <v>95</v>
      </c>
      <c r="K363" s="1">
        <v>23</v>
      </c>
      <c r="L363" s="1">
        <v>48</v>
      </c>
      <c r="M363" s="1">
        <v>23</v>
      </c>
      <c r="N363" s="1">
        <v>48</v>
      </c>
      <c r="O363" s="1">
        <v>23</v>
      </c>
      <c r="P363" s="1">
        <v>15</v>
      </c>
      <c r="Q363" s="1">
        <v>202</v>
      </c>
      <c r="R363" s="1" t="s">
        <v>920</v>
      </c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</row>
    <row r="364" spans="2:35">
      <c r="B364" s="1">
        <v>361</v>
      </c>
      <c r="C364" s="1" t="s">
        <v>371</v>
      </c>
      <c r="D364" s="1" t="s">
        <v>1037</v>
      </c>
      <c r="E364" s="1" t="s">
        <v>823</v>
      </c>
      <c r="F364" s="1" t="s">
        <v>82</v>
      </c>
      <c r="G364" s="1">
        <v>190</v>
      </c>
      <c r="H364" s="1">
        <v>60</v>
      </c>
      <c r="I364" s="1">
        <v>300</v>
      </c>
      <c r="J364" s="1">
        <v>50</v>
      </c>
      <c r="K364" s="1">
        <v>50</v>
      </c>
      <c r="L364" s="1">
        <v>50</v>
      </c>
      <c r="M364" s="1">
        <v>50</v>
      </c>
      <c r="N364" s="1">
        <v>50</v>
      </c>
      <c r="O364" s="1">
        <v>50</v>
      </c>
      <c r="P364" s="1">
        <v>42</v>
      </c>
      <c r="Q364" s="1">
        <v>362</v>
      </c>
      <c r="R364" s="1" t="s">
        <v>1038</v>
      </c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</row>
    <row r="365" spans="2:35">
      <c r="B365" s="1">
        <v>362</v>
      </c>
      <c r="C365" s="1" t="s">
        <v>370</v>
      </c>
      <c r="D365" s="1" t="s">
        <v>1038</v>
      </c>
      <c r="E365" s="1" t="s">
        <v>823</v>
      </c>
      <c r="F365" s="1" t="s">
        <v>82</v>
      </c>
      <c r="G365" s="1">
        <v>75</v>
      </c>
      <c r="H365" s="1">
        <v>168</v>
      </c>
      <c r="I365" s="1">
        <v>480</v>
      </c>
      <c r="J365" s="1">
        <v>80</v>
      </c>
      <c r="K365" s="1">
        <v>80</v>
      </c>
      <c r="L365" s="1">
        <v>80</v>
      </c>
      <c r="M365" s="1">
        <v>80</v>
      </c>
      <c r="N365" s="1">
        <v>80</v>
      </c>
      <c r="O365" s="1">
        <v>80</v>
      </c>
      <c r="P365" s="1" t="s">
        <v>82</v>
      </c>
      <c r="Q365" s="1" t="s">
        <v>82</v>
      </c>
      <c r="R365" s="1" t="s">
        <v>82</v>
      </c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</row>
    <row r="366" spans="2:35">
      <c r="B366" s="1">
        <v>363</v>
      </c>
      <c r="C366" s="1" t="s">
        <v>369</v>
      </c>
      <c r="D366" s="1" t="s">
        <v>1039</v>
      </c>
      <c r="E366" s="1" t="s">
        <v>823</v>
      </c>
      <c r="F366" s="1" t="s">
        <v>754</v>
      </c>
      <c r="G366" s="1">
        <v>255</v>
      </c>
      <c r="H366" s="1">
        <v>58</v>
      </c>
      <c r="I366" s="1">
        <v>290</v>
      </c>
      <c r="J366" s="1">
        <v>70</v>
      </c>
      <c r="K366" s="1">
        <v>40</v>
      </c>
      <c r="L366" s="1">
        <v>50</v>
      </c>
      <c r="M366" s="1">
        <v>55</v>
      </c>
      <c r="N366" s="1">
        <v>50</v>
      </c>
      <c r="O366" s="1">
        <v>25</v>
      </c>
      <c r="P366" s="1">
        <v>32</v>
      </c>
      <c r="Q366" s="1">
        <v>364</v>
      </c>
      <c r="R366" s="1" t="s">
        <v>1040</v>
      </c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</row>
    <row r="367" spans="2:35">
      <c r="B367" s="1">
        <v>364</v>
      </c>
      <c r="C367" s="1" t="s">
        <v>368</v>
      </c>
      <c r="D367" s="1" t="s">
        <v>1040</v>
      </c>
      <c r="E367" s="1" t="s">
        <v>823</v>
      </c>
      <c r="F367" s="1" t="s">
        <v>754</v>
      </c>
      <c r="G367" s="1">
        <v>120</v>
      </c>
      <c r="H367" s="1">
        <v>144</v>
      </c>
      <c r="I367" s="1">
        <v>410</v>
      </c>
      <c r="J367" s="1">
        <v>90</v>
      </c>
      <c r="K367" s="1">
        <v>60</v>
      </c>
      <c r="L367" s="1">
        <v>70</v>
      </c>
      <c r="M367" s="1">
        <v>75</v>
      </c>
      <c r="N367" s="1">
        <v>70</v>
      </c>
      <c r="O367" s="1">
        <v>45</v>
      </c>
      <c r="P367" s="1">
        <v>44</v>
      </c>
      <c r="Q367" s="1">
        <v>365</v>
      </c>
      <c r="R367" s="1" t="s">
        <v>1041</v>
      </c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</row>
    <row r="368" spans="2:35">
      <c r="B368" s="1">
        <v>365</v>
      </c>
      <c r="C368" s="1" t="s">
        <v>367</v>
      </c>
      <c r="D368" s="1" t="s">
        <v>1041</v>
      </c>
      <c r="E368" s="1" t="s">
        <v>823</v>
      </c>
      <c r="F368" s="1" t="s">
        <v>754</v>
      </c>
      <c r="G368" s="1">
        <v>45</v>
      </c>
      <c r="H368" s="1">
        <v>239</v>
      </c>
      <c r="I368" s="1">
        <v>530</v>
      </c>
      <c r="J368" s="1">
        <v>110</v>
      </c>
      <c r="K368" s="1">
        <v>80</v>
      </c>
      <c r="L368" s="1">
        <v>90</v>
      </c>
      <c r="M368" s="1">
        <v>95</v>
      </c>
      <c r="N368" s="1">
        <v>90</v>
      </c>
      <c r="O368" s="1">
        <v>65</v>
      </c>
      <c r="P368" s="1" t="s">
        <v>82</v>
      </c>
      <c r="Q368" s="1" t="s">
        <v>82</v>
      </c>
      <c r="R368" s="1" t="s">
        <v>82</v>
      </c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</row>
    <row r="369" spans="2:35">
      <c r="B369" s="1">
        <v>366</v>
      </c>
      <c r="C369" s="1" t="s">
        <v>366</v>
      </c>
      <c r="D369" s="1" t="s">
        <v>1042</v>
      </c>
      <c r="E369" s="1" t="s">
        <v>754</v>
      </c>
      <c r="F369" s="1" t="s">
        <v>82</v>
      </c>
      <c r="G369" s="1">
        <v>255</v>
      </c>
      <c r="H369" s="1">
        <v>69</v>
      </c>
      <c r="I369" s="1">
        <v>345</v>
      </c>
      <c r="J369" s="1">
        <v>35</v>
      </c>
      <c r="K369" s="1">
        <v>64</v>
      </c>
      <c r="L369" s="1">
        <v>85</v>
      </c>
      <c r="M369" s="1">
        <v>74</v>
      </c>
      <c r="N369" s="1">
        <v>55</v>
      </c>
      <c r="O369" s="1">
        <v>32</v>
      </c>
      <c r="P369" s="1">
        <v>30</v>
      </c>
      <c r="Q369" s="1">
        <v>367</v>
      </c>
      <c r="R369" s="1" t="s">
        <v>1043</v>
      </c>
      <c r="S369" s="1" t="b">
        <v>1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</row>
    <row r="370" spans="2:35">
      <c r="B370" s="1">
        <v>367</v>
      </c>
      <c r="C370" s="1" t="s">
        <v>365</v>
      </c>
      <c r="D370" s="1" t="s">
        <v>1043</v>
      </c>
      <c r="E370" s="1" t="s">
        <v>754</v>
      </c>
      <c r="F370" s="1" t="s">
        <v>82</v>
      </c>
      <c r="G370" s="1">
        <v>60</v>
      </c>
      <c r="H370" s="1">
        <v>170</v>
      </c>
      <c r="I370" s="1">
        <v>485</v>
      </c>
      <c r="J370" s="1">
        <v>55</v>
      </c>
      <c r="K370" s="1">
        <v>104</v>
      </c>
      <c r="L370" s="1">
        <v>105</v>
      </c>
      <c r="M370" s="1">
        <v>94</v>
      </c>
      <c r="N370" s="1">
        <v>75</v>
      </c>
      <c r="O370" s="1">
        <v>52</v>
      </c>
      <c r="P370" s="1" t="s">
        <v>82</v>
      </c>
      <c r="Q370" s="1" t="s">
        <v>82</v>
      </c>
      <c r="R370" s="1" t="s">
        <v>82</v>
      </c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</row>
    <row r="371" spans="2:35">
      <c r="B371" s="1">
        <v>368</v>
      </c>
      <c r="C371" s="1" t="s">
        <v>364</v>
      </c>
      <c r="D371" s="1" t="s">
        <v>1044</v>
      </c>
      <c r="E371" s="1" t="s">
        <v>754</v>
      </c>
      <c r="F371" s="1" t="s">
        <v>82</v>
      </c>
      <c r="G371" s="1">
        <v>60</v>
      </c>
      <c r="H371" s="1">
        <v>170</v>
      </c>
      <c r="I371" s="1">
        <v>485</v>
      </c>
      <c r="J371" s="1">
        <v>55</v>
      </c>
      <c r="K371" s="1">
        <v>84</v>
      </c>
      <c r="L371" s="1">
        <v>105</v>
      </c>
      <c r="M371" s="1">
        <v>114</v>
      </c>
      <c r="N371" s="1">
        <v>75</v>
      </c>
      <c r="O371" s="1">
        <v>52</v>
      </c>
      <c r="P371" s="1" t="s">
        <v>82</v>
      </c>
      <c r="Q371" s="1" t="s">
        <v>82</v>
      </c>
      <c r="R371" s="1" t="s">
        <v>82</v>
      </c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</row>
    <row r="372" spans="2:35">
      <c r="B372" s="1">
        <v>369</v>
      </c>
      <c r="C372" s="1" t="s">
        <v>363</v>
      </c>
      <c r="D372" s="1" t="s">
        <v>363</v>
      </c>
      <c r="E372" s="1" t="s">
        <v>754</v>
      </c>
      <c r="F372" s="1" t="s">
        <v>811</v>
      </c>
      <c r="G372" s="1">
        <v>25</v>
      </c>
      <c r="H372" s="1">
        <v>170</v>
      </c>
      <c r="I372" s="1">
        <v>485</v>
      </c>
      <c r="J372" s="1">
        <v>100</v>
      </c>
      <c r="K372" s="1">
        <v>90</v>
      </c>
      <c r="L372" s="1">
        <v>130</v>
      </c>
      <c r="M372" s="1">
        <v>45</v>
      </c>
      <c r="N372" s="1">
        <v>65</v>
      </c>
      <c r="O372" s="1">
        <v>55</v>
      </c>
      <c r="P372" s="1" t="s">
        <v>82</v>
      </c>
      <c r="Q372" s="1" t="s">
        <v>82</v>
      </c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</row>
    <row r="373" spans="2:35">
      <c r="B373" s="1">
        <v>370</v>
      </c>
      <c r="C373" s="1" t="s">
        <v>362</v>
      </c>
      <c r="D373" s="1" t="s">
        <v>1045</v>
      </c>
      <c r="E373" s="1" t="s">
        <v>754</v>
      </c>
      <c r="F373" s="1" t="s">
        <v>82</v>
      </c>
      <c r="G373" s="1">
        <v>225</v>
      </c>
      <c r="H373" s="1">
        <v>116</v>
      </c>
      <c r="I373" s="1">
        <v>330</v>
      </c>
      <c r="J373" s="1">
        <v>43</v>
      </c>
      <c r="K373" s="1">
        <v>30</v>
      </c>
      <c r="L373" s="1">
        <v>55</v>
      </c>
      <c r="M373" s="1">
        <v>40</v>
      </c>
      <c r="N373" s="1">
        <v>65</v>
      </c>
      <c r="O373" s="1">
        <v>97</v>
      </c>
      <c r="P373" s="1" t="s">
        <v>82</v>
      </c>
      <c r="Q373" s="1" t="s">
        <v>82</v>
      </c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</row>
    <row r="374" spans="2:35">
      <c r="B374" s="1">
        <v>371</v>
      </c>
      <c r="C374" s="1" t="s">
        <v>361</v>
      </c>
      <c r="D374" s="1" t="s">
        <v>1046</v>
      </c>
      <c r="E374" s="1" t="s">
        <v>752</v>
      </c>
      <c r="F374" s="1" t="s">
        <v>82</v>
      </c>
      <c r="G374" s="1">
        <v>45</v>
      </c>
      <c r="H374" s="1">
        <v>60</v>
      </c>
      <c r="I374" s="1">
        <v>300</v>
      </c>
      <c r="J374" s="1">
        <v>45</v>
      </c>
      <c r="K374" s="1">
        <v>75</v>
      </c>
      <c r="L374" s="1">
        <v>60</v>
      </c>
      <c r="M374" s="1">
        <v>40</v>
      </c>
      <c r="N374" s="1">
        <v>30</v>
      </c>
      <c r="O374" s="1">
        <v>50</v>
      </c>
      <c r="P374" s="1">
        <v>30</v>
      </c>
      <c r="Q374" s="1">
        <v>372</v>
      </c>
      <c r="R374" s="1" t="s">
        <v>1047</v>
      </c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</row>
    <row r="375" spans="2:35">
      <c r="B375" s="1">
        <v>372</v>
      </c>
      <c r="C375" s="1" t="s">
        <v>360</v>
      </c>
      <c r="D375" s="1" t="s">
        <v>1047</v>
      </c>
      <c r="E375" s="1" t="s">
        <v>752</v>
      </c>
      <c r="F375" s="1" t="s">
        <v>82</v>
      </c>
      <c r="G375" s="1">
        <v>45</v>
      </c>
      <c r="H375" s="1">
        <v>147</v>
      </c>
      <c r="I375" s="1">
        <v>420</v>
      </c>
      <c r="J375" s="1">
        <v>65</v>
      </c>
      <c r="K375" s="1">
        <v>95</v>
      </c>
      <c r="L375" s="1">
        <v>100</v>
      </c>
      <c r="M375" s="1">
        <v>60</v>
      </c>
      <c r="N375" s="1">
        <v>50</v>
      </c>
      <c r="O375" s="1">
        <v>50</v>
      </c>
      <c r="P375" s="1">
        <v>50</v>
      </c>
      <c r="Q375" s="1">
        <v>373</v>
      </c>
      <c r="R375" s="1" t="s">
        <v>1048</v>
      </c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</row>
    <row r="376" spans="2:35">
      <c r="B376" s="1">
        <v>373</v>
      </c>
      <c r="C376" s="1" t="s">
        <v>359</v>
      </c>
      <c r="D376" s="1" t="s">
        <v>1048</v>
      </c>
      <c r="E376" s="1" t="s">
        <v>752</v>
      </c>
      <c r="F376" s="1" t="s">
        <v>751</v>
      </c>
      <c r="G376" s="1">
        <v>45</v>
      </c>
      <c r="H376" s="1">
        <v>270</v>
      </c>
      <c r="I376" s="1">
        <v>600</v>
      </c>
      <c r="J376" s="1">
        <v>95</v>
      </c>
      <c r="K376" s="1">
        <v>135</v>
      </c>
      <c r="L376" s="1">
        <v>80</v>
      </c>
      <c r="M376" s="1">
        <v>110</v>
      </c>
      <c r="N376" s="1">
        <v>80</v>
      </c>
      <c r="O376" s="1">
        <v>100</v>
      </c>
      <c r="P376" s="1" t="s">
        <v>82</v>
      </c>
      <c r="Q376" s="1" t="s">
        <v>82</v>
      </c>
      <c r="R376" s="1" t="s">
        <v>82</v>
      </c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</row>
    <row r="377" spans="2:35">
      <c r="B377" s="1">
        <v>374</v>
      </c>
      <c r="C377" s="1" t="s">
        <v>358</v>
      </c>
      <c r="D377" s="1" t="s">
        <v>1049</v>
      </c>
      <c r="E377" s="1" t="s">
        <v>818</v>
      </c>
      <c r="F377" s="1" t="s">
        <v>803</v>
      </c>
      <c r="G377" s="1">
        <v>3</v>
      </c>
      <c r="H377" s="1">
        <v>60</v>
      </c>
      <c r="I377" s="1">
        <v>300</v>
      </c>
      <c r="J377" s="1">
        <v>40</v>
      </c>
      <c r="K377" s="1">
        <v>55</v>
      </c>
      <c r="L377" s="1">
        <v>80</v>
      </c>
      <c r="M377" s="1">
        <v>35</v>
      </c>
      <c r="N377" s="1">
        <v>60</v>
      </c>
      <c r="O377" s="1">
        <v>30</v>
      </c>
      <c r="P377" s="1">
        <v>20</v>
      </c>
      <c r="Q377" s="1">
        <v>375</v>
      </c>
      <c r="R377" s="1" t="s">
        <v>1050</v>
      </c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</row>
    <row r="378" spans="2:35">
      <c r="B378" s="1">
        <v>375</v>
      </c>
      <c r="C378" s="1" t="s">
        <v>357</v>
      </c>
      <c r="D378" s="1" t="s">
        <v>1050</v>
      </c>
      <c r="E378" s="1" t="s">
        <v>818</v>
      </c>
      <c r="F378" s="1" t="s">
        <v>803</v>
      </c>
      <c r="G378" s="1">
        <v>3</v>
      </c>
      <c r="H378" s="1">
        <v>147</v>
      </c>
      <c r="I378" s="1">
        <v>420</v>
      </c>
      <c r="J378" s="1">
        <v>60</v>
      </c>
      <c r="K378" s="1">
        <v>75</v>
      </c>
      <c r="L378" s="1">
        <v>100</v>
      </c>
      <c r="M378" s="1">
        <v>55</v>
      </c>
      <c r="N378" s="1">
        <v>80</v>
      </c>
      <c r="O378" s="1">
        <v>50</v>
      </c>
      <c r="P378" s="1">
        <v>45</v>
      </c>
      <c r="Q378" s="1">
        <v>376</v>
      </c>
      <c r="R378" s="1" t="s">
        <v>1051</v>
      </c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</row>
    <row r="379" spans="2:35">
      <c r="B379" s="1">
        <v>376</v>
      </c>
      <c r="C379" s="1" t="s">
        <v>356</v>
      </c>
      <c r="D379" s="1" t="s">
        <v>1051</v>
      </c>
      <c r="E379" s="1" t="s">
        <v>818</v>
      </c>
      <c r="F379" s="1" t="s">
        <v>803</v>
      </c>
      <c r="G379" s="1">
        <v>3</v>
      </c>
      <c r="H379" s="1">
        <v>270</v>
      </c>
      <c r="I379" s="1">
        <v>600</v>
      </c>
      <c r="J379" s="1">
        <v>80</v>
      </c>
      <c r="K379" s="1">
        <v>135</v>
      </c>
      <c r="L379" s="1">
        <v>130</v>
      </c>
      <c r="M379" s="1">
        <v>95</v>
      </c>
      <c r="N379" s="1">
        <v>90</v>
      </c>
      <c r="O379" s="1">
        <v>70</v>
      </c>
      <c r="P379" s="1" t="s">
        <v>82</v>
      </c>
      <c r="Q379" s="1" t="s">
        <v>82</v>
      </c>
      <c r="R379" s="1" t="s">
        <v>82</v>
      </c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</row>
    <row r="380" spans="2:35">
      <c r="B380" s="1">
        <v>377</v>
      </c>
      <c r="C380" s="1" t="s">
        <v>355</v>
      </c>
      <c r="D380" s="1" t="s">
        <v>355</v>
      </c>
      <c r="E380" s="1" t="s">
        <v>811</v>
      </c>
      <c r="F380" s="1" t="s">
        <v>82</v>
      </c>
      <c r="G380" s="1">
        <v>3</v>
      </c>
      <c r="H380" s="1">
        <v>261</v>
      </c>
      <c r="I380" s="1">
        <v>580</v>
      </c>
      <c r="J380" s="1">
        <v>80</v>
      </c>
      <c r="K380" s="1">
        <v>100</v>
      </c>
      <c r="L380" s="1">
        <v>200</v>
      </c>
      <c r="M380" s="1">
        <v>50</v>
      </c>
      <c r="N380" s="1">
        <v>100</v>
      </c>
      <c r="O380" s="1">
        <v>50</v>
      </c>
      <c r="P380" s="1" t="s">
        <v>82</v>
      </c>
      <c r="Q380" s="1" t="s">
        <v>82</v>
      </c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</row>
    <row r="381" spans="2:35">
      <c r="B381" s="1">
        <v>378</v>
      </c>
      <c r="C381" s="1" t="s">
        <v>354</v>
      </c>
      <c r="D381" s="1" t="s">
        <v>354</v>
      </c>
      <c r="E381" s="1" t="s">
        <v>823</v>
      </c>
      <c r="F381" s="1" t="s">
        <v>82</v>
      </c>
      <c r="G381" s="1">
        <v>3</v>
      </c>
      <c r="H381" s="1">
        <v>261</v>
      </c>
      <c r="I381" s="1">
        <v>580</v>
      </c>
      <c r="J381" s="1">
        <v>80</v>
      </c>
      <c r="K381" s="1">
        <v>50</v>
      </c>
      <c r="L381" s="1">
        <v>100</v>
      </c>
      <c r="M381" s="1">
        <v>100</v>
      </c>
      <c r="N381" s="1">
        <v>200</v>
      </c>
      <c r="O381" s="1">
        <v>50</v>
      </c>
      <c r="P381" s="1" t="s">
        <v>82</v>
      </c>
      <c r="Q381" s="1" t="s">
        <v>82</v>
      </c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</row>
    <row r="382" spans="2:35">
      <c r="B382" s="1">
        <v>379</v>
      </c>
      <c r="C382" s="1" t="s">
        <v>353</v>
      </c>
      <c r="D382" s="1" t="s">
        <v>353</v>
      </c>
      <c r="E382" s="1" t="s">
        <v>818</v>
      </c>
      <c r="F382" s="1" t="s">
        <v>82</v>
      </c>
      <c r="G382" s="1">
        <v>3</v>
      </c>
      <c r="H382" s="1">
        <v>261</v>
      </c>
      <c r="I382" s="1">
        <v>580</v>
      </c>
      <c r="J382" s="1">
        <v>80</v>
      </c>
      <c r="K382" s="1">
        <v>75</v>
      </c>
      <c r="L382" s="1">
        <v>150</v>
      </c>
      <c r="M382" s="1">
        <v>75</v>
      </c>
      <c r="N382" s="1">
        <v>150</v>
      </c>
      <c r="O382" s="1">
        <v>50</v>
      </c>
      <c r="P382" s="1" t="s">
        <v>82</v>
      </c>
      <c r="Q382" s="1" t="s">
        <v>82</v>
      </c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</row>
    <row r="383" spans="2:35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803</v>
      </c>
      <c r="G383" s="1">
        <v>3</v>
      </c>
      <c r="H383" s="1">
        <v>270</v>
      </c>
      <c r="I383" s="1">
        <v>600</v>
      </c>
      <c r="J383" s="1">
        <v>80</v>
      </c>
      <c r="K383" s="1">
        <v>80</v>
      </c>
      <c r="L383" s="1">
        <v>90</v>
      </c>
      <c r="M383" s="1">
        <v>110</v>
      </c>
      <c r="N383" s="1">
        <v>130</v>
      </c>
      <c r="O383" s="1">
        <v>110</v>
      </c>
      <c r="P383" s="1" t="s">
        <v>82</v>
      </c>
      <c r="Q383" s="1" t="s">
        <v>82</v>
      </c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</row>
    <row r="384" spans="2:35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803</v>
      </c>
      <c r="G384" s="1">
        <v>3</v>
      </c>
      <c r="H384" s="1">
        <v>270</v>
      </c>
      <c r="I384" s="1">
        <v>600</v>
      </c>
      <c r="J384" s="1">
        <v>80</v>
      </c>
      <c r="K384" s="1">
        <v>90</v>
      </c>
      <c r="L384" s="1">
        <v>80</v>
      </c>
      <c r="M384" s="1">
        <v>130</v>
      </c>
      <c r="N384" s="1">
        <v>110</v>
      </c>
      <c r="O384" s="1">
        <v>110</v>
      </c>
      <c r="P384" s="1" t="s">
        <v>82</v>
      </c>
      <c r="Q384" s="1" t="s">
        <v>82</v>
      </c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</row>
    <row r="385" spans="2:35">
      <c r="B385" s="1">
        <v>382</v>
      </c>
      <c r="C385" s="1" t="s">
        <v>350</v>
      </c>
      <c r="D385" s="1" t="s">
        <v>350</v>
      </c>
      <c r="E385" s="1" t="s">
        <v>754</v>
      </c>
      <c r="F385" s="1" t="s">
        <v>82</v>
      </c>
      <c r="G385" s="1">
        <v>3</v>
      </c>
      <c r="H385" s="1">
        <v>302</v>
      </c>
      <c r="I385" s="1">
        <v>670</v>
      </c>
      <c r="J385" s="1">
        <v>100</v>
      </c>
      <c r="K385" s="1">
        <v>100</v>
      </c>
      <c r="L385" s="1">
        <v>90</v>
      </c>
      <c r="M385" s="1">
        <v>150</v>
      </c>
      <c r="N385" s="1">
        <v>140</v>
      </c>
      <c r="O385" s="1">
        <v>90</v>
      </c>
      <c r="P385" s="1" t="s">
        <v>82</v>
      </c>
      <c r="Q385" s="1" t="s">
        <v>82</v>
      </c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</row>
    <row r="386" spans="2:35">
      <c r="B386" s="1">
        <v>383</v>
      </c>
      <c r="C386" s="1" t="s">
        <v>349</v>
      </c>
      <c r="D386" s="1" t="s">
        <v>349</v>
      </c>
      <c r="E386" s="1" t="s">
        <v>774</v>
      </c>
      <c r="F386" s="1" t="s">
        <v>82</v>
      </c>
      <c r="G386" s="1">
        <v>3</v>
      </c>
      <c r="H386" s="1">
        <v>302</v>
      </c>
      <c r="I386" s="1">
        <v>670</v>
      </c>
      <c r="J386" s="1">
        <v>100</v>
      </c>
      <c r="K386" s="1">
        <v>150</v>
      </c>
      <c r="L386" s="1">
        <v>140</v>
      </c>
      <c r="M386" s="1">
        <v>100</v>
      </c>
      <c r="N386" s="1">
        <v>90</v>
      </c>
      <c r="O386" s="1">
        <v>90</v>
      </c>
      <c r="P386" s="1" t="s">
        <v>82</v>
      </c>
      <c r="Q386" s="1" t="s">
        <v>82</v>
      </c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</row>
    <row r="387" spans="2:35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751</v>
      </c>
      <c r="G387" s="1">
        <v>45</v>
      </c>
      <c r="H387" s="1">
        <v>306</v>
      </c>
      <c r="I387" s="1">
        <v>680</v>
      </c>
      <c r="J387" s="1">
        <v>105</v>
      </c>
      <c r="K387" s="1">
        <v>150</v>
      </c>
      <c r="L387" s="1">
        <v>90</v>
      </c>
      <c r="M387" s="1">
        <v>150</v>
      </c>
      <c r="N387" s="1">
        <v>90</v>
      </c>
      <c r="O387" s="1">
        <v>95</v>
      </c>
      <c r="P387" s="1" t="s">
        <v>82</v>
      </c>
      <c r="Q387" s="1" t="s">
        <v>82</v>
      </c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</row>
    <row r="388" spans="2:35">
      <c r="B388" s="1">
        <v>385</v>
      </c>
      <c r="C388" s="1" t="s">
        <v>347</v>
      </c>
      <c r="D388" s="1" t="s">
        <v>347</v>
      </c>
      <c r="E388" s="1" t="s">
        <v>818</v>
      </c>
      <c r="F388" s="1" t="s">
        <v>803</v>
      </c>
      <c r="G388" s="1">
        <v>3</v>
      </c>
      <c r="H388" s="1">
        <v>270</v>
      </c>
      <c r="I388" s="1">
        <v>600</v>
      </c>
      <c r="J388" s="1">
        <v>100</v>
      </c>
      <c r="K388" s="1">
        <v>100</v>
      </c>
      <c r="L388" s="1">
        <v>100</v>
      </c>
      <c r="M388" s="1">
        <v>100</v>
      </c>
      <c r="N388" s="1">
        <v>100</v>
      </c>
      <c r="O388" s="1">
        <v>100</v>
      </c>
      <c r="P388" s="1" t="s">
        <v>82</v>
      </c>
      <c r="Q388" s="1" t="s">
        <v>82</v>
      </c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</row>
    <row r="389" spans="2:35">
      <c r="B389" s="1">
        <v>386</v>
      </c>
      <c r="C389" s="1" t="s">
        <v>346</v>
      </c>
      <c r="D389" s="1" t="s">
        <v>1052</v>
      </c>
      <c r="E389" s="1" t="s">
        <v>803</v>
      </c>
      <c r="F389" s="1" t="s">
        <v>82</v>
      </c>
      <c r="G389" s="1">
        <v>3</v>
      </c>
      <c r="H389" s="1">
        <v>270</v>
      </c>
      <c r="I389" s="1">
        <v>600</v>
      </c>
      <c r="J389" s="1">
        <v>50</v>
      </c>
      <c r="K389" s="1">
        <v>150</v>
      </c>
      <c r="L389" s="1">
        <v>50</v>
      </c>
      <c r="M389" s="1">
        <v>150</v>
      </c>
      <c r="N389" s="1">
        <v>50</v>
      </c>
      <c r="O389" s="1">
        <v>150</v>
      </c>
      <c r="P389" s="1" t="s">
        <v>82</v>
      </c>
      <c r="Q389" s="1" t="s">
        <v>82</v>
      </c>
      <c r="R389" s="1" t="s">
        <v>82</v>
      </c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</row>
    <row r="390" spans="2:35">
      <c r="B390" s="1">
        <v>387</v>
      </c>
      <c r="C390" s="1" t="s">
        <v>345</v>
      </c>
      <c r="D390" s="1" t="s">
        <v>1053</v>
      </c>
      <c r="E390" s="1" t="s">
        <v>743</v>
      </c>
      <c r="F390" s="1" t="s">
        <v>82</v>
      </c>
      <c r="G390" s="1">
        <v>45</v>
      </c>
      <c r="H390" s="1">
        <v>64</v>
      </c>
      <c r="I390" s="1">
        <v>318</v>
      </c>
      <c r="J390" s="1">
        <v>55</v>
      </c>
      <c r="K390" s="1">
        <v>68</v>
      </c>
      <c r="L390" s="1">
        <v>64</v>
      </c>
      <c r="M390" s="1">
        <v>45</v>
      </c>
      <c r="N390" s="1">
        <v>55</v>
      </c>
      <c r="O390" s="1">
        <v>31</v>
      </c>
      <c r="P390" s="1">
        <v>18</v>
      </c>
      <c r="Q390" s="1">
        <v>388</v>
      </c>
      <c r="R390" s="1" t="s">
        <v>1054</v>
      </c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</row>
    <row r="391" spans="2:35">
      <c r="B391" s="1">
        <v>388</v>
      </c>
      <c r="C391" s="1" t="s">
        <v>344</v>
      </c>
      <c r="D391" s="1" t="s">
        <v>1054</v>
      </c>
      <c r="E391" s="1" t="s">
        <v>743</v>
      </c>
      <c r="F391" s="1" t="s">
        <v>82</v>
      </c>
      <c r="G391" s="1">
        <v>45</v>
      </c>
      <c r="H391" s="1">
        <v>142</v>
      </c>
      <c r="I391" s="1">
        <v>405</v>
      </c>
      <c r="J391" s="1">
        <v>75</v>
      </c>
      <c r="K391" s="1">
        <v>89</v>
      </c>
      <c r="L391" s="1">
        <v>85</v>
      </c>
      <c r="M391" s="1">
        <v>55</v>
      </c>
      <c r="N391" s="1">
        <v>65</v>
      </c>
      <c r="O391" s="1">
        <v>36</v>
      </c>
      <c r="P391" s="1">
        <v>32</v>
      </c>
      <c r="Q391" s="1">
        <v>389</v>
      </c>
      <c r="R391" s="1" t="s">
        <v>343</v>
      </c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</row>
    <row r="392" spans="2:35">
      <c r="B392" s="1">
        <v>389</v>
      </c>
      <c r="C392" s="1" t="s">
        <v>343</v>
      </c>
      <c r="D392" s="1" t="s">
        <v>343</v>
      </c>
      <c r="E392" s="1" t="s">
        <v>743</v>
      </c>
      <c r="F392" s="1" t="s">
        <v>774</v>
      </c>
      <c r="G392" s="1">
        <v>45</v>
      </c>
      <c r="H392" s="1">
        <v>236</v>
      </c>
      <c r="I392" s="1">
        <v>525</v>
      </c>
      <c r="J392" s="1">
        <v>95</v>
      </c>
      <c r="K392" s="1">
        <v>109</v>
      </c>
      <c r="L392" s="1">
        <v>105</v>
      </c>
      <c r="M392" s="1">
        <v>75</v>
      </c>
      <c r="N392" s="1">
        <v>85</v>
      </c>
      <c r="O392" s="1">
        <v>56</v>
      </c>
      <c r="P392" s="1" t="s">
        <v>82</v>
      </c>
      <c r="Q392" s="1" t="s">
        <v>82</v>
      </c>
      <c r="R392" s="1" t="s">
        <v>82</v>
      </c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</row>
    <row r="393" spans="2:35">
      <c r="B393" s="1">
        <v>390</v>
      </c>
      <c r="C393" s="1" t="s">
        <v>342</v>
      </c>
      <c r="D393" s="1" t="s">
        <v>1055</v>
      </c>
      <c r="E393" s="1" t="s">
        <v>748</v>
      </c>
      <c r="F393" s="1" t="s">
        <v>82</v>
      </c>
      <c r="G393" s="1">
        <v>45</v>
      </c>
      <c r="H393" s="1">
        <v>62</v>
      </c>
      <c r="I393" s="1">
        <v>309</v>
      </c>
      <c r="J393" s="1">
        <v>44</v>
      </c>
      <c r="K393" s="1">
        <v>58</v>
      </c>
      <c r="L393" s="1">
        <v>44</v>
      </c>
      <c r="M393" s="1">
        <v>58</v>
      </c>
      <c r="N393" s="1">
        <v>44</v>
      </c>
      <c r="O393" s="1">
        <v>61</v>
      </c>
      <c r="P393" s="1">
        <v>14</v>
      </c>
      <c r="Q393" s="1">
        <v>391</v>
      </c>
      <c r="R393" s="1" t="s">
        <v>1056</v>
      </c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</row>
    <row r="394" spans="2:35">
      <c r="B394" s="1">
        <v>391</v>
      </c>
      <c r="C394" s="1" t="s">
        <v>341</v>
      </c>
      <c r="D394" s="1" t="s">
        <v>1056</v>
      </c>
      <c r="E394" s="1" t="s">
        <v>748</v>
      </c>
      <c r="F394" s="1" t="s">
        <v>796</v>
      </c>
      <c r="G394" s="1">
        <v>45</v>
      </c>
      <c r="H394" s="1">
        <v>142</v>
      </c>
      <c r="I394" s="1">
        <v>405</v>
      </c>
      <c r="J394" s="1">
        <v>64</v>
      </c>
      <c r="K394" s="1">
        <v>78</v>
      </c>
      <c r="L394" s="1">
        <v>52</v>
      </c>
      <c r="M394" s="1">
        <v>78</v>
      </c>
      <c r="N394" s="1">
        <v>52</v>
      </c>
      <c r="O394" s="1">
        <v>81</v>
      </c>
      <c r="P394" s="1">
        <v>36</v>
      </c>
      <c r="Q394" s="1">
        <v>392</v>
      </c>
      <c r="R394" s="1" t="s">
        <v>1057</v>
      </c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</row>
    <row r="395" spans="2:35">
      <c r="B395" s="1">
        <v>392</v>
      </c>
      <c r="C395" s="1" t="s">
        <v>340</v>
      </c>
      <c r="D395" s="1" t="s">
        <v>1057</v>
      </c>
      <c r="E395" s="1" t="s">
        <v>748</v>
      </c>
      <c r="F395" s="1" t="s">
        <v>796</v>
      </c>
      <c r="G395" s="1">
        <v>45</v>
      </c>
      <c r="H395" s="1">
        <v>240</v>
      </c>
      <c r="I395" s="1">
        <v>534</v>
      </c>
      <c r="J395" s="1">
        <v>76</v>
      </c>
      <c r="K395" s="1">
        <v>104</v>
      </c>
      <c r="L395" s="1">
        <v>71</v>
      </c>
      <c r="M395" s="1">
        <v>104</v>
      </c>
      <c r="N395" s="1">
        <v>71</v>
      </c>
      <c r="O395" s="1">
        <v>108</v>
      </c>
      <c r="P395" s="1" t="s">
        <v>82</v>
      </c>
      <c r="Q395" s="1" t="s">
        <v>82</v>
      </c>
      <c r="R395" s="1" t="s">
        <v>82</v>
      </c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</row>
    <row r="396" spans="2:35">
      <c r="B396" s="1">
        <v>393</v>
      </c>
      <c r="C396" s="1" t="s">
        <v>339</v>
      </c>
      <c r="D396" s="1" t="s">
        <v>1058</v>
      </c>
      <c r="E396" s="1" t="s">
        <v>754</v>
      </c>
      <c r="F396" s="1" t="s">
        <v>82</v>
      </c>
      <c r="G396" s="1">
        <v>45</v>
      </c>
      <c r="H396" s="1">
        <v>63</v>
      </c>
      <c r="I396" s="1">
        <v>314</v>
      </c>
      <c r="J396" s="1">
        <v>53</v>
      </c>
      <c r="K396" s="1">
        <v>51</v>
      </c>
      <c r="L396" s="1">
        <v>53</v>
      </c>
      <c r="M396" s="1">
        <v>61</v>
      </c>
      <c r="N396" s="1">
        <v>56</v>
      </c>
      <c r="O396" s="1">
        <v>40</v>
      </c>
      <c r="P396" s="1">
        <v>16</v>
      </c>
      <c r="Q396" s="1">
        <v>394</v>
      </c>
      <c r="R396" s="1" t="s">
        <v>1059</v>
      </c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</row>
    <row r="397" spans="2:35">
      <c r="B397" s="1">
        <v>394</v>
      </c>
      <c r="C397" s="1" t="s">
        <v>338</v>
      </c>
      <c r="D397" s="1" t="s">
        <v>1059</v>
      </c>
      <c r="E397" s="1" t="s">
        <v>754</v>
      </c>
      <c r="F397" s="1" t="s">
        <v>82</v>
      </c>
      <c r="G397" s="1">
        <v>45</v>
      </c>
      <c r="H397" s="1">
        <v>142</v>
      </c>
      <c r="I397" s="1">
        <v>405</v>
      </c>
      <c r="J397" s="1">
        <v>64</v>
      </c>
      <c r="K397" s="1">
        <v>66</v>
      </c>
      <c r="L397" s="1">
        <v>68</v>
      </c>
      <c r="M397" s="1">
        <v>81</v>
      </c>
      <c r="N397" s="1">
        <v>76</v>
      </c>
      <c r="O397" s="1">
        <v>50</v>
      </c>
      <c r="P397" s="1">
        <v>36</v>
      </c>
      <c r="Q397" s="1">
        <v>395</v>
      </c>
      <c r="R397" s="1" t="s">
        <v>1060</v>
      </c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</row>
    <row r="398" spans="2:35">
      <c r="B398" s="1">
        <v>395</v>
      </c>
      <c r="C398" s="1" t="s">
        <v>337</v>
      </c>
      <c r="D398" s="1" t="s">
        <v>1060</v>
      </c>
      <c r="E398" s="1" t="s">
        <v>754</v>
      </c>
      <c r="F398" s="1" t="s">
        <v>818</v>
      </c>
      <c r="G398" s="1">
        <v>45</v>
      </c>
      <c r="H398" s="1">
        <v>239</v>
      </c>
      <c r="I398" s="1">
        <v>530</v>
      </c>
      <c r="J398" s="1">
        <v>84</v>
      </c>
      <c r="K398" s="1">
        <v>86</v>
      </c>
      <c r="L398" s="1">
        <v>88</v>
      </c>
      <c r="M398" s="1">
        <v>111</v>
      </c>
      <c r="N398" s="1">
        <v>101</v>
      </c>
      <c r="O398" s="1">
        <v>60</v>
      </c>
      <c r="P398" s="1" t="s">
        <v>82</v>
      </c>
      <c r="Q398" s="1" t="s">
        <v>82</v>
      </c>
      <c r="R398" s="1" t="s">
        <v>82</v>
      </c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</row>
    <row r="399" spans="2:35">
      <c r="B399" s="1">
        <v>396</v>
      </c>
      <c r="C399" s="1" t="s">
        <v>336</v>
      </c>
      <c r="D399" s="1" t="s">
        <v>1061</v>
      </c>
      <c r="E399" s="1" t="s">
        <v>765</v>
      </c>
      <c r="F399" s="1" t="s">
        <v>751</v>
      </c>
      <c r="G399" s="1">
        <v>255</v>
      </c>
      <c r="H399" s="1">
        <v>49</v>
      </c>
      <c r="I399" s="1">
        <v>245</v>
      </c>
      <c r="J399" s="1">
        <v>40</v>
      </c>
      <c r="K399" s="1">
        <v>55</v>
      </c>
      <c r="L399" s="1">
        <v>30</v>
      </c>
      <c r="M399" s="1">
        <v>30</v>
      </c>
      <c r="N399" s="1">
        <v>30</v>
      </c>
      <c r="O399" s="1">
        <v>60</v>
      </c>
      <c r="P399" s="1">
        <v>14</v>
      </c>
      <c r="Q399" s="1">
        <v>397</v>
      </c>
      <c r="R399" s="1" t="s">
        <v>1062</v>
      </c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</row>
    <row r="400" spans="2:35">
      <c r="B400" s="1">
        <v>397</v>
      </c>
      <c r="C400" s="1" t="s">
        <v>335</v>
      </c>
      <c r="D400" s="1" t="s">
        <v>1062</v>
      </c>
      <c r="E400" s="1" t="s">
        <v>765</v>
      </c>
      <c r="F400" s="1" t="s">
        <v>751</v>
      </c>
      <c r="G400" s="1">
        <v>120</v>
      </c>
      <c r="H400" s="1">
        <v>119</v>
      </c>
      <c r="I400" s="1">
        <v>340</v>
      </c>
      <c r="J400" s="1">
        <v>55</v>
      </c>
      <c r="K400" s="1">
        <v>75</v>
      </c>
      <c r="L400" s="1">
        <v>50</v>
      </c>
      <c r="M400" s="1">
        <v>40</v>
      </c>
      <c r="N400" s="1">
        <v>40</v>
      </c>
      <c r="O400" s="1">
        <v>80</v>
      </c>
      <c r="P400" s="1">
        <v>34</v>
      </c>
      <c r="Q400" s="1">
        <v>398</v>
      </c>
      <c r="R400" s="1" t="s">
        <v>1063</v>
      </c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</row>
    <row r="401" spans="2:35">
      <c r="B401" s="1">
        <v>398</v>
      </c>
      <c r="C401" s="1" t="s">
        <v>334</v>
      </c>
      <c r="D401" s="1" t="s">
        <v>1063</v>
      </c>
      <c r="E401" s="1" t="s">
        <v>765</v>
      </c>
      <c r="F401" s="1" t="s">
        <v>751</v>
      </c>
      <c r="G401" s="1">
        <v>45</v>
      </c>
      <c r="H401" s="1">
        <v>218</v>
      </c>
      <c r="I401" s="1">
        <v>485</v>
      </c>
      <c r="J401" s="1">
        <v>85</v>
      </c>
      <c r="K401" s="1">
        <v>120</v>
      </c>
      <c r="L401" s="1">
        <v>70</v>
      </c>
      <c r="M401" s="1">
        <v>50</v>
      </c>
      <c r="N401" s="1">
        <v>60</v>
      </c>
      <c r="O401" s="1">
        <v>100</v>
      </c>
      <c r="P401" s="1" t="s">
        <v>82</v>
      </c>
      <c r="Q401" s="1" t="s">
        <v>82</v>
      </c>
      <c r="R401" s="1" t="s">
        <v>82</v>
      </c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</row>
    <row r="402" spans="2:35">
      <c r="B402" s="1">
        <v>399</v>
      </c>
      <c r="C402" s="1" t="s">
        <v>333</v>
      </c>
      <c r="D402" s="1" t="s">
        <v>1064</v>
      </c>
      <c r="E402" s="1" t="s">
        <v>765</v>
      </c>
      <c r="F402" s="1" t="s">
        <v>82</v>
      </c>
      <c r="G402" s="1">
        <v>255</v>
      </c>
      <c r="H402" s="1">
        <v>50</v>
      </c>
      <c r="I402" s="1">
        <v>250</v>
      </c>
      <c r="J402" s="1">
        <v>59</v>
      </c>
      <c r="K402" s="1">
        <v>45</v>
      </c>
      <c r="L402" s="1">
        <v>40</v>
      </c>
      <c r="M402" s="1">
        <v>35</v>
      </c>
      <c r="N402" s="1">
        <v>40</v>
      </c>
      <c r="O402" s="1">
        <v>31</v>
      </c>
      <c r="P402" s="1">
        <v>15</v>
      </c>
      <c r="Q402" s="1">
        <v>400</v>
      </c>
      <c r="R402" s="1" t="s">
        <v>1065</v>
      </c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</row>
    <row r="403" spans="2:35">
      <c r="B403" s="1">
        <v>400</v>
      </c>
      <c r="C403" s="1" t="s">
        <v>332</v>
      </c>
      <c r="D403" s="1" t="s">
        <v>1065</v>
      </c>
      <c r="E403" s="1" t="s">
        <v>765</v>
      </c>
      <c r="F403" s="1" t="s">
        <v>754</v>
      </c>
      <c r="G403" s="1">
        <v>127</v>
      </c>
      <c r="H403" s="1">
        <v>144</v>
      </c>
      <c r="I403" s="1">
        <v>410</v>
      </c>
      <c r="J403" s="1">
        <v>79</v>
      </c>
      <c r="K403" s="1">
        <v>85</v>
      </c>
      <c r="L403" s="1">
        <v>60</v>
      </c>
      <c r="M403" s="1">
        <v>55</v>
      </c>
      <c r="N403" s="1">
        <v>60</v>
      </c>
      <c r="O403" s="1">
        <v>71</v>
      </c>
      <c r="P403" s="1" t="s">
        <v>82</v>
      </c>
      <c r="Q403" s="1" t="s">
        <v>82</v>
      </c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</row>
    <row r="404" spans="2:35">
      <c r="B404" s="1">
        <v>401</v>
      </c>
      <c r="C404" s="1" t="s">
        <v>331</v>
      </c>
      <c r="D404" s="1" t="s">
        <v>1066</v>
      </c>
      <c r="E404" s="1" t="s">
        <v>758</v>
      </c>
      <c r="F404" s="1" t="s">
        <v>82</v>
      </c>
      <c r="G404" s="1">
        <v>255</v>
      </c>
      <c r="H404" s="1">
        <v>39</v>
      </c>
      <c r="I404" s="1">
        <v>194</v>
      </c>
      <c r="J404" s="1">
        <v>37</v>
      </c>
      <c r="K404" s="1">
        <v>25</v>
      </c>
      <c r="L404" s="1">
        <v>41</v>
      </c>
      <c r="M404" s="1">
        <v>25</v>
      </c>
      <c r="N404" s="1">
        <v>41</v>
      </c>
      <c r="O404" s="1">
        <v>25</v>
      </c>
      <c r="P404" s="1">
        <v>10</v>
      </c>
      <c r="Q404" s="1">
        <v>402</v>
      </c>
      <c r="R404" s="1" t="s">
        <v>1067</v>
      </c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</row>
    <row r="405" spans="2:35">
      <c r="B405" s="1">
        <v>402</v>
      </c>
      <c r="C405" s="1" t="s">
        <v>330</v>
      </c>
      <c r="D405" s="1" t="s">
        <v>1067</v>
      </c>
      <c r="E405" s="1" t="s">
        <v>758</v>
      </c>
      <c r="F405" s="1" t="s">
        <v>82</v>
      </c>
      <c r="G405" s="1">
        <v>45</v>
      </c>
      <c r="H405" s="1">
        <v>134</v>
      </c>
      <c r="I405" s="1">
        <v>384</v>
      </c>
      <c r="J405" s="1">
        <v>77</v>
      </c>
      <c r="K405" s="1">
        <v>85</v>
      </c>
      <c r="L405" s="1">
        <v>51</v>
      </c>
      <c r="M405" s="1">
        <v>55</v>
      </c>
      <c r="N405" s="1">
        <v>51</v>
      </c>
      <c r="O405" s="1">
        <v>65</v>
      </c>
      <c r="P405" s="1" t="s">
        <v>82</v>
      </c>
      <c r="Q405" s="1" t="s">
        <v>82</v>
      </c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</row>
    <row r="406" spans="2:35">
      <c r="B406" s="1">
        <v>403</v>
      </c>
      <c r="C406" s="1" t="s">
        <v>329</v>
      </c>
      <c r="D406" s="1" t="s">
        <v>1068</v>
      </c>
      <c r="E406" s="1" t="s">
        <v>772</v>
      </c>
      <c r="F406" s="1" t="s">
        <v>82</v>
      </c>
      <c r="G406" s="1">
        <v>235</v>
      </c>
      <c r="H406" s="1">
        <v>53</v>
      </c>
      <c r="I406" s="1">
        <v>263</v>
      </c>
      <c r="J406" s="1">
        <v>45</v>
      </c>
      <c r="K406" s="1">
        <v>65</v>
      </c>
      <c r="L406" s="1">
        <v>34</v>
      </c>
      <c r="M406" s="1">
        <v>40</v>
      </c>
      <c r="N406" s="1">
        <v>34</v>
      </c>
      <c r="O406" s="1">
        <v>45</v>
      </c>
      <c r="P406" s="1">
        <v>15</v>
      </c>
      <c r="Q406" s="1">
        <v>404</v>
      </c>
      <c r="R406" s="1" t="s">
        <v>328</v>
      </c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</row>
    <row r="407" spans="2:35">
      <c r="B407" s="1">
        <v>404</v>
      </c>
      <c r="C407" s="1" t="s">
        <v>328</v>
      </c>
      <c r="D407" s="1" t="s">
        <v>328</v>
      </c>
      <c r="E407" s="1" t="s">
        <v>772</v>
      </c>
      <c r="F407" s="1" t="s">
        <v>82</v>
      </c>
      <c r="G407" s="1">
        <v>120</v>
      </c>
      <c r="H407" s="1">
        <v>127</v>
      </c>
      <c r="I407" s="1">
        <v>363</v>
      </c>
      <c r="J407" s="1">
        <v>60</v>
      </c>
      <c r="K407" s="1">
        <v>85</v>
      </c>
      <c r="L407" s="1">
        <v>49</v>
      </c>
      <c r="M407" s="1">
        <v>60</v>
      </c>
      <c r="N407" s="1">
        <v>49</v>
      </c>
      <c r="O407" s="1">
        <v>60</v>
      </c>
      <c r="P407" s="1">
        <v>30</v>
      </c>
      <c r="Q407" s="1">
        <v>405</v>
      </c>
      <c r="R407" s="1" t="s">
        <v>327</v>
      </c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</row>
    <row r="408" spans="2:35">
      <c r="B408" s="1">
        <v>405</v>
      </c>
      <c r="C408" s="1" t="s">
        <v>327</v>
      </c>
      <c r="D408" s="1" t="s">
        <v>327</v>
      </c>
      <c r="E408" s="1" t="s">
        <v>772</v>
      </c>
      <c r="F408" s="1" t="s">
        <v>82</v>
      </c>
      <c r="G408" s="1">
        <v>45</v>
      </c>
      <c r="H408" s="1">
        <v>235</v>
      </c>
      <c r="I408" s="1">
        <v>523</v>
      </c>
      <c r="J408" s="1">
        <v>80</v>
      </c>
      <c r="K408" s="1">
        <v>120</v>
      </c>
      <c r="L408" s="1">
        <v>79</v>
      </c>
      <c r="M408" s="1">
        <v>95</v>
      </c>
      <c r="N408" s="1">
        <v>79</v>
      </c>
      <c r="O408" s="1">
        <v>70</v>
      </c>
      <c r="P408" s="1" t="s">
        <v>82</v>
      </c>
      <c r="Q408" s="1" t="s">
        <v>82</v>
      </c>
      <c r="R408" s="1" t="s">
        <v>82</v>
      </c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</row>
    <row r="409" spans="2:35">
      <c r="B409" s="1">
        <v>406</v>
      </c>
      <c r="C409" s="1" t="s">
        <v>326</v>
      </c>
      <c r="D409" s="1" t="s">
        <v>1069</v>
      </c>
      <c r="E409" s="1" t="s">
        <v>743</v>
      </c>
      <c r="F409" s="1" t="s">
        <v>744</v>
      </c>
      <c r="G409" s="1">
        <v>255</v>
      </c>
      <c r="H409" s="1">
        <v>56</v>
      </c>
      <c r="I409" s="1">
        <v>280</v>
      </c>
      <c r="J409" s="1">
        <v>40</v>
      </c>
      <c r="K409" s="1">
        <v>30</v>
      </c>
      <c r="L409" s="1">
        <v>35</v>
      </c>
      <c r="M409" s="1">
        <v>50</v>
      </c>
      <c r="N409" s="1">
        <v>70</v>
      </c>
      <c r="O409" s="1">
        <v>55</v>
      </c>
      <c r="P409" s="1">
        <v>30</v>
      </c>
      <c r="Q409" s="1">
        <v>315</v>
      </c>
      <c r="R409" s="1" t="s">
        <v>1005</v>
      </c>
      <c r="S409" s="1" t="b">
        <v>1</v>
      </c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</row>
    <row r="410" spans="2:35">
      <c r="B410" s="1">
        <v>407</v>
      </c>
      <c r="C410" s="1" t="s">
        <v>325</v>
      </c>
      <c r="D410" s="1" t="s">
        <v>325</v>
      </c>
      <c r="E410" s="1" t="s">
        <v>743</v>
      </c>
      <c r="F410" s="1" t="s">
        <v>744</v>
      </c>
      <c r="G410" s="1">
        <v>75</v>
      </c>
      <c r="H410" s="1">
        <v>232</v>
      </c>
      <c r="I410" s="1">
        <v>515</v>
      </c>
      <c r="J410" s="1">
        <v>60</v>
      </c>
      <c r="K410" s="1">
        <v>70</v>
      </c>
      <c r="L410" s="1">
        <v>65</v>
      </c>
      <c r="M410" s="1">
        <v>125</v>
      </c>
      <c r="N410" s="1">
        <v>105</v>
      </c>
      <c r="O410" s="1">
        <v>90</v>
      </c>
      <c r="P410" s="1" t="s">
        <v>82</v>
      </c>
      <c r="Q410" s="1" t="s">
        <v>82</v>
      </c>
      <c r="R410" s="1" t="s">
        <v>82</v>
      </c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</row>
    <row r="411" spans="2:35">
      <c r="B411" s="1">
        <v>408</v>
      </c>
      <c r="C411" s="1" t="s">
        <v>324</v>
      </c>
      <c r="D411" s="1" t="s">
        <v>1070</v>
      </c>
      <c r="E411" s="1" t="s">
        <v>811</v>
      </c>
      <c r="F411" s="1" t="s">
        <v>82</v>
      </c>
      <c r="G411" s="1">
        <v>45</v>
      </c>
      <c r="H411" s="1">
        <v>70</v>
      </c>
      <c r="I411" s="1">
        <v>350</v>
      </c>
      <c r="J411" s="1">
        <v>67</v>
      </c>
      <c r="K411" s="1">
        <v>125</v>
      </c>
      <c r="L411" s="1">
        <v>40</v>
      </c>
      <c r="M411" s="1">
        <v>30</v>
      </c>
      <c r="N411" s="1">
        <v>30</v>
      </c>
      <c r="O411" s="1">
        <v>58</v>
      </c>
      <c r="P411" s="1">
        <v>30</v>
      </c>
      <c r="Q411" s="1">
        <v>409</v>
      </c>
      <c r="R411" s="1" t="s">
        <v>1071</v>
      </c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</row>
    <row r="412" spans="2:35">
      <c r="B412" s="1">
        <v>409</v>
      </c>
      <c r="C412" s="1" t="s">
        <v>323</v>
      </c>
      <c r="D412" s="1" t="s">
        <v>1071</v>
      </c>
      <c r="E412" s="1" t="s">
        <v>811</v>
      </c>
      <c r="F412" s="1" t="s">
        <v>82</v>
      </c>
      <c r="G412" s="1">
        <v>45</v>
      </c>
      <c r="H412" s="1">
        <v>173</v>
      </c>
      <c r="I412" s="1">
        <v>495</v>
      </c>
      <c r="J412" s="1">
        <v>97</v>
      </c>
      <c r="K412" s="1">
        <v>165</v>
      </c>
      <c r="L412" s="1">
        <v>60</v>
      </c>
      <c r="M412" s="1">
        <v>65</v>
      </c>
      <c r="N412" s="1">
        <v>50</v>
      </c>
      <c r="O412" s="1">
        <v>58</v>
      </c>
      <c r="P412" s="1" t="s">
        <v>82</v>
      </c>
      <c r="Q412" s="1" t="s">
        <v>82</v>
      </c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</row>
    <row r="413" spans="2:35">
      <c r="B413" s="1">
        <v>410</v>
      </c>
      <c r="C413" s="1" t="s">
        <v>322</v>
      </c>
      <c r="D413" s="1" t="s">
        <v>1072</v>
      </c>
      <c r="E413" s="1" t="s">
        <v>811</v>
      </c>
      <c r="F413" s="1" t="s">
        <v>818</v>
      </c>
      <c r="G413" s="1">
        <v>45</v>
      </c>
      <c r="H413" s="1">
        <v>70</v>
      </c>
      <c r="I413" s="1">
        <v>350</v>
      </c>
      <c r="J413" s="1">
        <v>30</v>
      </c>
      <c r="K413" s="1">
        <v>42</v>
      </c>
      <c r="L413" s="1">
        <v>118</v>
      </c>
      <c r="M413" s="1">
        <v>42</v>
      </c>
      <c r="N413" s="1">
        <v>88</v>
      </c>
      <c r="O413" s="1">
        <v>30</v>
      </c>
      <c r="P413" s="1">
        <v>30</v>
      </c>
      <c r="Q413" s="1">
        <v>411</v>
      </c>
      <c r="R413" s="1" t="s">
        <v>321</v>
      </c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</row>
    <row r="414" spans="2:35">
      <c r="B414" s="1">
        <v>411</v>
      </c>
      <c r="C414" s="1" t="s">
        <v>321</v>
      </c>
      <c r="D414" s="1" t="s">
        <v>321</v>
      </c>
      <c r="E414" s="1" t="s">
        <v>811</v>
      </c>
      <c r="F414" s="1" t="s">
        <v>818</v>
      </c>
      <c r="G414" s="1">
        <v>45</v>
      </c>
      <c r="H414" s="1">
        <v>173</v>
      </c>
      <c r="I414" s="1">
        <v>495</v>
      </c>
      <c r="J414" s="1">
        <v>60</v>
      </c>
      <c r="K414" s="1">
        <v>52</v>
      </c>
      <c r="L414" s="1">
        <v>168</v>
      </c>
      <c r="M414" s="1">
        <v>47</v>
      </c>
      <c r="N414" s="1">
        <v>138</v>
      </c>
      <c r="O414" s="1">
        <v>30</v>
      </c>
      <c r="P414" s="1" t="s">
        <v>82</v>
      </c>
      <c r="Q414" s="1" t="s">
        <v>82</v>
      </c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</row>
    <row r="415" spans="2:35">
      <c r="B415" s="1">
        <v>412</v>
      </c>
      <c r="C415" s="1" t="s">
        <v>320</v>
      </c>
      <c r="D415" s="1" t="s">
        <v>1073</v>
      </c>
      <c r="E415" s="1" t="s">
        <v>758</v>
      </c>
      <c r="F415" s="1" t="s">
        <v>82</v>
      </c>
      <c r="G415" s="1">
        <v>120</v>
      </c>
      <c r="H415" s="1">
        <v>45</v>
      </c>
      <c r="I415" s="1">
        <v>224</v>
      </c>
      <c r="J415" s="1">
        <v>40</v>
      </c>
      <c r="K415" s="1">
        <v>29</v>
      </c>
      <c r="L415" s="1">
        <v>45</v>
      </c>
      <c r="M415" s="1">
        <v>29</v>
      </c>
      <c r="N415" s="1">
        <v>45</v>
      </c>
      <c r="O415" s="1">
        <v>36</v>
      </c>
      <c r="P415" s="1">
        <v>20</v>
      </c>
      <c r="Q415" s="1">
        <v>413</v>
      </c>
      <c r="R415" s="1" t="s">
        <v>1289</v>
      </c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</row>
    <row r="416" spans="2:35">
      <c r="B416" s="1">
        <v>413</v>
      </c>
      <c r="C416" s="1" t="s">
        <v>319</v>
      </c>
      <c r="D416" s="1" t="s">
        <v>1289</v>
      </c>
      <c r="E416" s="1" t="s">
        <v>758</v>
      </c>
      <c r="F416" s="1" t="s">
        <v>743</v>
      </c>
      <c r="G416" s="1">
        <v>45</v>
      </c>
      <c r="H416" s="1">
        <v>148</v>
      </c>
      <c r="I416" s="1">
        <v>424</v>
      </c>
      <c r="J416" s="1">
        <v>60</v>
      </c>
      <c r="K416" s="1">
        <v>59</v>
      </c>
      <c r="L416" s="1">
        <v>85</v>
      </c>
      <c r="M416" s="1">
        <v>79</v>
      </c>
      <c r="N416" s="1">
        <v>105</v>
      </c>
      <c r="O416" s="1">
        <v>36</v>
      </c>
      <c r="P416" s="1" t="s">
        <v>82</v>
      </c>
      <c r="Q416" s="1" t="s">
        <v>82</v>
      </c>
      <c r="R416" s="1" t="s">
        <v>82</v>
      </c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</row>
    <row r="417" spans="2:35">
      <c r="B417" s="1">
        <v>414</v>
      </c>
      <c r="C417" s="1" t="s">
        <v>318</v>
      </c>
      <c r="D417" s="1" t="s">
        <v>1074</v>
      </c>
      <c r="E417" s="1" t="s">
        <v>758</v>
      </c>
      <c r="F417" s="1" t="s">
        <v>751</v>
      </c>
      <c r="G417" s="1">
        <v>45</v>
      </c>
      <c r="H417" s="1">
        <v>148</v>
      </c>
      <c r="I417" s="1">
        <v>424</v>
      </c>
      <c r="J417" s="1">
        <v>70</v>
      </c>
      <c r="K417" s="1">
        <v>94</v>
      </c>
      <c r="L417" s="1">
        <v>50</v>
      </c>
      <c r="M417" s="1">
        <v>94</v>
      </c>
      <c r="N417" s="1">
        <v>50</v>
      </c>
      <c r="O417" s="1">
        <v>66</v>
      </c>
      <c r="P417" s="1" t="s">
        <v>82</v>
      </c>
      <c r="Q417" s="1" t="s">
        <v>82</v>
      </c>
      <c r="R417" s="1" t="s">
        <v>82</v>
      </c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</row>
    <row r="418" spans="2:35">
      <c r="B418" s="1">
        <v>415</v>
      </c>
      <c r="C418" s="1" t="s">
        <v>317</v>
      </c>
      <c r="D418" s="1" t="s">
        <v>1075</v>
      </c>
      <c r="E418" s="1" t="s">
        <v>758</v>
      </c>
      <c r="F418" s="1" t="s">
        <v>751</v>
      </c>
      <c r="G418" s="1">
        <v>120</v>
      </c>
      <c r="H418" s="1">
        <v>49</v>
      </c>
      <c r="I418" s="1">
        <v>244</v>
      </c>
      <c r="J418" s="1">
        <v>30</v>
      </c>
      <c r="K418" s="1">
        <v>30</v>
      </c>
      <c r="L418" s="1">
        <v>42</v>
      </c>
      <c r="M418" s="1">
        <v>30</v>
      </c>
      <c r="N418" s="1">
        <v>42</v>
      </c>
      <c r="O418" s="1">
        <v>70</v>
      </c>
      <c r="P418" s="1">
        <v>21</v>
      </c>
      <c r="Q418" s="1">
        <v>416</v>
      </c>
      <c r="R418" s="1" t="s">
        <v>1076</v>
      </c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</row>
    <row r="419" spans="2:35">
      <c r="B419" s="1">
        <v>416</v>
      </c>
      <c r="C419" s="1" t="s">
        <v>316</v>
      </c>
      <c r="D419" s="1" t="s">
        <v>1076</v>
      </c>
      <c r="E419" s="1" t="s">
        <v>758</v>
      </c>
      <c r="F419" s="1" t="s">
        <v>751</v>
      </c>
      <c r="G419" s="1">
        <v>45</v>
      </c>
      <c r="H419" s="1">
        <v>166</v>
      </c>
      <c r="I419" s="1">
        <v>474</v>
      </c>
      <c r="J419" s="1">
        <v>70</v>
      </c>
      <c r="K419" s="1">
        <v>80</v>
      </c>
      <c r="L419" s="1">
        <v>102</v>
      </c>
      <c r="M419" s="1">
        <v>80</v>
      </c>
      <c r="N419" s="1">
        <v>102</v>
      </c>
      <c r="O419" s="1">
        <v>40</v>
      </c>
      <c r="P419" s="1" t="s">
        <v>82</v>
      </c>
      <c r="Q419" s="1" t="s">
        <v>82</v>
      </c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</row>
    <row r="420" spans="2:35">
      <c r="B420" s="1">
        <v>417</v>
      </c>
      <c r="C420" s="1" t="s">
        <v>315</v>
      </c>
      <c r="D420" s="1" t="s">
        <v>315</v>
      </c>
      <c r="E420" s="1" t="s">
        <v>772</v>
      </c>
      <c r="F420" s="1" t="s">
        <v>82</v>
      </c>
      <c r="G420" s="1">
        <v>200</v>
      </c>
      <c r="H420" s="1">
        <v>142</v>
      </c>
      <c r="I420" s="1">
        <v>405</v>
      </c>
      <c r="J420" s="1">
        <v>60</v>
      </c>
      <c r="K420" s="1">
        <v>45</v>
      </c>
      <c r="L420" s="1">
        <v>70</v>
      </c>
      <c r="M420" s="1">
        <v>45</v>
      </c>
      <c r="N420" s="1">
        <v>90</v>
      </c>
      <c r="O420" s="1">
        <v>95</v>
      </c>
      <c r="P420" s="1" t="s">
        <v>82</v>
      </c>
      <c r="Q420" s="1" t="s">
        <v>82</v>
      </c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</row>
    <row r="421" spans="2:35">
      <c r="B421" s="1">
        <v>418</v>
      </c>
      <c r="C421" s="1" t="s">
        <v>314</v>
      </c>
      <c r="D421" s="1" t="s">
        <v>1077</v>
      </c>
      <c r="E421" s="1" t="s">
        <v>754</v>
      </c>
      <c r="F421" s="1" t="s">
        <v>82</v>
      </c>
      <c r="G421" s="1">
        <v>190</v>
      </c>
      <c r="H421" s="1">
        <v>66</v>
      </c>
      <c r="I421" s="1">
        <v>330</v>
      </c>
      <c r="J421" s="1">
        <v>55</v>
      </c>
      <c r="K421" s="1">
        <v>65</v>
      </c>
      <c r="L421" s="1">
        <v>35</v>
      </c>
      <c r="M421" s="1">
        <v>60</v>
      </c>
      <c r="N421" s="1">
        <v>30</v>
      </c>
      <c r="O421" s="1">
        <v>85</v>
      </c>
      <c r="P421" s="1">
        <v>26</v>
      </c>
      <c r="Q421" s="1">
        <v>419</v>
      </c>
      <c r="R421" s="1" t="s">
        <v>1078</v>
      </c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</row>
    <row r="422" spans="2:35">
      <c r="B422" s="1">
        <v>419</v>
      </c>
      <c r="C422" s="1" t="s">
        <v>313</v>
      </c>
      <c r="D422" s="1" t="s">
        <v>1078</v>
      </c>
      <c r="E422" s="1" t="s">
        <v>754</v>
      </c>
      <c r="F422" s="1" t="s">
        <v>82</v>
      </c>
      <c r="G422" s="1">
        <v>75</v>
      </c>
      <c r="H422" s="1">
        <v>173</v>
      </c>
      <c r="I422" s="1">
        <v>495</v>
      </c>
      <c r="J422" s="1">
        <v>85</v>
      </c>
      <c r="K422" s="1">
        <v>105</v>
      </c>
      <c r="L422" s="1">
        <v>55</v>
      </c>
      <c r="M422" s="1">
        <v>85</v>
      </c>
      <c r="N422" s="1">
        <v>50</v>
      </c>
      <c r="O422" s="1">
        <v>115</v>
      </c>
      <c r="P422" s="1" t="s">
        <v>82</v>
      </c>
      <c r="Q422" s="1" t="s">
        <v>82</v>
      </c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</row>
    <row r="423" spans="2:35">
      <c r="B423" s="1">
        <v>420</v>
      </c>
      <c r="C423" s="1" t="s">
        <v>312</v>
      </c>
      <c r="D423" s="1" t="s">
        <v>1079</v>
      </c>
      <c r="E423" s="1" t="s">
        <v>743</v>
      </c>
      <c r="F423" s="1" t="s">
        <v>82</v>
      </c>
      <c r="G423" s="1">
        <v>190</v>
      </c>
      <c r="H423" s="1">
        <v>55</v>
      </c>
      <c r="I423" s="1">
        <v>275</v>
      </c>
      <c r="J423" s="1">
        <v>45</v>
      </c>
      <c r="K423" s="1">
        <v>35</v>
      </c>
      <c r="L423" s="1">
        <v>45</v>
      </c>
      <c r="M423" s="1">
        <v>62</v>
      </c>
      <c r="N423" s="1">
        <v>53</v>
      </c>
      <c r="O423" s="1">
        <v>35</v>
      </c>
      <c r="P423" s="1">
        <v>25</v>
      </c>
      <c r="Q423" s="1">
        <v>421</v>
      </c>
      <c r="R423" s="1" t="s">
        <v>1080</v>
      </c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</row>
    <row r="424" spans="2:35">
      <c r="B424" s="1">
        <v>421</v>
      </c>
      <c r="C424" s="1" t="s">
        <v>311</v>
      </c>
      <c r="D424" s="1" t="s">
        <v>1080</v>
      </c>
      <c r="E424" s="1" t="s">
        <v>743</v>
      </c>
      <c r="F424" s="1" t="s">
        <v>82</v>
      </c>
      <c r="G424" s="1">
        <v>75</v>
      </c>
      <c r="H424" s="1">
        <v>158</v>
      </c>
      <c r="I424" s="1">
        <v>450</v>
      </c>
      <c r="J424" s="1">
        <v>70</v>
      </c>
      <c r="K424" s="1">
        <v>60</v>
      </c>
      <c r="L424" s="1">
        <v>70</v>
      </c>
      <c r="M424" s="1">
        <v>87</v>
      </c>
      <c r="N424" s="1">
        <v>78</v>
      </c>
      <c r="O424" s="1">
        <v>85</v>
      </c>
      <c r="P424" s="1" t="s">
        <v>82</v>
      </c>
      <c r="Q424" s="1" t="s">
        <v>82</v>
      </c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</row>
    <row r="425" spans="2:35">
      <c r="B425" s="1">
        <v>422</v>
      </c>
      <c r="C425" s="1" t="s">
        <v>310</v>
      </c>
      <c r="D425" s="1" t="s">
        <v>1081</v>
      </c>
      <c r="E425" s="1" t="s">
        <v>754</v>
      </c>
      <c r="F425" s="1" t="s">
        <v>82</v>
      </c>
      <c r="G425" s="1">
        <v>190</v>
      </c>
      <c r="H425" s="1">
        <v>65</v>
      </c>
      <c r="I425" s="1">
        <v>325</v>
      </c>
      <c r="J425" s="1">
        <v>76</v>
      </c>
      <c r="K425" s="1">
        <v>48</v>
      </c>
      <c r="L425" s="1">
        <v>48</v>
      </c>
      <c r="M425" s="1">
        <v>57</v>
      </c>
      <c r="N425" s="1">
        <v>62</v>
      </c>
      <c r="O425" s="1">
        <v>34</v>
      </c>
      <c r="P425" s="1">
        <v>30</v>
      </c>
      <c r="Q425" s="1">
        <v>423</v>
      </c>
      <c r="R425" s="1" t="s">
        <v>1082</v>
      </c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</row>
    <row r="426" spans="2:35">
      <c r="B426" s="1">
        <v>423</v>
      </c>
      <c r="C426" s="1" t="s">
        <v>309</v>
      </c>
      <c r="D426" s="1" t="s">
        <v>1082</v>
      </c>
      <c r="E426" s="1" t="s">
        <v>754</v>
      </c>
      <c r="F426" s="1" t="s">
        <v>774</v>
      </c>
      <c r="G426" s="1">
        <v>75</v>
      </c>
      <c r="H426" s="1">
        <v>166</v>
      </c>
      <c r="I426" s="1">
        <v>475</v>
      </c>
      <c r="J426" s="1">
        <v>111</v>
      </c>
      <c r="K426" s="1">
        <v>83</v>
      </c>
      <c r="L426" s="1">
        <v>68</v>
      </c>
      <c r="M426" s="1">
        <v>92</v>
      </c>
      <c r="N426" s="1">
        <v>82</v>
      </c>
      <c r="O426" s="1">
        <v>39</v>
      </c>
      <c r="P426" s="1" t="s">
        <v>82</v>
      </c>
      <c r="Q426" s="1" t="s">
        <v>82</v>
      </c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</row>
    <row r="427" spans="2:35">
      <c r="B427" s="1">
        <v>424</v>
      </c>
      <c r="C427" s="1" t="s">
        <v>308</v>
      </c>
      <c r="D427" s="1" t="s">
        <v>1083</v>
      </c>
      <c r="E427" s="1" t="s">
        <v>765</v>
      </c>
      <c r="F427" s="1" t="s">
        <v>82</v>
      </c>
      <c r="G427" s="1">
        <v>45</v>
      </c>
      <c r="H427" s="1">
        <v>169</v>
      </c>
      <c r="I427" s="1">
        <v>482</v>
      </c>
      <c r="J427" s="1">
        <v>75</v>
      </c>
      <c r="K427" s="1">
        <v>100</v>
      </c>
      <c r="L427" s="1">
        <v>66</v>
      </c>
      <c r="M427" s="1">
        <v>60</v>
      </c>
      <c r="N427" s="1">
        <v>66</v>
      </c>
      <c r="O427" s="1">
        <v>115</v>
      </c>
      <c r="P427" s="1" t="s">
        <v>82</v>
      </c>
      <c r="Q427" s="1" t="s">
        <v>82</v>
      </c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</row>
    <row r="428" spans="2:35">
      <c r="B428" s="1">
        <v>425</v>
      </c>
      <c r="C428" s="1" t="s">
        <v>307</v>
      </c>
      <c r="D428" s="1" t="s">
        <v>1084</v>
      </c>
      <c r="E428" s="1" t="s">
        <v>829</v>
      </c>
      <c r="F428" s="1" t="s">
        <v>751</v>
      </c>
      <c r="G428" s="1">
        <v>125</v>
      </c>
      <c r="H428" s="1">
        <v>70</v>
      </c>
      <c r="I428" s="1">
        <v>348</v>
      </c>
      <c r="J428" s="1">
        <v>90</v>
      </c>
      <c r="K428" s="1">
        <v>50</v>
      </c>
      <c r="L428" s="1">
        <v>34</v>
      </c>
      <c r="M428" s="1">
        <v>60</v>
      </c>
      <c r="N428" s="1">
        <v>44</v>
      </c>
      <c r="O428" s="1">
        <v>70</v>
      </c>
      <c r="P428" s="1">
        <v>28</v>
      </c>
      <c r="Q428" s="1">
        <v>426</v>
      </c>
      <c r="R428" s="1" t="s">
        <v>1085</v>
      </c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</row>
    <row r="429" spans="2:35">
      <c r="B429" s="1">
        <v>426</v>
      </c>
      <c r="C429" s="1" t="s">
        <v>306</v>
      </c>
      <c r="D429" s="1" t="s">
        <v>1085</v>
      </c>
      <c r="E429" s="1" t="s">
        <v>829</v>
      </c>
      <c r="F429" s="1" t="s">
        <v>751</v>
      </c>
      <c r="G429" s="1">
        <v>60</v>
      </c>
      <c r="H429" s="1">
        <v>174</v>
      </c>
      <c r="I429" s="1">
        <v>498</v>
      </c>
      <c r="J429" s="1">
        <v>150</v>
      </c>
      <c r="K429" s="1">
        <v>80</v>
      </c>
      <c r="L429" s="1">
        <v>44</v>
      </c>
      <c r="M429" s="1">
        <v>90</v>
      </c>
      <c r="N429" s="1">
        <v>54</v>
      </c>
      <c r="O429" s="1">
        <v>80</v>
      </c>
      <c r="P429" s="1" t="s">
        <v>82</v>
      </c>
      <c r="Q429" s="1" t="s">
        <v>82</v>
      </c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</row>
    <row r="430" spans="2:35">
      <c r="B430" s="1">
        <v>427</v>
      </c>
      <c r="C430" s="1" t="s">
        <v>305</v>
      </c>
      <c r="D430" s="1" t="s">
        <v>1086</v>
      </c>
      <c r="E430" s="1" t="s">
        <v>765</v>
      </c>
      <c r="F430" s="1" t="s">
        <v>82</v>
      </c>
      <c r="G430" s="1">
        <v>190</v>
      </c>
      <c r="H430" s="1">
        <v>70</v>
      </c>
      <c r="I430" s="1">
        <v>350</v>
      </c>
      <c r="J430" s="1">
        <v>55</v>
      </c>
      <c r="K430" s="1">
        <v>66</v>
      </c>
      <c r="L430" s="1">
        <v>44</v>
      </c>
      <c r="M430" s="1">
        <v>44</v>
      </c>
      <c r="N430" s="1">
        <v>56</v>
      </c>
      <c r="O430" s="1">
        <v>85</v>
      </c>
      <c r="P430" s="1">
        <v>20</v>
      </c>
      <c r="Q430" s="1">
        <v>428</v>
      </c>
      <c r="R430" s="1" t="s">
        <v>1087</v>
      </c>
      <c r="S430" s="1" t="b">
        <v>1</v>
      </c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</row>
    <row r="431" spans="2:35">
      <c r="B431" s="1">
        <v>428</v>
      </c>
      <c r="C431" s="1" t="s">
        <v>304</v>
      </c>
      <c r="D431" s="1" t="s">
        <v>1087</v>
      </c>
      <c r="E431" s="1" t="s">
        <v>765</v>
      </c>
      <c r="F431" s="1" t="s">
        <v>82</v>
      </c>
      <c r="G431" s="1">
        <v>60</v>
      </c>
      <c r="H431" s="1">
        <v>168</v>
      </c>
      <c r="I431" s="1">
        <v>480</v>
      </c>
      <c r="J431" s="1">
        <v>65</v>
      </c>
      <c r="K431" s="1">
        <v>76</v>
      </c>
      <c r="L431" s="1">
        <v>84</v>
      </c>
      <c r="M431" s="1">
        <v>54</v>
      </c>
      <c r="N431" s="1">
        <v>96</v>
      </c>
      <c r="O431" s="1">
        <v>105</v>
      </c>
      <c r="P431" s="1" t="s">
        <v>82</v>
      </c>
      <c r="Q431" s="1" t="s">
        <v>82</v>
      </c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</row>
    <row r="432" spans="2:35">
      <c r="B432" s="1">
        <v>429</v>
      </c>
      <c r="C432" s="1" t="s">
        <v>303</v>
      </c>
      <c r="D432" s="1" t="s">
        <v>1088</v>
      </c>
      <c r="E432" s="1" t="s">
        <v>829</v>
      </c>
      <c r="F432" s="1" t="s">
        <v>82</v>
      </c>
      <c r="G432" s="1">
        <v>45</v>
      </c>
      <c r="H432" s="1">
        <v>173</v>
      </c>
      <c r="I432" s="1">
        <v>495</v>
      </c>
      <c r="J432" s="1">
        <v>60</v>
      </c>
      <c r="K432" s="1">
        <v>60</v>
      </c>
      <c r="L432" s="1">
        <v>60</v>
      </c>
      <c r="M432" s="1">
        <v>105</v>
      </c>
      <c r="N432" s="1">
        <v>105</v>
      </c>
      <c r="O432" s="1">
        <v>105</v>
      </c>
      <c r="P432" s="1" t="s">
        <v>82</v>
      </c>
      <c r="Q432" s="1" t="s">
        <v>82</v>
      </c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</row>
    <row r="433" spans="2:35">
      <c r="B433" s="1">
        <v>430</v>
      </c>
      <c r="C433" s="1" t="s">
        <v>302</v>
      </c>
      <c r="D433" s="1" t="s">
        <v>1089</v>
      </c>
      <c r="E433" s="1" t="s">
        <v>864</v>
      </c>
      <c r="F433" s="1" t="s">
        <v>751</v>
      </c>
      <c r="G433" s="1">
        <v>30</v>
      </c>
      <c r="H433" s="1">
        <v>177</v>
      </c>
      <c r="I433" s="1">
        <v>505</v>
      </c>
      <c r="J433" s="1">
        <v>100</v>
      </c>
      <c r="K433" s="1">
        <v>125</v>
      </c>
      <c r="L433" s="1">
        <v>52</v>
      </c>
      <c r="M433" s="1">
        <v>105</v>
      </c>
      <c r="N433" s="1">
        <v>52</v>
      </c>
      <c r="O433" s="1">
        <v>71</v>
      </c>
      <c r="P433" s="1" t="s">
        <v>82</v>
      </c>
      <c r="Q433" s="1" t="s">
        <v>82</v>
      </c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</row>
    <row r="434" spans="2:35">
      <c r="B434" s="1">
        <v>431</v>
      </c>
      <c r="C434" s="1" t="s">
        <v>301</v>
      </c>
      <c r="D434" s="1" t="s">
        <v>1090</v>
      </c>
      <c r="E434" s="1" t="s">
        <v>765</v>
      </c>
      <c r="F434" s="1" t="s">
        <v>82</v>
      </c>
      <c r="G434" s="1">
        <v>190</v>
      </c>
      <c r="H434" s="1">
        <v>62</v>
      </c>
      <c r="I434" s="1">
        <v>310</v>
      </c>
      <c r="J434" s="1">
        <v>49</v>
      </c>
      <c r="K434" s="1">
        <v>55</v>
      </c>
      <c r="L434" s="1">
        <v>42</v>
      </c>
      <c r="M434" s="1">
        <v>42</v>
      </c>
      <c r="N434" s="1">
        <v>37</v>
      </c>
      <c r="O434" s="1">
        <v>85</v>
      </c>
      <c r="P434" s="1">
        <v>38</v>
      </c>
      <c r="Q434" s="1">
        <v>432</v>
      </c>
      <c r="R434" s="1" t="s">
        <v>1091</v>
      </c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</row>
    <row r="435" spans="2:35">
      <c r="B435" s="1">
        <v>432</v>
      </c>
      <c r="C435" s="1" t="s">
        <v>300</v>
      </c>
      <c r="D435" s="1" t="s">
        <v>1091</v>
      </c>
      <c r="E435" s="1" t="s">
        <v>765</v>
      </c>
      <c r="F435" s="1" t="s">
        <v>82</v>
      </c>
      <c r="G435" s="1">
        <v>75</v>
      </c>
      <c r="H435" s="1">
        <v>158</v>
      </c>
      <c r="I435" s="1">
        <v>452</v>
      </c>
      <c r="J435" s="1">
        <v>71</v>
      </c>
      <c r="K435" s="1">
        <v>82</v>
      </c>
      <c r="L435" s="1">
        <v>64</v>
      </c>
      <c r="M435" s="1">
        <v>64</v>
      </c>
      <c r="N435" s="1">
        <v>59</v>
      </c>
      <c r="O435" s="1">
        <v>112</v>
      </c>
      <c r="P435" s="1" t="s">
        <v>82</v>
      </c>
      <c r="Q435" s="1" t="s">
        <v>82</v>
      </c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</row>
    <row r="436" spans="2:35">
      <c r="B436" s="1">
        <v>433</v>
      </c>
      <c r="C436" s="1" t="s">
        <v>299</v>
      </c>
      <c r="D436" s="1" t="s">
        <v>1092</v>
      </c>
      <c r="E436" s="1" t="s">
        <v>803</v>
      </c>
      <c r="F436" s="1" t="s">
        <v>82</v>
      </c>
      <c r="G436" s="1">
        <v>120</v>
      </c>
      <c r="H436" s="1">
        <v>57</v>
      </c>
      <c r="I436" s="1">
        <v>285</v>
      </c>
      <c r="J436" s="1">
        <v>45</v>
      </c>
      <c r="K436" s="1">
        <v>30</v>
      </c>
      <c r="L436" s="1">
        <v>50</v>
      </c>
      <c r="M436" s="1">
        <v>65</v>
      </c>
      <c r="N436" s="1">
        <v>50</v>
      </c>
      <c r="O436" s="1">
        <v>45</v>
      </c>
      <c r="P436" s="1">
        <v>20</v>
      </c>
      <c r="Q436" s="1">
        <v>358</v>
      </c>
      <c r="R436" s="1" t="s">
        <v>1035</v>
      </c>
      <c r="S436" s="1" t="b">
        <v>1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</row>
    <row r="437" spans="2:35">
      <c r="B437" s="1">
        <v>434</v>
      </c>
      <c r="C437" s="1" t="s">
        <v>298</v>
      </c>
      <c r="D437" s="1" t="s">
        <v>1093</v>
      </c>
      <c r="E437" s="1" t="s">
        <v>744</v>
      </c>
      <c r="F437" s="1" t="s">
        <v>864</v>
      </c>
      <c r="G437" s="1">
        <v>225</v>
      </c>
      <c r="H437" s="1">
        <v>66</v>
      </c>
      <c r="I437" s="1">
        <v>329</v>
      </c>
      <c r="J437" s="1">
        <v>63</v>
      </c>
      <c r="K437" s="1">
        <v>63</v>
      </c>
      <c r="L437" s="1">
        <v>47</v>
      </c>
      <c r="M437" s="1">
        <v>41</v>
      </c>
      <c r="N437" s="1">
        <v>41</v>
      </c>
      <c r="O437" s="1">
        <v>74</v>
      </c>
      <c r="P437" s="1">
        <v>34</v>
      </c>
      <c r="Q437" s="1">
        <v>435</v>
      </c>
      <c r="R437" s="1" t="s">
        <v>1094</v>
      </c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</row>
    <row r="438" spans="2:35">
      <c r="B438" s="1">
        <v>435</v>
      </c>
      <c r="C438" s="1" t="s">
        <v>297</v>
      </c>
      <c r="D438" s="1" t="s">
        <v>1094</v>
      </c>
      <c r="E438" s="1" t="s">
        <v>744</v>
      </c>
      <c r="F438" s="1" t="s">
        <v>864</v>
      </c>
      <c r="G438" s="1">
        <v>60</v>
      </c>
      <c r="H438" s="1">
        <v>168</v>
      </c>
      <c r="I438" s="1">
        <v>479</v>
      </c>
      <c r="J438" s="1">
        <v>103</v>
      </c>
      <c r="K438" s="1">
        <v>93</v>
      </c>
      <c r="L438" s="1">
        <v>67</v>
      </c>
      <c r="M438" s="1">
        <v>71</v>
      </c>
      <c r="N438" s="1">
        <v>61</v>
      </c>
      <c r="O438" s="1">
        <v>84</v>
      </c>
      <c r="P438" s="1" t="s">
        <v>82</v>
      </c>
      <c r="Q438" s="1" t="s">
        <v>82</v>
      </c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</row>
    <row r="439" spans="2:35">
      <c r="B439" s="1">
        <v>436</v>
      </c>
      <c r="C439" s="1" t="s">
        <v>296</v>
      </c>
      <c r="D439" s="1" t="s">
        <v>1095</v>
      </c>
      <c r="E439" s="1" t="s">
        <v>818</v>
      </c>
      <c r="F439" s="1" t="s">
        <v>803</v>
      </c>
      <c r="G439" s="1">
        <v>255</v>
      </c>
      <c r="H439" s="1">
        <v>60</v>
      </c>
      <c r="I439" s="1">
        <v>300</v>
      </c>
      <c r="J439" s="1">
        <v>57</v>
      </c>
      <c r="K439" s="1">
        <v>24</v>
      </c>
      <c r="L439" s="1">
        <v>86</v>
      </c>
      <c r="M439" s="1">
        <v>24</v>
      </c>
      <c r="N439" s="1">
        <v>86</v>
      </c>
      <c r="O439" s="1">
        <v>23</v>
      </c>
      <c r="P439" s="1">
        <v>33</v>
      </c>
      <c r="Q439" s="1">
        <v>437</v>
      </c>
      <c r="R439" s="1" t="s">
        <v>1096</v>
      </c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</row>
    <row r="440" spans="2:35">
      <c r="B440" s="1">
        <v>437</v>
      </c>
      <c r="C440" s="1" t="s">
        <v>295</v>
      </c>
      <c r="D440" s="1" t="s">
        <v>1096</v>
      </c>
      <c r="E440" s="1" t="s">
        <v>818</v>
      </c>
      <c r="F440" s="1" t="s">
        <v>803</v>
      </c>
      <c r="G440" s="1">
        <v>90</v>
      </c>
      <c r="H440" s="1">
        <v>175</v>
      </c>
      <c r="I440" s="1">
        <v>500</v>
      </c>
      <c r="J440" s="1">
        <v>67</v>
      </c>
      <c r="K440" s="1">
        <v>89</v>
      </c>
      <c r="L440" s="1">
        <v>116</v>
      </c>
      <c r="M440" s="1">
        <v>79</v>
      </c>
      <c r="N440" s="1">
        <v>116</v>
      </c>
      <c r="O440" s="1">
        <v>33</v>
      </c>
      <c r="P440" s="1" t="s">
        <v>82</v>
      </c>
      <c r="Q440" s="1" t="s">
        <v>82</v>
      </c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</row>
    <row r="441" spans="2:35">
      <c r="B441" s="1">
        <v>438</v>
      </c>
      <c r="C441" s="1" t="s">
        <v>294</v>
      </c>
      <c r="D441" s="1" t="s">
        <v>1097</v>
      </c>
      <c r="E441" s="1" t="s">
        <v>811</v>
      </c>
      <c r="F441" s="1" t="s">
        <v>82</v>
      </c>
      <c r="G441" s="1">
        <v>255</v>
      </c>
      <c r="H441" s="1">
        <v>58</v>
      </c>
      <c r="I441" s="1">
        <v>290</v>
      </c>
      <c r="J441" s="1">
        <v>50</v>
      </c>
      <c r="K441" s="1">
        <v>80</v>
      </c>
      <c r="L441" s="1">
        <v>95</v>
      </c>
      <c r="M441" s="1">
        <v>10</v>
      </c>
      <c r="N441" s="1">
        <v>45</v>
      </c>
      <c r="O441" s="1">
        <v>10</v>
      </c>
      <c r="P441" s="1">
        <v>15</v>
      </c>
      <c r="Q441" s="1">
        <v>185</v>
      </c>
      <c r="R441" s="1" t="s">
        <v>904</v>
      </c>
      <c r="S441" s="1" t="b">
        <v>1</v>
      </c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</row>
    <row r="442" spans="2:35">
      <c r="B442" s="1">
        <v>439</v>
      </c>
      <c r="C442" s="1" t="s">
        <v>293</v>
      </c>
      <c r="D442" s="1" t="s">
        <v>293</v>
      </c>
      <c r="E442" s="1" t="s">
        <v>803</v>
      </c>
      <c r="F442" s="1" t="s">
        <v>777</v>
      </c>
      <c r="G442" s="1">
        <v>145</v>
      </c>
      <c r="H442" s="1">
        <v>62</v>
      </c>
      <c r="I442" s="1">
        <v>310</v>
      </c>
      <c r="J442" s="1">
        <v>20</v>
      </c>
      <c r="K442" s="1">
        <v>25</v>
      </c>
      <c r="L442" s="1">
        <v>45</v>
      </c>
      <c r="M442" s="1">
        <v>70</v>
      </c>
      <c r="N442" s="1">
        <v>90</v>
      </c>
      <c r="O442" s="1">
        <v>60</v>
      </c>
      <c r="P442" s="1">
        <v>15</v>
      </c>
      <c r="Q442" s="1">
        <v>122</v>
      </c>
      <c r="R442" s="1" t="s">
        <v>857</v>
      </c>
      <c r="S442" s="1" t="b">
        <v>1</v>
      </c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</row>
    <row r="443" spans="2:35">
      <c r="B443" s="1">
        <v>440</v>
      </c>
      <c r="C443" s="1" t="s">
        <v>292</v>
      </c>
      <c r="D443" s="1" t="s">
        <v>1098</v>
      </c>
      <c r="E443" s="1" t="s">
        <v>765</v>
      </c>
      <c r="F443" s="1" t="s">
        <v>82</v>
      </c>
      <c r="G443" s="1">
        <v>130</v>
      </c>
      <c r="H443" s="1">
        <v>110</v>
      </c>
      <c r="I443" s="1">
        <v>220</v>
      </c>
      <c r="J443" s="1">
        <v>100</v>
      </c>
      <c r="K443" s="1">
        <v>5</v>
      </c>
      <c r="L443" s="1">
        <v>5</v>
      </c>
      <c r="M443" s="1">
        <v>15</v>
      </c>
      <c r="N443" s="1">
        <v>65</v>
      </c>
      <c r="O443" s="1">
        <v>30</v>
      </c>
      <c r="P443" s="1">
        <v>15</v>
      </c>
      <c r="Q443" s="1">
        <v>113</v>
      </c>
      <c r="R443" s="1" t="s">
        <v>848</v>
      </c>
      <c r="S443" s="1" t="b">
        <v>1</v>
      </c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</row>
    <row r="444" spans="2:35">
      <c r="B444" s="1">
        <v>441</v>
      </c>
      <c r="C444" s="1" t="s">
        <v>291</v>
      </c>
      <c r="D444" s="1" t="s">
        <v>1099</v>
      </c>
      <c r="E444" s="1" t="s">
        <v>765</v>
      </c>
      <c r="F444" s="1" t="s">
        <v>751</v>
      </c>
      <c r="G444" s="1">
        <v>30</v>
      </c>
      <c r="H444" s="1">
        <v>144</v>
      </c>
      <c r="I444" s="1">
        <v>411</v>
      </c>
      <c r="J444" s="1">
        <v>76</v>
      </c>
      <c r="K444" s="1">
        <v>65</v>
      </c>
      <c r="L444" s="1">
        <v>45</v>
      </c>
      <c r="M444" s="1">
        <v>92</v>
      </c>
      <c r="N444" s="1">
        <v>42</v>
      </c>
      <c r="O444" s="1">
        <v>91</v>
      </c>
      <c r="P444" s="1" t="s">
        <v>82</v>
      </c>
      <c r="Q444" s="1" t="s">
        <v>82</v>
      </c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</row>
    <row r="445" spans="2:35">
      <c r="B445" s="1">
        <v>442</v>
      </c>
      <c r="C445" s="1" t="s">
        <v>290</v>
      </c>
      <c r="D445" s="1" t="s">
        <v>290</v>
      </c>
      <c r="E445" s="1" t="s">
        <v>829</v>
      </c>
      <c r="F445" s="1" t="s">
        <v>864</v>
      </c>
      <c r="G445" s="1">
        <v>100</v>
      </c>
      <c r="H445" s="1">
        <v>170</v>
      </c>
      <c r="I445" s="1">
        <v>485</v>
      </c>
      <c r="J445" s="1">
        <v>50</v>
      </c>
      <c r="K445" s="1">
        <v>92</v>
      </c>
      <c r="L445" s="1">
        <v>108</v>
      </c>
      <c r="M445" s="1">
        <v>92</v>
      </c>
      <c r="N445" s="1">
        <v>108</v>
      </c>
      <c r="O445" s="1">
        <v>35</v>
      </c>
      <c r="P445" s="1" t="s">
        <v>82</v>
      </c>
      <c r="Q445" s="1" t="s">
        <v>82</v>
      </c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</row>
    <row r="446" spans="2:35">
      <c r="B446" s="1">
        <v>443</v>
      </c>
      <c r="C446" s="1" t="s">
        <v>289</v>
      </c>
      <c r="D446" s="1" t="s">
        <v>1100</v>
      </c>
      <c r="E446" s="1" t="s">
        <v>752</v>
      </c>
      <c r="F446" s="1" t="s">
        <v>774</v>
      </c>
      <c r="G446" s="1">
        <v>45</v>
      </c>
      <c r="H446" s="1">
        <v>60</v>
      </c>
      <c r="I446" s="1">
        <v>300</v>
      </c>
      <c r="J446" s="1">
        <v>58</v>
      </c>
      <c r="K446" s="1">
        <v>70</v>
      </c>
      <c r="L446" s="1">
        <v>45</v>
      </c>
      <c r="M446" s="1">
        <v>40</v>
      </c>
      <c r="N446" s="1">
        <v>45</v>
      </c>
      <c r="O446" s="1">
        <v>42</v>
      </c>
      <c r="P446" s="1">
        <v>24</v>
      </c>
      <c r="Q446" s="1">
        <v>444</v>
      </c>
      <c r="R446" s="1" t="s">
        <v>1101</v>
      </c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</row>
    <row r="447" spans="2:35">
      <c r="B447" s="1">
        <v>444</v>
      </c>
      <c r="C447" s="1" t="s">
        <v>288</v>
      </c>
      <c r="D447" s="1" t="s">
        <v>1101</v>
      </c>
      <c r="E447" s="1" t="s">
        <v>752</v>
      </c>
      <c r="F447" s="1" t="s">
        <v>774</v>
      </c>
      <c r="G447" s="1">
        <v>45</v>
      </c>
      <c r="H447" s="1">
        <v>144</v>
      </c>
      <c r="I447" s="1">
        <v>410</v>
      </c>
      <c r="J447" s="1">
        <v>68</v>
      </c>
      <c r="K447" s="1">
        <v>90</v>
      </c>
      <c r="L447" s="1">
        <v>65</v>
      </c>
      <c r="M447" s="1">
        <v>50</v>
      </c>
      <c r="N447" s="1">
        <v>55</v>
      </c>
      <c r="O447" s="1">
        <v>82</v>
      </c>
      <c r="P447" s="1">
        <v>48</v>
      </c>
      <c r="Q447" s="1">
        <v>445</v>
      </c>
      <c r="R447" s="1" t="s">
        <v>1102</v>
      </c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</row>
    <row r="448" spans="2:35">
      <c r="B448" s="1">
        <v>445</v>
      </c>
      <c r="C448" s="1" t="s">
        <v>287</v>
      </c>
      <c r="D448" s="1" t="s">
        <v>1102</v>
      </c>
      <c r="E448" s="1" t="s">
        <v>752</v>
      </c>
      <c r="F448" s="1" t="s">
        <v>774</v>
      </c>
      <c r="G448" s="1">
        <v>45</v>
      </c>
      <c r="H448" s="1">
        <v>270</v>
      </c>
      <c r="I448" s="1">
        <v>600</v>
      </c>
      <c r="J448" s="1">
        <v>108</v>
      </c>
      <c r="K448" s="1">
        <v>130</v>
      </c>
      <c r="L448" s="1">
        <v>95</v>
      </c>
      <c r="M448" s="1">
        <v>80</v>
      </c>
      <c r="N448" s="1">
        <v>85</v>
      </c>
      <c r="O448" s="1">
        <v>102</v>
      </c>
      <c r="P448" s="1" t="s">
        <v>82</v>
      </c>
      <c r="Q448" s="1" t="s">
        <v>82</v>
      </c>
      <c r="R448" s="1" t="s">
        <v>82</v>
      </c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</row>
    <row r="449" spans="2:35">
      <c r="B449" s="1">
        <v>446</v>
      </c>
      <c r="C449" s="1" t="s">
        <v>286</v>
      </c>
      <c r="D449" s="1" t="s">
        <v>1103</v>
      </c>
      <c r="E449" s="1" t="s">
        <v>765</v>
      </c>
      <c r="F449" s="1" t="s">
        <v>82</v>
      </c>
      <c r="G449" s="1">
        <v>50</v>
      </c>
      <c r="H449" s="1">
        <v>78</v>
      </c>
      <c r="I449" s="1">
        <v>390</v>
      </c>
      <c r="J449" s="1">
        <v>135</v>
      </c>
      <c r="K449" s="1">
        <v>85</v>
      </c>
      <c r="L449" s="1">
        <v>40</v>
      </c>
      <c r="M449" s="1">
        <v>40</v>
      </c>
      <c r="N449" s="1">
        <v>85</v>
      </c>
      <c r="O449" s="1">
        <v>5</v>
      </c>
      <c r="P449" s="1">
        <v>25</v>
      </c>
      <c r="Q449" s="1">
        <v>143</v>
      </c>
      <c r="R449" s="1" t="s">
        <v>874</v>
      </c>
      <c r="S449" s="1" t="b">
        <v>1</v>
      </c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</row>
    <row r="450" spans="2:35">
      <c r="B450" s="1">
        <v>447</v>
      </c>
      <c r="C450" s="1" t="s">
        <v>285</v>
      </c>
      <c r="D450" s="1" t="s">
        <v>285</v>
      </c>
      <c r="E450" s="1" t="s">
        <v>796</v>
      </c>
      <c r="F450" s="1" t="s">
        <v>82</v>
      </c>
      <c r="G450" s="1">
        <v>75</v>
      </c>
      <c r="H450" s="1">
        <v>57</v>
      </c>
      <c r="I450" s="1">
        <v>285</v>
      </c>
      <c r="J450" s="1">
        <v>40</v>
      </c>
      <c r="K450" s="1">
        <v>70</v>
      </c>
      <c r="L450" s="1">
        <v>40</v>
      </c>
      <c r="M450" s="1">
        <v>35</v>
      </c>
      <c r="N450" s="1">
        <v>40</v>
      </c>
      <c r="O450" s="1">
        <v>60</v>
      </c>
      <c r="P450" s="1">
        <v>20</v>
      </c>
      <c r="Q450" s="1">
        <v>448</v>
      </c>
      <c r="R450" s="1" t="s">
        <v>284</v>
      </c>
      <c r="S450" s="1" t="b">
        <v>1</v>
      </c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</row>
    <row r="451" spans="2:35">
      <c r="B451" s="1">
        <v>448</v>
      </c>
      <c r="C451" s="1" t="s">
        <v>284</v>
      </c>
      <c r="D451" s="1" t="s">
        <v>284</v>
      </c>
      <c r="E451" s="1" t="s">
        <v>796</v>
      </c>
      <c r="F451" s="1" t="s">
        <v>818</v>
      </c>
      <c r="G451" s="1">
        <v>45</v>
      </c>
      <c r="H451" s="1">
        <v>184</v>
      </c>
      <c r="I451" s="1">
        <v>525</v>
      </c>
      <c r="J451" s="1">
        <v>70</v>
      </c>
      <c r="K451" s="1">
        <v>110</v>
      </c>
      <c r="L451" s="1">
        <v>70</v>
      </c>
      <c r="M451" s="1">
        <v>115</v>
      </c>
      <c r="N451" s="1">
        <v>70</v>
      </c>
      <c r="O451" s="1">
        <v>90</v>
      </c>
      <c r="P451" s="1" t="s">
        <v>82</v>
      </c>
      <c r="Q451" s="1" t="s">
        <v>82</v>
      </c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</row>
    <row r="452" spans="2:35">
      <c r="B452" s="1">
        <v>449</v>
      </c>
      <c r="C452" s="1" t="s">
        <v>283</v>
      </c>
      <c r="D452" s="1" t="s">
        <v>283</v>
      </c>
      <c r="E452" s="1" t="s">
        <v>774</v>
      </c>
      <c r="F452" s="1" t="s">
        <v>82</v>
      </c>
      <c r="G452" s="1">
        <v>140</v>
      </c>
      <c r="H452" s="1">
        <v>66</v>
      </c>
      <c r="I452" s="1">
        <v>330</v>
      </c>
      <c r="J452" s="1">
        <v>68</v>
      </c>
      <c r="K452" s="1">
        <v>72</v>
      </c>
      <c r="L452" s="1">
        <v>78</v>
      </c>
      <c r="M452" s="1">
        <v>38</v>
      </c>
      <c r="N452" s="1">
        <v>42</v>
      </c>
      <c r="O452" s="1">
        <v>32</v>
      </c>
      <c r="P452" s="1">
        <v>34</v>
      </c>
      <c r="Q452" s="1">
        <v>450</v>
      </c>
      <c r="R452" s="1" t="s">
        <v>1104</v>
      </c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</row>
    <row r="453" spans="2:35">
      <c r="B453" s="1">
        <v>450</v>
      </c>
      <c r="C453" s="1" t="s">
        <v>282</v>
      </c>
      <c r="D453" s="1" t="s">
        <v>1104</v>
      </c>
      <c r="E453" s="1" t="s">
        <v>774</v>
      </c>
      <c r="F453" s="1" t="s">
        <v>82</v>
      </c>
      <c r="G453" s="1">
        <v>60</v>
      </c>
      <c r="H453" s="1">
        <v>184</v>
      </c>
      <c r="I453" s="1">
        <v>525</v>
      </c>
      <c r="J453" s="1">
        <v>108</v>
      </c>
      <c r="K453" s="1">
        <v>112</v>
      </c>
      <c r="L453" s="1">
        <v>118</v>
      </c>
      <c r="M453" s="1">
        <v>68</v>
      </c>
      <c r="N453" s="1">
        <v>72</v>
      </c>
      <c r="O453" s="1">
        <v>47</v>
      </c>
      <c r="P453" s="1" t="s">
        <v>82</v>
      </c>
      <c r="Q453" s="1" t="s">
        <v>82</v>
      </c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</row>
    <row r="454" spans="2:35">
      <c r="B454" s="1">
        <v>451</v>
      </c>
      <c r="C454" s="1" t="s">
        <v>281</v>
      </c>
      <c r="D454" s="1" t="s">
        <v>1105</v>
      </c>
      <c r="E454" s="1" t="s">
        <v>744</v>
      </c>
      <c r="F454" s="1" t="s">
        <v>758</v>
      </c>
      <c r="G454" s="1">
        <v>120</v>
      </c>
      <c r="H454" s="1">
        <v>66</v>
      </c>
      <c r="I454" s="1">
        <v>330</v>
      </c>
      <c r="J454" s="1">
        <v>40</v>
      </c>
      <c r="K454" s="1">
        <v>50</v>
      </c>
      <c r="L454" s="1">
        <v>90</v>
      </c>
      <c r="M454" s="1">
        <v>30</v>
      </c>
      <c r="N454" s="1">
        <v>55</v>
      </c>
      <c r="O454" s="1">
        <v>65</v>
      </c>
      <c r="P454" s="1">
        <v>40</v>
      </c>
      <c r="Q454" s="1">
        <v>452</v>
      </c>
      <c r="R454" s="1" t="s">
        <v>1106</v>
      </c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</row>
    <row r="455" spans="2:35">
      <c r="B455" s="1">
        <v>452</v>
      </c>
      <c r="C455" s="1" t="s">
        <v>280</v>
      </c>
      <c r="D455" s="1" t="s">
        <v>1106</v>
      </c>
      <c r="E455" s="1" t="s">
        <v>744</v>
      </c>
      <c r="F455" s="1" t="s">
        <v>864</v>
      </c>
      <c r="G455" s="1">
        <v>45</v>
      </c>
      <c r="H455" s="1">
        <v>175</v>
      </c>
      <c r="I455" s="1">
        <v>500</v>
      </c>
      <c r="J455" s="1">
        <v>70</v>
      </c>
      <c r="K455" s="1">
        <v>90</v>
      </c>
      <c r="L455" s="1">
        <v>110</v>
      </c>
      <c r="M455" s="1">
        <v>60</v>
      </c>
      <c r="N455" s="1">
        <v>75</v>
      </c>
      <c r="O455" s="1">
        <v>95</v>
      </c>
      <c r="P455" s="1" t="s">
        <v>82</v>
      </c>
      <c r="Q455" s="1" t="s">
        <v>82</v>
      </c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</row>
    <row r="456" spans="2:35">
      <c r="B456" s="1">
        <v>453</v>
      </c>
      <c r="C456" s="1" t="s">
        <v>279</v>
      </c>
      <c r="D456" s="1" t="s">
        <v>1107</v>
      </c>
      <c r="E456" s="1" t="s">
        <v>744</v>
      </c>
      <c r="F456" s="1" t="s">
        <v>796</v>
      </c>
      <c r="G456" s="1">
        <v>140</v>
      </c>
      <c r="H456" s="1">
        <v>60</v>
      </c>
      <c r="I456" s="1">
        <v>300</v>
      </c>
      <c r="J456" s="1">
        <v>48</v>
      </c>
      <c r="K456" s="1">
        <v>61</v>
      </c>
      <c r="L456" s="1">
        <v>40</v>
      </c>
      <c r="M456" s="1">
        <v>61</v>
      </c>
      <c r="N456" s="1">
        <v>40</v>
      </c>
      <c r="O456" s="1">
        <v>50</v>
      </c>
      <c r="P456" s="1">
        <v>37</v>
      </c>
      <c r="Q456" s="1">
        <v>454</v>
      </c>
      <c r="R456" s="1" t="s">
        <v>1108</v>
      </c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</row>
    <row r="457" spans="2:35">
      <c r="B457" s="1">
        <v>454</v>
      </c>
      <c r="C457" s="1" t="s">
        <v>278</v>
      </c>
      <c r="D457" s="1" t="s">
        <v>1108</v>
      </c>
      <c r="E457" s="1" t="s">
        <v>744</v>
      </c>
      <c r="F457" s="1" t="s">
        <v>796</v>
      </c>
      <c r="G457" s="1">
        <v>75</v>
      </c>
      <c r="H457" s="1">
        <v>172</v>
      </c>
      <c r="I457" s="1">
        <v>490</v>
      </c>
      <c r="J457" s="1">
        <v>83</v>
      </c>
      <c r="K457" s="1">
        <v>106</v>
      </c>
      <c r="L457" s="1">
        <v>65</v>
      </c>
      <c r="M457" s="1">
        <v>86</v>
      </c>
      <c r="N457" s="1">
        <v>65</v>
      </c>
      <c r="O457" s="1">
        <v>85</v>
      </c>
      <c r="P457" s="1" t="s">
        <v>82</v>
      </c>
      <c r="Q457" s="1" t="s">
        <v>82</v>
      </c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</row>
    <row r="458" spans="2:35">
      <c r="B458" s="1">
        <v>455</v>
      </c>
      <c r="C458" s="1" t="s">
        <v>277</v>
      </c>
      <c r="D458" s="1" t="s">
        <v>1109</v>
      </c>
      <c r="E458" s="1" t="s">
        <v>743</v>
      </c>
      <c r="F458" s="1" t="s">
        <v>82</v>
      </c>
      <c r="G458" s="1">
        <v>200</v>
      </c>
      <c r="H458" s="1">
        <v>159</v>
      </c>
      <c r="I458" s="1">
        <v>454</v>
      </c>
      <c r="J458" s="1">
        <v>74</v>
      </c>
      <c r="K458" s="1">
        <v>100</v>
      </c>
      <c r="L458" s="1">
        <v>72</v>
      </c>
      <c r="M458" s="1">
        <v>90</v>
      </c>
      <c r="N458" s="1">
        <v>72</v>
      </c>
      <c r="O458" s="1">
        <v>46</v>
      </c>
      <c r="P458" s="1" t="s">
        <v>82</v>
      </c>
      <c r="Q458" s="1" t="s">
        <v>82</v>
      </c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</row>
    <row r="459" spans="2:35">
      <c r="B459" s="1">
        <v>456</v>
      </c>
      <c r="C459" s="1" t="s">
        <v>276</v>
      </c>
      <c r="D459" s="1" t="s">
        <v>1110</v>
      </c>
      <c r="E459" s="1" t="s">
        <v>754</v>
      </c>
      <c r="F459" s="1" t="s">
        <v>82</v>
      </c>
      <c r="G459" s="1">
        <v>190</v>
      </c>
      <c r="H459" s="1">
        <v>66</v>
      </c>
      <c r="I459" s="1">
        <v>330</v>
      </c>
      <c r="J459" s="1">
        <v>49</v>
      </c>
      <c r="K459" s="1">
        <v>49</v>
      </c>
      <c r="L459" s="1">
        <v>56</v>
      </c>
      <c r="M459" s="1">
        <v>49</v>
      </c>
      <c r="N459" s="1">
        <v>61</v>
      </c>
      <c r="O459" s="1">
        <v>66</v>
      </c>
      <c r="P459" s="1">
        <v>31</v>
      </c>
      <c r="Q459" s="1">
        <v>457</v>
      </c>
      <c r="R459" s="1" t="s">
        <v>1111</v>
      </c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</row>
    <row r="460" spans="2:35">
      <c r="B460" s="1">
        <v>457</v>
      </c>
      <c r="C460" s="1" t="s">
        <v>275</v>
      </c>
      <c r="D460" s="1" t="s">
        <v>1111</v>
      </c>
      <c r="E460" s="1" t="s">
        <v>754</v>
      </c>
      <c r="F460" s="1" t="s">
        <v>82</v>
      </c>
      <c r="G460" s="1">
        <v>75</v>
      </c>
      <c r="H460" s="1">
        <v>161</v>
      </c>
      <c r="I460" s="1">
        <v>460</v>
      </c>
      <c r="J460" s="1">
        <v>69</v>
      </c>
      <c r="K460" s="1">
        <v>69</v>
      </c>
      <c r="L460" s="1">
        <v>76</v>
      </c>
      <c r="M460" s="1">
        <v>69</v>
      </c>
      <c r="N460" s="1">
        <v>86</v>
      </c>
      <c r="O460" s="1">
        <v>91</v>
      </c>
      <c r="P460" s="1" t="s">
        <v>82</v>
      </c>
      <c r="Q460" s="1" t="s">
        <v>82</v>
      </c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</row>
    <row r="461" spans="2:35">
      <c r="B461" s="1">
        <v>458</v>
      </c>
      <c r="C461" s="1" t="s">
        <v>274</v>
      </c>
      <c r="D461" s="1" t="s">
        <v>1112</v>
      </c>
      <c r="E461" s="1" t="s">
        <v>754</v>
      </c>
      <c r="F461" s="1" t="s">
        <v>751</v>
      </c>
      <c r="G461" s="1">
        <v>25</v>
      </c>
      <c r="H461" s="1">
        <v>69</v>
      </c>
      <c r="I461" s="1">
        <v>345</v>
      </c>
      <c r="J461" s="1">
        <v>45</v>
      </c>
      <c r="K461" s="1">
        <v>20</v>
      </c>
      <c r="L461" s="1">
        <v>50</v>
      </c>
      <c r="M461" s="1">
        <v>60</v>
      </c>
      <c r="N461" s="1">
        <v>120</v>
      </c>
      <c r="O461" s="1">
        <v>50</v>
      </c>
      <c r="P461" s="1">
        <v>30</v>
      </c>
      <c r="Q461" s="1">
        <v>226</v>
      </c>
      <c r="R461" s="1" t="s">
        <v>936</v>
      </c>
      <c r="S461" s="1" t="b">
        <v>1</v>
      </c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</row>
    <row r="462" spans="2:35">
      <c r="B462" s="1">
        <v>459</v>
      </c>
      <c r="C462" s="1" t="s">
        <v>273</v>
      </c>
      <c r="D462" s="1" t="s">
        <v>1113</v>
      </c>
      <c r="E462" s="1" t="s">
        <v>743</v>
      </c>
      <c r="F462" s="1" t="s">
        <v>823</v>
      </c>
      <c r="G462" s="1">
        <v>120</v>
      </c>
      <c r="H462" s="1">
        <v>67</v>
      </c>
      <c r="I462" s="1">
        <v>334</v>
      </c>
      <c r="J462" s="1">
        <v>60</v>
      </c>
      <c r="K462" s="1">
        <v>62</v>
      </c>
      <c r="L462" s="1">
        <v>50</v>
      </c>
      <c r="M462" s="1">
        <v>62</v>
      </c>
      <c r="N462" s="1">
        <v>60</v>
      </c>
      <c r="O462" s="1">
        <v>40</v>
      </c>
      <c r="P462" s="1">
        <v>40</v>
      </c>
      <c r="Q462" s="1">
        <v>460</v>
      </c>
      <c r="R462" s="1" t="s">
        <v>1114</v>
      </c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</row>
    <row r="463" spans="2:35">
      <c r="B463" s="1">
        <v>460</v>
      </c>
      <c r="C463" s="1" t="s">
        <v>272</v>
      </c>
      <c r="D463" s="1" t="s">
        <v>1114</v>
      </c>
      <c r="E463" s="1" t="s">
        <v>743</v>
      </c>
      <c r="F463" s="1" t="s">
        <v>823</v>
      </c>
      <c r="G463" s="1">
        <v>60</v>
      </c>
      <c r="H463" s="1">
        <v>173</v>
      </c>
      <c r="I463" s="1">
        <v>494</v>
      </c>
      <c r="J463" s="1">
        <v>90</v>
      </c>
      <c r="K463" s="1">
        <v>92</v>
      </c>
      <c r="L463" s="1">
        <v>75</v>
      </c>
      <c r="M463" s="1">
        <v>92</v>
      </c>
      <c r="N463" s="1">
        <v>85</v>
      </c>
      <c r="O463" s="1">
        <v>60</v>
      </c>
      <c r="P463" s="1" t="s">
        <v>82</v>
      </c>
      <c r="Q463" s="1" t="s">
        <v>82</v>
      </c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</row>
    <row r="464" spans="2:35">
      <c r="B464" s="1">
        <v>461</v>
      </c>
      <c r="C464" s="1" t="s">
        <v>271</v>
      </c>
      <c r="D464" s="1" t="s">
        <v>1115</v>
      </c>
      <c r="E464" s="1" t="s">
        <v>864</v>
      </c>
      <c r="F464" s="1" t="s">
        <v>823</v>
      </c>
      <c r="G464" s="1">
        <v>45</v>
      </c>
      <c r="H464" s="1">
        <v>179</v>
      </c>
      <c r="I464" s="1">
        <v>510</v>
      </c>
      <c r="J464" s="1">
        <v>70</v>
      </c>
      <c r="K464" s="1">
        <v>120</v>
      </c>
      <c r="L464" s="1">
        <v>65</v>
      </c>
      <c r="M464" s="1">
        <v>45</v>
      </c>
      <c r="N464" s="1">
        <v>85</v>
      </c>
      <c r="O464" s="1">
        <v>125</v>
      </c>
      <c r="P464" s="1" t="s">
        <v>82</v>
      </c>
      <c r="Q464" s="1" t="s">
        <v>82</v>
      </c>
      <c r="R464" s="1" t="s">
        <v>82</v>
      </c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</row>
    <row r="465" spans="2:35">
      <c r="B465" s="1">
        <v>462</v>
      </c>
      <c r="C465" s="1" t="s">
        <v>270</v>
      </c>
      <c r="D465" s="1" t="s">
        <v>1116</v>
      </c>
      <c r="E465" s="1" t="s">
        <v>772</v>
      </c>
      <c r="F465" s="1" t="s">
        <v>818</v>
      </c>
      <c r="G465" s="1">
        <v>30</v>
      </c>
      <c r="H465" s="1">
        <v>241</v>
      </c>
      <c r="I465" s="1">
        <v>535</v>
      </c>
      <c r="J465" s="1">
        <v>70</v>
      </c>
      <c r="K465" s="1">
        <v>70</v>
      </c>
      <c r="L465" s="1">
        <v>115</v>
      </c>
      <c r="M465" s="1">
        <v>130</v>
      </c>
      <c r="N465" s="1">
        <v>90</v>
      </c>
      <c r="O465" s="1">
        <v>60</v>
      </c>
      <c r="P465" s="1" t="s">
        <v>82</v>
      </c>
      <c r="Q465" s="1" t="s">
        <v>82</v>
      </c>
      <c r="R465" s="1" t="s">
        <v>82</v>
      </c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</row>
    <row r="466" spans="2:35">
      <c r="B466" s="1">
        <v>463</v>
      </c>
      <c r="C466" s="1" t="s">
        <v>269</v>
      </c>
      <c r="D466" s="1" t="s">
        <v>1117</v>
      </c>
      <c r="E466" s="1" t="s">
        <v>765</v>
      </c>
      <c r="F466" s="1" t="s">
        <v>82</v>
      </c>
      <c r="G466" s="1">
        <v>30</v>
      </c>
      <c r="H466" s="1">
        <v>180</v>
      </c>
      <c r="I466" s="1">
        <v>515</v>
      </c>
      <c r="J466" s="1">
        <v>110</v>
      </c>
      <c r="K466" s="1">
        <v>85</v>
      </c>
      <c r="L466" s="1">
        <v>95</v>
      </c>
      <c r="M466" s="1">
        <v>80</v>
      </c>
      <c r="N466" s="1">
        <v>95</v>
      </c>
      <c r="O466" s="1">
        <v>50</v>
      </c>
      <c r="P466" s="1" t="s">
        <v>82</v>
      </c>
      <c r="Q466" s="1" t="s">
        <v>82</v>
      </c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</row>
    <row r="467" spans="2:35">
      <c r="B467" s="1">
        <v>464</v>
      </c>
      <c r="C467" s="1" t="s">
        <v>268</v>
      </c>
      <c r="D467" s="1" t="s">
        <v>1118</v>
      </c>
      <c r="E467" s="1" t="s">
        <v>774</v>
      </c>
      <c r="F467" s="1" t="s">
        <v>811</v>
      </c>
      <c r="G467" s="1">
        <v>30</v>
      </c>
      <c r="H467" s="1">
        <v>241</v>
      </c>
      <c r="I467" s="1">
        <v>535</v>
      </c>
      <c r="J467" s="1">
        <v>115</v>
      </c>
      <c r="K467" s="1">
        <v>140</v>
      </c>
      <c r="L467" s="1">
        <v>130</v>
      </c>
      <c r="M467" s="1">
        <v>55</v>
      </c>
      <c r="N467" s="1">
        <v>55</v>
      </c>
      <c r="O467" s="1">
        <v>40</v>
      </c>
      <c r="P467" s="1" t="s">
        <v>82</v>
      </c>
      <c r="Q467" s="1" t="s">
        <v>82</v>
      </c>
      <c r="R467" s="1" t="s">
        <v>82</v>
      </c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</row>
    <row r="468" spans="2:35">
      <c r="B468" s="1">
        <v>465</v>
      </c>
      <c r="C468" s="1" t="s">
        <v>267</v>
      </c>
      <c r="D468" s="1" t="s">
        <v>1119</v>
      </c>
      <c r="E468" s="1" t="s">
        <v>743</v>
      </c>
      <c r="F468" s="1" t="s">
        <v>82</v>
      </c>
      <c r="G468" s="1">
        <v>30</v>
      </c>
      <c r="H468" s="1">
        <v>187</v>
      </c>
      <c r="I468" s="1">
        <v>535</v>
      </c>
      <c r="J468" s="1">
        <v>100</v>
      </c>
      <c r="K468" s="1">
        <v>100</v>
      </c>
      <c r="L468" s="1">
        <v>125</v>
      </c>
      <c r="M468" s="1">
        <v>110</v>
      </c>
      <c r="N468" s="1">
        <v>50</v>
      </c>
      <c r="O468" s="1">
        <v>50</v>
      </c>
      <c r="P468" s="1" t="s">
        <v>82</v>
      </c>
      <c r="Q468" s="1" t="s">
        <v>82</v>
      </c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</row>
    <row r="469" spans="2:35">
      <c r="B469" s="1">
        <v>466</v>
      </c>
      <c r="C469" s="1" t="s">
        <v>266</v>
      </c>
      <c r="D469" s="1" t="s">
        <v>1120</v>
      </c>
      <c r="E469" s="1" t="s">
        <v>772</v>
      </c>
      <c r="F469" s="1" t="s">
        <v>82</v>
      </c>
      <c r="G469" s="1">
        <v>30</v>
      </c>
      <c r="H469" s="1">
        <v>243</v>
      </c>
      <c r="I469" s="1">
        <v>540</v>
      </c>
      <c r="J469" s="1">
        <v>75</v>
      </c>
      <c r="K469" s="1">
        <v>123</v>
      </c>
      <c r="L469" s="1">
        <v>67</v>
      </c>
      <c r="M469" s="1">
        <v>95</v>
      </c>
      <c r="N469" s="1">
        <v>85</v>
      </c>
      <c r="O469" s="1">
        <v>95</v>
      </c>
      <c r="P469" s="1" t="s">
        <v>82</v>
      </c>
      <c r="Q469" s="1" t="s">
        <v>82</v>
      </c>
      <c r="R469" s="1" t="s">
        <v>82</v>
      </c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</row>
    <row r="470" spans="2:35">
      <c r="B470" s="1">
        <v>467</v>
      </c>
      <c r="C470" s="1" t="s">
        <v>265</v>
      </c>
      <c r="D470" s="1" t="s">
        <v>1121</v>
      </c>
      <c r="E470" s="1" t="s">
        <v>748</v>
      </c>
      <c r="F470" s="1" t="s">
        <v>82</v>
      </c>
      <c r="G470" s="1">
        <v>30</v>
      </c>
      <c r="H470" s="1">
        <v>243</v>
      </c>
      <c r="I470" s="1">
        <v>540</v>
      </c>
      <c r="J470" s="1">
        <v>75</v>
      </c>
      <c r="K470" s="1">
        <v>95</v>
      </c>
      <c r="L470" s="1">
        <v>67</v>
      </c>
      <c r="M470" s="1">
        <v>125</v>
      </c>
      <c r="N470" s="1">
        <v>95</v>
      </c>
      <c r="O470" s="1">
        <v>83</v>
      </c>
      <c r="P470" s="1" t="s">
        <v>82</v>
      </c>
      <c r="Q470" s="1" t="s">
        <v>82</v>
      </c>
      <c r="R470" s="1" t="s">
        <v>82</v>
      </c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</row>
    <row r="471" spans="2:35">
      <c r="B471" s="1">
        <v>468</v>
      </c>
      <c r="C471" s="1" t="s">
        <v>264</v>
      </c>
      <c r="D471" s="1" t="s">
        <v>264</v>
      </c>
      <c r="E471" s="1" t="s">
        <v>777</v>
      </c>
      <c r="F471" s="1" t="s">
        <v>751</v>
      </c>
      <c r="G471" s="1">
        <v>30</v>
      </c>
      <c r="H471" s="1">
        <v>245</v>
      </c>
      <c r="I471" s="1">
        <v>545</v>
      </c>
      <c r="J471" s="1">
        <v>85</v>
      </c>
      <c r="K471" s="1">
        <v>50</v>
      </c>
      <c r="L471" s="1">
        <v>95</v>
      </c>
      <c r="M471" s="1">
        <v>120</v>
      </c>
      <c r="N471" s="1">
        <v>115</v>
      </c>
      <c r="O471" s="1">
        <v>80</v>
      </c>
      <c r="P471" s="1" t="s">
        <v>82</v>
      </c>
      <c r="Q471" s="1" t="s">
        <v>82</v>
      </c>
      <c r="R471" s="1" t="s">
        <v>82</v>
      </c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</row>
    <row r="472" spans="2:35">
      <c r="B472" s="1">
        <v>469</v>
      </c>
      <c r="C472" s="1" t="s">
        <v>263</v>
      </c>
      <c r="D472" s="1" t="s">
        <v>263</v>
      </c>
      <c r="E472" s="1" t="s">
        <v>758</v>
      </c>
      <c r="F472" s="1" t="s">
        <v>751</v>
      </c>
      <c r="G472" s="1">
        <v>30</v>
      </c>
      <c r="H472" s="1">
        <v>180</v>
      </c>
      <c r="I472" s="1">
        <v>515</v>
      </c>
      <c r="J472" s="1">
        <v>86</v>
      </c>
      <c r="K472" s="1">
        <v>76</v>
      </c>
      <c r="L472" s="1">
        <v>86</v>
      </c>
      <c r="M472" s="1">
        <v>116</v>
      </c>
      <c r="N472" s="1">
        <v>56</v>
      </c>
      <c r="O472" s="1">
        <v>95</v>
      </c>
      <c r="P472" s="1" t="s">
        <v>82</v>
      </c>
      <c r="Q472" s="1" t="s">
        <v>82</v>
      </c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</row>
    <row r="473" spans="2:35">
      <c r="B473" s="1">
        <v>470</v>
      </c>
      <c r="C473" s="1" t="s">
        <v>262</v>
      </c>
      <c r="D473" s="1" t="s">
        <v>1122</v>
      </c>
      <c r="E473" s="1" t="s">
        <v>743</v>
      </c>
      <c r="F473" s="1" t="s">
        <v>82</v>
      </c>
      <c r="G473" s="1">
        <v>45</v>
      </c>
      <c r="H473" s="1">
        <v>184</v>
      </c>
      <c r="I473" s="1">
        <v>525</v>
      </c>
      <c r="J473" s="1">
        <v>65</v>
      </c>
      <c r="K473" s="1">
        <v>110</v>
      </c>
      <c r="L473" s="1">
        <v>130</v>
      </c>
      <c r="M473" s="1">
        <v>60</v>
      </c>
      <c r="N473" s="1">
        <v>65</v>
      </c>
      <c r="O473" s="1">
        <v>95</v>
      </c>
      <c r="P473" s="1" t="s">
        <v>82</v>
      </c>
      <c r="Q473" s="1" t="s">
        <v>82</v>
      </c>
      <c r="R473" s="1" t="s">
        <v>82</v>
      </c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</row>
    <row r="474" spans="2:35">
      <c r="B474" s="1">
        <v>471</v>
      </c>
      <c r="C474" s="1" t="s">
        <v>261</v>
      </c>
      <c r="D474" s="1" t="s">
        <v>1123</v>
      </c>
      <c r="E474" s="1" t="s">
        <v>823</v>
      </c>
      <c r="F474" s="1" t="s">
        <v>82</v>
      </c>
      <c r="G474" s="1">
        <v>45</v>
      </c>
      <c r="H474" s="1">
        <v>184</v>
      </c>
      <c r="I474" s="1">
        <v>525</v>
      </c>
      <c r="J474" s="1">
        <v>65</v>
      </c>
      <c r="K474" s="1">
        <v>60</v>
      </c>
      <c r="L474" s="1">
        <v>110</v>
      </c>
      <c r="M474" s="1">
        <v>130</v>
      </c>
      <c r="N474" s="1">
        <v>95</v>
      </c>
      <c r="O474" s="1">
        <v>65</v>
      </c>
      <c r="P474" s="1" t="s">
        <v>82</v>
      </c>
      <c r="Q474" s="1" t="s">
        <v>82</v>
      </c>
      <c r="R474" s="1" t="s">
        <v>82</v>
      </c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</row>
    <row r="475" spans="2:35">
      <c r="B475" s="1">
        <v>472</v>
      </c>
      <c r="C475" s="1" t="s">
        <v>260</v>
      </c>
      <c r="D475" s="1" t="s">
        <v>1124</v>
      </c>
      <c r="E475" s="1" t="s">
        <v>774</v>
      </c>
      <c r="F475" s="1" t="s">
        <v>751</v>
      </c>
      <c r="G475" s="1">
        <v>30</v>
      </c>
      <c r="H475" s="1">
        <v>179</v>
      </c>
      <c r="I475" s="1">
        <v>510</v>
      </c>
      <c r="J475" s="1">
        <v>75</v>
      </c>
      <c r="K475" s="1">
        <v>95</v>
      </c>
      <c r="L475" s="1">
        <v>125</v>
      </c>
      <c r="M475" s="1">
        <v>45</v>
      </c>
      <c r="N475" s="1">
        <v>75</v>
      </c>
      <c r="O475" s="1">
        <v>95</v>
      </c>
      <c r="P475" s="1" t="s">
        <v>82</v>
      </c>
      <c r="Q475" s="1" t="s">
        <v>82</v>
      </c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</row>
    <row r="476" spans="2:35">
      <c r="B476" s="1">
        <v>473</v>
      </c>
      <c r="C476" s="1" t="s">
        <v>259</v>
      </c>
      <c r="D476" s="1" t="s">
        <v>1125</v>
      </c>
      <c r="E476" s="1" t="s">
        <v>823</v>
      </c>
      <c r="F476" s="1" t="s">
        <v>774</v>
      </c>
      <c r="G476" s="1">
        <v>50</v>
      </c>
      <c r="H476" s="1">
        <v>239</v>
      </c>
      <c r="I476" s="1">
        <v>530</v>
      </c>
      <c r="J476" s="1">
        <v>110</v>
      </c>
      <c r="K476" s="1">
        <v>130</v>
      </c>
      <c r="L476" s="1">
        <v>80</v>
      </c>
      <c r="M476" s="1">
        <v>70</v>
      </c>
      <c r="N476" s="1">
        <v>60</v>
      </c>
      <c r="O476" s="1">
        <v>80</v>
      </c>
      <c r="P476" s="1" t="s">
        <v>82</v>
      </c>
      <c r="Q476" s="1" t="s">
        <v>82</v>
      </c>
      <c r="R476" s="1" t="s">
        <v>82</v>
      </c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</row>
    <row r="477" spans="2:35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30</v>
      </c>
      <c r="H477" s="1">
        <v>241</v>
      </c>
      <c r="I477" s="1">
        <v>535</v>
      </c>
      <c r="J477" s="1">
        <v>85</v>
      </c>
      <c r="K477" s="1">
        <v>80</v>
      </c>
      <c r="L477" s="1">
        <v>70</v>
      </c>
      <c r="M477" s="1">
        <v>135</v>
      </c>
      <c r="N477" s="1">
        <v>75</v>
      </c>
      <c r="O477" s="1">
        <v>90</v>
      </c>
      <c r="P477" s="1" t="s">
        <v>82</v>
      </c>
      <c r="Q477" s="1" t="s">
        <v>82</v>
      </c>
      <c r="R477" s="1" t="s">
        <v>82</v>
      </c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</row>
    <row r="478" spans="2:35">
      <c r="B478" s="1">
        <v>475</v>
      </c>
      <c r="C478" s="1" t="s">
        <v>257</v>
      </c>
      <c r="D478" s="1" t="s">
        <v>1126</v>
      </c>
      <c r="E478" s="1" t="s">
        <v>803</v>
      </c>
      <c r="F478" s="1" t="s">
        <v>796</v>
      </c>
      <c r="G478" s="1">
        <v>45</v>
      </c>
      <c r="H478" s="1">
        <v>233</v>
      </c>
      <c r="I478" s="1">
        <v>518</v>
      </c>
      <c r="J478" s="1">
        <v>68</v>
      </c>
      <c r="K478" s="1">
        <v>125</v>
      </c>
      <c r="L478" s="1">
        <v>65</v>
      </c>
      <c r="M478" s="1">
        <v>65</v>
      </c>
      <c r="N478" s="1">
        <v>115</v>
      </c>
      <c r="O478" s="1">
        <v>80</v>
      </c>
      <c r="P478" s="1" t="s">
        <v>82</v>
      </c>
      <c r="Q478" s="1" t="s">
        <v>82</v>
      </c>
      <c r="R478" s="1" t="s">
        <v>82</v>
      </c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</row>
    <row r="479" spans="2:35">
      <c r="B479" s="1">
        <v>476</v>
      </c>
      <c r="C479" s="1" t="s">
        <v>256</v>
      </c>
      <c r="D479" s="1" t="s">
        <v>1127</v>
      </c>
      <c r="E479" s="1" t="s">
        <v>811</v>
      </c>
      <c r="F479" s="1" t="s">
        <v>818</v>
      </c>
      <c r="G479" s="1">
        <v>60</v>
      </c>
      <c r="H479" s="1">
        <v>184</v>
      </c>
      <c r="I479" s="1">
        <v>525</v>
      </c>
      <c r="J479" s="1">
        <v>60</v>
      </c>
      <c r="K479" s="1">
        <v>55</v>
      </c>
      <c r="L479" s="1">
        <v>145</v>
      </c>
      <c r="M479" s="1">
        <v>75</v>
      </c>
      <c r="N479" s="1">
        <v>150</v>
      </c>
      <c r="O479" s="1">
        <v>40</v>
      </c>
      <c r="P479" s="1" t="s">
        <v>82</v>
      </c>
      <c r="Q479" s="1" t="s">
        <v>82</v>
      </c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</row>
    <row r="480" spans="2:35">
      <c r="B480" s="1">
        <v>477</v>
      </c>
      <c r="C480" s="1" t="s">
        <v>255</v>
      </c>
      <c r="D480" s="1" t="s">
        <v>1128</v>
      </c>
      <c r="E480" s="1" t="s">
        <v>829</v>
      </c>
      <c r="F480" s="1" t="s">
        <v>82</v>
      </c>
      <c r="G480" s="1">
        <v>45</v>
      </c>
      <c r="H480" s="1">
        <v>236</v>
      </c>
      <c r="I480" s="1">
        <v>525</v>
      </c>
      <c r="J480" s="1">
        <v>45</v>
      </c>
      <c r="K480" s="1">
        <v>100</v>
      </c>
      <c r="L480" s="1">
        <v>135</v>
      </c>
      <c r="M480" s="1">
        <v>65</v>
      </c>
      <c r="N480" s="1">
        <v>135</v>
      </c>
      <c r="O480" s="1">
        <v>45</v>
      </c>
      <c r="P480" s="1" t="s">
        <v>82</v>
      </c>
      <c r="Q480" s="1" t="s">
        <v>82</v>
      </c>
      <c r="R480" s="1" t="s">
        <v>82</v>
      </c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</row>
    <row r="481" spans="2:35">
      <c r="B481" s="1">
        <v>478</v>
      </c>
      <c r="C481" s="1" t="s">
        <v>254</v>
      </c>
      <c r="D481" s="1" t="s">
        <v>1129</v>
      </c>
      <c r="E481" s="1" t="s">
        <v>823</v>
      </c>
      <c r="F481" s="1" t="s">
        <v>829</v>
      </c>
      <c r="G481" s="1">
        <v>75</v>
      </c>
      <c r="H481" s="1">
        <v>168</v>
      </c>
      <c r="I481" s="1">
        <v>480</v>
      </c>
      <c r="J481" s="1">
        <v>70</v>
      </c>
      <c r="K481" s="1">
        <v>80</v>
      </c>
      <c r="L481" s="1">
        <v>70</v>
      </c>
      <c r="M481" s="1">
        <v>80</v>
      </c>
      <c r="N481" s="1">
        <v>70</v>
      </c>
      <c r="O481" s="1">
        <v>110</v>
      </c>
      <c r="P481" s="1" t="s">
        <v>82</v>
      </c>
      <c r="Q481" s="1" t="s">
        <v>82</v>
      </c>
      <c r="R481" s="1" t="s">
        <v>82</v>
      </c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</row>
    <row r="482" spans="2:35">
      <c r="B482" s="1">
        <v>479</v>
      </c>
      <c r="C482" s="1" t="s">
        <v>253</v>
      </c>
      <c r="D482" s="1" t="s">
        <v>1130</v>
      </c>
      <c r="E482" s="1" t="s">
        <v>772</v>
      </c>
      <c r="F482" s="1" t="s">
        <v>829</v>
      </c>
      <c r="G482" s="1">
        <v>45</v>
      </c>
      <c r="H482" s="1">
        <v>154</v>
      </c>
      <c r="I482" s="1">
        <v>440</v>
      </c>
      <c r="J482" s="1">
        <v>50</v>
      </c>
      <c r="K482" s="1">
        <v>50</v>
      </c>
      <c r="L482" s="1">
        <v>77</v>
      </c>
      <c r="M482" s="1">
        <v>95</v>
      </c>
      <c r="N482" s="1">
        <v>77</v>
      </c>
      <c r="O482" s="1">
        <v>91</v>
      </c>
      <c r="P482" s="1" t="s">
        <v>82</v>
      </c>
      <c r="Q482" s="1" t="s">
        <v>82</v>
      </c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</row>
    <row r="483" spans="2:35">
      <c r="B483" s="1">
        <v>480</v>
      </c>
      <c r="C483" s="1" t="s">
        <v>252</v>
      </c>
      <c r="D483" s="1" t="s">
        <v>1131</v>
      </c>
      <c r="E483" s="1" t="s">
        <v>803</v>
      </c>
      <c r="F483" s="1" t="s">
        <v>82</v>
      </c>
      <c r="G483" s="1">
        <v>3</v>
      </c>
      <c r="H483" s="1">
        <v>261</v>
      </c>
      <c r="I483" s="1">
        <v>580</v>
      </c>
      <c r="J483" s="1">
        <v>75</v>
      </c>
      <c r="K483" s="1">
        <v>75</v>
      </c>
      <c r="L483" s="1">
        <v>130</v>
      </c>
      <c r="M483" s="1">
        <v>75</v>
      </c>
      <c r="N483" s="1">
        <v>130</v>
      </c>
      <c r="O483" s="1">
        <v>95</v>
      </c>
      <c r="P483" s="1" t="s">
        <v>82</v>
      </c>
      <c r="Q483" s="1" t="s">
        <v>82</v>
      </c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</row>
    <row r="484" spans="2:35">
      <c r="B484" s="1">
        <v>481</v>
      </c>
      <c r="C484" s="1" t="s">
        <v>251</v>
      </c>
      <c r="D484" s="1" t="s">
        <v>1132</v>
      </c>
      <c r="E484" s="1" t="s">
        <v>803</v>
      </c>
      <c r="F484" s="1" t="s">
        <v>82</v>
      </c>
      <c r="G484" s="1">
        <v>3</v>
      </c>
      <c r="H484" s="1">
        <v>261</v>
      </c>
      <c r="I484" s="1">
        <v>580</v>
      </c>
      <c r="J484" s="1">
        <v>80</v>
      </c>
      <c r="K484" s="1">
        <v>105</v>
      </c>
      <c r="L484" s="1">
        <v>105</v>
      </c>
      <c r="M484" s="1">
        <v>105</v>
      </c>
      <c r="N484" s="1">
        <v>105</v>
      </c>
      <c r="O484" s="1">
        <v>80</v>
      </c>
      <c r="P484" s="1" t="s">
        <v>82</v>
      </c>
      <c r="Q484" s="1" t="s">
        <v>82</v>
      </c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</row>
    <row r="485" spans="2:35">
      <c r="B485" s="1">
        <v>482</v>
      </c>
      <c r="C485" s="1" t="s">
        <v>250</v>
      </c>
      <c r="D485" s="1" t="s">
        <v>1133</v>
      </c>
      <c r="E485" s="1" t="s">
        <v>803</v>
      </c>
      <c r="F485" s="1" t="s">
        <v>82</v>
      </c>
      <c r="G485" s="1">
        <v>3</v>
      </c>
      <c r="H485" s="1">
        <v>261</v>
      </c>
      <c r="I485" s="1">
        <v>580</v>
      </c>
      <c r="J485" s="1">
        <v>75</v>
      </c>
      <c r="K485" s="1">
        <v>125</v>
      </c>
      <c r="L485" s="1">
        <v>70</v>
      </c>
      <c r="M485" s="1">
        <v>125</v>
      </c>
      <c r="N485" s="1">
        <v>70</v>
      </c>
      <c r="O485" s="1">
        <v>115</v>
      </c>
      <c r="P485" s="1" t="s">
        <v>82</v>
      </c>
      <c r="Q485" s="1" t="s">
        <v>82</v>
      </c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</row>
    <row r="486" spans="2:35">
      <c r="B486" s="1">
        <v>483</v>
      </c>
      <c r="C486" s="1" t="s">
        <v>249</v>
      </c>
      <c r="D486" s="1" t="s">
        <v>249</v>
      </c>
      <c r="E486" s="1" t="s">
        <v>818</v>
      </c>
      <c r="F486" s="1" t="s">
        <v>752</v>
      </c>
      <c r="G486" s="1">
        <v>3</v>
      </c>
      <c r="H486" s="1">
        <v>306</v>
      </c>
      <c r="I486" s="1">
        <v>680</v>
      </c>
      <c r="J486" s="1">
        <v>100</v>
      </c>
      <c r="K486" s="1">
        <v>120</v>
      </c>
      <c r="L486" s="1">
        <v>120</v>
      </c>
      <c r="M486" s="1">
        <v>150</v>
      </c>
      <c r="N486" s="1">
        <v>100</v>
      </c>
      <c r="O486" s="1">
        <v>90</v>
      </c>
      <c r="P486" s="1" t="s">
        <v>82</v>
      </c>
      <c r="Q486" s="1" t="s">
        <v>82</v>
      </c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</row>
    <row r="487" spans="2:35">
      <c r="B487" s="1">
        <v>484</v>
      </c>
      <c r="C487" s="1" t="s">
        <v>248</v>
      </c>
      <c r="D487" s="1" t="s">
        <v>248</v>
      </c>
      <c r="E487" s="1" t="s">
        <v>754</v>
      </c>
      <c r="F487" s="1" t="s">
        <v>752</v>
      </c>
      <c r="G487" s="1">
        <v>3</v>
      </c>
      <c r="H487" s="1">
        <v>306</v>
      </c>
      <c r="I487" s="1">
        <v>680</v>
      </c>
      <c r="J487" s="1">
        <v>90</v>
      </c>
      <c r="K487" s="1">
        <v>120</v>
      </c>
      <c r="L487" s="1">
        <v>100</v>
      </c>
      <c r="M487" s="1">
        <v>150</v>
      </c>
      <c r="N487" s="1">
        <v>120</v>
      </c>
      <c r="O487" s="1">
        <v>100</v>
      </c>
      <c r="P487" s="1" t="s">
        <v>82</v>
      </c>
      <c r="Q487" s="1" t="s">
        <v>82</v>
      </c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</row>
    <row r="488" spans="2:35">
      <c r="B488" s="1">
        <v>485</v>
      </c>
      <c r="C488" s="1" t="s">
        <v>247</v>
      </c>
      <c r="D488" s="1" t="s">
        <v>247</v>
      </c>
      <c r="E488" s="1" t="s">
        <v>748</v>
      </c>
      <c r="F488" s="1" t="s">
        <v>818</v>
      </c>
      <c r="G488" s="1">
        <v>3</v>
      </c>
      <c r="H488" s="1">
        <v>270</v>
      </c>
      <c r="I488" s="1">
        <v>600</v>
      </c>
      <c r="J488" s="1">
        <v>91</v>
      </c>
      <c r="K488" s="1">
        <v>90</v>
      </c>
      <c r="L488" s="1">
        <v>106</v>
      </c>
      <c r="M488" s="1">
        <v>130</v>
      </c>
      <c r="N488" s="1">
        <v>106</v>
      </c>
      <c r="O488" s="1">
        <v>77</v>
      </c>
      <c r="P488" s="1" t="s">
        <v>82</v>
      </c>
      <c r="Q488" s="1" t="s">
        <v>82</v>
      </c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</row>
    <row r="489" spans="2:35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3</v>
      </c>
      <c r="H489" s="1">
        <v>302</v>
      </c>
      <c r="I489" s="1">
        <v>670</v>
      </c>
      <c r="J489" s="1">
        <v>110</v>
      </c>
      <c r="K489" s="1">
        <v>160</v>
      </c>
      <c r="L489" s="1">
        <v>110</v>
      </c>
      <c r="M489" s="1">
        <v>80</v>
      </c>
      <c r="N489" s="1">
        <v>110</v>
      </c>
      <c r="O489" s="1">
        <v>100</v>
      </c>
      <c r="P489" s="1" t="s">
        <v>82</v>
      </c>
      <c r="Q489" s="1" t="s">
        <v>82</v>
      </c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</row>
    <row r="490" spans="2:35">
      <c r="B490" s="1">
        <v>487</v>
      </c>
      <c r="C490" s="1" t="s">
        <v>245</v>
      </c>
      <c r="D490" s="1" t="s">
        <v>1134</v>
      </c>
      <c r="E490" s="1" t="s">
        <v>829</v>
      </c>
      <c r="F490" s="1" t="s">
        <v>752</v>
      </c>
      <c r="G490" s="1">
        <v>3</v>
      </c>
      <c r="H490" s="1">
        <v>306</v>
      </c>
      <c r="I490" s="1">
        <v>680</v>
      </c>
      <c r="J490" s="1">
        <v>150</v>
      </c>
      <c r="K490" s="1">
        <v>100</v>
      </c>
      <c r="L490" s="1">
        <v>120</v>
      </c>
      <c r="M490" s="1">
        <v>100</v>
      </c>
      <c r="N490" s="1">
        <v>120</v>
      </c>
      <c r="O490" s="1">
        <v>90</v>
      </c>
      <c r="P490" s="1" t="s">
        <v>82</v>
      </c>
      <c r="Q490" s="1" t="s">
        <v>82</v>
      </c>
      <c r="R490" s="1" t="s">
        <v>82</v>
      </c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</row>
    <row r="491" spans="2:35">
      <c r="B491" s="1">
        <v>488</v>
      </c>
      <c r="C491" s="1" t="s">
        <v>244</v>
      </c>
      <c r="D491" s="1" t="s">
        <v>244</v>
      </c>
      <c r="E491" s="1" t="s">
        <v>803</v>
      </c>
      <c r="F491" s="1" t="s">
        <v>82</v>
      </c>
      <c r="G491" s="1">
        <v>3</v>
      </c>
      <c r="H491" s="1">
        <v>270</v>
      </c>
      <c r="I491" s="1">
        <v>600</v>
      </c>
      <c r="J491" s="1">
        <v>120</v>
      </c>
      <c r="K491" s="1">
        <v>70</v>
      </c>
      <c r="L491" s="1">
        <v>120</v>
      </c>
      <c r="M491" s="1">
        <v>75</v>
      </c>
      <c r="N491" s="1">
        <v>130</v>
      </c>
      <c r="O491" s="1">
        <v>85</v>
      </c>
      <c r="P491" s="1" t="s">
        <v>82</v>
      </c>
      <c r="Q491" s="1" t="s">
        <v>82</v>
      </c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</row>
    <row r="492" spans="2:35">
      <c r="B492" s="1">
        <v>489</v>
      </c>
      <c r="C492" s="1" t="s">
        <v>243</v>
      </c>
      <c r="D492" s="1" t="s">
        <v>243</v>
      </c>
      <c r="E492" s="1" t="s">
        <v>754</v>
      </c>
      <c r="F492" s="1" t="s">
        <v>82</v>
      </c>
      <c r="G492" s="1">
        <v>30</v>
      </c>
      <c r="H492" s="1">
        <v>216</v>
      </c>
      <c r="I492" s="1">
        <v>480</v>
      </c>
      <c r="J492" s="1">
        <v>80</v>
      </c>
      <c r="K492" s="1">
        <v>80</v>
      </c>
      <c r="L492" s="1">
        <v>80</v>
      </c>
      <c r="M492" s="1">
        <v>80</v>
      </c>
      <c r="N492" s="1">
        <v>80</v>
      </c>
      <c r="O492" s="1">
        <v>80</v>
      </c>
      <c r="P492" s="1" t="s">
        <v>82</v>
      </c>
      <c r="Q492" s="1" t="s">
        <v>82</v>
      </c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</row>
    <row r="493" spans="2:35">
      <c r="B493" s="1">
        <v>490</v>
      </c>
      <c r="C493" s="1" t="s">
        <v>242</v>
      </c>
      <c r="D493" s="1" t="s">
        <v>242</v>
      </c>
      <c r="E493" s="1" t="s">
        <v>754</v>
      </c>
      <c r="F493" s="1" t="s">
        <v>82</v>
      </c>
      <c r="G493" s="1">
        <v>3</v>
      </c>
      <c r="H493" s="1">
        <v>270</v>
      </c>
      <c r="I493" s="1">
        <v>600</v>
      </c>
      <c r="J493" s="1">
        <v>100</v>
      </c>
      <c r="K493" s="1">
        <v>100</v>
      </c>
      <c r="L493" s="1">
        <v>100</v>
      </c>
      <c r="M493" s="1">
        <v>100</v>
      </c>
      <c r="N493" s="1">
        <v>100</v>
      </c>
      <c r="O493" s="1">
        <v>100</v>
      </c>
      <c r="P493" s="1" t="s">
        <v>82</v>
      </c>
      <c r="Q493" s="1" t="s">
        <v>82</v>
      </c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</row>
    <row r="494" spans="2:35">
      <c r="B494" s="1">
        <v>491</v>
      </c>
      <c r="C494" s="1" t="s">
        <v>241</v>
      </c>
      <c r="D494" s="1" t="s">
        <v>241</v>
      </c>
      <c r="E494" s="1" t="s">
        <v>864</v>
      </c>
      <c r="F494" s="1" t="s">
        <v>82</v>
      </c>
      <c r="G494" s="1">
        <v>3</v>
      </c>
      <c r="H494" s="1">
        <v>270</v>
      </c>
      <c r="I494" s="1">
        <v>600</v>
      </c>
      <c r="J494" s="1">
        <v>70</v>
      </c>
      <c r="K494" s="1">
        <v>90</v>
      </c>
      <c r="L494" s="1">
        <v>90</v>
      </c>
      <c r="M494" s="1">
        <v>135</v>
      </c>
      <c r="N494" s="1">
        <v>90</v>
      </c>
      <c r="O494" s="1">
        <v>125</v>
      </c>
      <c r="P494" s="1" t="s">
        <v>82</v>
      </c>
      <c r="Q494" s="1" t="s">
        <v>82</v>
      </c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</row>
    <row r="495" spans="2:35">
      <c r="B495" s="1">
        <v>492</v>
      </c>
      <c r="C495" s="1" t="s">
        <v>240</v>
      </c>
      <c r="D495" s="1" t="s">
        <v>1135</v>
      </c>
      <c r="E495" s="1" t="s">
        <v>743</v>
      </c>
      <c r="F495" s="1" t="s">
        <v>82</v>
      </c>
      <c r="G495" s="1">
        <v>45</v>
      </c>
      <c r="H495" s="1">
        <v>270</v>
      </c>
      <c r="I495" s="1">
        <v>600</v>
      </c>
      <c r="J495" s="1">
        <v>100</v>
      </c>
      <c r="K495" s="1">
        <v>100</v>
      </c>
      <c r="L495" s="1">
        <v>100</v>
      </c>
      <c r="M495" s="1">
        <v>100</v>
      </c>
      <c r="N495" s="1">
        <v>100</v>
      </c>
      <c r="O495" s="1">
        <v>100</v>
      </c>
      <c r="P495" s="1" t="s">
        <v>82</v>
      </c>
      <c r="Q495" s="1" t="s">
        <v>82</v>
      </c>
      <c r="R495" s="1" t="s">
        <v>82</v>
      </c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</row>
    <row r="496" spans="2:35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3</v>
      </c>
      <c r="H496" s="1">
        <v>324</v>
      </c>
      <c r="I496" s="1">
        <v>720</v>
      </c>
      <c r="J496" s="1">
        <v>120</v>
      </c>
      <c r="K496" s="1">
        <v>120</v>
      </c>
      <c r="L496" s="1">
        <v>120</v>
      </c>
      <c r="M496" s="1">
        <v>120</v>
      </c>
      <c r="N496" s="1">
        <v>120</v>
      </c>
      <c r="O496" s="1">
        <v>120</v>
      </c>
      <c r="P496" s="1" t="s">
        <v>82</v>
      </c>
      <c r="Q496" s="1" t="s">
        <v>82</v>
      </c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</row>
    <row r="497" spans="2:35">
      <c r="B497" s="1">
        <v>494</v>
      </c>
      <c r="C497" s="1" t="s">
        <v>238</v>
      </c>
      <c r="D497" s="1" t="s">
        <v>238</v>
      </c>
      <c r="E497" s="1" t="s">
        <v>803</v>
      </c>
      <c r="F497" s="1" t="s">
        <v>748</v>
      </c>
      <c r="G497" s="1">
        <v>3</v>
      </c>
      <c r="H497" s="1">
        <v>270</v>
      </c>
      <c r="I497" s="1">
        <v>600</v>
      </c>
      <c r="J497" s="1">
        <v>100</v>
      </c>
      <c r="K497" s="1">
        <v>100</v>
      </c>
      <c r="L497" s="1">
        <v>100</v>
      </c>
      <c r="M497" s="1">
        <v>100</v>
      </c>
      <c r="N497" s="1">
        <v>100</v>
      </c>
      <c r="O497" s="1">
        <v>100</v>
      </c>
      <c r="P497" s="1" t="s">
        <v>82</v>
      </c>
      <c r="Q497" s="1" t="s">
        <v>82</v>
      </c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</row>
    <row r="498" spans="2:35">
      <c r="B498" s="1">
        <v>495</v>
      </c>
      <c r="C498" s="1" t="s">
        <v>237</v>
      </c>
      <c r="D498" s="1" t="s">
        <v>1136</v>
      </c>
      <c r="E498" s="1" t="s">
        <v>743</v>
      </c>
      <c r="F498" s="1" t="s">
        <v>82</v>
      </c>
      <c r="G498" s="1">
        <v>45</v>
      </c>
      <c r="H498" s="1">
        <v>62</v>
      </c>
      <c r="I498" s="1">
        <v>308</v>
      </c>
      <c r="J498" s="1">
        <v>45</v>
      </c>
      <c r="K498" s="1">
        <v>45</v>
      </c>
      <c r="L498" s="1">
        <v>55</v>
      </c>
      <c r="M498" s="1">
        <v>45</v>
      </c>
      <c r="N498" s="1">
        <v>55</v>
      </c>
      <c r="O498" s="1">
        <v>63</v>
      </c>
      <c r="P498" s="1">
        <v>17</v>
      </c>
      <c r="Q498" s="1">
        <v>496</v>
      </c>
      <c r="R498" s="1" t="s">
        <v>1137</v>
      </c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</row>
    <row r="499" spans="2:35">
      <c r="B499" s="1">
        <v>496</v>
      </c>
      <c r="C499" s="1" t="s">
        <v>236</v>
      </c>
      <c r="D499" s="1" t="s">
        <v>1137</v>
      </c>
      <c r="E499" s="1" t="s">
        <v>743</v>
      </c>
      <c r="F499" s="1" t="s">
        <v>82</v>
      </c>
      <c r="G499" s="1">
        <v>45</v>
      </c>
      <c r="H499" s="1">
        <v>145</v>
      </c>
      <c r="I499" s="1">
        <v>413</v>
      </c>
      <c r="J499" s="1">
        <v>60</v>
      </c>
      <c r="K499" s="1">
        <v>60</v>
      </c>
      <c r="L499" s="1">
        <v>75</v>
      </c>
      <c r="M499" s="1">
        <v>60</v>
      </c>
      <c r="N499" s="1">
        <v>75</v>
      </c>
      <c r="O499" s="1">
        <v>83</v>
      </c>
      <c r="P499" s="1">
        <v>36</v>
      </c>
      <c r="Q499" s="1">
        <v>497</v>
      </c>
      <c r="R499" s="1" t="s">
        <v>1138</v>
      </c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</row>
    <row r="500" spans="2:35">
      <c r="B500" s="1">
        <v>497</v>
      </c>
      <c r="C500" s="1" t="s">
        <v>235</v>
      </c>
      <c r="D500" s="1" t="s">
        <v>1138</v>
      </c>
      <c r="E500" s="1" t="s">
        <v>743</v>
      </c>
      <c r="F500" s="1" t="s">
        <v>82</v>
      </c>
      <c r="G500" s="1">
        <v>45</v>
      </c>
      <c r="H500" s="1">
        <v>238</v>
      </c>
      <c r="I500" s="1">
        <v>528</v>
      </c>
      <c r="J500" s="1">
        <v>75</v>
      </c>
      <c r="K500" s="1">
        <v>75</v>
      </c>
      <c r="L500" s="1">
        <v>95</v>
      </c>
      <c r="M500" s="1">
        <v>75</v>
      </c>
      <c r="N500" s="1">
        <v>95</v>
      </c>
      <c r="O500" s="1">
        <v>113</v>
      </c>
      <c r="P500" s="1" t="s">
        <v>82</v>
      </c>
      <c r="Q500" s="1" t="s">
        <v>82</v>
      </c>
      <c r="R500" s="1" t="s">
        <v>82</v>
      </c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</row>
    <row r="501" spans="2:35">
      <c r="B501" s="1">
        <v>498</v>
      </c>
      <c r="C501" s="1" t="s">
        <v>234</v>
      </c>
      <c r="D501" s="1" t="s">
        <v>1139</v>
      </c>
      <c r="E501" s="1" t="s">
        <v>748</v>
      </c>
      <c r="F501" s="1" t="s">
        <v>82</v>
      </c>
      <c r="G501" s="1">
        <v>45</v>
      </c>
      <c r="H501" s="1">
        <v>62</v>
      </c>
      <c r="I501" s="1">
        <v>308</v>
      </c>
      <c r="J501" s="1">
        <v>65</v>
      </c>
      <c r="K501" s="1">
        <v>63</v>
      </c>
      <c r="L501" s="1">
        <v>45</v>
      </c>
      <c r="M501" s="1">
        <v>45</v>
      </c>
      <c r="N501" s="1">
        <v>45</v>
      </c>
      <c r="O501" s="1">
        <v>45</v>
      </c>
      <c r="P501" s="1">
        <v>17</v>
      </c>
      <c r="Q501" s="1">
        <v>499</v>
      </c>
      <c r="R501" s="1" t="s">
        <v>1140</v>
      </c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</row>
    <row r="502" spans="2:35">
      <c r="B502" s="1">
        <v>499</v>
      </c>
      <c r="C502" s="1" t="s">
        <v>233</v>
      </c>
      <c r="D502" s="1" t="s">
        <v>1140</v>
      </c>
      <c r="E502" s="1" t="s">
        <v>748</v>
      </c>
      <c r="F502" s="1" t="s">
        <v>796</v>
      </c>
      <c r="G502" s="1">
        <v>45</v>
      </c>
      <c r="H502" s="1">
        <v>146</v>
      </c>
      <c r="I502" s="1">
        <v>418</v>
      </c>
      <c r="J502" s="1">
        <v>90</v>
      </c>
      <c r="K502" s="1">
        <v>93</v>
      </c>
      <c r="L502" s="1">
        <v>55</v>
      </c>
      <c r="M502" s="1">
        <v>70</v>
      </c>
      <c r="N502" s="1">
        <v>55</v>
      </c>
      <c r="O502" s="1">
        <v>55</v>
      </c>
      <c r="P502" s="1">
        <v>36</v>
      </c>
      <c r="Q502" s="1">
        <v>500</v>
      </c>
      <c r="R502" s="1" t="s">
        <v>1141</v>
      </c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</row>
    <row r="503" spans="2:35">
      <c r="B503" s="1">
        <v>500</v>
      </c>
      <c r="C503" s="1" t="s">
        <v>232</v>
      </c>
      <c r="D503" s="1" t="s">
        <v>1141</v>
      </c>
      <c r="E503" s="1" t="s">
        <v>748</v>
      </c>
      <c r="F503" s="1" t="s">
        <v>796</v>
      </c>
      <c r="G503" s="1">
        <v>45</v>
      </c>
      <c r="H503" s="1">
        <v>238</v>
      </c>
      <c r="I503" s="1">
        <v>528</v>
      </c>
      <c r="J503" s="1">
        <v>110</v>
      </c>
      <c r="K503" s="1">
        <v>123</v>
      </c>
      <c r="L503" s="1">
        <v>65</v>
      </c>
      <c r="M503" s="1">
        <v>100</v>
      </c>
      <c r="N503" s="1">
        <v>65</v>
      </c>
      <c r="O503" s="1">
        <v>65</v>
      </c>
      <c r="P503" s="1" t="s">
        <v>82</v>
      </c>
      <c r="Q503" s="1" t="s">
        <v>82</v>
      </c>
      <c r="R503" s="1" t="s">
        <v>82</v>
      </c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</row>
    <row r="504" spans="2:35">
      <c r="B504" s="1">
        <v>501</v>
      </c>
      <c r="C504" s="1" t="s">
        <v>231</v>
      </c>
      <c r="D504" s="1" t="s">
        <v>1142</v>
      </c>
      <c r="E504" s="1" t="s">
        <v>754</v>
      </c>
      <c r="F504" s="1" t="s">
        <v>82</v>
      </c>
      <c r="G504" s="1">
        <v>45</v>
      </c>
      <c r="H504" s="1">
        <v>62</v>
      </c>
      <c r="I504" s="1">
        <v>308</v>
      </c>
      <c r="J504" s="1">
        <v>55</v>
      </c>
      <c r="K504" s="1">
        <v>55</v>
      </c>
      <c r="L504" s="1">
        <v>45</v>
      </c>
      <c r="M504" s="1">
        <v>63</v>
      </c>
      <c r="N504" s="1">
        <v>45</v>
      </c>
      <c r="O504" s="1">
        <v>45</v>
      </c>
      <c r="P504" s="1">
        <v>17</v>
      </c>
      <c r="Q504" s="1">
        <v>502</v>
      </c>
      <c r="R504" s="1" t="s">
        <v>1143</v>
      </c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</row>
    <row r="505" spans="2:35">
      <c r="B505" s="1">
        <v>502</v>
      </c>
      <c r="C505" s="1" t="s">
        <v>230</v>
      </c>
      <c r="D505" s="1" t="s">
        <v>1143</v>
      </c>
      <c r="E505" s="1" t="s">
        <v>754</v>
      </c>
      <c r="F505" s="1" t="s">
        <v>82</v>
      </c>
      <c r="G505" s="1">
        <v>45</v>
      </c>
      <c r="H505" s="1">
        <v>145</v>
      </c>
      <c r="I505" s="1">
        <v>413</v>
      </c>
      <c r="J505" s="1">
        <v>75</v>
      </c>
      <c r="K505" s="1">
        <v>75</v>
      </c>
      <c r="L505" s="1">
        <v>60</v>
      </c>
      <c r="M505" s="1">
        <v>83</v>
      </c>
      <c r="N505" s="1">
        <v>60</v>
      </c>
      <c r="O505" s="1">
        <v>60</v>
      </c>
      <c r="P505" s="1">
        <v>36</v>
      </c>
      <c r="Q505" s="1">
        <v>503</v>
      </c>
      <c r="R505" s="1" t="s">
        <v>1144</v>
      </c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</row>
    <row r="506" spans="2:35">
      <c r="B506" s="1">
        <v>503</v>
      </c>
      <c r="C506" s="1" t="s">
        <v>229</v>
      </c>
      <c r="D506" s="1" t="s">
        <v>1144</v>
      </c>
      <c r="E506" s="1" t="s">
        <v>754</v>
      </c>
      <c r="F506" s="1" t="s">
        <v>82</v>
      </c>
      <c r="G506" s="1">
        <v>45</v>
      </c>
      <c r="H506" s="1">
        <v>238</v>
      </c>
      <c r="I506" s="1">
        <v>528</v>
      </c>
      <c r="J506" s="1">
        <v>95</v>
      </c>
      <c r="K506" s="1">
        <v>100</v>
      </c>
      <c r="L506" s="1">
        <v>85</v>
      </c>
      <c r="M506" s="1">
        <v>108</v>
      </c>
      <c r="N506" s="1">
        <v>70</v>
      </c>
      <c r="O506" s="1">
        <v>70</v>
      </c>
      <c r="P506" s="1" t="s">
        <v>82</v>
      </c>
      <c r="Q506" s="1" t="s">
        <v>82</v>
      </c>
      <c r="R506" s="1" t="s">
        <v>82</v>
      </c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</row>
    <row r="507" spans="2:35">
      <c r="B507" s="1">
        <v>504</v>
      </c>
      <c r="C507" s="1" t="s">
        <v>228</v>
      </c>
      <c r="D507" s="1" t="s">
        <v>1145</v>
      </c>
      <c r="E507" s="1" t="s">
        <v>765</v>
      </c>
      <c r="F507" s="1" t="s">
        <v>82</v>
      </c>
      <c r="G507" s="1">
        <v>255</v>
      </c>
      <c r="H507" s="1">
        <v>51</v>
      </c>
      <c r="I507" s="1">
        <v>255</v>
      </c>
      <c r="J507" s="1">
        <v>45</v>
      </c>
      <c r="K507" s="1">
        <v>55</v>
      </c>
      <c r="L507" s="1">
        <v>39</v>
      </c>
      <c r="M507" s="1">
        <v>35</v>
      </c>
      <c r="N507" s="1">
        <v>39</v>
      </c>
      <c r="O507" s="1">
        <v>42</v>
      </c>
      <c r="P507" s="1">
        <v>20</v>
      </c>
      <c r="Q507" s="1">
        <v>505</v>
      </c>
      <c r="R507" s="1" t="s">
        <v>1146</v>
      </c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</row>
    <row r="508" spans="2:35">
      <c r="B508" s="1">
        <v>505</v>
      </c>
      <c r="C508" s="1" t="s">
        <v>227</v>
      </c>
      <c r="D508" s="1" t="s">
        <v>1146</v>
      </c>
      <c r="E508" s="1" t="s">
        <v>765</v>
      </c>
      <c r="F508" s="1" t="s">
        <v>82</v>
      </c>
      <c r="G508" s="1">
        <v>255</v>
      </c>
      <c r="H508" s="1">
        <v>147</v>
      </c>
      <c r="I508" s="1">
        <v>420</v>
      </c>
      <c r="J508" s="1">
        <v>60</v>
      </c>
      <c r="K508" s="1">
        <v>85</v>
      </c>
      <c r="L508" s="1">
        <v>69</v>
      </c>
      <c r="M508" s="1">
        <v>60</v>
      </c>
      <c r="N508" s="1">
        <v>69</v>
      </c>
      <c r="O508" s="1">
        <v>77</v>
      </c>
      <c r="P508" s="1" t="s">
        <v>82</v>
      </c>
      <c r="Q508" s="1" t="s">
        <v>82</v>
      </c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</row>
    <row r="509" spans="2:35">
      <c r="B509" s="1">
        <v>506</v>
      </c>
      <c r="C509" s="1" t="s">
        <v>226</v>
      </c>
      <c r="D509" s="1" t="s">
        <v>1147</v>
      </c>
      <c r="E509" s="1" t="s">
        <v>765</v>
      </c>
      <c r="F509" s="1" t="s">
        <v>82</v>
      </c>
      <c r="G509" s="1">
        <v>255</v>
      </c>
      <c r="H509" s="1">
        <v>55</v>
      </c>
      <c r="I509" s="1">
        <v>275</v>
      </c>
      <c r="J509" s="1">
        <v>45</v>
      </c>
      <c r="K509" s="1">
        <v>60</v>
      </c>
      <c r="L509" s="1">
        <v>45</v>
      </c>
      <c r="M509" s="1">
        <v>25</v>
      </c>
      <c r="N509" s="1">
        <v>45</v>
      </c>
      <c r="O509" s="1">
        <v>55</v>
      </c>
      <c r="P509" s="1">
        <v>16</v>
      </c>
      <c r="Q509" s="1">
        <v>507</v>
      </c>
      <c r="R509" s="1" t="s">
        <v>1148</v>
      </c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</row>
    <row r="510" spans="2:35">
      <c r="B510" s="1">
        <v>507</v>
      </c>
      <c r="C510" s="1" t="s">
        <v>225</v>
      </c>
      <c r="D510" s="1" t="s">
        <v>1148</v>
      </c>
      <c r="E510" s="1" t="s">
        <v>765</v>
      </c>
      <c r="F510" s="1" t="s">
        <v>82</v>
      </c>
      <c r="G510" s="1">
        <v>120</v>
      </c>
      <c r="H510" s="1">
        <v>130</v>
      </c>
      <c r="I510" s="1">
        <v>370</v>
      </c>
      <c r="J510" s="1">
        <v>65</v>
      </c>
      <c r="K510" s="1">
        <v>80</v>
      </c>
      <c r="L510" s="1">
        <v>65</v>
      </c>
      <c r="M510" s="1">
        <v>35</v>
      </c>
      <c r="N510" s="1">
        <v>65</v>
      </c>
      <c r="O510" s="1">
        <v>60</v>
      </c>
      <c r="P510" s="1">
        <v>32</v>
      </c>
      <c r="Q510" s="1">
        <v>508</v>
      </c>
      <c r="R510" s="1" t="s">
        <v>1149</v>
      </c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</row>
    <row r="511" spans="2:35">
      <c r="B511" s="1">
        <v>508</v>
      </c>
      <c r="C511" s="1" t="s">
        <v>224</v>
      </c>
      <c r="D511" s="1" t="s">
        <v>1149</v>
      </c>
      <c r="E511" s="1" t="s">
        <v>765</v>
      </c>
      <c r="F511" s="1" t="s">
        <v>82</v>
      </c>
      <c r="G511" s="1">
        <v>45</v>
      </c>
      <c r="H511" s="1">
        <v>225</v>
      </c>
      <c r="I511" s="1">
        <v>500</v>
      </c>
      <c r="J511" s="1">
        <v>85</v>
      </c>
      <c r="K511" s="1">
        <v>110</v>
      </c>
      <c r="L511" s="1">
        <v>90</v>
      </c>
      <c r="M511" s="1">
        <v>45</v>
      </c>
      <c r="N511" s="1">
        <v>90</v>
      </c>
      <c r="O511" s="1">
        <v>80</v>
      </c>
      <c r="P511" s="1" t="s">
        <v>82</v>
      </c>
      <c r="Q511" s="1" t="s">
        <v>82</v>
      </c>
      <c r="R511" s="1" t="s">
        <v>82</v>
      </c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</row>
    <row r="512" spans="2:35">
      <c r="B512" s="1">
        <v>509</v>
      </c>
      <c r="C512" s="1" t="s">
        <v>223</v>
      </c>
      <c r="D512" s="1" t="s">
        <v>1150</v>
      </c>
      <c r="E512" s="1" t="s">
        <v>864</v>
      </c>
      <c r="F512" s="1" t="s">
        <v>82</v>
      </c>
      <c r="G512" s="1">
        <v>255</v>
      </c>
      <c r="H512" s="1">
        <v>56</v>
      </c>
      <c r="I512" s="1">
        <v>281</v>
      </c>
      <c r="J512" s="1">
        <v>41</v>
      </c>
      <c r="K512" s="1">
        <v>50</v>
      </c>
      <c r="L512" s="1">
        <v>37</v>
      </c>
      <c r="M512" s="1">
        <v>50</v>
      </c>
      <c r="N512" s="1">
        <v>37</v>
      </c>
      <c r="O512" s="1">
        <v>66</v>
      </c>
      <c r="P512" s="1">
        <v>20</v>
      </c>
      <c r="Q512" s="1">
        <v>510</v>
      </c>
      <c r="R512" s="1" t="s">
        <v>1151</v>
      </c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</row>
    <row r="513" spans="2:35">
      <c r="B513" s="1">
        <v>510</v>
      </c>
      <c r="C513" s="1" t="s">
        <v>222</v>
      </c>
      <c r="D513" s="1" t="s">
        <v>1151</v>
      </c>
      <c r="E513" s="1" t="s">
        <v>864</v>
      </c>
      <c r="F513" s="1" t="s">
        <v>82</v>
      </c>
      <c r="G513" s="1">
        <v>90</v>
      </c>
      <c r="H513" s="1">
        <v>156</v>
      </c>
      <c r="I513" s="1">
        <v>446</v>
      </c>
      <c r="J513" s="1">
        <v>64</v>
      </c>
      <c r="K513" s="1">
        <v>88</v>
      </c>
      <c r="L513" s="1">
        <v>50</v>
      </c>
      <c r="M513" s="1">
        <v>88</v>
      </c>
      <c r="N513" s="1">
        <v>50</v>
      </c>
      <c r="O513" s="1">
        <v>106</v>
      </c>
      <c r="P513" s="1" t="s">
        <v>82</v>
      </c>
      <c r="Q513" s="1" t="s">
        <v>82</v>
      </c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</row>
    <row r="514" spans="2:35">
      <c r="B514" s="1">
        <v>511</v>
      </c>
      <c r="C514" s="1" t="s">
        <v>221</v>
      </c>
      <c r="D514" s="1" t="s">
        <v>1152</v>
      </c>
      <c r="E514" s="1" t="s">
        <v>743</v>
      </c>
      <c r="F514" s="1" t="s">
        <v>82</v>
      </c>
      <c r="G514" s="1">
        <v>190</v>
      </c>
      <c r="H514" s="1">
        <v>63</v>
      </c>
      <c r="I514" s="1">
        <v>316</v>
      </c>
      <c r="J514" s="1">
        <v>50</v>
      </c>
      <c r="K514" s="1">
        <v>53</v>
      </c>
      <c r="L514" s="1">
        <v>48</v>
      </c>
      <c r="M514" s="1">
        <v>53</v>
      </c>
      <c r="N514" s="1">
        <v>48</v>
      </c>
      <c r="O514" s="1">
        <v>64</v>
      </c>
      <c r="P514" s="1">
        <v>25</v>
      </c>
      <c r="Q514" s="1">
        <v>512</v>
      </c>
      <c r="R514" s="1" t="s">
        <v>1153</v>
      </c>
      <c r="S514" s="1" t="b">
        <v>1</v>
      </c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</row>
    <row r="515" spans="2:35">
      <c r="B515" s="1">
        <v>512</v>
      </c>
      <c r="C515" s="1" t="s">
        <v>220</v>
      </c>
      <c r="D515" s="1" t="s">
        <v>1153</v>
      </c>
      <c r="E515" s="1" t="s">
        <v>743</v>
      </c>
      <c r="F515" s="1" t="s">
        <v>82</v>
      </c>
      <c r="G515" s="1">
        <v>75</v>
      </c>
      <c r="H515" s="1">
        <v>174</v>
      </c>
      <c r="I515" s="1">
        <v>498</v>
      </c>
      <c r="J515" s="1">
        <v>75</v>
      </c>
      <c r="K515" s="1">
        <v>98</v>
      </c>
      <c r="L515" s="1">
        <v>63</v>
      </c>
      <c r="M515" s="1">
        <v>98</v>
      </c>
      <c r="N515" s="1">
        <v>63</v>
      </c>
      <c r="O515" s="1">
        <v>101</v>
      </c>
      <c r="P515" s="1" t="s">
        <v>82</v>
      </c>
      <c r="Q515" s="1" t="s">
        <v>82</v>
      </c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</row>
    <row r="516" spans="2:35">
      <c r="B516" s="1">
        <v>513</v>
      </c>
      <c r="C516" s="1" t="s">
        <v>219</v>
      </c>
      <c r="D516" s="1" t="s">
        <v>1154</v>
      </c>
      <c r="E516" s="1" t="s">
        <v>748</v>
      </c>
      <c r="F516" s="1" t="s">
        <v>82</v>
      </c>
      <c r="G516" s="1">
        <v>190</v>
      </c>
      <c r="H516" s="1">
        <v>63</v>
      </c>
      <c r="I516" s="1">
        <v>316</v>
      </c>
      <c r="J516" s="1">
        <v>50</v>
      </c>
      <c r="K516" s="1">
        <v>53</v>
      </c>
      <c r="L516" s="1">
        <v>48</v>
      </c>
      <c r="M516" s="1">
        <v>53</v>
      </c>
      <c r="N516" s="1">
        <v>48</v>
      </c>
      <c r="O516" s="1">
        <v>64</v>
      </c>
      <c r="P516" s="1">
        <v>25</v>
      </c>
      <c r="Q516" s="1">
        <v>514</v>
      </c>
      <c r="R516" s="1" t="s">
        <v>1155</v>
      </c>
      <c r="S516" s="1" t="b">
        <v>1</v>
      </c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</row>
    <row r="517" spans="2:35">
      <c r="B517" s="1">
        <v>514</v>
      </c>
      <c r="C517" s="1" t="s">
        <v>218</v>
      </c>
      <c r="D517" s="1" t="s">
        <v>1155</v>
      </c>
      <c r="E517" s="1" t="s">
        <v>748</v>
      </c>
      <c r="F517" s="1" t="s">
        <v>82</v>
      </c>
      <c r="G517" s="1">
        <v>75</v>
      </c>
      <c r="H517" s="1">
        <v>174</v>
      </c>
      <c r="I517" s="1">
        <v>498</v>
      </c>
      <c r="J517" s="1">
        <v>75</v>
      </c>
      <c r="K517" s="1">
        <v>98</v>
      </c>
      <c r="L517" s="1">
        <v>63</v>
      </c>
      <c r="M517" s="1">
        <v>98</v>
      </c>
      <c r="N517" s="1">
        <v>63</v>
      </c>
      <c r="O517" s="1">
        <v>101</v>
      </c>
      <c r="P517" s="1" t="s">
        <v>82</v>
      </c>
      <c r="Q517" s="1" t="s">
        <v>82</v>
      </c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</row>
    <row r="518" spans="2:35">
      <c r="B518" s="1">
        <v>515</v>
      </c>
      <c r="C518" s="1" t="s">
        <v>217</v>
      </c>
      <c r="D518" s="1" t="s">
        <v>1156</v>
      </c>
      <c r="E518" s="1" t="s">
        <v>754</v>
      </c>
      <c r="F518" s="1" t="s">
        <v>82</v>
      </c>
      <c r="G518" s="1">
        <v>190</v>
      </c>
      <c r="H518" s="1">
        <v>63</v>
      </c>
      <c r="I518" s="1">
        <v>316</v>
      </c>
      <c r="J518" s="1">
        <v>50</v>
      </c>
      <c r="K518" s="1">
        <v>53</v>
      </c>
      <c r="L518" s="1">
        <v>48</v>
      </c>
      <c r="M518" s="1">
        <v>53</v>
      </c>
      <c r="N518" s="1">
        <v>48</v>
      </c>
      <c r="O518" s="1">
        <v>64</v>
      </c>
      <c r="P518" s="1">
        <v>25</v>
      </c>
      <c r="Q518" s="1">
        <v>516</v>
      </c>
      <c r="R518" s="1" t="s">
        <v>1157</v>
      </c>
      <c r="S518" s="1" t="b">
        <v>1</v>
      </c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</row>
    <row r="519" spans="2:35">
      <c r="B519" s="1">
        <v>516</v>
      </c>
      <c r="C519" s="1" t="s">
        <v>216</v>
      </c>
      <c r="D519" s="1" t="s">
        <v>1157</v>
      </c>
      <c r="E519" s="1" t="s">
        <v>754</v>
      </c>
      <c r="F519" s="1" t="s">
        <v>82</v>
      </c>
      <c r="G519" s="1">
        <v>75</v>
      </c>
      <c r="H519" s="1">
        <v>174</v>
      </c>
      <c r="I519" s="1">
        <v>498</v>
      </c>
      <c r="J519" s="1">
        <v>75</v>
      </c>
      <c r="K519" s="1">
        <v>98</v>
      </c>
      <c r="L519" s="1">
        <v>63</v>
      </c>
      <c r="M519" s="1">
        <v>98</v>
      </c>
      <c r="N519" s="1">
        <v>63</v>
      </c>
      <c r="O519" s="1">
        <v>101</v>
      </c>
      <c r="P519" s="1" t="s">
        <v>82</v>
      </c>
      <c r="Q519" s="1" t="s">
        <v>82</v>
      </c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</row>
    <row r="520" spans="2:35">
      <c r="B520" s="1">
        <v>517</v>
      </c>
      <c r="C520" s="1" t="s">
        <v>215</v>
      </c>
      <c r="D520" s="1" t="s">
        <v>215</v>
      </c>
      <c r="E520" s="1" t="s">
        <v>803</v>
      </c>
      <c r="F520" s="1" t="s">
        <v>82</v>
      </c>
      <c r="G520" s="1">
        <v>190</v>
      </c>
      <c r="H520" s="1">
        <v>58</v>
      </c>
      <c r="I520" s="1">
        <v>292</v>
      </c>
      <c r="J520" s="1">
        <v>76</v>
      </c>
      <c r="K520" s="1">
        <v>25</v>
      </c>
      <c r="L520" s="1">
        <v>45</v>
      </c>
      <c r="M520" s="1">
        <v>67</v>
      </c>
      <c r="N520" s="1">
        <v>55</v>
      </c>
      <c r="O520" s="1">
        <v>24</v>
      </c>
      <c r="P520" s="1">
        <v>30</v>
      </c>
      <c r="Q520" s="1">
        <v>518</v>
      </c>
      <c r="R520" s="1" t="s">
        <v>1158</v>
      </c>
      <c r="S520" s="1" t="b">
        <v>1</v>
      </c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</row>
    <row r="521" spans="2:35">
      <c r="B521" s="1">
        <v>518</v>
      </c>
      <c r="C521" s="1" t="s">
        <v>214</v>
      </c>
      <c r="D521" s="1" t="s">
        <v>1158</v>
      </c>
      <c r="E521" s="1" t="s">
        <v>803</v>
      </c>
      <c r="F521" s="1" t="s">
        <v>82</v>
      </c>
      <c r="G521" s="1">
        <v>75</v>
      </c>
      <c r="H521" s="1">
        <v>170</v>
      </c>
      <c r="I521" s="1">
        <v>487</v>
      </c>
      <c r="J521" s="1">
        <v>116</v>
      </c>
      <c r="K521" s="1">
        <v>55</v>
      </c>
      <c r="L521" s="1">
        <v>85</v>
      </c>
      <c r="M521" s="1">
        <v>107</v>
      </c>
      <c r="N521" s="1">
        <v>95</v>
      </c>
      <c r="O521" s="1">
        <v>29</v>
      </c>
      <c r="P521" s="1" t="s">
        <v>82</v>
      </c>
      <c r="Q521" s="1" t="s">
        <v>82</v>
      </c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</row>
    <row r="522" spans="2:35">
      <c r="B522" s="1">
        <v>519</v>
      </c>
      <c r="C522" s="1" t="s">
        <v>213</v>
      </c>
      <c r="D522" s="1" t="s">
        <v>1159</v>
      </c>
      <c r="E522" s="1" t="s">
        <v>765</v>
      </c>
      <c r="F522" s="1" t="s">
        <v>751</v>
      </c>
      <c r="G522" s="1">
        <v>255</v>
      </c>
      <c r="H522" s="1">
        <v>53</v>
      </c>
      <c r="I522" s="1">
        <v>264</v>
      </c>
      <c r="J522" s="1">
        <v>50</v>
      </c>
      <c r="K522" s="1">
        <v>55</v>
      </c>
      <c r="L522" s="1">
        <v>50</v>
      </c>
      <c r="M522" s="1">
        <v>36</v>
      </c>
      <c r="N522" s="1">
        <v>30</v>
      </c>
      <c r="O522" s="1">
        <v>43</v>
      </c>
      <c r="P522" s="1">
        <v>21</v>
      </c>
      <c r="Q522" s="1">
        <v>520</v>
      </c>
      <c r="R522" s="1" t="s">
        <v>1160</v>
      </c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</row>
    <row r="523" spans="2:35">
      <c r="B523" s="1">
        <v>520</v>
      </c>
      <c r="C523" s="1" t="s">
        <v>212</v>
      </c>
      <c r="D523" s="1" t="s">
        <v>1160</v>
      </c>
      <c r="E523" s="1" t="s">
        <v>765</v>
      </c>
      <c r="F523" s="1" t="s">
        <v>751</v>
      </c>
      <c r="G523" s="1">
        <v>120</v>
      </c>
      <c r="H523" s="1">
        <v>125</v>
      </c>
      <c r="I523" s="1">
        <v>358</v>
      </c>
      <c r="J523" s="1">
        <v>62</v>
      </c>
      <c r="K523" s="1">
        <v>77</v>
      </c>
      <c r="L523" s="1">
        <v>62</v>
      </c>
      <c r="M523" s="1">
        <v>50</v>
      </c>
      <c r="N523" s="1">
        <v>42</v>
      </c>
      <c r="O523" s="1">
        <v>65</v>
      </c>
      <c r="P523" s="1">
        <v>32</v>
      </c>
      <c r="Q523" s="1">
        <v>521</v>
      </c>
      <c r="R523" s="1" t="s">
        <v>1161</v>
      </c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</row>
    <row r="524" spans="2:35">
      <c r="B524" s="1">
        <v>521</v>
      </c>
      <c r="C524" s="1" t="s">
        <v>211</v>
      </c>
      <c r="D524" s="1" t="s">
        <v>1161</v>
      </c>
      <c r="E524" s="1" t="s">
        <v>765</v>
      </c>
      <c r="F524" s="1" t="s">
        <v>751</v>
      </c>
      <c r="G524" s="1">
        <v>45</v>
      </c>
      <c r="H524" s="1">
        <v>220</v>
      </c>
      <c r="I524" s="1">
        <v>488</v>
      </c>
      <c r="J524" s="1">
        <v>80</v>
      </c>
      <c r="K524" s="1">
        <v>115</v>
      </c>
      <c r="L524" s="1">
        <v>80</v>
      </c>
      <c r="M524" s="1">
        <v>65</v>
      </c>
      <c r="N524" s="1">
        <v>55</v>
      </c>
      <c r="O524" s="1">
        <v>93</v>
      </c>
      <c r="P524" s="1" t="s">
        <v>82</v>
      </c>
      <c r="Q524" s="1" t="s">
        <v>82</v>
      </c>
      <c r="R524" s="1" t="s">
        <v>82</v>
      </c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</row>
    <row r="525" spans="2:35">
      <c r="B525" s="1">
        <v>522</v>
      </c>
      <c r="C525" s="1" t="s">
        <v>210</v>
      </c>
      <c r="D525" s="1" t="s">
        <v>1162</v>
      </c>
      <c r="E525" s="1" t="s">
        <v>772</v>
      </c>
      <c r="F525" s="1" t="s">
        <v>82</v>
      </c>
      <c r="G525" s="1">
        <v>190</v>
      </c>
      <c r="H525" s="1">
        <v>59</v>
      </c>
      <c r="I525" s="1">
        <v>295</v>
      </c>
      <c r="J525" s="1">
        <v>45</v>
      </c>
      <c r="K525" s="1">
        <v>60</v>
      </c>
      <c r="L525" s="1">
        <v>32</v>
      </c>
      <c r="M525" s="1">
        <v>50</v>
      </c>
      <c r="N525" s="1">
        <v>32</v>
      </c>
      <c r="O525" s="1">
        <v>76</v>
      </c>
      <c r="P525" s="1">
        <v>27</v>
      </c>
      <c r="Q525" s="1">
        <v>523</v>
      </c>
      <c r="R525" s="1" t="s">
        <v>1163</v>
      </c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</row>
    <row r="526" spans="2:35">
      <c r="B526" s="1">
        <v>523</v>
      </c>
      <c r="C526" s="1" t="s">
        <v>209</v>
      </c>
      <c r="D526" s="1" t="s">
        <v>1163</v>
      </c>
      <c r="E526" s="1" t="s">
        <v>772</v>
      </c>
      <c r="F526" s="1" t="s">
        <v>82</v>
      </c>
      <c r="G526" s="1">
        <v>75</v>
      </c>
      <c r="H526" s="1">
        <v>174</v>
      </c>
      <c r="I526" s="1">
        <v>497</v>
      </c>
      <c r="J526" s="1">
        <v>75</v>
      </c>
      <c r="K526" s="1">
        <v>100</v>
      </c>
      <c r="L526" s="1">
        <v>63</v>
      </c>
      <c r="M526" s="1">
        <v>80</v>
      </c>
      <c r="N526" s="1">
        <v>63</v>
      </c>
      <c r="O526" s="1">
        <v>116</v>
      </c>
      <c r="P526" s="1" t="s">
        <v>82</v>
      </c>
      <c r="Q526" s="1" t="s">
        <v>82</v>
      </c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</row>
    <row r="527" spans="2:35">
      <c r="B527" s="1">
        <v>524</v>
      </c>
      <c r="C527" s="1" t="s">
        <v>208</v>
      </c>
      <c r="D527" s="1" t="s">
        <v>1164</v>
      </c>
      <c r="E527" s="1" t="s">
        <v>811</v>
      </c>
      <c r="F527" s="1" t="s">
        <v>82</v>
      </c>
      <c r="G527" s="1">
        <v>255</v>
      </c>
      <c r="H527" s="1">
        <v>56</v>
      </c>
      <c r="I527" s="1">
        <v>280</v>
      </c>
      <c r="J527" s="1">
        <v>55</v>
      </c>
      <c r="K527" s="1">
        <v>75</v>
      </c>
      <c r="L527" s="1">
        <v>85</v>
      </c>
      <c r="M527" s="1">
        <v>25</v>
      </c>
      <c r="N527" s="1">
        <v>25</v>
      </c>
      <c r="O527" s="1">
        <v>15</v>
      </c>
      <c r="P527" s="1">
        <v>25</v>
      </c>
      <c r="Q527" s="1">
        <v>525</v>
      </c>
      <c r="R527" s="1" t="s">
        <v>1165</v>
      </c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</row>
    <row r="528" spans="2:35">
      <c r="B528" s="1">
        <v>525</v>
      </c>
      <c r="C528" s="1" t="s">
        <v>207</v>
      </c>
      <c r="D528" s="1" t="s">
        <v>1165</v>
      </c>
      <c r="E528" s="1" t="s">
        <v>811</v>
      </c>
      <c r="F528" s="1" t="s">
        <v>82</v>
      </c>
      <c r="G528" s="1">
        <v>120</v>
      </c>
      <c r="H528" s="1">
        <v>137</v>
      </c>
      <c r="I528" s="1">
        <v>390</v>
      </c>
      <c r="J528" s="1">
        <v>70</v>
      </c>
      <c r="K528" s="1">
        <v>105</v>
      </c>
      <c r="L528" s="1">
        <v>105</v>
      </c>
      <c r="M528" s="1">
        <v>50</v>
      </c>
      <c r="N528" s="1">
        <v>40</v>
      </c>
      <c r="O528" s="1">
        <v>20</v>
      </c>
      <c r="P528" s="1">
        <v>30</v>
      </c>
      <c r="Q528" s="1">
        <v>526</v>
      </c>
      <c r="R528" s="1" t="s">
        <v>1166</v>
      </c>
      <c r="S528" s="1" t="b">
        <v>1</v>
      </c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</row>
    <row r="529" spans="2:35">
      <c r="B529" s="1">
        <v>526</v>
      </c>
      <c r="C529" s="1" t="s">
        <v>206</v>
      </c>
      <c r="D529" s="1" t="s">
        <v>1166</v>
      </c>
      <c r="E529" s="1" t="s">
        <v>811</v>
      </c>
      <c r="F529" s="1" t="s">
        <v>82</v>
      </c>
      <c r="G529" s="1">
        <v>45</v>
      </c>
      <c r="H529" s="1">
        <v>232</v>
      </c>
      <c r="I529" s="1">
        <v>515</v>
      </c>
      <c r="J529" s="1">
        <v>85</v>
      </c>
      <c r="K529" s="1">
        <v>135</v>
      </c>
      <c r="L529" s="1">
        <v>130</v>
      </c>
      <c r="M529" s="1">
        <v>60</v>
      </c>
      <c r="N529" s="1">
        <v>80</v>
      </c>
      <c r="O529" s="1">
        <v>25</v>
      </c>
      <c r="P529" s="1" t="s">
        <v>82</v>
      </c>
      <c r="Q529" s="1" t="s">
        <v>82</v>
      </c>
      <c r="R529" s="1" t="s">
        <v>82</v>
      </c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</row>
    <row r="530" spans="2:35">
      <c r="B530" s="1">
        <v>527</v>
      </c>
      <c r="C530" s="1" t="s">
        <v>205</v>
      </c>
      <c r="D530" s="1" t="s">
        <v>1167</v>
      </c>
      <c r="E530" s="1" t="s">
        <v>803</v>
      </c>
      <c r="F530" s="1" t="s">
        <v>751</v>
      </c>
      <c r="G530" s="1">
        <v>190</v>
      </c>
      <c r="H530" s="1">
        <v>65</v>
      </c>
      <c r="I530" s="1">
        <v>313</v>
      </c>
      <c r="J530" s="1">
        <v>55</v>
      </c>
      <c r="K530" s="1">
        <v>45</v>
      </c>
      <c r="L530" s="1">
        <v>43</v>
      </c>
      <c r="M530" s="1">
        <v>55</v>
      </c>
      <c r="N530" s="1">
        <v>43</v>
      </c>
      <c r="O530" s="1">
        <v>72</v>
      </c>
      <c r="P530" s="1">
        <v>30</v>
      </c>
      <c r="Q530" s="1">
        <v>528</v>
      </c>
      <c r="R530" s="1" t="s">
        <v>1168</v>
      </c>
      <c r="S530" s="1" t="b">
        <v>1</v>
      </c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</row>
    <row r="531" spans="2:35">
      <c r="B531" s="1">
        <v>528</v>
      </c>
      <c r="C531" s="1" t="s">
        <v>204</v>
      </c>
      <c r="D531" s="1" t="s">
        <v>1168</v>
      </c>
      <c r="E531" s="1" t="s">
        <v>803</v>
      </c>
      <c r="F531" s="1" t="s">
        <v>751</v>
      </c>
      <c r="G531" s="1">
        <v>45</v>
      </c>
      <c r="H531" s="1">
        <v>149</v>
      </c>
      <c r="I531" s="1">
        <v>425</v>
      </c>
      <c r="J531" s="1">
        <v>67</v>
      </c>
      <c r="K531" s="1">
        <v>57</v>
      </c>
      <c r="L531" s="1">
        <v>55</v>
      </c>
      <c r="M531" s="1">
        <v>77</v>
      </c>
      <c r="N531" s="1">
        <v>55</v>
      </c>
      <c r="O531" s="1">
        <v>114</v>
      </c>
      <c r="P531" s="1" t="s">
        <v>82</v>
      </c>
      <c r="Q531" s="1" t="s">
        <v>82</v>
      </c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</row>
    <row r="532" spans="2:35">
      <c r="B532" s="1">
        <v>529</v>
      </c>
      <c r="C532" s="1" t="s">
        <v>203</v>
      </c>
      <c r="D532" s="1" t="s">
        <v>1169</v>
      </c>
      <c r="E532" s="1" t="s">
        <v>774</v>
      </c>
      <c r="F532" s="1" t="s">
        <v>82</v>
      </c>
      <c r="G532" s="1">
        <v>120</v>
      </c>
      <c r="H532" s="1">
        <v>66</v>
      </c>
      <c r="I532" s="1">
        <v>328</v>
      </c>
      <c r="J532" s="1">
        <v>60</v>
      </c>
      <c r="K532" s="1">
        <v>85</v>
      </c>
      <c r="L532" s="1">
        <v>40</v>
      </c>
      <c r="M532" s="1">
        <v>30</v>
      </c>
      <c r="N532" s="1">
        <v>45</v>
      </c>
      <c r="O532" s="1">
        <v>68</v>
      </c>
      <c r="P532" s="1">
        <v>31</v>
      </c>
      <c r="Q532" s="1">
        <v>530</v>
      </c>
      <c r="R532" s="1" t="s">
        <v>1170</v>
      </c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</row>
    <row r="533" spans="2:35">
      <c r="B533" s="1">
        <v>530</v>
      </c>
      <c r="C533" s="1" t="s">
        <v>202</v>
      </c>
      <c r="D533" s="1" t="s">
        <v>1170</v>
      </c>
      <c r="E533" s="1" t="s">
        <v>774</v>
      </c>
      <c r="F533" s="1" t="s">
        <v>818</v>
      </c>
      <c r="G533" s="1">
        <v>60</v>
      </c>
      <c r="H533" s="1">
        <v>178</v>
      </c>
      <c r="I533" s="1">
        <v>508</v>
      </c>
      <c r="J533" s="1">
        <v>110</v>
      </c>
      <c r="K533" s="1">
        <v>135</v>
      </c>
      <c r="L533" s="1">
        <v>60</v>
      </c>
      <c r="M533" s="1">
        <v>50</v>
      </c>
      <c r="N533" s="1">
        <v>65</v>
      </c>
      <c r="O533" s="1">
        <v>88</v>
      </c>
      <c r="P533" s="1" t="s">
        <v>82</v>
      </c>
      <c r="Q533" s="1" t="s">
        <v>82</v>
      </c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</row>
    <row r="534" spans="2:35">
      <c r="B534" s="1">
        <v>531</v>
      </c>
      <c r="C534" s="1" t="s">
        <v>201</v>
      </c>
      <c r="D534" s="1" t="s">
        <v>1171</v>
      </c>
      <c r="E534" s="1" t="s">
        <v>765</v>
      </c>
      <c r="F534" s="1" t="s">
        <v>82</v>
      </c>
      <c r="G534" s="1">
        <v>255</v>
      </c>
      <c r="H534" s="1">
        <v>390</v>
      </c>
      <c r="I534" s="1">
        <v>445</v>
      </c>
      <c r="J534" s="1">
        <v>103</v>
      </c>
      <c r="K534" s="1">
        <v>60</v>
      </c>
      <c r="L534" s="1">
        <v>86</v>
      </c>
      <c r="M534" s="1">
        <v>60</v>
      </c>
      <c r="N534" s="1">
        <v>86</v>
      </c>
      <c r="O534" s="1">
        <v>50</v>
      </c>
      <c r="P534" s="1" t="s">
        <v>82</v>
      </c>
      <c r="Q534" s="1" t="s">
        <v>82</v>
      </c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</row>
    <row r="535" spans="2:35">
      <c r="B535" s="1">
        <v>532</v>
      </c>
      <c r="C535" s="1" t="s">
        <v>200</v>
      </c>
      <c r="D535" s="1" t="s">
        <v>1172</v>
      </c>
      <c r="E535" s="1" t="s">
        <v>796</v>
      </c>
      <c r="F535" s="1" t="s">
        <v>82</v>
      </c>
      <c r="G535" s="1">
        <v>180</v>
      </c>
      <c r="H535" s="1">
        <v>61</v>
      </c>
      <c r="I535" s="1">
        <v>305</v>
      </c>
      <c r="J535" s="1">
        <v>75</v>
      </c>
      <c r="K535" s="1">
        <v>80</v>
      </c>
      <c r="L535" s="1">
        <v>55</v>
      </c>
      <c r="M535" s="1">
        <v>25</v>
      </c>
      <c r="N535" s="1">
        <v>35</v>
      </c>
      <c r="O535" s="1">
        <v>35</v>
      </c>
      <c r="P535" s="1">
        <v>25</v>
      </c>
      <c r="Q535" s="1">
        <v>533</v>
      </c>
      <c r="R535" s="1" t="s">
        <v>1173</v>
      </c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</row>
    <row r="536" spans="2:35">
      <c r="B536" s="1">
        <v>533</v>
      </c>
      <c r="C536" s="1" t="s">
        <v>199</v>
      </c>
      <c r="D536" s="1" t="s">
        <v>1173</v>
      </c>
      <c r="E536" s="1" t="s">
        <v>796</v>
      </c>
      <c r="F536" s="1" t="s">
        <v>82</v>
      </c>
      <c r="G536" s="1">
        <v>90</v>
      </c>
      <c r="H536" s="1">
        <v>142</v>
      </c>
      <c r="I536" s="1">
        <v>405</v>
      </c>
      <c r="J536" s="1">
        <v>85</v>
      </c>
      <c r="K536" s="1">
        <v>105</v>
      </c>
      <c r="L536" s="1">
        <v>85</v>
      </c>
      <c r="M536" s="1">
        <v>40</v>
      </c>
      <c r="N536" s="1">
        <v>50</v>
      </c>
      <c r="O536" s="1">
        <v>40</v>
      </c>
      <c r="P536" s="1">
        <v>30</v>
      </c>
      <c r="Q536" s="1">
        <v>534</v>
      </c>
      <c r="R536" s="1" t="s">
        <v>1174</v>
      </c>
      <c r="S536" s="1" t="b">
        <v>1</v>
      </c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</row>
    <row r="537" spans="2:35">
      <c r="B537" s="1">
        <v>534</v>
      </c>
      <c r="C537" s="1" t="s">
        <v>198</v>
      </c>
      <c r="D537" s="1" t="s">
        <v>1174</v>
      </c>
      <c r="E537" s="1" t="s">
        <v>796</v>
      </c>
      <c r="F537" s="1" t="s">
        <v>82</v>
      </c>
      <c r="G537" s="1">
        <v>45</v>
      </c>
      <c r="H537" s="1">
        <v>227</v>
      </c>
      <c r="I537" s="1">
        <v>505</v>
      </c>
      <c r="J537" s="1">
        <v>105</v>
      </c>
      <c r="K537" s="1">
        <v>140</v>
      </c>
      <c r="L537" s="1">
        <v>95</v>
      </c>
      <c r="M537" s="1">
        <v>55</v>
      </c>
      <c r="N537" s="1">
        <v>65</v>
      </c>
      <c r="O537" s="1">
        <v>45</v>
      </c>
      <c r="P537" s="1" t="s">
        <v>82</v>
      </c>
      <c r="Q537" s="1" t="s">
        <v>82</v>
      </c>
      <c r="R537" s="1" t="s">
        <v>82</v>
      </c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</row>
    <row r="538" spans="2:35">
      <c r="B538" s="1">
        <v>535</v>
      </c>
      <c r="C538" s="1" t="s">
        <v>197</v>
      </c>
      <c r="D538" s="1" t="s">
        <v>1175</v>
      </c>
      <c r="E538" s="1" t="s">
        <v>754</v>
      </c>
      <c r="F538" s="1" t="s">
        <v>82</v>
      </c>
      <c r="G538" s="1">
        <v>255</v>
      </c>
      <c r="H538" s="1">
        <v>59</v>
      </c>
      <c r="I538" s="1">
        <v>294</v>
      </c>
      <c r="J538" s="1">
        <v>50</v>
      </c>
      <c r="K538" s="1">
        <v>50</v>
      </c>
      <c r="L538" s="1">
        <v>40</v>
      </c>
      <c r="M538" s="1">
        <v>50</v>
      </c>
      <c r="N538" s="1">
        <v>40</v>
      </c>
      <c r="O538" s="1">
        <v>64</v>
      </c>
      <c r="P538" s="1">
        <v>25</v>
      </c>
      <c r="Q538" s="1">
        <v>536</v>
      </c>
      <c r="R538" s="1" t="s">
        <v>1176</v>
      </c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</row>
    <row r="539" spans="2:35">
      <c r="B539" s="1">
        <v>536</v>
      </c>
      <c r="C539" s="1" t="s">
        <v>196</v>
      </c>
      <c r="D539" s="1" t="s">
        <v>1176</v>
      </c>
      <c r="E539" s="1" t="s">
        <v>754</v>
      </c>
      <c r="F539" s="1" t="s">
        <v>774</v>
      </c>
      <c r="G539" s="1">
        <v>120</v>
      </c>
      <c r="H539" s="1">
        <v>134</v>
      </c>
      <c r="I539" s="1">
        <v>384</v>
      </c>
      <c r="J539" s="1">
        <v>75</v>
      </c>
      <c r="K539" s="1">
        <v>65</v>
      </c>
      <c r="L539" s="1">
        <v>55</v>
      </c>
      <c r="M539" s="1">
        <v>65</v>
      </c>
      <c r="N539" s="1">
        <v>55</v>
      </c>
      <c r="O539" s="1">
        <v>69</v>
      </c>
      <c r="P539" s="1">
        <v>36</v>
      </c>
      <c r="Q539" s="1">
        <v>537</v>
      </c>
      <c r="R539" s="1" t="s">
        <v>1177</v>
      </c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</row>
    <row r="540" spans="2:35">
      <c r="B540" s="1">
        <v>537</v>
      </c>
      <c r="C540" s="1" t="s">
        <v>195</v>
      </c>
      <c r="D540" s="1" t="s">
        <v>1177</v>
      </c>
      <c r="E540" s="1" t="s">
        <v>754</v>
      </c>
      <c r="F540" s="1" t="s">
        <v>774</v>
      </c>
      <c r="G540" s="1">
        <v>45</v>
      </c>
      <c r="H540" s="1">
        <v>229</v>
      </c>
      <c r="I540" s="1">
        <v>509</v>
      </c>
      <c r="J540" s="1">
        <v>105</v>
      </c>
      <c r="K540" s="1">
        <v>95</v>
      </c>
      <c r="L540" s="1">
        <v>75</v>
      </c>
      <c r="M540" s="1">
        <v>85</v>
      </c>
      <c r="N540" s="1">
        <v>75</v>
      </c>
      <c r="O540" s="1">
        <v>74</v>
      </c>
      <c r="P540" s="1" t="s">
        <v>82</v>
      </c>
      <c r="Q540" s="1" t="s">
        <v>82</v>
      </c>
      <c r="R540" s="1" t="s">
        <v>82</v>
      </c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</row>
    <row r="541" spans="2:35">
      <c r="B541" s="1">
        <v>538</v>
      </c>
      <c r="C541" s="1" t="s">
        <v>194</v>
      </c>
      <c r="D541" s="1" t="s">
        <v>1178</v>
      </c>
      <c r="E541" s="1" t="s">
        <v>796</v>
      </c>
      <c r="F541" s="1" t="s">
        <v>82</v>
      </c>
      <c r="G541" s="1">
        <v>45</v>
      </c>
      <c r="H541" s="1">
        <v>163</v>
      </c>
      <c r="I541" s="1">
        <v>465</v>
      </c>
      <c r="J541" s="1">
        <v>120</v>
      </c>
      <c r="K541" s="1">
        <v>100</v>
      </c>
      <c r="L541" s="1">
        <v>85</v>
      </c>
      <c r="M541" s="1">
        <v>30</v>
      </c>
      <c r="N541" s="1">
        <v>85</v>
      </c>
      <c r="O541" s="1">
        <v>45</v>
      </c>
      <c r="P541" s="1" t="s">
        <v>82</v>
      </c>
      <c r="Q541" s="1" t="s">
        <v>82</v>
      </c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</row>
    <row r="542" spans="2:35">
      <c r="B542" s="1">
        <v>539</v>
      </c>
      <c r="C542" s="1" t="s">
        <v>193</v>
      </c>
      <c r="D542" s="1" t="s">
        <v>1179</v>
      </c>
      <c r="E542" s="1" t="s">
        <v>796</v>
      </c>
      <c r="F542" s="1" t="s">
        <v>82</v>
      </c>
      <c r="G542" s="1">
        <v>45</v>
      </c>
      <c r="H542" s="1">
        <v>163</v>
      </c>
      <c r="I542" s="1">
        <v>465</v>
      </c>
      <c r="J542" s="1">
        <v>75</v>
      </c>
      <c r="K542" s="1">
        <v>125</v>
      </c>
      <c r="L542" s="1">
        <v>75</v>
      </c>
      <c r="M542" s="1">
        <v>30</v>
      </c>
      <c r="N542" s="1">
        <v>75</v>
      </c>
      <c r="O542" s="1">
        <v>85</v>
      </c>
      <c r="P542" s="1" t="s">
        <v>82</v>
      </c>
      <c r="Q542" s="1" t="s">
        <v>82</v>
      </c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</row>
    <row r="543" spans="2:35">
      <c r="B543" s="1">
        <v>540</v>
      </c>
      <c r="C543" s="1" t="s">
        <v>192</v>
      </c>
      <c r="D543" s="1" t="s">
        <v>1180</v>
      </c>
      <c r="E543" s="1" t="s">
        <v>758</v>
      </c>
      <c r="F543" s="1" t="s">
        <v>743</v>
      </c>
      <c r="G543" s="1">
        <v>255</v>
      </c>
      <c r="H543" s="1">
        <v>62</v>
      </c>
      <c r="I543" s="1">
        <v>310</v>
      </c>
      <c r="J543" s="1">
        <v>45</v>
      </c>
      <c r="K543" s="1">
        <v>53</v>
      </c>
      <c r="L543" s="1">
        <v>70</v>
      </c>
      <c r="M543" s="1">
        <v>40</v>
      </c>
      <c r="N543" s="1">
        <v>60</v>
      </c>
      <c r="O543" s="1">
        <v>42</v>
      </c>
      <c r="P543" s="1">
        <v>20</v>
      </c>
      <c r="Q543" s="1">
        <v>541</v>
      </c>
      <c r="R543" s="1" t="s">
        <v>1181</v>
      </c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</row>
    <row r="544" spans="2:35">
      <c r="B544" s="1">
        <v>541</v>
      </c>
      <c r="C544" s="1" t="s">
        <v>191</v>
      </c>
      <c r="D544" s="1" t="s">
        <v>1181</v>
      </c>
      <c r="E544" s="1" t="s">
        <v>758</v>
      </c>
      <c r="F544" s="1" t="s">
        <v>743</v>
      </c>
      <c r="G544" s="1">
        <v>120</v>
      </c>
      <c r="H544" s="1">
        <v>133</v>
      </c>
      <c r="I544" s="1">
        <v>380</v>
      </c>
      <c r="J544" s="1">
        <v>55</v>
      </c>
      <c r="K544" s="1">
        <v>63</v>
      </c>
      <c r="L544" s="1">
        <v>90</v>
      </c>
      <c r="M544" s="1">
        <v>50</v>
      </c>
      <c r="N544" s="1">
        <v>80</v>
      </c>
      <c r="O544" s="1">
        <v>42</v>
      </c>
      <c r="P544" s="1">
        <v>30</v>
      </c>
      <c r="Q544" s="1">
        <v>542</v>
      </c>
      <c r="R544" s="1" t="s">
        <v>1182</v>
      </c>
      <c r="S544" s="1" t="b">
        <v>1</v>
      </c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</row>
    <row r="545" spans="2:35">
      <c r="B545" s="1">
        <v>542</v>
      </c>
      <c r="C545" s="1" t="s">
        <v>190</v>
      </c>
      <c r="D545" s="1" t="s">
        <v>1182</v>
      </c>
      <c r="E545" s="1" t="s">
        <v>758</v>
      </c>
      <c r="F545" s="1" t="s">
        <v>743</v>
      </c>
      <c r="G545" s="1">
        <v>45</v>
      </c>
      <c r="H545" s="1">
        <v>225</v>
      </c>
      <c r="I545" s="1">
        <v>500</v>
      </c>
      <c r="J545" s="1">
        <v>75</v>
      </c>
      <c r="K545" s="1">
        <v>103</v>
      </c>
      <c r="L545" s="1">
        <v>80</v>
      </c>
      <c r="M545" s="1">
        <v>70</v>
      </c>
      <c r="N545" s="1">
        <v>80</v>
      </c>
      <c r="O545" s="1">
        <v>92</v>
      </c>
      <c r="P545" s="1" t="s">
        <v>82</v>
      </c>
      <c r="Q545" s="1" t="s">
        <v>82</v>
      </c>
      <c r="R545" s="1" t="s">
        <v>82</v>
      </c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</row>
    <row r="546" spans="2:35">
      <c r="B546" s="1">
        <v>543</v>
      </c>
      <c r="C546" s="1" t="s">
        <v>189</v>
      </c>
      <c r="D546" s="1" t="s">
        <v>1183</v>
      </c>
      <c r="E546" s="1" t="s">
        <v>758</v>
      </c>
      <c r="F546" s="1" t="s">
        <v>744</v>
      </c>
      <c r="G546" s="1">
        <v>255</v>
      </c>
      <c r="H546" s="1">
        <v>52</v>
      </c>
      <c r="I546" s="1">
        <v>260</v>
      </c>
      <c r="J546" s="1">
        <v>30</v>
      </c>
      <c r="K546" s="1">
        <v>45</v>
      </c>
      <c r="L546" s="1">
        <v>59</v>
      </c>
      <c r="M546" s="1">
        <v>30</v>
      </c>
      <c r="N546" s="1">
        <v>39</v>
      </c>
      <c r="O546" s="1">
        <v>57</v>
      </c>
      <c r="P546" s="1">
        <v>22</v>
      </c>
      <c r="Q546" s="1">
        <v>544</v>
      </c>
      <c r="R546" s="1" t="s">
        <v>1184</v>
      </c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</row>
    <row r="547" spans="2:35">
      <c r="B547" s="1">
        <v>544</v>
      </c>
      <c r="C547" s="1" t="s">
        <v>188</v>
      </c>
      <c r="D547" s="1" t="s">
        <v>1184</v>
      </c>
      <c r="E547" s="1" t="s">
        <v>758</v>
      </c>
      <c r="F547" s="1" t="s">
        <v>744</v>
      </c>
      <c r="G547" s="1">
        <v>120</v>
      </c>
      <c r="H547" s="1">
        <v>126</v>
      </c>
      <c r="I547" s="1">
        <v>360</v>
      </c>
      <c r="J547" s="1">
        <v>40</v>
      </c>
      <c r="K547" s="1">
        <v>55</v>
      </c>
      <c r="L547" s="1">
        <v>99</v>
      </c>
      <c r="M547" s="1">
        <v>40</v>
      </c>
      <c r="N547" s="1">
        <v>79</v>
      </c>
      <c r="O547" s="1">
        <v>47</v>
      </c>
      <c r="P547" s="1">
        <v>30</v>
      </c>
      <c r="Q547" s="1">
        <v>545</v>
      </c>
      <c r="R547" s="1" t="s">
        <v>1185</v>
      </c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</row>
    <row r="548" spans="2:35">
      <c r="B548" s="1">
        <v>545</v>
      </c>
      <c r="C548" s="1" t="s">
        <v>187</v>
      </c>
      <c r="D548" s="1" t="s">
        <v>1185</v>
      </c>
      <c r="E548" s="1" t="s">
        <v>758</v>
      </c>
      <c r="F548" s="1" t="s">
        <v>744</v>
      </c>
      <c r="G548" s="1">
        <v>45</v>
      </c>
      <c r="H548" s="1">
        <v>218</v>
      </c>
      <c r="I548" s="1">
        <v>485</v>
      </c>
      <c r="J548" s="1">
        <v>60</v>
      </c>
      <c r="K548" s="1">
        <v>100</v>
      </c>
      <c r="L548" s="1">
        <v>89</v>
      </c>
      <c r="M548" s="1">
        <v>55</v>
      </c>
      <c r="N548" s="1">
        <v>69</v>
      </c>
      <c r="O548" s="1">
        <v>112</v>
      </c>
      <c r="P548" s="1" t="s">
        <v>82</v>
      </c>
      <c r="Q548" s="1" t="s">
        <v>82</v>
      </c>
      <c r="R548" s="1" t="s">
        <v>82</v>
      </c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</row>
    <row r="549" spans="2:35">
      <c r="B549" s="1">
        <v>546</v>
      </c>
      <c r="C549" s="1" t="s">
        <v>186</v>
      </c>
      <c r="D549" s="1" t="s">
        <v>1186</v>
      </c>
      <c r="E549" s="1" t="s">
        <v>743</v>
      </c>
      <c r="F549" s="1" t="s">
        <v>777</v>
      </c>
      <c r="G549" s="1">
        <v>190</v>
      </c>
      <c r="H549" s="1">
        <v>56</v>
      </c>
      <c r="I549" s="1">
        <v>280</v>
      </c>
      <c r="J549" s="1">
        <v>40</v>
      </c>
      <c r="K549" s="1">
        <v>27</v>
      </c>
      <c r="L549" s="1">
        <v>60</v>
      </c>
      <c r="M549" s="1">
        <v>37</v>
      </c>
      <c r="N549" s="1">
        <v>50</v>
      </c>
      <c r="O549" s="1">
        <v>66</v>
      </c>
      <c r="P549" s="1">
        <v>30</v>
      </c>
      <c r="Q549" s="1">
        <v>547</v>
      </c>
      <c r="R549" s="1" t="s">
        <v>1187</v>
      </c>
      <c r="S549" s="1" t="b">
        <v>1</v>
      </c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</row>
    <row r="550" spans="2:35">
      <c r="B550" s="1">
        <v>547</v>
      </c>
      <c r="C550" s="1" t="s">
        <v>185</v>
      </c>
      <c r="D550" s="1" t="s">
        <v>1187</v>
      </c>
      <c r="E550" s="1" t="s">
        <v>743</v>
      </c>
      <c r="F550" s="1" t="s">
        <v>777</v>
      </c>
      <c r="G550" s="1">
        <v>75</v>
      </c>
      <c r="H550" s="1">
        <v>168</v>
      </c>
      <c r="I550" s="1">
        <v>480</v>
      </c>
      <c r="J550" s="1">
        <v>60</v>
      </c>
      <c r="K550" s="1">
        <v>67</v>
      </c>
      <c r="L550" s="1">
        <v>85</v>
      </c>
      <c r="M550" s="1">
        <v>77</v>
      </c>
      <c r="N550" s="1">
        <v>75</v>
      </c>
      <c r="O550" s="1">
        <v>116</v>
      </c>
      <c r="P550" s="1" t="s">
        <v>82</v>
      </c>
      <c r="Q550" s="1" t="s">
        <v>82</v>
      </c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</row>
    <row r="551" spans="2:35">
      <c r="B551" s="1">
        <v>548</v>
      </c>
      <c r="C551" s="1" t="s">
        <v>184</v>
      </c>
      <c r="D551" s="1" t="s">
        <v>1188</v>
      </c>
      <c r="E551" s="1" t="s">
        <v>743</v>
      </c>
      <c r="F551" s="1" t="s">
        <v>82</v>
      </c>
      <c r="G551" s="1">
        <v>190</v>
      </c>
      <c r="H551" s="1">
        <v>56</v>
      </c>
      <c r="I551" s="1">
        <v>280</v>
      </c>
      <c r="J551" s="1">
        <v>45</v>
      </c>
      <c r="K551" s="1">
        <v>35</v>
      </c>
      <c r="L551" s="1">
        <v>50</v>
      </c>
      <c r="M551" s="1">
        <v>70</v>
      </c>
      <c r="N551" s="1">
        <v>50</v>
      </c>
      <c r="O551" s="1">
        <v>30</v>
      </c>
      <c r="P551" s="1">
        <v>15</v>
      </c>
      <c r="Q551" s="1">
        <v>549</v>
      </c>
      <c r="R551" s="1" t="s">
        <v>1189</v>
      </c>
      <c r="S551" s="1" t="b">
        <v>1</v>
      </c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</row>
    <row r="552" spans="2:35">
      <c r="B552" s="1">
        <v>549</v>
      </c>
      <c r="C552" s="1" t="s">
        <v>183</v>
      </c>
      <c r="D552" s="1" t="s">
        <v>1189</v>
      </c>
      <c r="E552" s="1" t="s">
        <v>743</v>
      </c>
      <c r="F552" s="1" t="s">
        <v>82</v>
      </c>
      <c r="G552" s="1">
        <v>75</v>
      </c>
      <c r="H552" s="1">
        <v>168</v>
      </c>
      <c r="I552" s="1">
        <v>480</v>
      </c>
      <c r="J552" s="1">
        <v>70</v>
      </c>
      <c r="K552" s="1">
        <v>60</v>
      </c>
      <c r="L552" s="1">
        <v>75</v>
      </c>
      <c r="M552" s="1">
        <v>110</v>
      </c>
      <c r="N552" s="1">
        <v>75</v>
      </c>
      <c r="O552" s="1">
        <v>90</v>
      </c>
      <c r="P552" s="1" t="s">
        <v>82</v>
      </c>
      <c r="Q552" s="1" t="s">
        <v>82</v>
      </c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</row>
    <row r="553" spans="2:35">
      <c r="B553" s="1">
        <v>550</v>
      </c>
      <c r="C553" s="1" t="s">
        <v>182</v>
      </c>
      <c r="D553" s="1" t="s">
        <v>1190</v>
      </c>
      <c r="E553" s="1" t="s">
        <v>754</v>
      </c>
      <c r="F553" s="1" t="s">
        <v>82</v>
      </c>
      <c r="G553" s="1">
        <v>25</v>
      </c>
      <c r="H553" s="1">
        <v>161</v>
      </c>
      <c r="I553" s="1">
        <v>460</v>
      </c>
      <c r="J553" s="1">
        <v>70</v>
      </c>
      <c r="K553" s="1">
        <v>92</v>
      </c>
      <c r="L553" s="1">
        <v>65</v>
      </c>
      <c r="M553" s="1">
        <v>80</v>
      </c>
      <c r="N553" s="1">
        <v>55</v>
      </c>
      <c r="O553" s="1">
        <v>98</v>
      </c>
      <c r="P553" s="1" t="s">
        <v>82</v>
      </c>
      <c r="Q553" s="1" t="s">
        <v>82</v>
      </c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</row>
    <row r="554" spans="2:35">
      <c r="B554" s="1">
        <v>551</v>
      </c>
      <c r="C554" s="1" t="s">
        <v>181</v>
      </c>
      <c r="D554" s="1" t="s">
        <v>1191</v>
      </c>
      <c r="E554" s="1" t="s">
        <v>774</v>
      </c>
      <c r="F554" s="1" t="s">
        <v>864</v>
      </c>
      <c r="G554" s="1">
        <v>180</v>
      </c>
      <c r="H554" s="1">
        <v>58</v>
      </c>
      <c r="I554" s="1">
        <v>292</v>
      </c>
      <c r="J554" s="1">
        <v>50</v>
      </c>
      <c r="K554" s="1">
        <v>72</v>
      </c>
      <c r="L554" s="1">
        <v>35</v>
      </c>
      <c r="M554" s="1">
        <v>35</v>
      </c>
      <c r="N554" s="1">
        <v>35</v>
      </c>
      <c r="O554" s="1">
        <v>65</v>
      </c>
      <c r="P554" s="1">
        <v>29</v>
      </c>
      <c r="Q554" s="1">
        <v>552</v>
      </c>
      <c r="R554" s="1" t="s">
        <v>1192</v>
      </c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</row>
    <row r="555" spans="2:35">
      <c r="B555" s="1">
        <v>552</v>
      </c>
      <c r="C555" s="1" t="s">
        <v>180</v>
      </c>
      <c r="D555" s="1" t="s">
        <v>1192</v>
      </c>
      <c r="E555" s="1" t="s">
        <v>774</v>
      </c>
      <c r="F555" s="1" t="s">
        <v>864</v>
      </c>
      <c r="G555" s="1">
        <v>90</v>
      </c>
      <c r="H555" s="1">
        <v>123</v>
      </c>
      <c r="I555" s="1">
        <v>351</v>
      </c>
      <c r="J555" s="1">
        <v>60</v>
      </c>
      <c r="K555" s="1">
        <v>82</v>
      </c>
      <c r="L555" s="1">
        <v>45</v>
      </c>
      <c r="M555" s="1">
        <v>45</v>
      </c>
      <c r="N555" s="1">
        <v>45</v>
      </c>
      <c r="O555" s="1">
        <v>74</v>
      </c>
      <c r="P555" s="1">
        <v>40</v>
      </c>
      <c r="Q555" s="1">
        <v>553</v>
      </c>
      <c r="R555" s="1" t="s">
        <v>1193</v>
      </c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</row>
    <row r="556" spans="2:35">
      <c r="B556" s="1">
        <v>553</v>
      </c>
      <c r="C556" s="1" t="s">
        <v>179</v>
      </c>
      <c r="D556" s="1" t="s">
        <v>1193</v>
      </c>
      <c r="E556" s="1" t="s">
        <v>774</v>
      </c>
      <c r="F556" s="1" t="s">
        <v>864</v>
      </c>
      <c r="G556" s="1">
        <v>45</v>
      </c>
      <c r="H556" s="1">
        <v>234</v>
      </c>
      <c r="I556" s="1">
        <v>519</v>
      </c>
      <c r="J556" s="1">
        <v>95</v>
      </c>
      <c r="K556" s="1">
        <v>117</v>
      </c>
      <c r="L556" s="1">
        <v>80</v>
      </c>
      <c r="M556" s="1">
        <v>65</v>
      </c>
      <c r="N556" s="1">
        <v>70</v>
      </c>
      <c r="O556" s="1">
        <v>92</v>
      </c>
      <c r="P556" s="1" t="s">
        <v>82</v>
      </c>
      <c r="Q556" s="1" t="s">
        <v>82</v>
      </c>
      <c r="R556" s="1" t="s">
        <v>82</v>
      </c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</row>
    <row r="557" spans="2:35">
      <c r="B557" s="1">
        <v>554</v>
      </c>
      <c r="C557" s="1" t="s">
        <v>178</v>
      </c>
      <c r="D557" s="1" t="s">
        <v>1194</v>
      </c>
      <c r="E557" s="1" t="s">
        <v>748</v>
      </c>
      <c r="F557" s="1" t="s">
        <v>82</v>
      </c>
      <c r="G557" s="1">
        <v>120</v>
      </c>
      <c r="H557" s="1">
        <v>63</v>
      </c>
      <c r="I557" s="1">
        <v>315</v>
      </c>
      <c r="J557" s="1">
        <v>70</v>
      </c>
      <c r="K557" s="1">
        <v>90</v>
      </c>
      <c r="L557" s="1">
        <v>45</v>
      </c>
      <c r="M557" s="1">
        <v>15</v>
      </c>
      <c r="N557" s="1">
        <v>45</v>
      </c>
      <c r="O557" s="1">
        <v>50</v>
      </c>
      <c r="P557" s="1">
        <v>35</v>
      </c>
      <c r="Q557" s="1">
        <v>555</v>
      </c>
      <c r="R557" s="1" t="s">
        <v>1288</v>
      </c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</row>
    <row r="558" spans="2:35">
      <c r="B558" s="1">
        <v>555</v>
      </c>
      <c r="C558" s="1" t="s">
        <v>177</v>
      </c>
      <c r="D558" s="1" t="s">
        <v>1288</v>
      </c>
      <c r="E558" s="1" t="s">
        <v>748</v>
      </c>
      <c r="F558" s="1" t="s">
        <v>82</v>
      </c>
      <c r="G558" s="1">
        <v>60</v>
      </c>
      <c r="H558" s="1">
        <v>168</v>
      </c>
      <c r="I558" s="1">
        <v>480</v>
      </c>
      <c r="J558" s="1">
        <v>105</v>
      </c>
      <c r="K558" s="1">
        <v>140</v>
      </c>
      <c r="L558" s="1">
        <v>55</v>
      </c>
      <c r="M558" s="1">
        <v>30</v>
      </c>
      <c r="N558" s="1">
        <v>55</v>
      </c>
      <c r="O558" s="1">
        <v>95</v>
      </c>
      <c r="P558" s="1" t="s">
        <v>82</v>
      </c>
      <c r="Q558" s="1" t="s">
        <v>82</v>
      </c>
      <c r="R558" s="1" t="s">
        <v>82</v>
      </c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</row>
    <row r="559" spans="2:35">
      <c r="B559" s="1">
        <v>556</v>
      </c>
      <c r="C559" s="1" t="s">
        <v>176</v>
      </c>
      <c r="D559" s="1" t="s">
        <v>1195</v>
      </c>
      <c r="E559" s="1" t="s">
        <v>743</v>
      </c>
      <c r="F559" s="1" t="s">
        <v>82</v>
      </c>
      <c r="G559" s="1">
        <v>255</v>
      </c>
      <c r="H559" s="1">
        <v>161</v>
      </c>
      <c r="I559" s="1">
        <v>461</v>
      </c>
      <c r="J559" s="1">
        <v>75</v>
      </c>
      <c r="K559" s="1">
        <v>86</v>
      </c>
      <c r="L559" s="1">
        <v>67</v>
      </c>
      <c r="M559" s="1">
        <v>106</v>
      </c>
      <c r="N559" s="1">
        <v>67</v>
      </c>
      <c r="O559" s="1">
        <v>60</v>
      </c>
      <c r="P559" s="1" t="s">
        <v>82</v>
      </c>
      <c r="Q559" s="1" t="s">
        <v>82</v>
      </c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</row>
    <row r="560" spans="2:35">
      <c r="B560" s="1">
        <v>557</v>
      </c>
      <c r="C560" s="1" t="s">
        <v>175</v>
      </c>
      <c r="D560" s="1" t="s">
        <v>1196</v>
      </c>
      <c r="E560" s="1" t="s">
        <v>758</v>
      </c>
      <c r="F560" s="1" t="s">
        <v>811</v>
      </c>
      <c r="G560" s="1">
        <v>190</v>
      </c>
      <c r="H560" s="1">
        <v>65</v>
      </c>
      <c r="I560" s="1">
        <v>325</v>
      </c>
      <c r="J560" s="1">
        <v>50</v>
      </c>
      <c r="K560" s="1">
        <v>65</v>
      </c>
      <c r="L560" s="1">
        <v>85</v>
      </c>
      <c r="M560" s="1">
        <v>35</v>
      </c>
      <c r="N560" s="1">
        <v>35</v>
      </c>
      <c r="O560" s="1">
        <v>55</v>
      </c>
      <c r="P560" s="1">
        <v>34</v>
      </c>
      <c r="Q560" s="1">
        <v>558</v>
      </c>
      <c r="R560" s="1" t="s">
        <v>1197</v>
      </c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</row>
    <row r="561" spans="2:35">
      <c r="B561" s="1">
        <v>558</v>
      </c>
      <c r="C561" s="1" t="s">
        <v>174</v>
      </c>
      <c r="D561" s="1" t="s">
        <v>1197</v>
      </c>
      <c r="E561" s="1" t="s">
        <v>758</v>
      </c>
      <c r="F561" s="1" t="s">
        <v>811</v>
      </c>
      <c r="G561" s="1">
        <v>75</v>
      </c>
      <c r="H561" s="1">
        <v>170</v>
      </c>
      <c r="I561" s="1">
        <v>475</v>
      </c>
      <c r="J561" s="1">
        <v>70</v>
      </c>
      <c r="K561" s="1">
        <v>95</v>
      </c>
      <c r="L561" s="1">
        <v>125</v>
      </c>
      <c r="M561" s="1">
        <v>65</v>
      </c>
      <c r="N561" s="1">
        <v>75</v>
      </c>
      <c r="O561" s="1">
        <v>45</v>
      </c>
      <c r="P561" s="1" t="s">
        <v>82</v>
      </c>
      <c r="Q561" s="1" t="s">
        <v>82</v>
      </c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</row>
    <row r="562" spans="2:35">
      <c r="B562" s="1">
        <v>559</v>
      </c>
      <c r="C562" s="1" t="s">
        <v>173</v>
      </c>
      <c r="D562" s="1" t="s">
        <v>1198</v>
      </c>
      <c r="E562" s="1" t="s">
        <v>864</v>
      </c>
      <c r="F562" s="1" t="s">
        <v>796</v>
      </c>
      <c r="G562" s="1">
        <v>180</v>
      </c>
      <c r="H562" s="1">
        <v>70</v>
      </c>
      <c r="I562" s="1">
        <v>348</v>
      </c>
      <c r="J562" s="1">
        <v>50</v>
      </c>
      <c r="K562" s="1">
        <v>75</v>
      </c>
      <c r="L562" s="1">
        <v>70</v>
      </c>
      <c r="M562" s="1">
        <v>35</v>
      </c>
      <c r="N562" s="1">
        <v>70</v>
      </c>
      <c r="O562" s="1">
        <v>48</v>
      </c>
      <c r="P562" s="1">
        <v>39</v>
      </c>
      <c r="Q562" s="1">
        <v>560</v>
      </c>
      <c r="R562" s="1" t="s">
        <v>1199</v>
      </c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</row>
    <row r="563" spans="2:35">
      <c r="B563" s="1">
        <v>560</v>
      </c>
      <c r="C563" s="1" t="s">
        <v>172</v>
      </c>
      <c r="D563" s="1" t="s">
        <v>1199</v>
      </c>
      <c r="E563" s="1" t="s">
        <v>864</v>
      </c>
      <c r="F563" s="1" t="s">
        <v>796</v>
      </c>
      <c r="G563" s="1">
        <v>90</v>
      </c>
      <c r="H563" s="1">
        <v>171</v>
      </c>
      <c r="I563" s="1">
        <v>488</v>
      </c>
      <c r="J563" s="1">
        <v>65</v>
      </c>
      <c r="K563" s="1">
        <v>90</v>
      </c>
      <c r="L563" s="1">
        <v>115</v>
      </c>
      <c r="M563" s="1">
        <v>45</v>
      </c>
      <c r="N563" s="1">
        <v>115</v>
      </c>
      <c r="O563" s="1">
        <v>58</v>
      </c>
      <c r="P563" s="1" t="s">
        <v>82</v>
      </c>
      <c r="Q563" s="1" t="s">
        <v>82</v>
      </c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</row>
    <row r="564" spans="2:35">
      <c r="B564" s="1">
        <v>561</v>
      </c>
      <c r="C564" s="1" t="s">
        <v>171</v>
      </c>
      <c r="D564" s="1" t="s">
        <v>1200</v>
      </c>
      <c r="E564" s="1" t="s">
        <v>803</v>
      </c>
      <c r="F564" s="1" t="s">
        <v>751</v>
      </c>
      <c r="G564" s="1">
        <v>45</v>
      </c>
      <c r="H564" s="1">
        <v>172</v>
      </c>
      <c r="I564" s="1">
        <v>490</v>
      </c>
      <c r="J564" s="1">
        <v>72</v>
      </c>
      <c r="K564" s="1">
        <v>58</v>
      </c>
      <c r="L564" s="1">
        <v>80</v>
      </c>
      <c r="M564" s="1">
        <v>103</v>
      </c>
      <c r="N564" s="1">
        <v>80</v>
      </c>
      <c r="O564" s="1">
        <v>97</v>
      </c>
      <c r="P564" s="1" t="s">
        <v>82</v>
      </c>
      <c r="Q564" s="1" t="s">
        <v>82</v>
      </c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</row>
    <row r="565" spans="2:35">
      <c r="B565" s="1">
        <v>562</v>
      </c>
      <c r="C565" s="1" t="s">
        <v>170</v>
      </c>
      <c r="D565" s="1" t="s">
        <v>1201</v>
      </c>
      <c r="E565" s="1" t="s">
        <v>829</v>
      </c>
      <c r="F565" s="1" t="s">
        <v>82</v>
      </c>
      <c r="G565" s="1">
        <v>190</v>
      </c>
      <c r="H565" s="1">
        <v>61</v>
      </c>
      <c r="I565" s="1">
        <v>303</v>
      </c>
      <c r="J565" s="1">
        <v>38</v>
      </c>
      <c r="K565" s="1">
        <v>30</v>
      </c>
      <c r="L565" s="1">
        <v>85</v>
      </c>
      <c r="M565" s="1">
        <v>55</v>
      </c>
      <c r="N565" s="1">
        <v>65</v>
      </c>
      <c r="O565" s="1">
        <v>30</v>
      </c>
      <c r="P565" s="1">
        <v>34</v>
      </c>
      <c r="Q565" s="1">
        <v>563</v>
      </c>
      <c r="R565" s="1" t="s">
        <v>1202</v>
      </c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</row>
    <row r="566" spans="2:35">
      <c r="B566" s="1">
        <v>563</v>
      </c>
      <c r="C566" s="1" t="s">
        <v>169</v>
      </c>
      <c r="D566" s="1" t="s">
        <v>1202</v>
      </c>
      <c r="E566" s="1" t="s">
        <v>829</v>
      </c>
      <c r="F566" s="1" t="s">
        <v>82</v>
      </c>
      <c r="G566" s="1">
        <v>90</v>
      </c>
      <c r="H566" s="1">
        <v>169</v>
      </c>
      <c r="I566" s="1">
        <v>483</v>
      </c>
      <c r="J566" s="1">
        <v>58</v>
      </c>
      <c r="K566" s="1">
        <v>50</v>
      </c>
      <c r="L566" s="1">
        <v>145</v>
      </c>
      <c r="M566" s="1">
        <v>95</v>
      </c>
      <c r="N566" s="1">
        <v>105</v>
      </c>
      <c r="O566" s="1">
        <v>30</v>
      </c>
      <c r="P566" s="1" t="s">
        <v>82</v>
      </c>
      <c r="Q566" s="1" t="s">
        <v>82</v>
      </c>
      <c r="R566" s="1" t="s">
        <v>82</v>
      </c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</row>
    <row r="567" spans="2:35">
      <c r="B567" s="1">
        <v>564</v>
      </c>
      <c r="C567" s="1" t="s">
        <v>168</v>
      </c>
      <c r="D567" s="1" t="s">
        <v>1203</v>
      </c>
      <c r="E567" s="1" t="s">
        <v>754</v>
      </c>
      <c r="F567" s="1" t="s">
        <v>811</v>
      </c>
      <c r="G567" s="1">
        <v>45</v>
      </c>
      <c r="H567" s="1">
        <v>71</v>
      </c>
      <c r="I567" s="1">
        <v>355</v>
      </c>
      <c r="J567" s="1">
        <v>54</v>
      </c>
      <c r="K567" s="1">
        <v>78</v>
      </c>
      <c r="L567" s="1">
        <v>103</v>
      </c>
      <c r="M567" s="1">
        <v>53</v>
      </c>
      <c r="N567" s="1">
        <v>45</v>
      </c>
      <c r="O567" s="1">
        <v>22</v>
      </c>
      <c r="P567" s="1">
        <v>37</v>
      </c>
      <c r="Q567" s="1">
        <v>565</v>
      </c>
      <c r="R567" s="1" t="s">
        <v>1204</v>
      </c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</row>
    <row r="568" spans="2:35">
      <c r="B568" s="1">
        <v>565</v>
      </c>
      <c r="C568" s="1" t="s">
        <v>167</v>
      </c>
      <c r="D568" s="1" t="s">
        <v>1204</v>
      </c>
      <c r="E568" s="1" t="s">
        <v>754</v>
      </c>
      <c r="F568" s="1" t="s">
        <v>811</v>
      </c>
      <c r="G568" s="1">
        <v>45</v>
      </c>
      <c r="H568" s="1">
        <v>173</v>
      </c>
      <c r="I568" s="1">
        <v>495</v>
      </c>
      <c r="J568" s="1">
        <v>74</v>
      </c>
      <c r="K568" s="1">
        <v>108</v>
      </c>
      <c r="L568" s="1">
        <v>133</v>
      </c>
      <c r="M568" s="1">
        <v>83</v>
      </c>
      <c r="N568" s="1">
        <v>65</v>
      </c>
      <c r="O568" s="1">
        <v>32</v>
      </c>
      <c r="P568" s="1" t="s">
        <v>82</v>
      </c>
      <c r="Q568" s="1" t="s">
        <v>82</v>
      </c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</row>
    <row r="569" spans="2:35">
      <c r="B569" s="1">
        <v>566</v>
      </c>
      <c r="C569" s="1" t="s">
        <v>166</v>
      </c>
      <c r="D569" s="1" t="s">
        <v>1205</v>
      </c>
      <c r="E569" s="1" t="s">
        <v>811</v>
      </c>
      <c r="F569" s="1" t="s">
        <v>751</v>
      </c>
      <c r="G569" s="1">
        <v>45</v>
      </c>
      <c r="H569" s="1">
        <v>71</v>
      </c>
      <c r="I569" s="1">
        <v>401</v>
      </c>
      <c r="J569" s="1">
        <v>55</v>
      </c>
      <c r="K569" s="1">
        <v>112</v>
      </c>
      <c r="L569" s="1">
        <v>45</v>
      </c>
      <c r="M569" s="1">
        <v>74</v>
      </c>
      <c r="N569" s="1">
        <v>45</v>
      </c>
      <c r="O569" s="1">
        <v>70</v>
      </c>
      <c r="P569" s="1">
        <v>37</v>
      </c>
      <c r="Q569" s="1">
        <v>567</v>
      </c>
      <c r="R569" s="1" t="s">
        <v>1206</v>
      </c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</row>
    <row r="570" spans="2:35">
      <c r="B570" s="1">
        <v>567</v>
      </c>
      <c r="C570" s="1" t="s">
        <v>165</v>
      </c>
      <c r="D570" s="1" t="s">
        <v>1206</v>
      </c>
      <c r="E570" s="1" t="s">
        <v>811</v>
      </c>
      <c r="F570" s="1" t="s">
        <v>751</v>
      </c>
      <c r="G570" s="1">
        <v>45</v>
      </c>
      <c r="H570" s="1">
        <v>177</v>
      </c>
      <c r="I570" s="1">
        <v>567</v>
      </c>
      <c r="J570" s="1">
        <v>75</v>
      </c>
      <c r="K570" s="1">
        <v>140</v>
      </c>
      <c r="L570" s="1">
        <v>65</v>
      </c>
      <c r="M570" s="1">
        <v>112</v>
      </c>
      <c r="N570" s="1">
        <v>65</v>
      </c>
      <c r="O570" s="1">
        <v>110</v>
      </c>
      <c r="P570" s="1" t="s">
        <v>82</v>
      </c>
      <c r="Q570" s="1" t="s">
        <v>82</v>
      </c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</row>
    <row r="571" spans="2:35">
      <c r="B571" s="1">
        <v>568</v>
      </c>
      <c r="C571" s="1" t="s">
        <v>164</v>
      </c>
      <c r="D571" s="1" t="s">
        <v>1207</v>
      </c>
      <c r="E571" s="1" t="s">
        <v>744</v>
      </c>
      <c r="F571" s="1" t="s">
        <v>82</v>
      </c>
      <c r="G571" s="1">
        <v>190</v>
      </c>
      <c r="H571" s="1">
        <v>66</v>
      </c>
      <c r="I571" s="1">
        <v>329</v>
      </c>
      <c r="J571" s="1">
        <v>50</v>
      </c>
      <c r="K571" s="1">
        <v>50</v>
      </c>
      <c r="L571" s="1">
        <v>62</v>
      </c>
      <c r="M571" s="1">
        <v>40</v>
      </c>
      <c r="N571" s="1">
        <v>62</v>
      </c>
      <c r="O571" s="1">
        <v>65</v>
      </c>
      <c r="P571" s="1">
        <v>36</v>
      </c>
      <c r="Q571" s="1">
        <v>569</v>
      </c>
      <c r="R571" s="1" t="s">
        <v>1208</v>
      </c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</row>
    <row r="572" spans="2:35">
      <c r="B572" s="1">
        <v>569</v>
      </c>
      <c r="C572" s="1" t="s">
        <v>163</v>
      </c>
      <c r="D572" s="1" t="s">
        <v>1208</v>
      </c>
      <c r="E572" s="1" t="s">
        <v>744</v>
      </c>
      <c r="F572" s="1" t="s">
        <v>82</v>
      </c>
      <c r="G572" s="1">
        <v>60</v>
      </c>
      <c r="H572" s="1">
        <v>166</v>
      </c>
      <c r="I572" s="1">
        <v>474</v>
      </c>
      <c r="J572" s="1">
        <v>80</v>
      </c>
      <c r="K572" s="1">
        <v>95</v>
      </c>
      <c r="L572" s="1">
        <v>82</v>
      </c>
      <c r="M572" s="1">
        <v>60</v>
      </c>
      <c r="N572" s="1">
        <v>82</v>
      </c>
      <c r="O572" s="1">
        <v>75</v>
      </c>
      <c r="P572" s="1" t="s">
        <v>82</v>
      </c>
      <c r="Q572" s="1" t="s">
        <v>82</v>
      </c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</row>
    <row r="573" spans="2:35">
      <c r="B573" s="1">
        <v>570</v>
      </c>
      <c r="C573" s="1" t="s">
        <v>162</v>
      </c>
      <c r="D573" s="1" t="s">
        <v>162</v>
      </c>
      <c r="E573" s="1" t="s">
        <v>864</v>
      </c>
      <c r="F573" s="1" t="s">
        <v>82</v>
      </c>
      <c r="G573" s="1">
        <v>75</v>
      </c>
      <c r="H573" s="1">
        <v>66</v>
      </c>
      <c r="I573" s="1">
        <v>330</v>
      </c>
      <c r="J573" s="1">
        <v>40</v>
      </c>
      <c r="K573" s="1">
        <v>65</v>
      </c>
      <c r="L573" s="1">
        <v>40</v>
      </c>
      <c r="M573" s="1">
        <v>80</v>
      </c>
      <c r="N573" s="1">
        <v>40</v>
      </c>
      <c r="O573" s="1">
        <v>65</v>
      </c>
      <c r="P573" s="1">
        <v>30</v>
      </c>
      <c r="Q573" s="1">
        <v>571</v>
      </c>
      <c r="R573" s="1" t="s">
        <v>161</v>
      </c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</row>
    <row r="574" spans="2:35">
      <c r="B574" s="1">
        <v>571</v>
      </c>
      <c r="C574" s="1" t="s">
        <v>161</v>
      </c>
      <c r="D574" s="1" t="s">
        <v>161</v>
      </c>
      <c r="E574" s="1" t="s">
        <v>864</v>
      </c>
      <c r="F574" s="1" t="s">
        <v>82</v>
      </c>
      <c r="G574" s="1">
        <v>45</v>
      </c>
      <c r="H574" s="1">
        <v>179</v>
      </c>
      <c r="I574" s="1">
        <v>510</v>
      </c>
      <c r="J574" s="1">
        <v>60</v>
      </c>
      <c r="K574" s="1">
        <v>105</v>
      </c>
      <c r="L574" s="1">
        <v>60</v>
      </c>
      <c r="M574" s="1">
        <v>120</v>
      </c>
      <c r="N574" s="1">
        <v>60</v>
      </c>
      <c r="O574" s="1">
        <v>105</v>
      </c>
      <c r="P574" s="1" t="s">
        <v>82</v>
      </c>
      <c r="Q574" s="1" t="s">
        <v>82</v>
      </c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</row>
    <row r="575" spans="2:35">
      <c r="B575" s="1">
        <v>572</v>
      </c>
      <c r="C575" s="1" t="s">
        <v>160</v>
      </c>
      <c r="D575" s="1" t="s">
        <v>1209</v>
      </c>
      <c r="E575" s="1" t="s">
        <v>765</v>
      </c>
      <c r="F575" s="1" t="s">
        <v>82</v>
      </c>
      <c r="G575" s="1">
        <v>255</v>
      </c>
      <c r="H575" s="1">
        <v>60</v>
      </c>
      <c r="I575" s="1">
        <v>300</v>
      </c>
      <c r="J575" s="1">
        <v>55</v>
      </c>
      <c r="K575" s="1">
        <v>50</v>
      </c>
      <c r="L575" s="1">
        <v>40</v>
      </c>
      <c r="M575" s="1">
        <v>40</v>
      </c>
      <c r="N575" s="1">
        <v>40</v>
      </c>
      <c r="O575" s="1">
        <v>75</v>
      </c>
      <c r="P575" s="1">
        <v>15</v>
      </c>
      <c r="Q575" s="1">
        <v>573</v>
      </c>
      <c r="R575" s="1" t="s">
        <v>1210</v>
      </c>
      <c r="S575" s="1" t="b">
        <v>1</v>
      </c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</row>
    <row r="576" spans="2:35">
      <c r="B576" s="1">
        <v>573</v>
      </c>
      <c r="C576" s="1" t="s">
        <v>159</v>
      </c>
      <c r="D576" s="1" t="s">
        <v>1210</v>
      </c>
      <c r="E576" s="1" t="s">
        <v>765</v>
      </c>
      <c r="F576" s="1" t="s">
        <v>82</v>
      </c>
      <c r="G576" s="1">
        <v>60</v>
      </c>
      <c r="H576" s="1">
        <v>165</v>
      </c>
      <c r="I576" s="1">
        <v>470</v>
      </c>
      <c r="J576" s="1">
        <v>75</v>
      </c>
      <c r="K576" s="1">
        <v>95</v>
      </c>
      <c r="L576" s="1">
        <v>60</v>
      </c>
      <c r="M576" s="1">
        <v>65</v>
      </c>
      <c r="N576" s="1">
        <v>60</v>
      </c>
      <c r="O576" s="1">
        <v>115</v>
      </c>
      <c r="P576" s="1" t="s">
        <v>82</v>
      </c>
      <c r="Q576" s="1" t="s">
        <v>82</v>
      </c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</row>
    <row r="577" spans="2:35">
      <c r="B577" s="1">
        <v>574</v>
      </c>
      <c r="C577" s="1" t="s">
        <v>158</v>
      </c>
      <c r="D577" s="1" t="s">
        <v>1211</v>
      </c>
      <c r="E577" s="1" t="s">
        <v>803</v>
      </c>
      <c r="F577" s="1" t="s">
        <v>82</v>
      </c>
      <c r="G577" s="1">
        <v>200</v>
      </c>
      <c r="H577" s="1">
        <v>58</v>
      </c>
      <c r="I577" s="1">
        <v>290</v>
      </c>
      <c r="J577" s="1">
        <v>45</v>
      </c>
      <c r="K577" s="1">
        <v>30</v>
      </c>
      <c r="L577" s="1">
        <v>50</v>
      </c>
      <c r="M577" s="1">
        <v>55</v>
      </c>
      <c r="N577" s="1">
        <v>65</v>
      </c>
      <c r="O577" s="1">
        <v>45</v>
      </c>
      <c r="P577" s="1">
        <v>32</v>
      </c>
      <c r="Q577" s="1">
        <v>575</v>
      </c>
      <c r="R577" s="1" t="s">
        <v>1212</v>
      </c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</row>
    <row r="578" spans="2:35">
      <c r="B578" s="1">
        <v>575</v>
      </c>
      <c r="C578" s="1" t="s">
        <v>157</v>
      </c>
      <c r="D578" s="1" t="s">
        <v>1212</v>
      </c>
      <c r="E578" s="1" t="s">
        <v>803</v>
      </c>
      <c r="F578" s="1" t="s">
        <v>82</v>
      </c>
      <c r="G578" s="1">
        <v>100</v>
      </c>
      <c r="H578" s="1">
        <v>137</v>
      </c>
      <c r="I578" s="1">
        <v>390</v>
      </c>
      <c r="J578" s="1">
        <v>60</v>
      </c>
      <c r="K578" s="1">
        <v>45</v>
      </c>
      <c r="L578" s="1">
        <v>70</v>
      </c>
      <c r="M578" s="1">
        <v>75</v>
      </c>
      <c r="N578" s="1">
        <v>85</v>
      </c>
      <c r="O578" s="1">
        <v>55</v>
      </c>
      <c r="P578" s="1">
        <v>41</v>
      </c>
      <c r="Q578" s="1">
        <v>576</v>
      </c>
      <c r="R578" s="1" t="s">
        <v>1213</v>
      </c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</row>
    <row r="579" spans="2:35">
      <c r="B579" s="1">
        <v>576</v>
      </c>
      <c r="C579" s="1" t="s">
        <v>156</v>
      </c>
      <c r="D579" s="1" t="s">
        <v>1213</v>
      </c>
      <c r="E579" s="1" t="s">
        <v>803</v>
      </c>
      <c r="F579" s="1" t="s">
        <v>82</v>
      </c>
      <c r="G579" s="1">
        <v>50</v>
      </c>
      <c r="H579" s="1">
        <v>221</v>
      </c>
      <c r="I579" s="1">
        <v>490</v>
      </c>
      <c r="J579" s="1">
        <v>70</v>
      </c>
      <c r="K579" s="1">
        <v>55</v>
      </c>
      <c r="L579" s="1">
        <v>95</v>
      </c>
      <c r="M579" s="1">
        <v>95</v>
      </c>
      <c r="N579" s="1">
        <v>110</v>
      </c>
      <c r="O579" s="1">
        <v>65</v>
      </c>
      <c r="P579" s="1" t="s">
        <v>82</v>
      </c>
      <c r="Q579" s="1" t="s">
        <v>82</v>
      </c>
      <c r="R579" s="1" t="s">
        <v>82</v>
      </c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</row>
    <row r="580" spans="2:35">
      <c r="B580" s="1">
        <v>577</v>
      </c>
      <c r="C580" s="1" t="s">
        <v>155</v>
      </c>
      <c r="D580" s="1" t="s">
        <v>1214</v>
      </c>
      <c r="E580" s="1" t="s">
        <v>803</v>
      </c>
      <c r="F580" s="1" t="s">
        <v>82</v>
      </c>
      <c r="G580" s="1">
        <v>200</v>
      </c>
      <c r="H580" s="1">
        <v>58</v>
      </c>
      <c r="I580" s="1">
        <v>290</v>
      </c>
      <c r="J580" s="1">
        <v>45</v>
      </c>
      <c r="K580" s="1">
        <v>30</v>
      </c>
      <c r="L580" s="1">
        <v>40</v>
      </c>
      <c r="M580" s="1">
        <v>105</v>
      </c>
      <c r="N580" s="1">
        <v>50</v>
      </c>
      <c r="O580" s="1">
        <v>20</v>
      </c>
      <c r="P580" s="1">
        <v>32</v>
      </c>
      <c r="Q580" s="1">
        <v>578</v>
      </c>
      <c r="R580" s="1" t="s">
        <v>1215</v>
      </c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</row>
    <row r="581" spans="2:35">
      <c r="B581" s="1">
        <v>578</v>
      </c>
      <c r="C581" s="1" t="s">
        <v>154</v>
      </c>
      <c r="D581" s="1" t="s">
        <v>1215</v>
      </c>
      <c r="E581" s="1" t="s">
        <v>803</v>
      </c>
      <c r="F581" s="1" t="s">
        <v>82</v>
      </c>
      <c r="G581" s="1">
        <v>100</v>
      </c>
      <c r="H581" s="1">
        <v>130</v>
      </c>
      <c r="I581" s="1">
        <v>370</v>
      </c>
      <c r="J581" s="1">
        <v>65</v>
      </c>
      <c r="K581" s="1">
        <v>40</v>
      </c>
      <c r="L581" s="1">
        <v>50</v>
      </c>
      <c r="M581" s="1">
        <v>125</v>
      </c>
      <c r="N581" s="1">
        <v>60</v>
      </c>
      <c r="O581" s="1">
        <v>30</v>
      </c>
      <c r="P581" s="1">
        <v>41</v>
      </c>
      <c r="Q581" s="1">
        <v>579</v>
      </c>
      <c r="R581" s="1" t="s">
        <v>1216</v>
      </c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</row>
    <row r="582" spans="2:35">
      <c r="B582" s="1">
        <v>579</v>
      </c>
      <c r="C582" s="1" t="s">
        <v>153</v>
      </c>
      <c r="D582" s="1" t="s">
        <v>1216</v>
      </c>
      <c r="E582" s="1" t="s">
        <v>803</v>
      </c>
      <c r="F582" s="1" t="s">
        <v>82</v>
      </c>
      <c r="G582" s="1">
        <v>50</v>
      </c>
      <c r="H582" s="1">
        <v>221</v>
      </c>
      <c r="I582" s="1">
        <v>490</v>
      </c>
      <c r="J582" s="1">
        <v>110</v>
      </c>
      <c r="K582" s="1">
        <v>65</v>
      </c>
      <c r="L582" s="1">
        <v>75</v>
      </c>
      <c r="M582" s="1">
        <v>125</v>
      </c>
      <c r="N582" s="1">
        <v>85</v>
      </c>
      <c r="O582" s="1">
        <v>30</v>
      </c>
      <c r="P582" s="1" t="s">
        <v>82</v>
      </c>
      <c r="Q582" s="1" t="s">
        <v>82</v>
      </c>
      <c r="R582" s="1" t="s">
        <v>82</v>
      </c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</row>
    <row r="583" spans="2:35">
      <c r="B583" s="1">
        <v>580</v>
      </c>
      <c r="C583" s="1" t="s">
        <v>152</v>
      </c>
      <c r="D583" s="1" t="s">
        <v>1217</v>
      </c>
      <c r="E583" s="1" t="s">
        <v>754</v>
      </c>
      <c r="F583" s="1" t="s">
        <v>751</v>
      </c>
      <c r="G583" s="1">
        <v>190</v>
      </c>
      <c r="H583" s="1">
        <v>61</v>
      </c>
      <c r="I583" s="1">
        <v>305</v>
      </c>
      <c r="J583" s="1">
        <v>62</v>
      </c>
      <c r="K583" s="1">
        <v>44</v>
      </c>
      <c r="L583" s="1">
        <v>50</v>
      </c>
      <c r="M583" s="1">
        <v>44</v>
      </c>
      <c r="N583" s="1">
        <v>50</v>
      </c>
      <c r="O583" s="1">
        <v>55</v>
      </c>
      <c r="P583" s="1">
        <v>35</v>
      </c>
      <c r="Q583" s="1">
        <v>581</v>
      </c>
      <c r="R583" s="1" t="s">
        <v>1218</v>
      </c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</row>
    <row r="584" spans="2:35">
      <c r="B584" s="1">
        <v>581</v>
      </c>
      <c r="C584" s="1" t="s">
        <v>151</v>
      </c>
      <c r="D584" s="1" t="s">
        <v>1218</v>
      </c>
      <c r="E584" s="1" t="s">
        <v>754</v>
      </c>
      <c r="F584" s="1" t="s">
        <v>751</v>
      </c>
      <c r="G584" s="1">
        <v>45</v>
      </c>
      <c r="H584" s="1">
        <v>166</v>
      </c>
      <c r="I584" s="1">
        <v>473</v>
      </c>
      <c r="J584" s="1">
        <v>75</v>
      </c>
      <c r="K584" s="1">
        <v>87</v>
      </c>
      <c r="L584" s="1">
        <v>63</v>
      </c>
      <c r="M584" s="1">
        <v>87</v>
      </c>
      <c r="N584" s="1">
        <v>63</v>
      </c>
      <c r="O584" s="1">
        <v>98</v>
      </c>
      <c r="P584" s="1" t="s">
        <v>82</v>
      </c>
      <c r="Q584" s="1" t="s">
        <v>82</v>
      </c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</row>
    <row r="585" spans="2:35">
      <c r="B585" s="1">
        <v>582</v>
      </c>
      <c r="C585" s="1" t="s">
        <v>150</v>
      </c>
      <c r="D585" s="1" t="s">
        <v>1219</v>
      </c>
      <c r="E585" s="1" t="s">
        <v>823</v>
      </c>
      <c r="F585" s="1" t="s">
        <v>82</v>
      </c>
      <c r="G585" s="1">
        <v>255</v>
      </c>
      <c r="H585" s="1">
        <v>61</v>
      </c>
      <c r="I585" s="1">
        <v>305</v>
      </c>
      <c r="J585" s="1">
        <v>36</v>
      </c>
      <c r="K585" s="1">
        <v>50</v>
      </c>
      <c r="L585" s="1">
        <v>50</v>
      </c>
      <c r="M585" s="1">
        <v>65</v>
      </c>
      <c r="N585" s="1">
        <v>60</v>
      </c>
      <c r="O585" s="1">
        <v>44</v>
      </c>
      <c r="P585" s="1">
        <v>35</v>
      </c>
      <c r="Q585" s="1">
        <v>583</v>
      </c>
      <c r="R585" s="1" t="s">
        <v>1220</v>
      </c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</row>
    <row r="586" spans="2:35">
      <c r="B586" s="1">
        <v>583</v>
      </c>
      <c r="C586" s="1" t="s">
        <v>149</v>
      </c>
      <c r="D586" s="1" t="s">
        <v>1220</v>
      </c>
      <c r="E586" s="1" t="s">
        <v>823</v>
      </c>
      <c r="F586" s="1" t="s">
        <v>82</v>
      </c>
      <c r="G586" s="1">
        <v>120</v>
      </c>
      <c r="H586" s="1">
        <v>138</v>
      </c>
      <c r="I586" s="1">
        <v>395</v>
      </c>
      <c r="J586" s="1">
        <v>51</v>
      </c>
      <c r="K586" s="1">
        <v>65</v>
      </c>
      <c r="L586" s="1">
        <v>65</v>
      </c>
      <c r="M586" s="1">
        <v>80</v>
      </c>
      <c r="N586" s="1">
        <v>75</v>
      </c>
      <c r="O586" s="1">
        <v>59</v>
      </c>
      <c r="P586" s="1">
        <v>47</v>
      </c>
      <c r="Q586" s="1">
        <v>584</v>
      </c>
      <c r="R586" s="1" t="s">
        <v>1221</v>
      </c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</row>
    <row r="587" spans="2:35">
      <c r="B587" s="1">
        <v>584</v>
      </c>
      <c r="C587" s="1" t="s">
        <v>148</v>
      </c>
      <c r="D587" s="1" t="s">
        <v>1221</v>
      </c>
      <c r="E587" s="1" t="s">
        <v>823</v>
      </c>
      <c r="F587" s="1" t="s">
        <v>82</v>
      </c>
      <c r="G587" s="1">
        <v>45</v>
      </c>
      <c r="H587" s="1">
        <v>241</v>
      </c>
      <c r="I587" s="1">
        <v>535</v>
      </c>
      <c r="J587" s="1">
        <v>71</v>
      </c>
      <c r="K587" s="1">
        <v>95</v>
      </c>
      <c r="L587" s="1">
        <v>85</v>
      </c>
      <c r="M587" s="1">
        <v>110</v>
      </c>
      <c r="N587" s="1">
        <v>95</v>
      </c>
      <c r="O587" s="1">
        <v>79</v>
      </c>
      <c r="P587" s="1" t="s">
        <v>82</v>
      </c>
      <c r="Q587" s="1" t="s">
        <v>82</v>
      </c>
      <c r="R587" s="1" t="s">
        <v>82</v>
      </c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</row>
    <row r="588" spans="2:35">
      <c r="B588" s="1">
        <v>585</v>
      </c>
      <c r="C588" s="1" t="s">
        <v>147</v>
      </c>
      <c r="D588" s="1" t="s">
        <v>1222</v>
      </c>
      <c r="E588" s="1" t="s">
        <v>765</v>
      </c>
      <c r="F588" s="1" t="s">
        <v>743</v>
      </c>
      <c r="G588" s="1">
        <v>190</v>
      </c>
      <c r="H588" s="1">
        <v>67</v>
      </c>
      <c r="I588" s="1">
        <v>335</v>
      </c>
      <c r="J588" s="1">
        <v>60</v>
      </c>
      <c r="K588" s="1">
        <v>60</v>
      </c>
      <c r="L588" s="1">
        <v>50</v>
      </c>
      <c r="M588" s="1">
        <v>40</v>
      </c>
      <c r="N588" s="1">
        <v>50</v>
      </c>
      <c r="O588" s="1">
        <v>75</v>
      </c>
      <c r="P588" s="1">
        <v>34</v>
      </c>
      <c r="Q588" s="1">
        <v>586</v>
      </c>
      <c r="R588" s="1" t="s">
        <v>1223</v>
      </c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</row>
    <row r="589" spans="2:35">
      <c r="B589" s="1">
        <v>586</v>
      </c>
      <c r="C589" s="1" t="s">
        <v>146</v>
      </c>
      <c r="D589" s="1" t="s">
        <v>1223</v>
      </c>
      <c r="E589" s="1" t="s">
        <v>765</v>
      </c>
      <c r="F589" s="1" t="s">
        <v>743</v>
      </c>
      <c r="G589" s="1">
        <v>75</v>
      </c>
      <c r="H589" s="1">
        <v>166</v>
      </c>
      <c r="I589" s="1">
        <v>475</v>
      </c>
      <c r="J589" s="1">
        <v>80</v>
      </c>
      <c r="K589" s="1">
        <v>100</v>
      </c>
      <c r="L589" s="1">
        <v>70</v>
      </c>
      <c r="M589" s="1">
        <v>60</v>
      </c>
      <c r="N589" s="1">
        <v>70</v>
      </c>
      <c r="O589" s="1">
        <v>95</v>
      </c>
      <c r="P589" s="1" t="s">
        <v>82</v>
      </c>
      <c r="Q589" s="1" t="s">
        <v>82</v>
      </c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</row>
    <row r="590" spans="2:35">
      <c r="B590" s="1">
        <v>587</v>
      </c>
      <c r="C590" s="1" t="s">
        <v>145</v>
      </c>
      <c r="D590" s="1" t="s">
        <v>145</v>
      </c>
      <c r="E590" s="1" t="s">
        <v>772</v>
      </c>
      <c r="F590" s="1" t="s">
        <v>751</v>
      </c>
      <c r="G590" s="1">
        <v>200</v>
      </c>
      <c r="H590" s="1">
        <v>150</v>
      </c>
      <c r="I590" s="1">
        <v>428</v>
      </c>
      <c r="J590" s="1">
        <v>55</v>
      </c>
      <c r="K590" s="1">
        <v>75</v>
      </c>
      <c r="L590" s="1">
        <v>60</v>
      </c>
      <c r="M590" s="1">
        <v>75</v>
      </c>
      <c r="N590" s="1">
        <v>60</v>
      </c>
      <c r="O590" s="1">
        <v>103</v>
      </c>
      <c r="P590" s="1" t="s">
        <v>82</v>
      </c>
      <c r="Q590" s="1" t="s">
        <v>82</v>
      </c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</row>
    <row r="591" spans="2:35">
      <c r="B591" s="1">
        <v>588</v>
      </c>
      <c r="C591" s="1" t="s">
        <v>144</v>
      </c>
      <c r="D591" s="1" t="s">
        <v>1224</v>
      </c>
      <c r="E591" s="1" t="s">
        <v>758</v>
      </c>
      <c r="F591" s="1" t="s">
        <v>82</v>
      </c>
      <c r="G591" s="1">
        <v>200</v>
      </c>
      <c r="H591" s="1">
        <v>63</v>
      </c>
      <c r="I591" s="1">
        <v>315</v>
      </c>
      <c r="J591" s="1">
        <v>50</v>
      </c>
      <c r="K591" s="1">
        <v>75</v>
      </c>
      <c r="L591" s="1">
        <v>45</v>
      </c>
      <c r="M591" s="1">
        <v>40</v>
      </c>
      <c r="N591" s="1">
        <v>45</v>
      </c>
      <c r="O591" s="1">
        <v>60</v>
      </c>
      <c r="P591" s="1">
        <v>25</v>
      </c>
      <c r="Q591" s="1">
        <v>589</v>
      </c>
      <c r="R591" s="1" t="s">
        <v>1225</v>
      </c>
      <c r="S591" s="1" t="b">
        <v>1</v>
      </c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</row>
    <row r="592" spans="2:35">
      <c r="B592" s="1">
        <v>589</v>
      </c>
      <c r="C592" s="1" t="s">
        <v>143</v>
      </c>
      <c r="D592" s="1" t="s">
        <v>1225</v>
      </c>
      <c r="E592" s="1" t="s">
        <v>758</v>
      </c>
      <c r="F592" s="1" t="s">
        <v>818</v>
      </c>
      <c r="G592" s="1">
        <v>75</v>
      </c>
      <c r="H592" s="1">
        <v>173</v>
      </c>
      <c r="I592" s="1">
        <v>495</v>
      </c>
      <c r="J592" s="1">
        <v>70</v>
      </c>
      <c r="K592" s="1">
        <v>135</v>
      </c>
      <c r="L592" s="1">
        <v>105</v>
      </c>
      <c r="M592" s="1">
        <v>60</v>
      </c>
      <c r="N592" s="1">
        <v>105</v>
      </c>
      <c r="O592" s="1">
        <v>20</v>
      </c>
      <c r="P592" s="1" t="s">
        <v>82</v>
      </c>
      <c r="Q592" s="1" t="s">
        <v>82</v>
      </c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</row>
    <row r="593" spans="2:35">
      <c r="B593" s="1">
        <v>590</v>
      </c>
      <c r="C593" s="1" t="s">
        <v>142</v>
      </c>
      <c r="D593" s="1" t="s">
        <v>1226</v>
      </c>
      <c r="E593" s="1" t="s">
        <v>743</v>
      </c>
      <c r="F593" s="1" t="s">
        <v>744</v>
      </c>
      <c r="G593" s="1">
        <v>190</v>
      </c>
      <c r="H593" s="1">
        <v>59</v>
      </c>
      <c r="I593" s="1">
        <v>294</v>
      </c>
      <c r="J593" s="1">
        <v>69</v>
      </c>
      <c r="K593" s="1">
        <v>55</v>
      </c>
      <c r="L593" s="1">
        <v>45</v>
      </c>
      <c r="M593" s="1">
        <v>55</v>
      </c>
      <c r="N593" s="1">
        <v>55</v>
      </c>
      <c r="O593" s="1">
        <v>15</v>
      </c>
      <c r="P593" s="1">
        <v>39</v>
      </c>
      <c r="Q593" s="1">
        <v>591</v>
      </c>
      <c r="R593" s="1" t="s">
        <v>1227</v>
      </c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</row>
    <row r="594" spans="2:35">
      <c r="B594" s="1">
        <v>591</v>
      </c>
      <c r="C594" s="1" t="s">
        <v>141</v>
      </c>
      <c r="D594" s="1" t="s">
        <v>1227</v>
      </c>
      <c r="E594" s="1" t="s">
        <v>743</v>
      </c>
      <c r="F594" s="1" t="s">
        <v>744</v>
      </c>
      <c r="G594" s="1">
        <v>75</v>
      </c>
      <c r="H594" s="1">
        <v>162</v>
      </c>
      <c r="I594" s="1">
        <v>464</v>
      </c>
      <c r="J594" s="1">
        <v>114</v>
      </c>
      <c r="K594" s="1">
        <v>85</v>
      </c>
      <c r="L594" s="1">
        <v>70</v>
      </c>
      <c r="M594" s="1">
        <v>85</v>
      </c>
      <c r="N594" s="1">
        <v>80</v>
      </c>
      <c r="O594" s="1">
        <v>30</v>
      </c>
      <c r="P594" s="1" t="s">
        <v>82</v>
      </c>
      <c r="Q594" s="1" t="s">
        <v>82</v>
      </c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</row>
    <row r="595" spans="2:35">
      <c r="B595" s="1">
        <v>592</v>
      </c>
      <c r="C595" s="1" t="s">
        <v>140</v>
      </c>
      <c r="D595" s="1" t="s">
        <v>1228</v>
      </c>
      <c r="E595" s="1" t="s">
        <v>754</v>
      </c>
      <c r="F595" s="1" t="s">
        <v>829</v>
      </c>
      <c r="G595" s="1">
        <v>190</v>
      </c>
      <c r="H595" s="1">
        <v>67</v>
      </c>
      <c r="I595" s="1">
        <v>335</v>
      </c>
      <c r="J595" s="1">
        <v>55</v>
      </c>
      <c r="K595" s="1">
        <v>40</v>
      </c>
      <c r="L595" s="1">
        <v>50</v>
      </c>
      <c r="M595" s="1">
        <v>65</v>
      </c>
      <c r="N595" s="1">
        <v>85</v>
      </c>
      <c r="O595" s="1">
        <v>40</v>
      </c>
      <c r="P595" s="1">
        <v>40</v>
      </c>
      <c r="Q595" s="1">
        <v>593</v>
      </c>
      <c r="R595" s="1" t="s">
        <v>1229</v>
      </c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</row>
    <row r="596" spans="2:35">
      <c r="B596" s="1">
        <v>593</v>
      </c>
      <c r="C596" s="1" t="s">
        <v>139</v>
      </c>
      <c r="D596" s="1" t="s">
        <v>1229</v>
      </c>
      <c r="E596" s="1" t="s">
        <v>754</v>
      </c>
      <c r="F596" s="1" t="s">
        <v>829</v>
      </c>
      <c r="G596" s="1">
        <v>60</v>
      </c>
      <c r="H596" s="1">
        <v>168</v>
      </c>
      <c r="I596" s="1">
        <v>480</v>
      </c>
      <c r="J596" s="1">
        <v>100</v>
      </c>
      <c r="K596" s="1">
        <v>60</v>
      </c>
      <c r="L596" s="1">
        <v>70</v>
      </c>
      <c r="M596" s="1">
        <v>85</v>
      </c>
      <c r="N596" s="1">
        <v>105</v>
      </c>
      <c r="O596" s="1">
        <v>60</v>
      </c>
      <c r="P596" s="1" t="s">
        <v>82</v>
      </c>
      <c r="Q596" s="1" t="s">
        <v>82</v>
      </c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</row>
    <row r="597" spans="2:35">
      <c r="B597" s="1">
        <v>594</v>
      </c>
      <c r="C597" s="1" t="s">
        <v>138</v>
      </c>
      <c r="D597" s="1" t="s">
        <v>1230</v>
      </c>
      <c r="E597" s="1" t="s">
        <v>754</v>
      </c>
      <c r="F597" s="1" t="s">
        <v>82</v>
      </c>
      <c r="G597" s="1">
        <v>75</v>
      </c>
      <c r="H597" s="1">
        <v>165</v>
      </c>
      <c r="I597" s="1">
        <v>470</v>
      </c>
      <c r="J597" s="1">
        <v>165</v>
      </c>
      <c r="K597" s="1">
        <v>75</v>
      </c>
      <c r="L597" s="1">
        <v>80</v>
      </c>
      <c r="M597" s="1">
        <v>40</v>
      </c>
      <c r="N597" s="1">
        <v>45</v>
      </c>
      <c r="O597" s="1">
        <v>65</v>
      </c>
      <c r="P597" s="1" t="s">
        <v>82</v>
      </c>
      <c r="Q597" s="1" t="s">
        <v>82</v>
      </c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</row>
    <row r="598" spans="2:35">
      <c r="B598" s="1">
        <v>595</v>
      </c>
      <c r="C598" s="1" t="s">
        <v>137</v>
      </c>
      <c r="D598" s="1" t="s">
        <v>1231</v>
      </c>
      <c r="E598" s="1" t="s">
        <v>758</v>
      </c>
      <c r="F598" s="1" t="s">
        <v>772</v>
      </c>
      <c r="G598" s="1">
        <v>190</v>
      </c>
      <c r="H598" s="1">
        <v>64</v>
      </c>
      <c r="I598" s="1">
        <v>319</v>
      </c>
      <c r="J598" s="1">
        <v>50</v>
      </c>
      <c r="K598" s="1">
        <v>47</v>
      </c>
      <c r="L598" s="1">
        <v>50</v>
      </c>
      <c r="M598" s="1">
        <v>57</v>
      </c>
      <c r="N598" s="1">
        <v>50</v>
      </c>
      <c r="O598" s="1">
        <v>65</v>
      </c>
      <c r="P598" s="1">
        <v>36</v>
      </c>
      <c r="Q598" s="1">
        <v>596</v>
      </c>
      <c r="R598" s="1" t="s">
        <v>1232</v>
      </c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</row>
    <row r="599" spans="2:35">
      <c r="B599" s="1">
        <v>596</v>
      </c>
      <c r="C599" s="1" t="s">
        <v>136</v>
      </c>
      <c r="D599" s="1" t="s">
        <v>1232</v>
      </c>
      <c r="E599" s="1" t="s">
        <v>758</v>
      </c>
      <c r="F599" s="1" t="s">
        <v>772</v>
      </c>
      <c r="G599" s="1">
        <v>75</v>
      </c>
      <c r="H599" s="1">
        <v>165</v>
      </c>
      <c r="I599" s="1">
        <v>472</v>
      </c>
      <c r="J599" s="1">
        <v>70</v>
      </c>
      <c r="K599" s="1">
        <v>77</v>
      </c>
      <c r="L599" s="1">
        <v>60</v>
      </c>
      <c r="M599" s="1">
        <v>97</v>
      </c>
      <c r="N599" s="1">
        <v>60</v>
      </c>
      <c r="O599" s="1">
        <v>108</v>
      </c>
      <c r="P599" s="1" t="s">
        <v>82</v>
      </c>
      <c r="Q599" s="1" t="s">
        <v>82</v>
      </c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</row>
    <row r="600" spans="2:35">
      <c r="B600" s="1">
        <v>597</v>
      </c>
      <c r="C600" s="1" t="s">
        <v>135</v>
      </c>
      <c r="D600" s="1" t="s">
        <v>1233</v>
      </c>
      <c r="E600" s="1" t="s">
        <v>743</v>
      </c>
      <c r="F600" s="1" t="s">
        <v>818</v>
      </c>
      <c r="G600" s="1">
        <v>255</v>
      </c>
      <c r="H600" s="1">
        <v>61</v>
      </c>
      <c r="I600" s="1">
        <v>305</v>
      </c>
      <c r="J600" s="1">
        <v>44</v>
      </c>
      <c r="K600" s="1">
        <v>50</v>
      </c>
      <c r="L600" s="1">
        <v>91</v>
      </c>
      <c r="M600" s="1">
        <v>24</v>
      </c>
      <c r="N600" s="1">
        <v>86</v>
      </c>
      <c r="O600" s="1">
        <v>10</v>
      </c>
      <c r="P600" s="1">
        <v>40</v>
      </c>
      <c r="Q600" s="1">
        <v>598</v>
      </c>
      <c r="R600" s="1" t="s">
        <v>1234</v>
      </c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</row>
    <row r="601" spans="2:35">
      <c r="B601" s="1">
        <v>598</v>
      </c>
      <c r="C601" s="1" t="s">
        <v>134</v>
      </c>
      <c r="D601" s="1" t="s">
        <v>1234</v>
      </c>
      <c r="E601" s="1" t="s">
        <v>743</v>
      </c>
      <c r="F601" s="1" t="s">
        <v>818</v>
      </c>
      <c r="G601" s="1">
        <v>90</v>
      </c>
      <c r="H601" s="1">
        <v>171</v>
      </c>
      <c r="I601" s="1">
        <v>489</v>
      </c>
      <c r="J601" s="1">
        <v>74</v>
      </c>
      <c r="K601" s="1">
        <v>94</v>
      </c>
      <c r="L601" s="1">
        <v>131</v>
      </c>
      <c r="M601" s="1">
        <v>54</v>
      </c>
      <c r="N601" s="1">
        <v>116</v>
      </c>
      <c r="O601" s="1">
        <v>20</v>
      </c>
      <c r="P601" s="1" t="s">
        <v>82</v>
      </c>
      <c r="Q601" s="1" t="s">
        <v>82</v>
      </c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</row>
    <row r="602" spans="2:35">
      <c r="B602" s="1">
        <v>599</v>
      </c>
      <c r="C602" s="1" t="s">
        <v>133</v>
      </c>
      <c r="D602" s="1" t="s">
        <v>1235</v>
      </c>
      <c r="E602" s="1" t="s">
        <v>818</v>
      </c>
      <c r="F602" s="1" t="s">
        <v>82</v>
      </c>
      <c r="G602" s="1">
        <v>130</v>
      </c>
      <c r="H602" s="1">
        <v>60</v>
      </c>
      <c r="I602" s="1">
        <v>300</v>
      </c>
      <c r="J602" s="1">
        <v>40</v>
      </c>
      <c r="K602" s="1">
        <v>55</v>
      </c>
      <c r="L602" s="1">
        <v>70</v>
      </c>
      <c r="M602" s="1">
        <v>45</v>
      </c>
      <c r="N602" s="1">
        <v>60</v>
      </c>
      <c r="O602" s="1">
        <v>30</v>
      </c>
      <c r="P602" s="1">
        <v>38</v>
      </c>
      <c r="Q602" s="1">
        <v>600</v>
      </c>
      <c r="R602" s="1" t="s">
        <v>1236</v>
      </c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</row>
    <row r="603" spans="2:35">
      <c r="B603" s="1">
        <v>600</v>
      </c>
      <c r="C603" s="1" t="s">
        <v>132</v>
      </c>
      <c r="D603" s="1" t="s">
        <v>1236</v>
      </c>
      <c r="E603" s="1" t="s">
        <v>818</v>
      </c>
      <c r="F603" s="1" t="s">
        <v>82</v>
      </c>
      <c r="G603" s="1">
        <v>60</v>
      </c>
      <c r="H603" s="1">
        <v>154</v>
      </c>
      <c r="I603" s="1">
        <v>440</v>
      </c>
      <c r="J603" s="1">
        <v>60</v>
      </c>
      <c r="K603" s="1">
        <v>80</v>
      </c>
      <c r="L603" s="1">
        <v>95</v>
      </c>
      <c r="M603" s="1">
        <v>70</v>
      </c>
      <c r="N603" s="1">
        <v>85</v>
      </c>
      <c r="O603" s="1">
        <v>50</v>
      </c>
      <c r="P603" s="1">
        <v>49</v>
      </c>
      <c r="Q603" s="1">
        <v>601</v>
      </c>
      <c r="R603" s="1" t="s">
        <v>1237</v>
      </c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</row>
    <row r="604" spans="2:35">
      <c r="B604" s="1">
        <v>601</v>
      </c>
      <c r="C604" s="1" t="s">
        <v>131</v>
      </c>
      <c r="D604" s="1" t="s">
        <v>1237</v>
      </c>
      <c r="E604" s="1" t="s">
        <v>818</v>
      </c>
      <c r="F604" s="1" t="s">
        <v>82</v>
      </c>
      <c r="G604" s="1">
        <v>30</v>
      </c>
      <c r="H604" s="1">
        <v>234</v>
      </c>
      <c r="I604" s="1">
        <v>520</v>
      </c>
      <c r="J604" s="1">
        <v>60</v>
      </c>
      <c r="K604" s="1">
        <v>100</v>
      </c>
      <c r="L604" s="1">
        <v>115</v>
      </c>
      <c r="M604" s="1">
        <v>70</v>
      </c>
      <c r="N604" s="1">
        <v>85</v>
      </c>
      <c r="O604" s="1">
        <v>90</v>
      </c>
      <c r="P604" s="1" t="s">
        <v>82</v>
      </c>
      <c r="Q604" s="1" t="s">
        <v>82</v>
      </c>
      <c r="R604" s="1" t="s">
        <v>82</v>
      </c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</row>
    <row r="605" spans="2:35">
      <c r="B605" s="1">
        <v>602</v>
      </c>
      <c r="C605" s="1" t="s">
        <v>130</v>
      </c>
      <c r="D605" s="1" t="s">
        <v>1238</v>
      </c>
      <c r="E605" s="1" t="s">
        <v>772</v>
      </c>
      <c r="F605" s="1" t="s">
        <v>82</v>
      </c>
      <c r="G605" s="1">
        <v>190</v>
      </c>
      <c r="H605" s="1">
        <v>55</v>
      </c>
      <c r="I605" s="1">
        <v>275</v>
      </c>
      <c r="J605" s="1">
        <v>35</v>
      </c>
      <c r="K605" s="1">
        <v>55</v>
      </c>
      <c r="L605" s="1">
        <v>40</v>
      </c>
      <c r="M605" s="1">
        <v>45</v>
      </c>
      <c r="N605" s="1">
        <v>40</v>
      </c>
      <c r="O605" s="1">
        <v>60</v>
      </c>
      <c r="P605" s="1">
        <v>39</v>
      </c>
      <c r="Q605" s="1">
        <v>603</v>
      </c>
      <c r="R605" s="1" t="s">
        <v>1239</v>
      </c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</row>
    <row r="606" spans="2:35">
      <c r="B606" s="1">
        <v>603</v>
      </c>
      <c r="C606" s="1" t="s">
        <v>129</v>
      </c>
      <c r="D606" s="1" t="s">
        <v>1239</v>
      </c>
      <c r="E606" s="1" t="s">
        <v>772</v>
      </c>
      <c r="F606" s="1" t="s">
        <v>82</v>
      </c>
      <c r="G606" s="1">
        <v>60</v>
      </c>
      <c r="H606" s="1">
        <v>142</v>
      </c>
      <c r="I606" s="1">
        <v>405</v>
      </c>
      <c r="J606" s="1">
        <v>65</v>
      </c>
      <c r="K606" s="1">
        <v>85</v>
      </c>
      <c r="L606" s="1">
        <v>70</v>
      </c>
      <c r="M606" s="1">
        <v>75</v>
      </c>
      <c r="N606" s="1">
        <v>70</v>
      </c>
      <c r="O606" s="1">
        <v>40</v>
      </c>
      <c r="P606" s="1">
        <v>25</v>
      </c>
      <c r="Q606" s="1">
        <v>604</v>
      </c>
      <c r="R606" s="1" t="s">
        <v>1240</v>
      </c>
      <c r="S606" s="1" t="b">
        <v>1</v>
      </c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</row>
    <row r="607" spans="2:35">
      <c r="B607" s="1">
        <v>604</v>
      </c>
      <c r="C607" s="1" t="s">
        <v>128</v>
      </c>
      <c r="D607" s="1" t="s">
        <v>1240</v>
      </c>
      <c r="E607" s="1" t="s">
        <v>772</v>
      </c>
      <c r="F607" s="1" t="s">
        <v>82</v>
      </c>
      <c r="G607" s="1">
        <v>30</v>
      </c>
      <c r="H607" s="1">
        <v>232</v>
      </c>
      <c r="I607" s="1">
        <v>515</v>
      </c>
      <c r="J607" s="1">
        <v>85</v>
      </c>
      <c r="K607" s="1">
        <v>115</v>
      </c>
      <c r="L607" s="1">
        <v>80</v>
      </c>
      <c r="M607" s="1">
        <v>105</v>
      </c>
      <c r="N607" s="1">
        <v>80</v>
      </c>
      <c r="O607" s="1">
        <v>50</v>
      </c>
      <c r="P607" s="1" t="s">
        <v>82</v>
      </c>
      <c r="Q607" s="1" t="s">
        <v>82</v>
      </c>
      <c r="R607" s="1" t="s">
        <v>82</v>
      </c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</row>
    <row r="608" spans="2:35">
      <c r="B608" s="1">
        <v>605</v>
      </c>
      <c r="C608" s="1" t="s">
        <v>127</v>
      </c>
      <c r="D608" s="1" t="s">
        <v>1241</v>
      </c>
      <c r="E608" s="1" t="s">
        <v>803</v>
      </c>
      <c r="F608" s="1" t="s">
        <v>82</v>
      </c>
      <c r="G608" s="1">
        <v>255</v>
      </c>
      <c r="H608" s="1">
        <v>67</v>
      </c>
      <c r="I608" s="1">
        <v>335</v>
      </c>
      <c r="J608" s="1">
        <v>55</v>
      </c>
      <c r="K608" s="1">
        <v>55</v>
      </c>
      <c r="L608" s="1">
        <v>55</v>
      </c>
      <c r="M608" s="1">
        <v>85</v>
      </c>
      <c r="N608" s="1">
        <v>55</v>
      </c>
      <c r="O608" s="1">
        <v>30</v>
      </c>
      <c r="P608" s="1">
        <v>42</v>
      </c>
      <c r="Q608" s="1">
        <v>606</v>
      </c>
      <c r="R608" s="1" t="s">
        <v>1242</v>
      </c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</row>
    <row r="609" spans="2:35">
      <c r="B609" s="1">
        <v>606</v>
      </c>
      <c r="C609" s="1" t="s">
        <v>126</v>
      </c>
      <c r="D609" s="1" t="s">
        <v>1242</v>
      </c>
      <c r="E609" s="1" t="s">
        <v>803</v>
      </c>
      <c r="F609" s="1" t="s">
        <v>82</v>
      </c>
      <c r="G609" s="1">
        <v>90</v>
      </c>
      <c r="H609" s="1">
        <v>170</v>
      </c>
      <c r="I609" s="1">
        <v>485</v>
      </c>
      <c r="J609" s="1">
        <v>75</v>
      </c>
      <c r="K609" s="1">
        <v>75</v>
      </c>
      <c r="L609" s="1">
        <v>75</v>
      </c>
      <c r="M609" s="1">
        <v>125</v>
      </c>
      <c r="N609" s="1">
        <v>95</v>
      </c>
      <c r="O609" s="1">
        <v>40</v>
      </c>
      <c r="P609" s="1" t="s">
        <v>82</v>
      </c>
      <c r="Q609" s="1" t="s">
        <v>82</v>
      </c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</row>
    <row r="610" spans="2:35">
      <c r="B610" s="1">
        <v>607</v>
      </c>
      <c r="C610" s="1" t="s">
        <v>125</v>
      </c>
      <c r="D610" s="1" t="s">
        <v>1243</v>
      </c>
      <c r="E610" s="1" t="s">
        <v>829</v>
      </c>
      <c r="F610" s="1" t="s">
        <v>748</v>
      </c>
      <c r="G610" s="1">
        <v>190</v>
      </c>
      <c r="H610" s="1">
        <v>55</v>
      </c>
      <c r="I610" s="1">
        <v>275</v>
      </c>
      <c r="J610" s="1">
        <v>50</v>
      </c>
      <c r="K610" s="1">
        <v>30</v>
      </c>
      <c r="L610" s="1">
        <v>55</v>
      </c>
      <c r="M610" s="1">
        <v>65</v>
      </c>
      <c r="N610" s="1">
        <v>55</v>
      </c>
      <c r="O610" s="1">
        <v>20</v>
      </c>
      <c r="P610" s="1">
        <v>41</v>
      </c>
      <c r="Q610" s="1">
        <v>608</v>
      </c>
      <c r="R610" s="1" t="s">
        <v>1244</v>
      </c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</row>
    <row r="611" spans="2:35">
      <c r="B611" s="1">
        <v>608</v>
      </c>
      <c r="C611" s="1" t="s">
        <v>124</v>
      </c>
      <c r="D611" s="1" t="s">
        <v>1244</v>
      </c>
      <c r="E611" s="1" t="s">
        <v>829</v>
      </c>
      <c r="F611" s="1" t="s">
        <v>748</v>
      </c>
      <c r="G611" s="1">
        <v>90</v>
      </c>
      <c r="H611" s="1">
        <v>130</v>
      </c>
      <c r="I611" s="1">
        <v>370</v>
      </c>
      <c r="J611" s="1">
        <v>60</v>
      </c>
      <c r="K611" s="1">
        <v>40</v>
      </c>
      <c r="L611" s="1">
        <v>60</v>
      </c>
      <c r="M611" s="1">
        <v>95</v>
      </c>
      <c r="N611" s="1">
        <v>60</v>
      </c>
      <c r="O611" s="1">
        <v>55</v>
      </c>
      <c r="P611" s="1">
        <v>30</v>
      </c>
      <c r="Q611" s="1">
        <v>609</v>
      </c>
      <c r="R611" s="1" t="s">
        <v>1245</v>
      </c>
      <c r="S611" s="1" t="b">
        <v>1</v>
      </c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</row>
    <row r="612" spans="2:35">
      <c r="B612" s="1">
        <v>609</v>
      </c>
      <c r="C612" s="1" t="s">
        <v>123</v>
      </c>
      <c r="D612" s="1" t="s">
        <v>1245</v>
      </c>
      <c r="E612" s="1" t="s">
        <v>829</v>
      </c>
      <c r="F612" s="1" t="s">
        <v>748</v>
      </c>
      <c r="G612" s="1">
        <v>45</v>
      </c>
      <c r="H612" s="1">
        <v>234</v>
      </c>
      <c r="I612" s="1">
        <v>520</v>
      </c>
      <c r="J612" s="1">
        <v>60</v>
      </c>
      <c r="K612" s="1">
        <v>55</v>
      </c>
      <c r="L612" s="1">
        <v>90</v>
      </c>
      <c r="M612" s="1">
        <v>145</v>
      </c>
      <c r="N612" s="1">
        <v>90</v>
      </c>
      <c r="O612" s="1">
        <v>80</v>
      </c>
      <c r="P612" s="1" t="s">
        <v>82</v>
      </c>
      <c r="Q612" s="1" t="s">
        <v>82</v>
      </c>
      <c r="R612" s="1" t="s">
        <v>82</v>
      </c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</row>
    <row r="613" spans="2:35">
      <c r="B613" s="1">
        <v>610</v>
      </c>
      <c r="C613" s="1" t="s">
        <v>122</v>
      </c>
      <c r="D613" s="1" t="s">
        <v>1246</v>
      </c>
      <c r="E613" s="1" t="s">
        <v>752</v>
      </c>
      <c r="F613" s="1" t="s">
        <v>82</v>
      </c>
      <c r="G613" s="1">
        <v>75</v>
      </c>
      <c r="H613" s="1">
        <v>64</v>
      </c>
      <c r="I613" s="1">
        <v>320</v>
      </c>
      <c r="J613" s="1">
        <v>46</v>
      </c>
      <c r="K613" s="1">
        <v>87</v>
      </c>
      <c r="L613" s="1">
        <v>60</v>
      </c>
      <c r="M613" s="1">
        <v>30</v>
      </c>
      <c r="N613" s="1">
        <v>40</v>
      </c>
      <c r="O613" s="1">
        <v>57</v>
      </c>
      <c r="P613" s="1">
        <v>38</v>
      </c>
      <c r="Q613" s="1">
        <v>611</v>
      </c>
      <c r="R613" s="1" t="s">
        <v>1247</v>
      </c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</row>
    <row r="614" spans="2:35">
      <c r="B614" s="1">
        <v>611</v>
      </c>
      <c r="C614" s="1" t="s">
        <v>121</v>
      </c>
      <c r="D614" s="1" t="s">
        <v>1247</v>
      </c>
      <c r="E614" s="1" t="s">
        <v>752</v>
      </c>
      <c r="F614" s="1" t="s">
        <v>82</v>
      </c>
      <c r="G614" s="1">
        <v>60</v>
      </c>
      <c r="H614" s="1">
        <v>144</v>
      </c>
      <c r="I614" s="1">
        <v>410</v>
      </c>
      <c r="J614" s="1">
        <v>66</v>
      </c>
      <c r="K614" s="1">
        <v>117</v>
      </c>
      <c r="L614" s="1">
        <v>70</v>
      </c>
      <c r="M614" s="1">
        <v>40</v>
      </c>
      <c r="N614" s="1">
        <v>50</v>
      </c>
      <c r="O614" s="1">
        <v>67</v>
      </c>
      <c r="P614" s="1">
        <v>48</v>
      </c>
      <c r="Q614" s="1">
        <v>612</v>
      </c>
      <c r="R614" s="1" t="s">
        <v>1248</v>
      </c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</row>
    <row r="615" spans="2:35">
      <c r="B615" s="1">
        <v>612</v>
      </c>
      <c r="C615" s="1" t="s">
        <v>120</v>
      </c>
      <c r="D615" s="1" t="s">
        <v>1248</v>
      </c>
      <c r="E615" s="1" t="s">
        <v>752</v>
      </c>
      <c r="F615" s="1" t="s">
        <v>82</v>
      </c>
      <c r="G615" s="1">
        <v>45</v>
      </c>
      <c r="H615" s="1">
        <v>243</v>
      </c>
      <c r="I615" s="1">
        <v>540</v>
      </c>
      <c r="J615" s="1">
        <v>76</v>
      </c>
      <c r="K615" s="1">
        <v>147</v>
      </c>
      <c r="L615" s="1">
        <v>90</v>
      </c>
      <c r="M615" s="1">
        <v>60</v>
      </c>
      <c r="N615" s="1">
        <v>70</v>
      </c>
      <c r="O615" s="1">
        <v>97</v>
      </c>
      <c r="P615" s="1" t="s">
        <v>82</v>
      </c>
      <c r="Q615" s="1" t="s">
        <v>82</v>
      </c>
      <c r="R615" s="1" t="s">
        <v>82</v>
      </c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</row>
    <row r="616" spans="2:35">
      <c r="B616" s="1">
        <v>613</v>
      </c>
      <c r="C616" s="1" t="s">
        <v>119</v>
      </c>
      <c r="D616" s="1" t="s">
        <v>1249</v>
      </c>
      <c r="E616" s="1" t="s">
        <v>823</v>
      </c>
      <c r="F616" s="1" t="s">
        <v>82</v>
      </c>
      <c r="G616" s="1">
        <v>120</v>
      </c>
      <c r="H616" s="1">
        <v>61</v>
      </c>
      <c r="I616" s="1">
        <v>305</v>
      </c>
      <c r="J616" s="1">
        <v>55</v>
      </c>
      <c r="K616" s="1">
        <v>70</v>
      </c>
      <c r="L616" s="1">
        <v>40</v>
      </c>
      <c r="M616" s="1">
        <v>60</v>
      </c>
      <c r="N616" s="1">
        <v>40</v>
      </c>
      <c r="O616" s="1">
        <v>40</v>
      </c>
      <c r="P616" s="1">
        <v>37</v>
      </c>
      <c r="Q616" s="1">
        <v>614</v>
      </c>
      <c r="R616" s="1" t="s">
        <v>1250</v>
      </c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</row>
    <row r="617" spans="2:35">
      <c r="B617" s="1">
        <v>614</v>
      </c>
      <c r="C617" s="1" t="s">
        <v>118</v>
      </c>
      <c r="D617" s="1" t="s">
        <v>1250</v>
      </c>
      <c r="E617" s="1" t="s">
        <v>823</v>
      </c>
      <c r="F617" s="1" t="s">
        <v>82</v>
      </c>
      <c r="G617" s="1">
        <v>60</v>
      </c>
      <c r="H617" s="1">
        <v>177</v>
      </c>
      <c r="I617" s="1">
        <v>485</v>
      </c>
      <c r="J617" s="1">
        <v>95</v>
      </c>
      <c r="K617" s="1">
        <v>110</v>
      </c>
      <c r="L617" s="1">
        <v>80</v>
      </c>
      <c r="M617" s="1">
        <v>70</v>
      </c>
      <c r="N617" s="1">
        <v>80</v>
      </c>
      <c r="O617" s="1">
        <v>50</v>
      </c>
      <c r="P617" s="1" t="s">
        <v>82</v>
      </c>
      <c r="Q617" s="1" t="s">
        <v>82</v>
      </c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</row>
    <row r="618" spans="2:35">
      <c r="B618" s="1">
        <v>615</v>
      </c>
      <c r="C618" s="1" t="s">
        <v>117</v>
      </c>
      <c r="D618" s="1" t="s">
        <v>1251</v>
      </c>
      <c r="E618" s="1" t="s">
        <v>823</v>
      </c>
      <c r="F618" s="1" t="s">
        <v>82</v>
      </c>
      <c r="G618" s="1">
        <v>25</v>
      </c>
      <c r="H618" s="1">
        <v>180</v>
      </c>
      <c r="I618" s="1">
        <v>485</v>
      </c>
      <c r="J618" s="1">
        <v>70</v>
      </c>
      <c r="K618" s="1">
        <v>50</v>
      </c>
      <c r="L618" s="1">
        <v>30</v>
      </c>
      <c r="M618" s="1">
        <v>95</v>
      </c>
      <c r="N618" s="1">
        <v>135</v>
      </c>
      <c r="O618" s="1">
        <v>105</v>
      </c>
      <c r="P618" s="1" t="s">
        <v>82</v>
      </c>
      <c r="Q618" s="1" t="s">
        <v>82</v>
      </c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</row>
    <row r="619" spans="2:35">
      <c r="B619" s="1">
        <v>616</v>
      </c>
      <c r="C619" s="1" t="s">
        <v>116</v>
      </c>
      <c r="D619" s="1" t="s">
        <v>1252</v>
      </c>
      <c r="E619" s="1" t="s">
        <v>758</v>
      </c>
      <c r="F619" s="1" t="s">
        <v>82</v>
      </c>
      <c r="G619" s="1">
        <v>200</v>
      </c>
      <c r="H619" s="1">
        <v>61</v>
      </c>
      <c r="I619" s="1">
        <v>305</v>
      </c>
      <c r="J619" s="1">
        <v>50</v>
      </c>
      <c r="K619" s="1">
        <v>40</v>
      </c>
      <c r="L619" s="1">
        <v>85</v>
      </c>
      <c r="M619" s="1">
        <v>40</v>
      </c>
      <c r="N619" s="1">
        <v>65</v>
      </c>
      <c r="O619" s="1">
        <v>25</v>
      </c>
      <c r="P619" s="1">
        <v>30</v>
      </c>
      <c r="Q619" s="1">
        <v>617</v>
      </c>
      <c r="R619" s="1" t="s">
        <v>1253</v>
      </c>
      <c r="S619" s="1" t="b">
        <v>1</v>
      </c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</row>
    <row r="620" spans="2:35">
      <c r="B620" s="1">
        <v>617</v>
      </c>
      <c r="C620" s="1" t="s">
        <v>115</v>
      </c>
      <c r="D620" s="1" t="s">
        <v>1253</v>
      </c>
      <c r="E620" s="1" t="s">
        <v>758</v>
      </c>
      <c r="F620" s="1" t="s">
        <v>82</v>
      </c>
      <c r="G620" s="1">
        <v>75</v>
      </c>
      <c r="H620" s="1">
        <v>173</v>
      </c>
      <c r="I620" s="1">
        <v>495</v>
      </c>
      <c r="J620" s="1">
        <v>80</v>
      </c>
      <c r="K620" s="1">
        <v>70</v>
      </c>
      <c r="L620" s="1">
        <v>40</v>
      </c>
      <c r="M620" s="1">
        <v>100</v>
      </c>
      <c r="N620" s="1">
        <v>60</v>
      </c>
      <c r="O620" s="1">
        <v>145</v>
      </c>
      <c r="P620" s="1" t="s">
        <v>82</v>
      </c>
      <c r="Q620" s="1" t="s">
        <v>82</v>
      </c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</row>
    <row r="621" spans="2:35">
      <c r="B621" s="1">
        <v>618</v>
      </c>
      <c r="C621" s="1" t="s">
        <v>114</v>
      </c>
      <c r="D621" s="1" t="s">
        <v>1254</v>
      </c>
      <c r="E621" s="1" t="s">
        <v>774</v>
      </c>
      <c r="F621" s="1" t="s">
        <v>772</v>
      </c>
      <c r="G621" s="1">
        <v>75</v>
      </c>
      <c r="H621" s="1">
        <v>165</v>
      </c>
      <c r="I621" s="1">
        <v>471</v>
      </c>
      <c r="J621" s="1">
        <v>109</v>
      </c>
      <c r="K621" s="1">
        <v>66</v>
      </c>
      <c r="L621" s="1">
        <v>84</v>
      </c>
      <c r="M621" s="1">
        <v>81</v>
      </c>
      <c r="N621" s="1">
        <v>99</v>
      </c>
      <c r="O621" s="1">
        <v>32</v>
      </c>
      <c r="P621" s="1" t="s">
        <v>82</v>
      </c>
      <c r="Q621" s="1" t="s">
        <v>82</v>
      </c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</row>
    <row r="622" spans="2:35">
      <c r="B622" s="1">
        <v>619</v>
      </c>
      <c r="C622" s="1" t="s">
        <v>113</v>
      </c>
      <c r="D622" s="1" t="s">
        <v>1255</v>
      </c>
      <c r="E622" s="1" t="s">
        <v>796</v>
      </c>
      <c r="F622" s="1" t="s">
        <v>82</v>
      </c>
      <c r="G622" s="1">
        <v>180</v>
      </c>
      <c r="H622" s="1">
        <v>70</v>
      </c>
      <c r="I622" s="1">
        <v>350</v>
      </c>
      <c r="J622" s="1">
        <v>45</v>
      </c>
      <c r="K622" s="1">
        <v>85</v>
      </c>
      <c r="L622" s="1">
        <v>50</v>
      </c>
      <c r="M622" s="1">
        <v>55</v>
      </c>
      <c r="N622" s="1">
        <v>50</v>
      </c>
      <c r="O622" s="1">
        <v>65</v>
      </c>
      <c r="P622" s="1">
        <v>50</v>
      </c>
      <c r="Q622" s="1">
        <v>620</v>
      </c>
      <c r="R622" s="1" t="s">
        <v>1256</v>
      </c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</row>
    <row r="623" spans="2:35">
      <c r="B623" s="1">
        <v>620</v>
      </c>
      <c r="C623" s="1" t="s">
        <v>112</v>
      </c>
      <c r="D623" s="1" t="s">
        <v>1256</v>
      </c>
      <c r="E623" s="1" t="s">
        <v>796</v>
      </c>
      <c r="F623" s="1" t="s">
        <v>82</v>
      </c>
      <c r="G623" s="1">
        <v>45</v>
      </c>
      <c r="H623" s="1">
        <v>179</v>
      </c>
      <c r="I623" s="1">
        <v>510</v>
      </c>
      <c r="J623" s="1">
        <v>65</v>
      </c>
      <c r="K623" s="1">
        <v>125</v>
      </c>
      <c r="L623" s="1">
        <v>60</v>
      </c>
      <c r="M623" s="1">
        <v>95</v>
      </c>
      <c r="N623" s="1">
        <v>60</v>
      </c>
      <c r="O623" s="1">
        <v>105</v>
      </c>
      <c r="P623" s="1" t="s">
        <v>82</v>
      </c>
      <c r="Q623" s="1" t="s">
        <v>82</v>
      </c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</row>
    <row r="624" spans="2:35">
      <c r="B624" s="1">
        <v>621</v>
      </c>
      <c r="C624" s="1" t="s">
        <v>111</v>
      </c>
      <c r="D624" s="1" t="s">
        <v>1257</v>
      </c>
      <c r="E624" s="1" t="s">
        <v>752</v>
      </c>
      <c r="F624" s="1" t="s">
        <v>82</v>
      </c>
      <c r="G624" s="1">
        <v>45</v>
      </c>
      <c r="H624" s="1">
        <v>170</v>
      </c>
      <c r="I624" s="1">
        <v>485</v>
      </c>
      <c r="J624" s="1">
        <v>77</v>
      </c>
      <c r="K624" s="1">
        <v>120</v>
      </c>
      <c r="L624" s="1">
        <v>90</v>
      </c>
      <c r="M624" s="1">
        <v>60</v>
      </c>
      <c r="N624" s="1">
        <v>90</v>
      </c>
      <c r="O624" s="1">
        <v>48</v>
      </c>
      <c r="P624" s="1" t="s">
        <v>82</v>
      </c>
      <c r="Q624" s="1" t="s">
        <v>82</v>
      </c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</row>
    <row r="625" spans="2:35">
      <c r="B625" s="1">
        <v>622</v>
      </c>
      <c r="C625" s="1" t="s">
        <v>110</v>
      </c>
      <c r="D625" s="1" t="s">
        <v>1258</v>
      </c>
      <c r="E625" s="1" t="s">
        <v>774</v>
      </c>
      <c r="F625" s="1" t="s">
        <v>829</v>
      </c>
      <c r="G625" s="1">
        <v>190</v>
      </c>
      <c r="H625" s="1">
        <v>61</v>
      </c>
      <c r="I625" s="1">
        <v>303</v>
      </c>
      <c r="J625" s="1">
        <v>59</v>
      </c>
      <c r="K625" s="1">
        <v>74</v>
      </c>
      <c r="L625" s="1">
        <v>50</v>
      </c>
      <c r="M625" s="1">
        <v>35</v>
      </c>
      <c r="N625" s="1">
        <v>50</v>
      </c>
      <c r="O625" s="1">
        <v>35</v>
      </c>
      <c r="P625" s="1">
        <v>43</v>
      </c>
      <c r="Q625" s="1">
        <v>623</v>
      </c>
      <c r="R625" s="1" t="s">
        <v>1259</v>
      </c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</row>
    <row r="626" spans="2:35">
      <c r="B626" s="1">
        <v>623</v>
      </c>
      <c r="C626" s="1" t="s">
        <v>109</v>
      </c>
      <c r="D626" s="1" t="s">
        <v>1259</v>
      </c>
      <c r="E626" s="1" t="s">
        <v>774</v>
      </c>
      <c r="F626" s="1" t="s">
        <v>829</v>
      </c>
      <c r="G626" s="1">
        <v>90</v>
      </c>
      <c r="H626" s="1">
        <v>169</v>
      </c>
      <c r="I626" s="1">
        <v>483</v>
      </c>
      <c r="J626" s="1">
        <v>89</v>
      </c>
      <c r="K626" s="1">
        <v>124</v>
      </c>
      <c r="L626" s="1">
        <v>80</v>
      </c>
      <c r="M626" s="1">
        <v>55</v>
      </c>
      <c r="N626" s="1">
        <v>80</v>
      </c>
      <c r="O626" s="1">
        <v>55</v>
      </c>
      <c r="P626" s="1" t="s">
        <v>82</v>
      </c>
      <c r="Q626" s="1" t="s">
        <v>82</v>
      </c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</row>
    <row r="627" spans="2:35">
      <c r="B627" s="1">
        <v>624</v>
      </c>
      <c r="C627" s="1" t="s">
        <v>108</v>
      </c>
      <c r="D627" s="1" t="s">
        <v>1260</v>
      </c>
      <c r="E627" s="1" t="s">
        <v>864</v>
      </c>
      <c r="F627" s="1" t="s">
        <v>818</v>
      </c>
      <c r="G627" s="1">
        <v>120</v>
      </c>
      <c r="H627" s="1">
        <v>68</v>
      </c>
      <c r="I627" s="1">
        <v>340</v>
      </c>
      <c r="J627" s="1">
        <v>45</v>
      </c>
      <c r="K627" s="1">
        <v>85</v>
      </c>
      <c r="L627" s="1">
        <v>70</v>
      </c>
      <c r="M627" s="1">
        <v>40</v>
      </c>
      <c r="N627" s="1">
        <v>40</v>
      </c>
      <c r="O627" s="1">
        <v>60</v>
      </c>
      <c r="P627" s="1">
        <v>52</v>
      </c>
      <c r="Q627" s="1">
        <v>625</v>
      </c>
      <c r="R627" s="1" t="s">
        <v>1261</v>
      </c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</row>
    <row r="628" spans="2:35">
      <c r="B628" s="1">
        <v>625</v>
      </c>
      <c r="C628" s="1" t="s">
        <v>107</v>
      </c>
      <c r="D628" s="1" t="s">
        <v>1261</v>
      </c>
      <c r="E628" s="1" t="s">
        <v>864</v>
      </c>
      <c r="F628" s="1" t="s">
        <v>818</v>
      </c>
      <c r="G628" s="1">
        <v>45</v>
      </c>
      <c r="H628" s="1">
        <v>172</v>
      </c>
      <c r="I628" s="1">
        <v>490</v>
      </c>
      <c r="J628" s="1">
        <v>65</v>
      </c>
      <c r="K628" s="1">
        <v>125</v>
      </c>
      <c r="L628" s="1">
        <v>100</v>
      </c>
      <c r="M628" s="1">
        <v>60</v>
      </c>
      <c r="N628" s="1">
        <v>70</v>
      </c>
      <c r="O628" s="1">
        <v>70</v>
      </c>
      <c r="P628" s="1" t="s">
        <v>82</v>
      </c>
      <c r="Q628" s="1" t="s">
        <v>82</v>
      </c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</row>
    <row r="629" spans="2:35">
      <c r="B629" s="1">
        <v>626</v>
      </c>
      <c r="C629" s="1" t="s">
        <v>106</v>
      </c>
      <c r="D629" s="1" t="s">
        <v>1262</v>
      </c>
      <c r="E629" s="1" t="s">
        <v>765</v>
      </c>
      <c r="F629" s="1" t="s">
        <v>82</v>
      </c>
      <c r="G629" s="1">
        <v>45</v>
      </c>
      <c r="H629" s="1">
        <v>172</v>
      </c>
      <c r="I629" s="1">
        <v>490</v>
      </c>
      <c r="J629" s="1">
        <v>95</v>
      </c>
      <c r="K629" s="1">
        <v>110</v>
      </c>
      <c r="L629" s="1">
        <v>95</v>
      </c>
      <c r="M629" s="1">
        <v>40</v>
      </c>
      <c r="N629" s="1">
        <v>95</v>
      </c>
      <c r="O629" s="1">
        <v>55</v>
      </c>
      <c r="P629" s="1" t="s">
        <v>82</v>
      </c>
      <c r="Q629" s="1" t="s">
        <v>82</v>
      </c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</row>
    <row r="630" spans="2:35">
      <c r="B630" s="1">
        <v>627</v>
      </c>
      <c r="C630" s="1" t="s">
        <v>105</v>
      </c>
      <c r="D630" s="1" t="s">
        <v>1263</v>
      </c>
      <c r="E630" s="1" t="s">
        <v>765</v>
      </c>
      <c r="F630" s="1" t="s">
        <v>751</v>
      </c>
      <c r="G630" s="1">
        <v>190</v>
      </c>
      <c r="H630" s="1">
        <v>70</v>
      </c>
      <c r="I630" s="1">
        <v>350</v>
      </c>
      <c r="J630" s="1">
        <v>70</v>
      </c>
      <c r="K630" s="1">
        <v>83</v>
      </c>
      <c r="L630" s="1">
        <v>50</v>
      </c>
      <c r="M630" s="1">
        <v>37</v>
      </c>
      <c r="N630" s="1">
        <v>50</v>
      </c>
      <c r="O630" s="1">
        <v>60</v>
      </c>
      <c r="P630" s="1">
        <v>54</v>
      </c>
      <c r="Q630" s="1">
        <v>628</v>
      </c>
      <c r="R630" s="1" t="s">
        <v>1264</v>
      </c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</row>
    <row r="631" spans="2:35">
      <c r="B631" s="1">
        <v>628</v>
      </c>
      <c r="C631" s="1" t="s">
        <v>104</v>
      </c>
      <c r="D631" s="1" t="s">
        <v>1264</v>
      </c>
      <c r="E631" s="1" t="s">
        <v>765</v>
      </c>
      <c r="F631" s="1" t="s">
        <v>751</v>
      </c>
      <c r="G631" s="1">
        <v>60</v>
      </c>
      <c r="H631" s="1">
        <v>179</v>
      </c>
      <c r="I631" s="1">
        <v>510</v>
      </c>
      <c r="J631" s="1">
        <v>100</v>
      </c>
      <c r="K631" s="1">
        <v>123</v>
      </c>
      <c r="L631" s="1">
        <v>75</v>
      </c>
      <c r="M631" s="1">
        <v>57</v>
      </c>
      <c r="N631" s="1">
        <v>75</v>
      </c>
      <c r="O631" s="1">
        <v>80</v>
      </c>
      <c r="P631" s="1" t="s">
        <v>82</v>
      </c>
      <c r="Q631" s="1" t="s">
        <v>82</v>
      </c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</row>
    <row r="632" spans="2:35">
      <c r="B632" s="1">
        <v>629</v>
      </c>
      <c r="C632" s="1" t="s">
        <v>103</v>
      </c>
      <c r="D632" s="1" t="s">
        <v>1265</v>
      </c>
      <c r="E632" s="1" t="s">
        <v>864</v>
      </c>
      <c r="F632" s="1" t="s">
        <v>751</v>
      </c>
      <c r="G632" s="1">
        <v>190</v>
      </c>
      <c r="H632" s="1">
        <v>74</v>
      </c>
      <c r="I632" s="1">
        <v>370</v>
      </c>
      <c r="J632" s="1">
        <v>70</v>
      </c>
      <c r="K632" s="1">
        <v>55</v>
      </c>
      <c r="L632" s="1">
        <v>75</v>
      </c>
      <c r="M632" s="1">
        <v>45</v>
      </c>
      <c r="N632" s="1">
        <v>65</v>
      </c>
      <c r="O632" s="1">
        <v>60</v>
      </c>
      <c r="P632" s="1">
        <v>54</v>
      </c>
      <c r="Q632" s="1">
        <v>630</v>
      </c>
      <c r="R632" s="1" t="s">
        <v>1266</v>
      </c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</row>
    <row r="633" spans="2:35">
      <c r="B633" s="1">
        <v>630</v>
      </c>
      <c r="C633" s="1" t="s">
        <v>102</v>
      </c>
      <c r="D633" s="1" t="s">
        <v>1266</v>
      </c>
      <c r="E633" s="1" t="s">
        <v>864</v>
      </c>
      <c r="F633" s="1" t="s">
        <v>751</v>
      </c>
      <c r="G633" s="1">
        <v>60</v>
      </c>
      <c r="H633" s="1">
        <v>179</v>
      </c>
      <c r="I633" s="1">
        <v>510</v>
      </c>
      <c r="J633" s="1">
        <v>110</v>
      </c>
      <c r="K633" s="1">
        <v>65</v>
      </c>
      <c r="L633" s="1">
        <v>105</v>
      </c>
      <c r="M633" s="1">
        <v>55</v>
      </c>
      <c r="N633" s="1">
        <v>95</v>
      </c>
      <c r="O633" s="1">
        <v>80</v>
      </c>
      <c r="P633" s="1" t="s">
        <v>82</v>
      </c>
      <c r="Q633" s="1" t="s">
        <v>82</v>
      </c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</row>
    <row r="634" spans="2:35">
      <c r="B634" s="1">
        <v>631</v>
      </c>
      <c r="C634" s="1" t="s">
        <v>101</v>
      </c>
      <c r="D634" s="1" t="s">
        <v>1267</v>
      </c>
      <c r="E634" s="1" t="s">
        <v>748</v>
      </c>
      <c r="F634" s="1" t="s">
        <v>82</v>
      </c>
      <c r="G634" s="1">
        <v>90</v>
      </c>
      <c r="H634" s="1">
        <v>169</v>
      </c>
      <c r="I634" s="1">
        <v>484</v>
      </c>
      <c r="J634" s="1">
        <v>85</v>
      </c>
      <c r="K634" s="1">
        <v>97</v>
      </c>
      <c r="L634" s="1">
        <v>66</v>
      </c>
      <c r="M634" s="1">
        <v>105</v>
      </c>
      <c r="N634" s="1">
        <v>66</v>
      </c>
      <c r="O634" s="1">
        <v>65</v>
      </c>
      <c r="P634" s="1" t="s">
        <v>82</v>
      </c>
      <c r="Q634" s="1" t="s">
        <v>82</v>
      </c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</row>
    <row r="635" spans="2:35">
      <c r="B635" s="1">
        <v>632</v>
      </c>
      <c r="C635" s="1" t="s">
        <v>100</v>
      </c>
      <c r="D635" s="1" t="s">
        <v>1268</v>
      </c>
      <c r="E635" s="1" t="s">
        <v>758</v>
      </c>
      <c r="F635" s="1" t="s">
        <v>818</v>
      </c>
      <c r="G635" s="1">
        <v>90</v>
      </c>
      <c r="H635" s="1">
        <v>169</v>
      </c>
      <c r="I635" s="1">
        <v>484</v>
      </c>
      <c r="J635" s="1">
        <v>58</v>
      </c>
      <c r="K635" s="1">
        <v>109</v>
      </c>
      <c r="L635" s="1">
        <v>112</v>
      </c>
      <c r="M635" s="1">
        <v>48</v>
      </c>
      <c r="N635" s="1">
        <v>48</v>
      </c>
      <c r="O635" s="1">
        <v>109</v>
      </c>
      <c r="P635" s="1" t="s">
        <v>82</v>
      </c>
      <c r="Q635" s="1" t="s">
        <v>82</v>
      </c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</row>
    <row r="636" spans="2:35">
      <c r="B636" s="1">
        <v>633</v>
      </c>
      <c r="C636" s="1" t="s">
        <v>99</v>
      </c>
      <c r="D636" s="1" t="s">
        <v>1269</v>
      </c>
      <c r="E636" s="1" t="s">
        <v>864</v>
      </c>
      <c r="F636" s="1" t="s">
        <v>752</v>
      </c>
      <c r="G636" s="1">
        <v>45</v>
      </c>
      <c r="H636" s="1">
        <v>60</v>
      </c>
      <c r="I636" s="1">
        <v>300</v>
      </c>
      <c r="J636" s="1">
        <v>52</v>
      </c>
      <c r="K636" s="1">
        <v>65</v>
      </c>
      <c r="L636" s="1">
        <v>50</v>
      </c>
      <c r="M636" s="1">
        <v>45</v>
      </c>
      <c r="N636" s="1">
        <v>50</v>
      </c>
      <c r="O636" s="1">
        <v>38</v>
      </c>
      <c r="P636" s="1">
        <v>50</v>
      </c>
      <c r="Q636" s="1">
        <v>634</v>
      </c>
      <c r="R636" s="1" t="s">
        <v>1270</v>
      </c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</row>
    <row r="637" spans="2:35">
      <c r="B637" s="1">
        <v>634</v>
      </c>
      <c r="C637" s="1" t="s">
        <v>98</v>
      </c>
      <c r="D637" s="1" t="s">
        <v>1270</v>
      </c>
      <c r="E637" s="1" t="s">
        <v>864</v>
      </c>
      <c r="F637" s="1" t="s">
        <v>752</v>
      </c>
      <c r="G637" s="1">
        <v>45</v>
      </c>
      <c r="H637" s="1">
        <v>147</v>
      </c>
      <c r="I637" s="1">
        <v>420</v>
      </c>
      <c r="J637" s="1">
        <v>72</v>
      </c>
      <c r="K637" s="1">
        <v>85</v>
      </c>
      <c r="L637" s="1">
        <v>70</v>
      </c>
      <c r="M637" s="1">
        <v>65</v>
      </c>
      <c r="N637" s="1">
        <v>70</v>
      </c>
      <c r="O637" s="1">
        <v>58</v>
      </c>
      <c r="P637" s="1">
        <v>64</v>
      </c>
      <c r="Q637" s="1">
        <v>635</v>
      </c>
      <c r="R637" s="1" t="s">
        <v>1271</v>
      </c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</row>
    <row r="638" spans="2:35">
      <c r="B638" s="1">
        <v>635</v>
      </c>
      <c r="C638" s="1" t="s">
        <v>97</v>
      </c>
      <c r="D638" s="1" t="s">
        <v>1271</v>
      </c>
      <c r="E638" s="1" t="s">
        <v>864</v>
      </c>
      <c r="F638" s="1" t="s">
        <v>752</v>
      </c>
      <c r="G638" s="1">
        <v>45</v>
      </c>
      <c r="H638" s="1">
        <v>270</v>
      </c>
      <c r="I638" s="1">
        <v>600</v>
      </c>
      <c r="J638" s="1">
        <v>92</v>
      </c>
      <c r="K638" s="1">
        <v>105</v>
      </c>
      <c r="L638" s="1">
        <v>90</v>
      </c>
      <c r="M638" s="1">
        <v>125</v>
      </c>
      <c r="N638" s="1">
        <v>90</v>
      </c>
      <c r="O638" s="1">
        <v>98</v>
      </c>
      <c r="P638" s="1" t="s">
        <v>82</v>
      </c>
      <c r="Q638" s="1" t="s">
        <v>82</v>
      </c>
      <c r="R638" s="1" t="s">
        <v>82</v>
      </c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</row>
    <row r="639" spans="2:35">
      <c r="B639" s="1">
        <v>636</v>
      </c>
      <c r="C639" s="1" t="s">
        <v>96</v>
      </c>
      <c r="D639" s="1" t="s">
        <v>1272</v>
      </c>
      <c r="E639" s="1" t="s">
        <v>758</v>
      </c>
      <c r="F639" s="1" t="s">
        <v>748</v>
      </c>
      <c r="G639" s="1">
        <v>45</v>
      </c>
      <c r="H639" s="1">
        <v>72</v>
      </c>
      <c r="I639" s="1">
        <v>360</v>
      </c>
      <c r="J639" s="1">
        <v>55</v>
      </c>
      <c r="K639" s="1">
        <v>85</v>
      </c>
      <c r="L639" s="1">
        <v>55</v>
      </c>
      <c r="M639" s="1">
        <v>50</v>
      </c>
      <c r="N639" s="1">
        <v>55</v>
      </c>
      <c r="O639" s="1">
        <v>60</v>
      </c>
      <c r="P639" s="1">
        <v>59</v>
      </c>
      <c r="Q639" s="1">
        <v>637</v>
      </c>
      <c r="R639" s="1" t="s">
        <v>1273</v>
      </c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</row>
    <row r="640" spans="2:35">
      <c r="B640" s="1">
        <v>637</v>
      </c>
      <c r="C640" s="1" t="s">
        <v>95</v>
      </c>
      <c r="D640" s="1" t="s">
        <v>1273</v>
      </c>
      <c r="E640" s="1" t="s">
        <v>758</v>
      </c>
      <c r="F640" s="1" t="s">
        <v>748</v>
      </c>
      <c r="G640" s="1">
        <v>15</v>
      </c>
      <c r="H640" s="1">
        <v>248</v>
      </c>
      <c r="I640" s="1">
        <v>550</v>
      </c>
      <c r="J640" s="1">
        <v>85</v>
      </c>
      <c r="K640" s="1">
        <v>60</v>
      </c>
      <c r="L640" s="1">
        <v>65</v>
      </c>
      <c r="M640" s="1">
        <v>135</v>
      </c>
      <c r="N640" s="1">
        <v>105</v>
      </c>
      <c r="O640" s="1">
        <v>100</v>
      </c>
      <c r="P640" s="1" t="s">
        <v>82</v>
      </c>
      <c r="Q640" s="1" t="s">
        <v>82</v>
      </c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</row>
    <row r="641" spans="2:35">
      <c r="B641" s="1">
        <v>638</v>
      </c>
      <c r="C641" s="1" t="s">
        <v>94</v>
      </c>
      <c r="D641" s="1" t="s">
        <v>1274</v>
      </c>
      <c r="E641" s="1" t="s">
        <v>818</v>
      </c>
      <c r="F641" s="1" t="s">
        <v>796</v>
      </c>
      <c r="G641" s="1">
        <v>3</v>
      </c>
      <c r="H641" s="1">
        <v>261</v>
      </c>
      <c r="I641" s="1">
        <v>580</v>
      </c>
      <c r="J641" s="1">
        <v>91</v>
      </c>
      <c r="K641" s="1">
        <v>90</v>
      </c>
      <c r="L641" s="1">
        <v>129</v>
      </c>
      <c r="M641" s="1">
        <v>90</v>
      </c>
      <c r="N641" s="1">
        <v>72</v>
      </c>
      <c r="O641" s="1">
        <v>108</v>
      </c>
      <c r="P641" s="1" t="s">
        <v>82</v>
      </c>
      <c r="Q641" s="1" t="s">
        <v>82</v>
      </c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</row>
    <row r="642" spans="2:35">
      <c r="B642" s="1">
        <v>639</v>
      </c>
      <c r="C642" s="1" t="s">
        <v>93</v>
      </c>
      <c r="D642" s="1" t="s">
        <v>1275</v>
      </c>
      <c r="E642" s="1" t="s">
        <v>811</v>
      </c>
      <c r="F642" s="1" t="s">
        <v>796</v>
      </c>
      <c r="G642" s="1">
        <v>3</v>
      </c>
      <c r="H642" s="1">
        <v>261</v>
      </c>
      <c r="I642" s="1">
        <v>580</v>
      </c>
      <c r="J642" s="1">
        <v>91</v>
      </c>
      <c r="K642" s="1">
        <v>129</v>
      </c>
      <c r="L642" s="1">
        <v>90</v>
      </c>
      <c r="M642" s="1">
        <v>72</v>
      </c>
      <c r="N642" s="1">
        <v>90</v>
      </c>
      <c r="O642" s="1">
        <v>108</v>
      </c>
      <c r="P642" s="1" t="s">
        <v>82</v>
      </c>
      <c r="Q642" s="1" t="s">
        <v>82</v>
      </c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</row>
    <row r="643" spans="2:35">
      <c r="B643" s="1">
        <v>640</v>
      </c>
      <c r="C643" s="1" t="s">
        <v>92</v>
      </c>
      <c r="D643" s="1" t="s">
        <v>1276</v>
      </c>
      <c r="E643" s="1" t="s">
        <v>743</v>
      </c>
      <c r="F643" s="1" t="s">
        <v>796</v>
      </c>
      <c r="G643" s="1">
        <v>3</v>
      </c>
      <c r="H643" s="1">
        <v>261</v>
      </c>
      <c r="I643" s="1">
        <v>580</v>
      </c>
      <c r="J643" s="1">
        <v>91</v>
      </c>
      <c r="K643" s="1">
        <v>90</v>
      </c>
      <c r="L643" s="1">
        <v>72</v>
      </c>
      <c r="M643" s="1">
        <v>90</v>
      </c>
      <c r="N643" s="1">
        <v>129</v>
      </c>
      <c r="O643" s="1">
        <v>108</v>
      </c>
      <c r="P643" s="1" t="s">
        <v>82</v>
      </c>
      <c r="Q643" s="1" t="s">
        <v>82</v>
      </c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</row>
    <row r="644" spans="2:35">
      <c r="B644" s="1">
        <v>641</v>
      </c>
      <c r="C644" s="1" t="s">
        <v>91</v>
      </c>
      <c r="D644" s="1" t="s">
        <v>1277</v>
      </c>
      <c r="E644" s="1" t="s">
        <v>751</v>
      </c>
      <c r="F644" s="1" t="s">
        <v>82</v>
      </c>
      <c r="G644" s="1">
        <v>3</v>
      </c>
      <c r="H644" s="1">
        <v>261</v>
      </c>
      <c r="I644" s="1">
        <v>580</v>
      </c>
      <c r="J644" s="1">
        <v>79</v>
      </c>
      <c r="K644" s="1">
        <v>115</v>
      </c>
      <c r="L644" s="1">
        <v>70</v>
      </c>
      <c r="M644" s="1">
        <v>125</v>
      </c>
      <c r="N644" s="1">
        <v>80</v>
      </c>
      <c r="O644" s="1">
        <v>111</v>
      </c>
      <c r="P644" s="1" t="s">
        <v>82</v>
      </c>
      <c r="Q644" s="1" t="s">
        <v>82</v>
      </c>
      <c r="R644" s="1" t="s">
        <v>82</v>
      </c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</row>
    <row r="645" spans="2:35">
      <c r="B645" s="1">
        <v>642</v>
      </c>
      <c r="C645" s="1" t="s">
        <v>90</v>
      </c>
      <c r="D645" s="1" t="s">
        <v>1278</v>
      </c>
      <c r="E645" s="1" t="s">
        <v>772</v>
      </c>
      <c r="F645" s="1" t="s">
        <v>751</v>
      </c>
      <c r="G645" s="1">
        <v>3</v>
      </c>
      <c r="H645" s="1">
        <v>261</v>
      </c>
      <c r="I645" s="1">
        <v>580</v>
      </c>
      <c r="J645" s="1">
        <v>79</v>
      </c>
      <c r="K645" s="1">
        <v>115</v>
      </c>
      <c r="L645" s="1">
        <v>70</v>
      </c>
      <c r="M645" s="1">
        <v>125</v>
      </c>
      <c r="N645" s="1">
        <v>80</v>
      </c>
      <c r="O645" s="1">
        <v>111</v>
      </c>
      <c r="P645" s="1" t="s">
        <v>82</v>
      </c>
      <c r="Q645" s="1" t="s">
        <v>82</v>
      </c>
      <c r="R645" s="1" t="s">
        <v>82</v>
      </c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</row>
    <row r="646" spans="2:35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748</v>
      </c>
      <c r="G646" s="1">
        <v>3</v>
      </c>
      <c r="H646" s="1">
        <v>306</v>
      </c>
      <c r="I646" s="1">
        <v>680</v>
      </c>
      <c r="J646" s="1">
        <v>100</v>
      </c>
      <c r="K646" s="1">
        <v>120</v>
      </c>
      <c r="L646" s="1">
        <v>100</v>
      </c>
      <c r="M646" s="1">
        <v>150</v>
      </c>
      <c r="N646" s="1">
        <v>120</v>
      </c>
      <c r="O646" s="1">
        <v>90</v>
      </c>
      <c r="P646" s="1" t="s">
        <v>82</v>
      </c>
      <c r="Q646" s="1" t="s">
        <v>82</v>
      </c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</row>
    <row r="647" spans="2:35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772</v>
      </c>
      <c r="G647" s="1">
        <v>3</v>
      </c>
      <c r="H647" s="1">
        <v>306</v>
      </c>
      <c r="I647" s="1">
        <v>680</v>
      </c>
      <c r="J647" s="1">
        <v>100</v>
      </c>
      <c r="K647" s="1">
        <v>150</v>
      </c>
      <c r="L647" s="1">
        <v>120</v>
      </c>
      <c r="M647" s="1">
        <v>120</v>
      </c>
      <c r="N647" s="1">
        <v>100</v>
      </c>
      <c r="O647" s="1">
        <v>90</v>
      </c>
      <c r="P647" s="1" t="s">
        <v>82</v>
      </c>
      <c r="Q647" s="1" t="s">
        <v>82</v>
      </c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</row>
    <row r="648" spans="2:35">
      <c r="B648" s="1">
        <v>645</v>
      </c>
      <c r="C648" s="1" t="s">
        <v>87</v>
      </c>
      <c r="D648" s="1" t="s">
        <v>1279</v>
      </c>
      <c r="E648" s="1" t="s">
        <v>774</v>
      </c>
      <c r="F648" s="1" t="s">
        <v>751</v>
      </c>
      <c r="G648" s="1">
        <v>3</v>
      </c>
      <c r="H648" s="1">
        <v>270</v>
      </c>
      <c r="I648" s="1">
        <v>600</v>
      </c>
      <c r="J648" s="1">
        <v>89</v>
      </c>
      <c r="K648" s="1">
        <v>125</v>
      </c>
      <c r="L648" s="1">
        <v>90</v>
      </c>
      <c r="M648" s="1">
        <v>115</v>
      </c>
      <c r="N648" s="1">
        <v>80</v>
      </c>
      <c r="O648" s="1">
        <v>101</v>
      </c>
      <c r="P648" s="1" t="s">
        <v>82</v>
      </c>
      <c r="Q648" s="1" t="s">
        <v>82</v>
      </c>
      <c r="R648" s="1" t="s">
        <v>82</v>
      </c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</row>
    <row r="649" spans="2:35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823</v>
      </c>
      <c r="G649" s="1">
        <v>3</v>
      </c>
      <c r="H649" s="1">
        <v>297</v>
      </c>
      <c r="I649" s="1">
        <v>660</v>
      </c>
      <c r="J649" s="1">
        <v>125</v>
      </c>
      <c r="K649" s="1">
        <v>130</v>
      </c>
      <c r="L649" s="1">
        <v>90</v>
      </c>
      <c r="M649" s="1">
        <v>130</v>
      </c>
      <c r="N649" s="1">
        <v>90</v>
      </c>
      <c r="O649" s="1">
        <v>95</v>
      </c>
      <c r="P649" s="1" t="s">
        <v>82</v>
      </c>
      <c r="Q649" s="1" t="s">
        <v>82</v>
      </c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</row>
    <row r="650" spans="2:35">
      <c r="B650" s="1">
        <v>647</v>
      </c>
      <c r="C650" s="1" t="s">
        <v>85</v>
      </c>
      <c r="D650" s="1" t="s">
        <v>1280</v>
      </c>
      <c r="E650" s="1" t="s">
        <v>754</v>
      </c>
      <c r="F650" s="1" t="s">
        <v>796</v>
      </c>
      <c r="G650" s="1">
        <v>3</v>
      </c>
      <c r="H650" s="1">
        <v>261</v>
      </c>
      <c r="I650" s="1">
        <v>580</v>
      </c>
      <c r="J650" s="1">
        <v>91</v>
      </c>
      <c r="K650" s="1">
        <v>72</v>
      </c>
      <c r="L650" s="1">
        <v>90</v>
      </c>
      <c r="M650" s="1">
        <v>129</v>
      </c>
      <c r="N650" s="1">
        <v>90</v>
      </c>
      <c r="O650" s="1">
        <v>108</v>
      </c>
      <c r="P650" s="1" t="s">
        <v>82</v>
      </c>
      <c r="Q650" s="1" t="s">
        <v>82</v>
      </c>
      <c r="R650" s="1" t="s">
        <v>82</v>
      </c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</row>
    <row r="651" spans="2:35">
      <c r="B651" s="1">
        <v>648</v>
      </c>
      <c r="C651" s="1" t="s">
        <v>84</v>
      </c>
      <c r="D651" s="1" t="s">
        <v>1281</v>
      </c>
      <c r="E651" s="1" t="s">
        <v>765</v>
      </c>
      <c r="F651" s="1" t="s">
        <v>803</v>
      </c>
      <c r="G651" s="1">
        <v>3</v>
      </c>
      <c r="H651" s="1">
        <v>270</v>
      </c>
      <c r="I651" s="1">
        <v>600</v>
      </c>
      <c r="J651" s="1">
        <v>100</v>
      </c>
      <c r="K651" s="1">
        <v>77</v>
      </c>
      <c r="L651" s="1">
        <v>77</v>
      </c>
      <c r="M651" s="1">
        <v>128</v>
      </c>
      <c r="N651" s="1">
        <v>128</v>
      </c>
      <c r="O651" s="1">
        <v>90</v>
      </c>
      <c r="P651" s="1" t="s">
        <v>82</v>
      </c>
      <c r="Q651" s="1" t="s">
        <v>82</v>
      </c>
      <c r="R651" s="1" t="s">
        <v>82</v>
      </c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</row>
    <row r="652" spans="2:35">
      <c r="B652" s="1">
        <v>649</v>
      </c>
      <c r="C652" s="1" t="s">
        <v>83</v>
      </c>
      <c r="D652" s="1" t="s">
        <v>83</v>
      </c>
      <c r="E652" s="1" t="s">
        <v>758</v>
      </c>
      <c r="F652" s="1" t="s">
        <v>818</v>
      </c>
      <c r="G652" s="1">
        <v>3</v>
      </c>
      <c r="H652" s="1">
        <v>270</v>
      </c>
      <c r="I652" s="1">
        <v>600</v>
      </c>
      <c r="J652" s="1">
        <v>71</v>
      </c>
      <c r="K652" s="1">
        <v>120</v>
      </c>
      <c r="L652" s="1">
        <v>95</v>
      </c>
      <c r="M652" s="1">
        <v>120</v>
      </c>
      <c r="N652" s="1">
        <v>95</v>
      </c>
      <c r="O652" s="1">
        <v>99</v>
      </c>
      <c r="P652" s="1" t="s">
        <v>82</v>
      </c>
      <c r="Q652" s="1" t="s">
        <v>82</v>
      </c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</row>
    <row r="653" spans="2:35">
      <c r="B653" s="1">
        <v>650</v>
      </c>
      <c r="C653" s="1" t="s">
        <v>1282</v>
      </c>
      <c r="D653" s="1" t="s">
        <v>1282</v>
      </c>
      <c r="E653" s="1" t="s">
        <v>772</v>
      </c>
      <c r="F653" s="1" t="s">
        <v>752</v>
      </c>
      <c r="G653" s="1">
        <v>45</v>
      </c>
      <c r="H653" s="1">
        <v>63</v>
      </c>
      <c r="I653" s="1">
        <f>SUM(TableauPokemon[[#This Row],[HP]:[Speed]])</f>
        <v>720</v>
      </c>
      <c r="J653" s="1">
        <v>120</v>
      </c>
      <c r="K653" s="1">
        <v>120</v>
      </c>
      <c r="L653" s="1">
        <v>120</v>
      </c>
      <c r="M653" s="1">
        <v>120</v>
      </c>
      <c r="N653" s="1">
        <v>120</v>
      </c>
      <c r="O653" s="1">
        <v>120</v>
      </c>
      <c r="P653" s="1"/>
      <c r="Q653" s="1" t="s">
        <v>82</v>
      </c>
      <c r="R653" s="1" t="s">
        <v>82</v>
      </c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</row>
  </sheetData>
  <mergeCells count="2">
    <mergeCell ref="AJ5:AJ22"/>
    <mergeCell ref="AL3:BC3"/>
  </mergeCells>
  <phoneticPr fontId="26" type="noConversion"/>
  <dataValidations count="1">
    <dataValidation type="list" allowBlank="1" showInputMessage="1" showErrorMessage="1" sqref="AJ4 AK3" xr:uid="{55B9F314-3732-43C4-ABAC-0C823C558057}">
      <formula1>$AL$4:$BC$4</formula1>
    </dataValidation>
  </dataValidations>
  <hyperlinks>
    <hyperlink ref="U2" r:id="rId1" xr:uid="{2521F70F-4CE8-4CE9-9F1F-16A4E414AD85}"/>
  </hyperlink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9"/>
  </sheetPr>
  <dimension ref="B1:V13"/>
  <sheetViews>
    <sheetView topLeftCell="J1" workbookViewId="0">
      <selection activeCell="Q5" sqref="Q5"/>
    </sheetView>
  </sheetViews>
  <sheetFormatPr baseColWidth="10" defaultRowHeight="14.4"/>
  <cols>
    <col min="2" max="2" width="20.44140625" bestFit="1" customWidth="1"/>
    <col min="5" max="5" width="12.5546875" bestFit="1" customWidth="1"/>
    <col min="7" max="7" width="14" customWidth="1"/>
    <col min="10" max="10" width="15" bestFit="1" customWidth="1"/>
    <col min="11" max="11" width="13.77734375" bestFit="1" customWidth="1"/>
    <col min="12" max="12" width="15" bestFit="1" customWidth="1"/>
    <col min="13" max="13" width="12.109375" bestFit="1" customWidth="1"/>
    <col min="16" max="16" width="16.77734375" bestFit="1" customWidth="1"/>
    <col min="17" max="17" width="15" bestFit="1" customWidth="1"/>
    <col min="18" max="18" width="24" customWidth="1"/>
    <col min="19" max="19" width="23.44140625" customWidth="1"/>
    <col min="22" max="22" width="27.21875" bestFit="1" customWidth="1"/>
  </cols>
  <sheetData>
    <row r="1" spans="2:22" ht="15" thickBot="1">
      <c r="B1" s="1"/>
      <c r="E1" s="165"/>
      <c r="O1" s="259"/>
      <c r="P1" s="259"/>
      <c r="Q1" s="259"/>
      <c r="R1" s="259"/>
      <c r="S1" s="259"/>
    </row>
    <row r="2" spans="2:22" ht="15" thickBot="1">
      <c r="B2" s="185" t="s">
        <v>1314</v>
      </c>
      <c r="C2" s="209" t="s">
        <v>1315</v>
      </c>
      <c r="E2" t="s">
        <v>31</v>
      </c>
      <c r="F2" t="s">
        <v>1324</v>
      </c>
      <c r="G2" t="s">
        <v>1334</v>
      </c>
      <c r="H2" t="s">
        <v>1325</v>
      </c>
      <c r="O2" s="259"/>
      <c r="P2" s="259" t="s">
        <v>1424</v>
      </c>
      <c r="Q2" s="259" t="s">
        <v>1425</v>
      </c>
      <c r="R2" s="259" t="s">
        <v>1426</v>
      </c>
      <c r="S2" s="259" t="s">
        <v>1427</v>
      </c>
      <c r="U2" s="45" t="s">
        <v>1430</v>
      </c>
      <c r="V2" s="45" t="s">
        <v>1431</v>
      </c>
    </row>
    <row r="3" spans="2:22">
      <c r="B3" s="212" t="s">
        <v>1318</v>
      </c>
      <c r="C3" s="211">
        <v>15</v>
      </c>
      <c r="E3" t="s">
        <v>1326</v>
      </c>
      <c r="F3" t="s">
        <v>1333</v>
      </c>
      <c r="G3" t="s">
        <v>1319</v>
      </c>
      <c r="H3" t="b" cm="1">
        <f t="array" ref="H3">IsVisible(TabMapElement[[#This Row],[Emplacement]],TabMapElement[[#This Row],[Nom]])</f>
        <v>0</v>
      </c>
      <c r="O3" s="259"/>
      <c r="P3" s="259" t="s">
        <v>1428</v>
      </c>
      <c r="Q3" s="259" t="s">
        <v>1429</v>
      </c>
      <c r="R3" s="259" t="s">
        <v>1418</v>
      </c>
      <c r="S3" s="259" t="s">
        <v>1332</v>
      </c>
      <c r="U3" s="259" t="s">
        <v>1420</v>
      </c>
      <c r="V3" s="1" t="s">
        <v>1432</v>
      </c>
    </row>
    <row r="4" spans="2:22">
      <c r="B4" s="213" t="s">
        <v>1312</v>
      </c>
      <c r="C4" s="214" t="b">
        <v>0</v>
      </c>
      <c r="E4" t="s">
        <v>1327</v>
      </c>
      <c r="F4" t="s">
        <v>1333</v>
      </c>
      <c r="G4" t="s">
        <v>1319</v>
      </c>
      <c r="H4" t="b" cm="1">
        <f t="array" ref="H4">IsVisible(TabMapElement[[#This Row],[Emplacement]],TabMapElement[[#This Row],[Nom]])</f>
        <v>0</v>
      </c>
      <c r="O4" s="259"/>
      <c r="P4" s="259" t="s">
        <v>1436</v>
      </c>
      <c r="Q4" s="259" t="s">
        <v>1438</v>
      </c>
      <c r="R4" s="259" t="s">
        <v>1326</v>
      </c>
      <c r="S4" s="259" t="s">
        <v>1329</v>
      </c>
      <c r="U4" s="1" t="s">
        <v>1421</v>
      </c>
      <c r="V4" s="1" t="s">
        <v>1433</v>
      </c>
    </row>
    <row r="5" spans="2:22">
      <c r="B5" s="212" t="s">
        <v>1313</v>
      </c>
      <c r="C5" s="210" t="b">
        <v>1</v>
      </c>
      <c r="E5" t="s">
        <v>1331</v>
      </c>
      <c r="F5" t="s">
        <v>1333</v>
      </c>
      <c r="G5" t="s">
        <v>1319</v>
      </c>
      <c r="H5" t="b" cm="1">
        <f t="array" ref="H5">IsVisible(TabMapElement[[#This Row],[Emplacement]],TabMapElement[[#This Row],[Nom]])</f>
        <v>0</v>
      </c>
      <c r="O5" s="259"/>
      <c r="P5" s="259" t="s">
        <v>1437</v>
      </c>
      <c r="Q5" s="259" t="s">
        <v>1439</v>
      </c>
      <c r="R5" s="259"/>
      <c r="S5" s="259"/>
      <c r="U5" s="1" t="s">
        <v>1422</v>
      </c>
      <c r="V5" s="1" t="s">
        <v>1434</v>
      </c>
    </row>
    <row r="6" spans="2:22" ht="15" thickBot="1">
      <c r="B6" s="227" t="s">
        <v>1316</v>
      </c>
      <c r="C6" s="228" t="b">
        <v>1</v>
      </c>
      <c r="E6" t="s">
        <v>1332</v>
      </c>
      <c r="F6" t="s">
        <v>1333</v>
      </c>
      <c r="G6" t="s">
        <v>1319</v>
      </c>
      <c r="H6" t="b" cm="1">
        <f t="array" ref="H6">IsVisible(TabMapElement[[#This Row],[Emplacement]],TabMapElement[[#This Row],[Nom]])</f>
        <v>0</v>
      </c>
      <c r="O6" s="259"/>
      <c r="P6" s="259"/>
      <c r="Q6" s="259"/>
      <c r="R6" s="259"/>
      <c r="S6" s="259"/>
      <c r="U6" s="1" t="s">
        <v>1423</v>
      </c>
      <c r="V6" s="1" t="s">
        <v>1435</v>
      </c>
    </row>
    <row r="7" spans="2:22">
      <c r="E7" t="s">
        <v>1328</v>
      </c>
      <c r="F7" t="s">
        <v>1333</v>
      </c>
      <c r="G7" t="s">
        <v>1319</v>
      </c>
      <c r="H7" t="b" cm="1">
        <f t="array" ref="H7">IsVisible(TabMapElement[[#This Row],[Emplacement]],TabMapElement[[#This Row],[Nom]])</f>
        <v>0</v>
      </c>
      <c r="P7" s="259"/>
      <c r="Q7" s="259"/>
      <c r="R7" s="259"/>
      <c r="S7" s="259"/>
    </row>
    <row r="8" spans="2:22">
      <c r="E8" t="s">
        <v>1329</v>
      </c>
      <c r="F8" t="s">
        <v>1333</v>
      </c>
      <c r="G8" t="s">
        <v>1319</v>
      </c>
      <c r="H8" t="b" cm="1">
        <f t="array" ref="H8">IsVisible(TabMapElement[[#This Row],[Emplacement]],TabMapElement[[#This Row],[Nom]])</f>
        <v>0</v>
      </c>
      <c r="P8" s="259"/>
      <c r="Q8" s="259"/>
      <c r="R8" s="259"/>
      <c r="S8" s="259"/>
    </row>
    <row r="9" spans="2:22">
      <c r="E9" t="s">
        <v>1330</v>
      </c>
      <c r="F9" t="s">
        <v>1333</v>
      </c>
      <c r="G9" t="s">
        <v>1319</v>
      </c>
      <c r="H9" t="b" cm="1">
        <f t="array" ref="H9">IsVisible(TabMapElement[[#This Row],[Emplacement]],TabMapElement[[#This Row],[Nom]])</f>
        <v>0</v>
      </c>
      <c r="Q9" s="259"/>
      <c r="R9" s="259"/>
      <c r="S9" s="259"/>
    </row>
    <row r="10" spans="2:22">
      <c r="E10" t="s">
        <v>1418</v>
      </c>
      <c r="F10" t="s">
        <v>1419</v>
      </c>
      <c r="G10" t="s">
        <v>1319</v>
      </c>
      <c r="H10" s="256" t="b" cm="1">
        <f t="array" ref="H10">IsVisible(TabMapElement[[#This Row],[Emplacement]],TabMapElement[[#This Row],[Nom]])</f>
        <v>0</v>
      </c>
      <c r="P10" s="259"/>
      <c r="Q10" s="259"/>
      <c r="R10" s="259"/>
      <c r="S10" s="260"/>
    </row>
    <row r="11" spans="2:22">
      <c r="Q11" s="259"/>
      <c r="R11" s="259"/>
    </row>
    <row r="12" spans="2:22">
      <c r="Q12" s="259"/>
      <c r="R12" s="259"/>
    </row>
    <row r="13" spans="2:22">
      <c r="Q13" s="259"/>
      <c r="R13" s="259"/>
    </row>
  </sheetData>
  <phoneticPr fontId="26" type="noConversion"/>
  <conditionalFormatting sqref="C6">
    <cfRule type="expression" dxfId="1" priority="9">
      <formula>$C$6=FALSE</formula>
    </cfRule>
  </conditionalFormatting>
  <conditionalFormatting sqref="C4:C6">
    <cfRule type="expression" dxfId="0" priority="1">
      <formula>C4=FALSE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Check Box 4">
              <controlPr defaultSize="0" autoFill="0" autoLine="0" autoPict="0">
                <anchor moveWithCells="1">
                  <from>
                    <xdr:col>3</xdr:col>
                    <xdr:colOff>167640</xdr:colOff>
                    <xdr:row>4</xdr:row>
                    <xdr:rowOff>137160</xdr:rowOff>
                  </from>
                  <to>
                    <xdr:col>3</xdr:col>
                    <xdr:colOff>464820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4" name="Button 8">
              <controlPr defaultSize="0" print="0" autoFill="0" autoPict="0" macro="[0]!AA1_ResetComportement">
                <anchor moveWithCells="1" sizeWithCells="1">
                  <from>
                    <xdr:col>1</xdr:col>
                    <xdr:colOff>7620</xdr:colOff>
                    <xdr:row>8</xdr:row>
                    <xdr:rowOff>99060</xdr:rowOff>
                  </from>
                  <to>
                    <xdr:col>1</xdr:col>
                    <xdr:colOff>868680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5" name="Button 9">
              <controlPr defaultSize="0" print="0" autoFill="0" autoPict="0" macro="[0]!AA1_ResetPerso">
                <anchor moveWithCells="1" sizeWithCells="1">
                  <from>
                    <xdr:col>1</xdr:col>
                    <xdr:colOff>7620</xdr:colOff>
                    <xdr:row>11</xdr:row>
                    <xdr:rowOff>76200</xdr:rowOff>
                  </from>
                  <to>
                    <xdr:col>1</xdr:col>
                    <xdr:colOff>868680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6" name="Button 29">
              <controlPr defaultSize="0" print="0" autoFill="0" autoPict="0" macro="[0]!U1_OpenMapEditorForm">
                <anchor moveWithCells="1" sizeWithCells="1">
                  <from>
                    <xdr:col>0</xdr:col>
                    <xdr:colOff>762000</xdr:colOff>
                    <xdr:row>14</xdr:row>
                    <xdr:rowOff>160020</xdr:rowOff>
                  </from>
                  <to>
                    <xdr:col>1</xdr:col>
                    <xdr:colOff>830580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8987473-3C7B-463A-93DA-B5FE76CD537D}">
          <x14:formula1>
            <xm:f>'Liste Déroulante'!$D$4:$D$5</xm:f>
          </x14:formula1>
          <xm:sqref>C4:C5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A00-5AC5-4C40-BC46-0DD2D0BBB2B3}">
  <sheetPr codeName="Feuil4">
    <tabColor theme="9"/>
  </sheetPr>
  <dimension ref="B1:FY312"/>
  <sheetViews>
    <sheetView topLeftCell="CF92" zoomScale="132" zoomScaleNormal="205" workbookViewId="0">
      <selection activeCell="CF92" sqref="CF92"/>
    </sheetView>
  </sheetViews>
  <sheetFormatPr baseColWidth="10" defaultColWidth="1.6640625" defaultRowHeight="9" customHeight="1"/>
  <sheetData>
    <row r="1" spans="2:98" ht="9" customHeight="1" thickBot="1"/>
    <row r="2" spans="2:98" ht="9" customHeight="1" thickBot="1">
      <c r="B2" s="203" t="s">
        <v>73</v>
      </c>
      <c r="C2" s="216" t="s">
        <v>73</v>
      </c>
      <c r="D2" s="216" t="s">
        <v>73</v>
      </c>
      <c r="E2" s="216" t="s">
        <v>73</v>
      </c>
      <c r="F2" s="216" t="s">
        <v>73</v>
      </c>
      <c r="G2" s="216" t="s">
        <v>73</v>
      </c>
      <c r="H2" s="216" t="s">
        <v>73</v>
      </c>
      <c r="I2" s="216" t="s">
        <v>73</v>
      </c>
      <c r="J2" s="216" t="s">
        <v>73</v>
      </c>
      <c r="K2" s="216" t="s">
        <v>73</v>
      </c>
      <c r="L2" s="216" t="s">
        <v>73</v>
      </c>
      <c r="M2" s="216" t="s">
        <v>73</v>
      </c>
      <c r="N2" s="216" t="s">
        <v>73</v>
      </c>
      <c r="O2" s="216" t="s">
        <v>73</v>
      </c>
      <c r="P2" s="216" t="s">
        <v>73</v>
      </c>
      <c r="Q2" s="216" t="s">
        <v>73</v>
      </c>
      <c r="R2" s="216" t="s">
        <v>73</v>
      </c>
      <c r="S2" s="216" t="s">
        <v>73</v>
      </c>
      <c r="T2" s="216" t="s">
        <v>73</v>
      </c>
      <c r="U2" s="216" t="s">
        <v>73</v>
      </c>
      <c r="V2" s="216" t="s">
        <v>73</v>
      </c>
      <c r="W2" s="216" t="s">
        <v>73</v>
      </c>
      <c r="X2" s="216" t="s">
        <v>73</v>
      </c>
      <c r="Y2" s="216" t="s">
        <v>73</v>
      </c>
      <c r="Z2" s="216" t="s">
        <v>73</v>
      </c>
      <c r="AA2" s="216" t="s">
        <v>73</v>
      </c>
      <c r="AB2" s="216" t="s">
        <v>73</v>
      </c>
      <c r="AC2" s="216" t="s">
        <v>73</v>
      </c>
      <c r="AD2" s="216" t="s">
        <v>73</v>
      </c>
      <c r="AE2" s="216" t="s">
        <v>73</v>
      </c>
      <c r="AF2" s="216" t="s">
        <v>73</v>
      </c>
      <c r="AG2" s="216" t="s">
        <v>73</v>
      </c>
      <c r="AH2" s="216" t="s">
        <v>73</v>
      </c>
      <c r="AI2" s="216" t="s">
        <v>73</v>
      </c>
      <c r="AJ2" s="216" t="s">
        <v>73</v>
      </c>
      <c r="AK2" s="216" t="s">
        <v>73</v>
      </c>
      <c r="AL2" s="216" t="s">
        <v>73</v>
      </c>
      <c r="AM2" s="216" t="s">
        <v>73</v>
      </c>
      <c r="AN2" s="216" t="s">
        <v>73</v>
      </c>
      <c r="AO2" s="216" t="s">
        <v>73</v>
      </c>
      <c r="AP2" s="216" t="s">
        <v>73</v>
      </c>
      <c r="AQ2" s="216" t="s">
        <v>73</v>
      </c>
      <c r="AR2" s="216" t="s">
        <v>73</v>
      </c>
      <c r="AS2" s="216" t="s">
        <v>73</v>
      </c>
      <c r="AT2" s="216" t="s">
        <v>73</v>
      </c>
      <c r="AU2" s="216" t="s">
        <v>73</v>
      </c>
      <c r="AV2" s="216" t="s">
        <v>73</v>
      </c>
      <c r="AW2" s="216" t="s">
        <v>73</v>
      </c>
      <c r="AX2" s="216" t="s">
        <v>73</v>
      </c>
      <c r="AY2" s="216" t="s">
        <v>73</v>
      </c>
      <c r="AZ2" s="216" t="s">
        <v>73</v>
      </c>
      <c r="BA2" s="216" t="s">
        <v>73</v>
      </c>
      <c r="BB2" s="216" t="s">
        <v>73</v>
      </c>
      <c r="BC2" s="204" t="s">
        <v>73</v>
      </c>
    </row>
    <row r="3" spans="2:98" ht="9" customHeight="1">
      <c r="B3" s="205" t="s">
        <v>73</v>
      </c>
      <c r="C3" t="s">
        <v>73</v>
      </c>
      <c r="D3" t="s">
        <v>73</v>
      </c>
      <c r="E3" t="s">
        <v>73</v>
      </c>
      <c r="F3" t="s">
        <v>73</v>
      </c>
      <c r="G3" t="s">
        <v>73</v>
      </c>
      <c r="H3" t="s">
        <v>73</v>
      </c>
      <c r="I3" t="s">
        <v>73</v>
      </c>
      <c r="J3" t="s">
        <v>73</v>
      </c>
      <c r="K3" t="s">
        <v>73</v>
      </c>
      <c r="L3" t="s">
        <v>73</v>
      </c>
      <c r="M3" t="s">
        <v>73</v>
      </c>
      <c r="N3" t="s">
        <v>73</v>
      </c>
      <c r="O3" t="s">
        <v>73</v>
      </c>
      <c r="P3" t="s">
        <v>73</v>
      </c>
      <c r="Q3" t="s">
        <v>73</v>
      </c>
      <c r="R3" t="s">
        <v>73</v>
      </c>
      <c r="S3" t="s">
        <v>73</v>
      </c>
      <c r="T3" t="s">
        <v>73</v>
      </c>
      <c r="U3" t="s">
        <v>73</v>
      </c>
      <c r="V3" t="s">
        <v>73</v>
      </c>
      <c r="W3" t="s">
        <v>73</v>
      </c>
      <c r="X3" t="s">
        <v>73</v>
      </c>
      <c r="Y3" t="s">
        <v>73</v>
      </c>
      <c r="Z3" t="s">
        <v>73</v>
      </c>
      <c r="AA3" t="s">
        <v>73</v>
      </c>
      <c r="AB3" t="s">
        <v>73</v>
      </c>
      <c r="AC3" t="s">
        <v>73</v>
      </c>
      <c r="AD3" t="s">
        <v>73</v>
      </c>
      <c r="AE3" t="s">
        <v>73</v>
      </c>
      <c r="AF3" t="s">
        <v>73</v>
      </c>
      <c r="AG3" t="s">
        <v>73</v>
      </c>
      <c r="AH3" t="s">
        <v>73</v>
      </c>
      <c r="AI3" t="s">
        <v>73</v>
      </c>
      <c r="AJ3" t="s">
        <v>73</v>
      </c>
      <c r="AK3" t="s">
        <v>73</v>
      </c>
      <c r="AL3" t="s">
        <v>73</v>
      </c>
      <c r="AM3" t="s">
        <v>73</v>
      </c>
      <c r="AN3" t="s">
        <v>73</v>
      </c>
      <c r="AO3" t="s">
        <v>73</v>
      </c>
      <c r="AP3" t="s">
        <v>73</v>
      </c>
      <c r="AQ3" t="s">
        <v>73</v>
      </c>
      <c r="AR3" t="s">
        <v>73</v>
      </c>
      <c r="AS3" t="s">
        <v>73</v>
      </c>
      <c r="AT3" t="s">
        <v>73</v>
      </c>
      <c r="AU3" t="s">
        <v>73</v>
      </c>
      <c r="AV3" t="s">
        <v>73</v>
      </c>
      <c r="AW3" t="s">
        <v>73</v>
      </c>
      <c r="AX3" t="s">
        <v>73</v>
      </c>
      <c r="AY3" t="s">
        <v>73</v>
      </c>
      <c r="AZ3" t="s">
        <v>73</v>
      </c>
      <c r="BA3" t="s">
        <v>73</v>
      </c>
      <c r="BB3" t="s">
        <v>73</v>
      </c>
      <c r="BC3" s="206" t="s">
        <v>73</v>
      </c>
      <c r="CH3" s="263" t="s">
        <v>73</v>
      </c>
      <c r="CI3" s="266" t="s">
        <v>73</v>
      </c>
      <c r="CJ3" s="266" t="s">
        <v>73</v>
      </c>
      <c r="CK3" s="266" t="s">
        <v>73</v>
      </c>
      <c r="CL3" s="266" t="s">
        <v>73</v>
      </c>
      <c r="CM3" s="266" t="s">
        <v>73</v>
      </c>
      <c r="CN3" s="266" t="s">
        <v>73</v>
      </c>
      <c r="CO3" s="266" t="s">
        <v>73</v>
      </c>
      <c r="CP3" s="266" t="s">
        <v>73</v>
      </c>
      <c r="CQ3" s="266" t="s">
        <v>73</v>
      </c>
      <c r="CR3" s="266" t="s">
        <v>73</v>
      </c>
      <c r="CS3" s="266" t="s">
        <v>73</v>
      </c>
      <c r="CT3" s="267" t="s">
        <v>73</v>
      </c>
    </row>
    <row r="4" spans="2:98" ht="9" customHeight="1">
      <c r="B4" s="205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  <c r="H4" t="s">
        <v>73</v>
      </c>
      <c r="I4" t="s">
        <v>73</v>
      </c>
      <c r="J4" t="s">
        <v>73</v>
      </c>
      <c r="K4" t="s">
        <v>73</v>
      </c>
      <c r="L4" t="s">
        <v>73</v>
      </c>
      <c r="M4" t="s">
        <v>73</v>
      </c>
      <c r="N4" t="s">
        <v>73</v>
      </c>
      <c r="O4" t="s">
        <v>73</v>
      </c>
      <c r="P4" t="s">
        <v>73</v>
      </c>
      <c r="Q4" t="s">
        <v>73</v>
      </c>
      <c r="R4" t="s">
        <v>73</v>
      </c>
      <c r="S4" t="s">
        <v>73</v>
      </c>
      <c r="T4" t="s">
        <v>73</v>
      </c>
      <c r="U4" t="s">
        <v>73</v>
      </c>
      <c r="V4" t="s">
        <v>73</v>
      </c>
      <c r="W4" t="s">
        <v>73</v>
      </c>
      <c r="X4" t="s">
        <v>73</v>
      </c>
      <c r="Y4" t="s">
        <v>73</v>
      </c>
      <c r="Z4" t="s">
        <v>73</v>
      </c>
      <c r="AA4" t="s">
        <v>73</v>
      </c>
      <c r="AB4" t="s">
        <v>73</v>
      </c>
      <c r="AC4" t="s">
        <v>73</v>
      </c>
      <c r="AD4" t="s">
        <v>73</v>
      </c>
      <c r="AE4" t="s">
        <v>73</v>
      </c>
      <c r="AF4" t="s">
        <v>73</v>
      </c>
      <c r="AG4" t="s">
        <v>73</v>
      </c>
      <c r="AH4" t="s">
        <v>73</v>
      </c>
      <c r="AI4" t="s">
        <v>73</v>
      </c>
      <c r="AJ4" t="s">
        <v>73</v>
      </c>
      <c r="AK4" t="s">
        <v>73</v>
      </c>
      <c r="AL4" t="s">
        <v>73</v>
      </c>
      <c r="AM4" t="s">
        <v>73</v>
      </c>
      <c r="AN4" t="s">
        <v>73</v>
      </c>
      <c r="AO4" t="s">
        <v>73</v>
      </c>
      <c r="AP4" t="s">
        <v>73</v>
      </c>
      <c r="AQ4" t="s">
        <v>73</v>
      </c>
      <c r="AR4" t="s">
        <v>73</v>
      </c>
      <c r="AS4" t="s">
        <v>73</v>
      </c>
      <c r="AT4" t="s">
        <v>73</v>
      </c>
      <c r="AU4" t="s">
        <v>73</v>
      </c>
      <c r="AV4" t="s">
        <v>73</v>
      </c>
      <c r="AW4" t="s">
        <v>73</v>
      </c>
      <c r="AX4" t="s">
        <v>73</v>
      </c>
      <c r="AY4" t="s">
        <v>73</v>
      </c>
      <c r="AZ4" t="s">
        <v>73</v>
      </c>
      <c r="BA4" t="s">
        <v>73</v>
      </c>
      <c r="BB4" t="s">
        <v>73</v>
      </c>
      <c r="BC4" s="206" t="s">
        <v>73</v>
      </c>
      <c r="CH4" s="264" t="s">
        <v>73</v>
      </c>
      <c r="CI4" s="258" t="s">
        <v>73</v>
      </c>
      <c r="CJ4" s="258" t="s">
        <v>73</v>
      </c>
      <c r="CK4" s="258" t="s">
        <v>73</v>
      </c>
      <c r="CL4" s="258" t="s">
        <v>73</v>
      </c>
      <c r="CM4" s="258" t="s">
        <v>73</v>
      </c>
      <c r="CN4" s="258" t="s">
        <v>73</v>
      </c>
      <c r="CO4" s="258" t="s">
        <v>73</v>
      </c>
      <c r="CP4" s="258" t="s">
        <v>73</v>
      </c>
      <c r="CQ4" s="258" t="s">
        <v>73</v>
      </c>
      <c r="CR4" s="258" t="s">
        <v>73</v>
      </c>
      <c r="CS4" s="258" t="s">
        <v>73</v>
      </c>
      <c r="CT4" s="268" t="s">
        <v>73</v>
      </c>
    </row>
    <row r="5" spans="2:98" ht="9" customHeight="1">
      <c r="B5" s="205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  <c r="J5" t="s">
        <v>73</v>
      </c>
      <c r="K5" t="s">
        <v>73</v>
      </c>
      <c r="L5" t="s">
        <v>73</v>
      </c>
      <c r="M5" t="s">
        <v>73</v>
      </c>
      <c r="N5" t="s">
        <v>73</v>
      </c>
      <c r="O5" t="s">
        <v>73</v>
      </c>
      <c r="P5" t="s">
        <v>73</v>
      </c>
      <c r="Q5" t="s">
        <v>73</v>
      </c>
      <c r="R5" t="s">
        <v>73</v>
      </c>
      <c r="S5" t="s">
        <v>73</v>
      </c>
      <c r="T5" t="s">
        <v>73</v>
      </c>
      <c r="U5" t="s">
        <v>73</v>
      </c>
      <c r="V5" t="s">
        <v>73</v>
      </c>
      <c r="W5" t="s">
        <v>73</v>
      </c>
      <c r="X5" t="s">
        <v>73</v>
      </c>
      <c r="Y5" t="s">
        <v>73</v>
      </c>
      <c r="Z5" t="s">
        <v>73</v>
      </c>
      <c r="AA5" t="s">
        <v>73</v>
      </c>
      <c r="AB5" t="s">
        <v>73</v>
      </c>
      <c r="AC5" t="s">
        <v>73</v>
      </c>
      <c r="AD5" t="s">
        <v>73</v>
      </c>
      <c r="AE5" t="s">
        <v>73</v>
      </c>
      <c r="AF5" t="s">
        <v>73</v>
      </c>
      <c r="AG5" t="s">
        <v>73</v>
      </c>
      <c r="AH5" t="s">
        <v>73</v>
      </c>
      <c r="AI5" t="s">
        <v>73</v>
      </c>
      <c r="AJ5" t="s">
        <v>73</v>
      </c>
      <c r="AK5" t="s">
        <v>73</v>
      </c>
      <c r="AL5" t="s">
        <v>73</v>
      </c>
      <c r="AM5" t="s">
        <v>73</v>
      </c>
      <c r="AN5" t="s">
        <v>73</v>
      </c>
      <c r="AO5" t="s">
        <v>73</v>
      </c>
      <c r="AP5" t="s">
        <v>73</v>
      </c>
      <c r="AQ5" t="s">
        <v>73</v>
      </c>
      <c r="AR5" t="s">
        <v>73</v>
      </c>
      <c r="AS5" t="s">
        <v>73</v>
      </c>
      <c r="AT5" t="s">
        <v>73</v>
      </c>
      <c r="AU5" t="s">
        <v>73</v>
      </c>
      <c r="AV5" t="s">
        <v>73</v>
      </c>
      <c r="AW5" t="s">
        <v>73</v>
      </c>
      <c r="AX5" t="s">
        <v>73</v>
      </c>
      <c r="AY5" t="s">
        <v>73</v>
      </c>
      <c r="AZ5" t="s">
        <v>73</v>
      </c>
      <c r="BA5" t="s">
        <v>73</v>
      </c>
      <c r="BB5" t="s">
        <v>73</v>
      </c>
      <c r="BC5" s="206" t="s">
        <v>73</v>
      </c>
      <c r="CH5" s="264" t="s">
        <v>73</v>
      </c>
      <c r="CI5" s="258" t="s">
        <v>73</v>
      </c>
      <c r="CJ5" s="258" t="s">
        <v>73</v>
      </c>
      <c r="CK5" s="258" t="s">
        <v>73</v>
      </c>
      <c r="CL5" s="258" t="s">
        <v>73</v>
      </c>
      <c r="CM5" s="258" t="s">
        <v>73</v>
      </c>
      <c r="CN5" s="258" t="s">
        <v>73</v>
      </c>
      <c r="CO5" s="258" t="s">
        <v>73</v>
      </c>
      <c r="CP5" s="258" t="s">
        <v>73</v>
      </c>
      <c r="CQ5" s="258" t="s">
        <v>73</v>
      </c>
      <c r="CR5" s="258" t="s">
        <v>73</v>
      </c>
      <c r="CS5" s="258" t="s">
        <v>73</v>
      </c>
      <c r="CT5" s="268" t="s">
        <v>73</v>
      </c>
    </row>
    <row r="6" spans="2:98" ht="9" customHeight="1">
      <c r="B6" s="205" t="s">
        <v>73</v>
      </c>
      <c r="C6" t="s">
        <v>73</v>
      </c>
      <c r="D6" t="s">
        <v>73</v>
      </c>
      <c r="E6" t="s">
        <v>73</v>
      </c>
      <c r="F6" t="s">
        <v>73</v>
      </c>
      <c r="G6" t="s">
        <v>73</v>
      </c>
      <c r="H6" t="s">
        <v>73</v>
      </c>
      <c r="I6" t="s">
        <v>73</v>
      </c>
      <c r="J6" t="s">
        <v>73</v>
      </c>
      <c r="K6" t="s">
        <v>73</v>
      </c>
      <c r="L6" t="s">
        <v>73</v>
      </c>
      <c r="M6" t="s">
        <v>73</v>
      </c>
      <c r="N6" t="s">
        <v>73</v>
      </c>
      <c r="O6" t="s">
        <v>73</v>
      </c>
      <c r="P6" t="s">
        <v>73</v>
      </c>
      <c r="Q6" t="s">
        <v>73</v>
      </c>
      <c r="R6" t="s">
        <v>73</v>
      </c>
      <c r="S6" t="s">
        <v>73</v>
      </c>
      <c r="T6" t="s">
        <v>73</v>
      </c>
      <c r="U6" t="s">
        <v>73</v>
      </c>
      <c r="V6" t="s">
        <v>73</v>
      </c>
      <c r="W6" t="s">
        <v>73</v>
      </c>
      <c r="X6" t="s">
        <v>73</v>
      </c>
      <c r="Y6" t="s">
        <v>73</v>
      </c>
      <c r="Z6" t="s">
        <v>73</v>
      </c>
      <c r="AA6" t="s">
        <v>73</v>
      </c>
      <c r="AB6" t="s">
        <v>73</v>
      </c>
      <c r="AC6" t="s">
        <v>73</v>
      </c>
      <c r="AD6" t="s">
        <v>73</v>
      </c>
      <c r="AE6" t="s">
        <v>73</v>
      </c>
      <c r="AF6" t="s">
        <v>73</v>
      </c>
      <c r="AG6" t="s">
        <v>73</v>
      </c>
      <c r="AH6" t="s">
        <v>73</v>
      </c>
      <c r="AI6" t="s">
        <v>73</v>
      </c>
      <c r="AJ6" t="s">
        <v>73</v>
      </c>
      <c r="AK6" t="s">
        <v>73</v>
      </c>
      <c r="AL6" t="s">
        <v>73</v>
      </c>
      <c r="AM6" t="s">
        <v>73</v>
      </c>
      <c r="AN6" t="s">
        <v>73</v>
      </c>
      <c r="AO6" t="s">
        <v>73</v>
      </c>
      <c r="AP6" t="s">
        <v>73</v>
      </c>
      <c r="AQ6" t="s">
        <v>73</v>
      </c>
      <c r="AR6" t="s">
        <v>73</v>
      </c>
      <c r="AS6" t="s">
        <v>73</v>
      </c>
      <c r="AT6" t="s">
        <v>73</v>
      </c>
      <c r="AU6" t="s">
        <v>73</v>
      </c>
      <c r="AV6" t="s">
        <v>73</v>
      </c>
      <c r="AW6" t="s">
        <v>73</v>
      </c>
      <c r="AX6" t="s">
        <v>73</v>
      </c>
      <c r="AY6" t="s">
        <v>73</v>
      </c>
      <c r="AZ6" t="s">
        <v>73</v>
      </c>
      <c r="BA6" t="s">
        <v>73</v>
      </c>
      <c r="BB6" t="s">
        <v>73</v>
      </c>
      <c r="BC6" s="206" t="s">
        <v>73</v>
      </c>
      <c r="CH6" s="264" t="s">
        <v>73</v>
      </c>
      <c r="CI6" s="258" t="s">
        <v>73</v>
      </c>
      <c r="CJ6" s="258" t="s">
        <v>73</v>
      </c>
      <c r="CK6" s="258" t="s">
        <v>73</v>
      </c>
      <c r="CL6" s="258" t="s">
        <v>73</v>
      </c>
      <c r="CM6" s="258" t="s">
        <v>73</v>
      </c>
      <c r="CN6" s="258" t="s">
        <v>73</v>
      </c>
      <c r="CO6" s="258" t="s">
        <v>73</v>
      </c>
      <c r="CP6" s="258" t="s">
        <v>73</v>
      </c>
      <c r="CQ6" s="258" t="s">
        <v>73</v>
      </c>
      <c r="CR6" s="258" t="s">
        <v>73</v>
      </c>
      <c r="CS6" s="258" t="s">
        <v>73</v>
      </c>
      <c r="CT6" s="268" t="s">
        <v>73</v>
      </c>
    </row>
    <row r="7" spans="2:98" ht="9" customHeight="1">
      <c r="B7" s="205" t="s">
        <v>73</v>
      </c>
      <c r="C7" t="s">
        <v>73</v>
      </c>
      <c r="D7" t="s">
        <v>73</v>
      </c>
      <c r="E7" t="s">
        <v>73</v>
      </c>
      <c r="F7" t="s">
        <v>73</v>
      </c>
      <c r="G7" t="s">
        <v>73</v>
      </c>
      <c r="H7" t="s">
        <v>73</v>
      </c>
      <c r="I7" t="s">
        <v>73</v>
      </c>
      <c r="J7" t="s">
        <v>73</v>
      </c>
      <c r="K7" t="s">
        <v>73</v>
      </c>
      <c r="L7" t="s">
        <v>73</v>
      </c>
      <c r="Z7" t="s">
        <v>73</v>
      </c>
      <c r="AA7" t="s">
        <v>73</v>
      </c>
      <c r="AB7" t="s">
        <v>73</v>
      </c>
      <c r="BA7" t="s">
        <v>73</v>
      </c>
      <c r="BB7" t="s">
        <v>73</v>
      </c>
      <c r="BC7" s="206" t="s">
        <v>73</v>
      </c>
      <c r="CH7" s="264" t="s">
        <v>73</v>
      </c>
      <c r="CI7" s="258"/>
      <c r="CJ7" s="258"/>
      <c r="CK7" s="258"/>
      <c r="CL7" s="258"/>
      <c r="CM7" s="258"/>
      <c r="CN7" s="258" t="s">
        <v>73</v>
      </c>
      <c r="CO7" s="258"/>
      <c r="CP7" s="258"/>
      <c r="CQ7" s="258"/>
      <c r="CR7" s="258"/>
      <c r="CS7" s="258"/>
      <c r="CT7" s="268" t="s">
        <v>73</v>
      </c>
    </row>
    <row r="8" spans="2:98" ht="9" customHeight="1">
      <c r="B8" s="205" t="s">
        <v>73</v>
      </c>
      <c r="C8" t="s">
        <v>73</v>
      </c>
      <c r="D8" t="s">
        <v>73</v>
      </c>
      <c r="E8" t="s">
        <v>73</v>
      </c>
      <c r="F8" t="s">
        <v>73</v>
      </c>
      <c r="G8" t="s">
        <v>73</v>
      </c>
      <c r="H8" t="s">
        <v>73</v>
      </c>
      <c r="I8" t="s">
        <v>73</v>
      </c>
      <c r="J8" t="s">
        <v>73</v>
      </c>
      <c r="K8" t="s">
        <v>73</v>
      </c>
      <c r="L8" t="s">
        <v>73</v>
      </c>
      <c r="Z8" t="s">
        <v>73</v>
      </c>
      <c r="AA8" t="s">
        <v>73</v>
      </c>
      <c r="AB8" t="s">
        <v>73</v>
      </c>
      <c r="BA8" t="s">
        <v>73</v>
      </c>
      <c r="BB8" t="s">
        <v>73</v>
      </c>
      <c r="BC8" s="206" t="s">
        <v>73</v>
      </c>
      <c r="CH8" s="264" t="s">
        <v>73</v>
      </c>
      <c r="CI8" s="258"/>
      <c r="CJ8" s="258"/>
      <c r="CK8" s="258"/>
      <c r="CL8" s="258"/>
      <c r="CM8" s="258"/>
      <c r="CN8" s="258"/>
      <c r="CO8" s="258"/>
      <c r="CP8" s="262" t="s">
        <v>1420</v>
      </c>
      <c r="CQ8" s="262" t="s">
        <v>1421</v>
      </c>
      <c r="CR8" s="262" t="s">
        <v>1422</v>
      </c>
      <c r="CS8" s="258"/>
      <c r="CT8" s="268" t="s">
        <v>73</v>
      </c>
    </row>
    <row r="9" spans="2:98" ht="9" customHeight="1">
      <c r="B9" s="205" t="s">
        <v>73</v>
      </c>
      <c r="C9" t="s">
        <v>73</v>
      </c>
      <c r="D9" t="s">
        <v>73</v>
      </c>
      <c r="E9" t="s">
        <v>73</v>
      </c>
      <c r="F9" t="s">
        <v>73</v>
      </c>
      <c r="G9" t="s">
        <v>73</v>
      </c>
      <c r="H9" t="s">
        <v>73</v>
      </c>
      <c r="I9" t="s">
        <v>73</v>
      </c>
      <c r="J9" t="s">
        <v>73</v>
      </c>
      <c r="K9" t="s">
        <v>73</v>
      </c>
      <c r="L9" t="s">
        <v>73</v>
      </c>
      <c r="Z9" t="s">
        <v>73</v>
      </c>
      <c r="AA9" t="s">
        <v>73</v>
      </c>
      <c r="AB9" t="s">
        <v>73</v>
      </c>
      <c r="BA9" t="s">
        <v>73</v>
      </c>
      <c r="BB9" t="s">
        <v>73</v>
      </c>
      <c r="BC9" s="206" t="s">
        <v>73</v>
      </c>
      <c r="CH9" s="264" t="s">
        <v>73</v>
      </c>
      <c r="CI9" s="258"/>
      <c r="CJ9" s="258"/>
      <c r="CK9" s="258" t="s">
        <v>73</v>
      </c>
      <c r="CL9" s="258" t="s">
        <v>73</v>
      </c>
      <c r="CM9" s="258"/>
      <c r="CN9" s="258"/>
      <c r="CO9" s="258"/>
      <c r="CP9" s="262" t="s">
        <v>1420</v>
      </c>
      <c r="CQ9" s="262" t="s">
        <v>1421</v>
      </c>
      <c r="CR9" s="262" t="s">
        <v>1422</v>
      </c>
      <c r="CS9" s="258"/>
      <c r="CT9" s="268" t="s">
        <v>73</v>
      </c>
    </row>
    <row r="10" spans="2:98" ht="9" customHeight="1">
      <c r="B10" s="205" t="s">
        <v>73</v>
      </c>
      <c r="C10" t="s">
        <v>73</v>
      </c>
      <c r="D10" t="s">
        <v>73</v>
      </c>
      <c r="E10" t="s">
        <v>73</v>
      </c>
      <c r="F10" t="s">
        <v>73</v>
      </c>
      <c r="G10" t="s">
        <v>73</v>
      </c>
      <c r="H10" t="s">
        <v>73</v>
      </c>
      <c r="I10" t="s">
        <v>73</v>
      </c>
      <c r="J10" t="s">
        <v>73</v>
      </c>
      <c r="K10" t="s">
        <v>73</v>
      </c>
      <c r="L10" t="s">
        <v>73</v>
      </c>
      <c r="Z10" t="s">
        <v>73</v>
      </c>
      <c r="AA10" t="s">
        <v>73</v>
      </c>
      <c r="AB10" t="s">
        <v>73</v>
      </c>
      <c r="AH10" t="s">
        <v>73</v>
      </c>
      <c r="AI10" t="s">
        <v>73</v>
      </c>
      <c r="AJ10" t="s">
        <v>73</v>
      </c>
      <c r="AK10" t="s">
        <v>73</v>
      </c>
      <c r="AL10" t="s">
        <v>73</v>
      </c>
      <c r="AM10" t="s">
        <v>73</v>
      </c>
      <c r="AN10" t="s">
        <v>73</v>
      </c>
      <c r="AO10" t="s">
        <v>73</v>
      </c>
      <c r="AP10" t="s">
        <v>73</v>
      </c>
      <c r="AQ10" t="s">
        <v>73</v>
      </c>
      <c r="AR10" t="s">
        <v>73</v>
      </c>
      <c r="AS10" t="s">
        <v>73</v>
      </c>
      <c r="AT10" t="s">
        <v>73</v>
      </c>
      <c r="AU10" t="s">
        <v>73</v>
      </c>
      <c r="AV10" t="s">
        <v>73</v>
      </c>
      <c r="BA10" t="s">
        <v>73</v>
      </c>
      <c r="BB10" t="s">
        <v>73</v>
      </c>
      <c r="BC10" s="206" t="s">
        <v>73</v>
      </c>
      <c r="CH10" s="264" t="s">
        <v>73</v>
      </c>
      <c r="CI10" s="258" t="s">
        <v>73</v>
      </c>
      <c r="CJ10" s="258" t="s">
        <v>73</v>
      </c>
      <c r="CK10" s="258" t="s">
        <v>73</v>
      </c>
      <c r="CL10" s="258" t="s">
        <v>73</v>
      </c>
      <c r="CM10" s="258"/>
      <c r="CN10" s="258"/>
      <c r="CO10" s="258"/>
      <c r="CP10" s="258"/>
      <c r="CQ10" s="258"/>
      <c r="CR10" s="258"/>
      <c r="CS10" s="258"/>
      <c r="CT10" s="268" t="s">
        <v>73</v>
      </c>
    </row>
    <row r="11" spans="2:98" ht="9" customHeight="1">
      <c r="B11" s="205" t="s">
        <v>73</v>
      </c>
      <c r="C11" t="s">
        <v>73</v>
      </c>
      <c r="D11" t="s">
        <v>73</v>
      </c>
      <c r="E11" t="s">
        <v>73</v>
      </c>
      <c r="F11" t="s">
        <v>1439</v>
      </c>
      <c r="G11" t="s">
        <v>1439</v>
      </c>
      <c r="H11" t="s">
        <v>1439</v>
      </c>
      <c r="I11" t="s">
        <v>73</v>
      </c>
      <c r="J11" t="s">
        <v>73</v>
      </c>
      <c r="K11" t="s">
        <v>73</v>
      </c>
      <c r="L11" t="s">
        <v>73</v>
      </c>
      <c r="Z11" t="s">
        <v>73</v>
      </c>
      <c r="AA11" t="s">
        <v>73</v>
      </c>
      <c r="AB11" t="s">
        <v>73</v>
      </c>
      <c r="AH11" t="s">
        <v>73</v>
      </c>
      <c r="AI11" t="s">
        <v>73</v>
      </c>
      <c r="AJ11" t="s">
        <v>73</v>
      </c>
      <c r="AK11" t="s">
        <v>73</v>
      </c>
      <c r="AL11" t="s">
        <v>73</v>
      </c>
      <c r="AM11" t="s">
        <v>73</v>
      </c>
      <c r="AN11" t="s">
        <v>73</v>
      </c>
      <c r="AO11" t="s">
        <v>73</v>
      </c>
      <c r="AP11" t="s">
        <v>73</v>
      </c>
      <c r="AQ11" t="s">
        <v>73</v>
      </c>
      <c r="AR11" t="s">
        <v>73</v>
      </c>
      <c r="AS11" t="s">
        <v>73</v>
      </c>
      <c r="AT11" t="s">
        <v>73</v>
      </c>
      <c r="AU11" t="s">
        <v>73</v>
      </c>
      <c r="AV11" t="s">
        <v>73</v>
      </c>
      <c r="BA11" t="s">
        <v>73</v>
      </c>
      <c r="BB11" t="s">
        <v>73</v>
      </c>
      <c r="BC11" s="206" t="s">
        <v>73</v>
      </c>
      <c r="CH11" s="264" t="s">
        <v>73</v>
      </c>
      <c r="CI11" s="258" t="s">
        <v>73</v>
      </c>
      <c r="CJ11" s="258" t="s">
        <v>73</v>
      </c>
      <c r="CK11" s="258" t="s">
        <v>73</v>
      </c>
      <c r="CL11" s="258" t="s">
        <v>73</v>
      </c>
      <c r="CM11" s="258"/>
      <c r="CN11" s="258"/>
      <c r="CO11" s="258"/>
      <c r="CP11" s="258" t="s">
        <v>73</v>
      </c>
      <c r="CQ11" s="258" t="s">
        <v>73</v>
      </c>
      <c r="CR11" s="258" t="s">
        <v>73</v>
      </c>
      <c r="CS11" s="258" t="s">
        <v>73</v>
      </c>
      <c r="CT11" s="268" t="s">
        <v>73</v>
      </c>
    </row>
    <row r="12" spans="2:98" ht="9" customHeight="1">
      <c r="B12" s="205" t="s">
        <v>73</v>
      </c>
      <c r="C12" t="s">
        <v>73</v>
      </c>
      <c r="D12" t="s">
        <v>73</v>
      </c>
      <c r="E12" t="s">
        <v>73</v>
      </c>
      <c r="I12" t="s">
        <v>73</v>
      </c>
      <c r="J12" t="s">
        <v>73</v>
      </c>
      <c r="K12" t="s">
        <v>73</v>
      </c>
      <c r="L12" t="s">
        <v>73</v>
      </c>
      <c r="Z12" t="s">
        <v>73</v>
      </c>
      <c r="AA12" t="s">
        <v>73</v>
      </c>
      <c r="AB12" t="s">
        <v>73</v>
      </c>
      <c r="AH12" t="s">
        <v>73</v>
      </c>
      <c r="AI12" t="s">
        <v>73</v>
      </c>
      <c r="AJ12" t="s">
        <v>73</v>
      </c>
      <c r="AK12" t="s">
        <v>73</v>
      </c>
      <c r="AL12" t="s">
        <v>73</v>
      </c>
      <c r="AM12" t="s">
        <v>73</v>
      </c>
      <c r="AN12" t="s">
        <v>73</v>
      </c>
      <c r="AO12" t="s">
        <v>73</v>
      </c>
      <c r="AP12" t="s">
        <v>73</v>
      </c>
      <c r="AQ12" t="s">
        <v>73</v>
      </c>
      <c r="AR12" t="s">
        <v>73</v>
      </c>
      <c r="AS12" t="s">
        <v>73</v>
      </c>
      <c r="AT12" t="s">
        <v>73</v>
      </c>
      <c r="AU12" t="s">
        <v>73</v>
      </c>
      <c r="AV12" t="s">
        <v>73</v>
      </c>
      <c r="BA12" t="s">
        <v>73</v>
      </c>
      <c r="BB12" t="s">
        <v>73</v>
      </c>
      <c r="BC12" s="206" t="s">
        <v>73</v>
      </c>
      <c r="CH12" s="264" t="s">
        <v>73</v>
      </c>
      <c r="CI12" s="258" t="s">
        <v>73</v>
      </c>
      <c r="CJ12" s="258" t="s">
        <v>73</v>
      </c>
      <c r="CK12" s="258"/>
      <c r="CL12" s="258" t="s">
        <v>73</v>
      </c>
      <c r="CM12" s="258"/>
      <c r="CN12" s="258"/>
      <c r="CO12" s="258"/>
      <c r="CP12" s="258" t="s">
        <v>73</v>
      </c>
      <c r="CQ12" s="258" t="s">
        <v>73</v>
      </c>
      <c r="CR12" s="258" t="s">
        <v>73</v>
      </c>
      <c r="CS12" s="258" t="s">
        <v>73</v>
      </c>
      <c r="CT12" s="268" t="s">
        <v>73</v>
      </c>
    </row>
    <row r="13" spans="2:98" ht="9" customHeight="1">
      <c r="B13" s="205" t="s">
        <v>73</v>
      </c>
      <c r="C13" t="s">
        <v>73</v>
      </c>
      <c r="D13" t="s">
        <v>73</v>
      </c>
      <c r="E13" t="s">
        <v>73</v>
      </c>
      <c r="I13" t="s">
        <v>73</v>
      </c>
      <c r="J13" t="s">
        <v>73</v>
      </c>
      <c r="K13" t="s">
        <v>73</v>
      </c>
      <c r="L13" t="s">
        <v>73</v>
      </c>
      <c r="R13" t="s">
        <v>73</v>
      </c>
      <c r="S13" t="s">
        <v>73</v>
      </c>
      <c r="T13" t="s">
        <v>73</v>
      </c>
      <c r="Z13" t="s">
        <v>73</v>
      </c>
      <c r="AA13" t="s">
        <v>73</v>
      </c>
      <c r="AB13" t="s">
        <v>73</v>
      </c>
      <c r="AH13" t="s">
        <v>73</v>
      </c>
      <c r="AI13" t="s">
        <v>73</v>
      </c>
      <c r="AJ13" t="s">
        <v>73</v>
      </c>
      <c r="AK13" t="s">
        <v>73</v>
      </c>
      <c r="AL13" t="s">
        <v>73</v>
      </c>
      <c r="AM13" t="s">
        <v>73</v>
      </c>
      <c r="AN13" t="s">
        <v>73</v>
      </c>
      <c r="AO13" t="s">
        <v>73</v>
      </c>
      <c r="AP13" t="s">
        <v>73</v>
      </c>
      <c r="AQ13" t="s">
        <v>73</v>
      </c>
      <c r="AR13" t="s">
        <v>73</v>
      </c>
      <c r="AS13" t="s">
        <v>73</v>
      </c>
      <c r="AT13" t="s">
        <v>73</v>
      </c>
      <c r="AU13" t="s">
        <v>73</v>
      </c>
      <c r="AV13" t="s">
        <v>73</v>
      </c>
      <c r="BA13" t="s">
        <v>73</v>
      </c>
      <c r="BB13" t="s">
        <v>73</v>
      </c>
      <c r="BC13" s="206" t="s">
        <v>73</v>
      </c>
      <c r="CH13" s="264" t="s">
        <v>73</v>
      </c>
      <c r="CI13" s="262" t="s">
        <v>1423</v>
      </c>
      <c r="CJ13" s="262" t="s">
        <v>1423</v>
      </c>
      <c r="CK13" s="258"/>
      <c r="CL13" s="258"/>
      <c r="CM13" s="258"/>
      <c r="CN13" s="258"/>
      <c r="CO13" s="258"/>
      <c r="CP13" s="258" t="s">
        <v>73</v>
      </c>
      <c r="CQ13" s="258"/>
      <c r="CR13" s="258"/>
      <c r="CS13" s="258" t="s">
        <v>73</v>
      </c>
      <c r="CT13" s="268" t="s">
        <v>73</v>
      </c>
    </row>
    <row r="14" spans="2:98" ht="9" customHeight="1">
      <c r="B14" s="205" t="s">
        <v>73</v>
      </c>
      <c r="C14" t="s">
        <v>73</v>
      </c>
      <c r="D14" t="s">
        <v>73</v>
      </c>
      <c r="E14" t="s">
        <v>73</v>
      </c>
      <c r="H14" t="s">
        <v>73</v>
      </c>
      <c r="I14" t="s">
        <v>73</v>
      </c>
      <c r="J14" t="s">
        <v>73</v>
      </c>
      <c r="K14" t="s">
        <v>73</v>
      </c>
      <c r="L14" t="s">
        <v>73</v>
      </c>
      <c r="M14" t="s">
        <v>1348</v>
      </c>
      <c r="N14" t="s">
        <v>1348</v>
      </c>
      <c r="O14" t="s">
        <v>1348</v>
      </c>
      <c r="P14" t="s">
        <v>1348</v>
      </c>
      <c r="Q14" t="s">
        <v>1348</v>
      </c>
      <c r="R14" t="s">
        <v>73</v>
      </c>
      <c r="S14" t="s">
        <v>73</v>
      </c>
      <c r="T14" t="s">
        <v>73</v>
      </c>
      <c r="U14" t="s">
        <v>1348</v>
      </c>
      <c r="V14" t="s">
        <v>1348</v>
      </c>
      <c r="W14" t="s">
        <v>1348</v>
      </c>
      <c r="X14" t="s">
        <v>1348</v>
      </c>
      <c r="Y14" t="s">
        <v>1348</v>
      </c>
      <c r="Z14" t="s">
        <v>73</v>
      </c>
      <c r="AA14" t="s">
        <v>73</v>
      </c>
      <c r="AB14" t="s">
        <v>73</v>
      </c>
      <c r="AC14" t="s">
        <v>1348</v>
      </c>
      <c r="AD14" t="s">
        <v>1348</v>
      </c>
      <c r="AE14" t="s">
        <v>1348</v>
      </c>
      <c r="AF14" t="s">
        <v>1348</v>
      </c>
      <c r="AG14" t="s">
        <v>1348</v>
      </c>
      <c r="AH14" t="s">
        <v>73</v>
      </c>
      <c r="AI14" t="s">
        <v>73</v>
      </c>
      <c r="AJ14" t="s">
        <v>73</v>
      </c>
      <c r="AK14" t="s">
        <v>73</v>
      </c>
      <c r="AL14" t="s">
        <v>73</v>
      </c>
      <c r="AM14" t="s">
        <v>73</v>
      </c>
      <c r="AN14" t="s">
        <v>73</v>
      </c>
      <c r="AO14" t="s">
        <v>73</v>
      </c>
      <c r="AP14" t="s">
        <v>73</v>
      </c>
      <c r="AQ14" t="s">
        <v>73</v>
      </c>
      <c r="AR14" t="s">
        <v>73</v>
      </c>
      <c r="AS14" t="s">
        <v>73</v>
      </c>
      <c r="AT14" t="s">
        <v>73</v>
      </c>
      <c r="AU14" t="s">
        <v>73</v>
      </c>
      <c r="AV14" t="s">
        <v>73</v>
      </c>
      <c r="BA14" t="s">
        <v>73</v>
      </c>
      <c r="BB14" t="s">
        <v>73</v>
      </c>
      <c r="BC14" s="206" t="s">
        <v>73</v>
      </c>
      <c r="CH14" s="264" t="s">
        <v>73</v>
      </c>
      <c r="CI14" s="262" t="s">
        <v>1423</v>
      </c>
      <c r="CJ14" s="262" t="s">
        <v>1423</v>
      </c>
      <c r="CK14" s="258"/>
      <c r="CL14" s="258"/>
      <c r="CM14" s="258"/>
      <c r="CN14" s="258"/>
      <c r="CO14" s="258"/>
      <c r="CP14" s="258"/>
      <c r="CQ14" s="258"/>
      <c r="CR14" s="258"/>
      <c r="CS14" s="258" t="s">
        <v>73</v>
      </c>
      <c r="CT14" s="268" t="s">
        <v>73</v>
      </c>
    </row>
    <row r="15" spans="2:98" ht="9" customHeight="1">
      <c r="B15" s="205" t="s">
        <v>73</v>
      </c>
      <c r="C15" t="s">
        <v>73</v>
      </c>
      <c r="D15" t="s">
        <v>73</v>
      </c>
      <c r="E15" t="s">
        <v>1348</v>
      </c>
      <c r="F15" t="s">
        <v>1348</v>
      </c>
      <c r="G15" t="s">
        <v>1348</v>
      </c>
      <c r="H15" t="s">
        <v>1348</v>
      </c>
      <c r="I15" t="s">
        <v>1348</v>
      </c>
      <c r="J15" t="s">
        <v>73</v>
      </c>
      <c r="K15" t="s">
        <v>73</v>
      </c>
      <c r="L15" t="s">
        <v>73</v>
      </c>
      <c r="M15" t="s">
        <v>1348</v>
      </c>
      <c r="N15" t="s">
        <v>1348</v>
      </c>
      <c r="O15" t="s">
        <v>1348</v>
      </c>
      <c r="P15" t="s">
        <v>1348</v>
      </c>
      <c r="Q15" t="s">
        <v>1348</v>
      </c>
      <c r="R15" t="s">
        <v>73</v>
      </c>
      <c r="S15" t="s">
        <v>73</v>
      </c>
      <c r="T15" t="s">
        <v>73</v>
      </c>
      <c r="U15" t="s">
        <v>1348</v>
      </c>
      <c r="V15" t="s">
        <v>1348</v>
      </c>
      <c r="W15" t="s">
        <v>1348</v>
      </c>
      <c r="X15" t="s">
        <v>1348</v>
      </c>
      <c r="Y15" t="s">
        <v>1348</v>
      </c>
      <c r="Z15" t="s">
        <v>73</v>
      </c>
      <c r="AA15" t="s">
        <v>73</v>
      </c>
      <c r="AB15" t="s">
        <v>73</v>
      </c>
      <c r="AC15" t="s">
        <v>1348</v>
      </c>
      <c r="AD15" t="s">
        <v>1348</v>
      </c>
      <c r="AE15" t="s">
        <v>1348</v>
      </c>
      <c r="AF15" t="s">
        <v>1348</v>
      </c>
      <c r="AG15" t="s">
        <v>1348</v>
      </c>
      <c r="AH15" t="s">
        <v>73</v>
      </c>
      <c r="AI15" t="s">
        <v>73</v>
      </c>
      <c r="AJ15" t="s">
        <v>73</v>
      </c>
      <c r="AK15" t="s">
        <v>73</v>
      </c>
      <c r="AL15" t="s">
        <v>73</v>
      </c>
      <c r="AM15" t="s">
        <v>73</v>
      </c>
      <c r="AN15" t="s">
        <v>73</v>
      </c>
      <c r="AO15" t="s">
        <v>73</v>
      </c>
      <c r="AP15" t="s">
        <v>73</v>
      </c>
      <c r="AQ15" t="s">
        <v>73</v>
      </c>
      <c r="AR15" t="s">
        <v>73</v>
      </c>
      <c r="AS15" t="s">
        <v>73</v>
      </c>
      <c r="AT15" t="s">
        <v>73</v>
      </c>
      <c r="AU15" t="s">
        <v>73</v>
      </c>
      <c r="AV15" t="s">
        <v>73</v>
      </c>
      <c r="BA15" t="s">
        <v>73</v>
      </c>
      <c r="BB15" t="s">
        <v>73</v>
      </c>
      <c r="BC15" s="206" t="s">
        <v>73</v>
      </c>
      <c r="CH15" s="264" t="s">
        <v>73</v>
      </c>
      <c r="CI15" s="258"/>
      <c r="CJ15" s="258"/>
      <c r="CK15" s="258"/>
      <c r="CL15" s="258"/>
      <c r="CM15" s="258"/>
      <c r="CN15" s="258"/>
      <c r="CO15" s="258"/>
      <c r="CP15" s="258"/>
      <c r="CQ15" s="258"/>
      <c r="CR15" s="258"/>
      <c r="CS15" s="258"/>
      <c r="CT15" s="268" t="s">
        <v>73</v>
      </c>
    </row>
    <row r="16" spans="2:98" ht="9" customHeight="1" thickBot="1">
      <c r="B16" s="205" t="s">
        <v>73</v>
      </c>
      <c r="C16" t="s">
        <v>73</v>
      </c>
      <c r="D16" t="s">
        <v>73</v>
      </c>
      <c r="E16" t="s">
        <v>1348</v>
      </c>
      <c r="F16" t="s">
        <v>1348</v>
      </c>
      <c r="G16" t="s">
        <v>1348</v>
      </c>
      <c r="H16" t="s">
        <v>1348</v>
      </c>
      <c r="I16" t="s">
        <v>1348</v>
      </c>
      <c r="J16" t="s">
        <v>73</v>
      </c>
      <c r="K16" t="s">
        <v>73</v>
      </c>
      <c r="L16" t="s">
        <v>73</v>
      </c>
      <c r="M16" t="s">
        <v>1348</v>
      </c>
      <c r="N16" t="s">
        <v>1348</v>
      </c>
      <c r="O16" t="s">
        <v>1348</v>
      </c>
      <c r="P16" t="s">
        <v>1348</v>
      </c>
      <c r="Q16" t="s">
        <v>1348</v>
      </c>
      <c r="R16" t="s">
        <v>73</v>
      </c>
      <c r="S16" t="s">
        <v>73</v>
      </c>
      <c r="T16" t="s">
        <v>73</v>
      </c>
      <c r="U16" t="s">
        <v>1348</v>
      </c>
      <c r="V16" t="s">
        <v>1348</v>
      </c>
      <c r="W16" t="s">
        <v>1348</v>
      </c>
      <c r="X16" t="s">
        <v>1348</v>
      </c>
      <c r="Y16" t="s">
        <v>1348</v>
      </c>
      <c r="Z16" t="s">
        <v>73</v>
      </c>
      <c r="AA16" t="s">
        <v>73</v>
      </c>
      <c r="AB16" t="s">
        <v>73</v>
      </c>
      <c r="AC16" t="s">
        <v>1348</v>
      </c>
      <c r="AD16" t="s">
        <v>1348</v>
      </c>
      <c r="AE16" t="s">
        <v>1348</v>
      </c>
      <c r="AF16" t="s">
        <v>1348</v>
      </c>
      <c r="AG16" t="s">
        <v>1348</v>
      </c>
      <c r="AH16" t="s">
        <v>73</v>
      </c>
      <c r="AI16" t="s">
        <v>73</v>
      </c>
      <c r="AJ16" t="s">
        <v>73</v>
      </c>
      <c r="AK16" t="s">
        <v>73</v>
      </c>
      <c r="AL16" t="s">
        <v>73</v>
      </c>
      <c r="AM16" t="s">
        <v>73</v>
      </c>
      <c r="AN16" t="s">
        <v>73</v>
      </c>
      <c r="AO16" t="s">
        <v>73</v>
      </c>
      <c r="AP16" t="s">
        <v>73</v>
      </c>
      <c r="AQ16" t="s">
        <v>73</v>
      </c>
      <c r="AR16" t="s">
        <v>73</v>
      </c>
      <c r="AS16" t="s">
        <v>73</v>
      </c>
      <c r="AT16" t="s">
        <v>73</v>
      </c>
      <c r="AU16" t="s">
        <v>73</v>
      </c>
      <c r="AV16" t="s">
        <v>73</v>
      </c>
      <c r="BA16" t="s">
        <v>73</v>
      </c>
      <c r="BB16" t="s">
        <v>73</v>
      </c>
      <c r="BC16" s="206" t="s">
        <v>73</v>
      </c>
      <c r="CH16" s="265" t="s">
        <v>73</v>
      </c>
      <c r="CI16" s="270" t="s">
        <v>73</v>
      </c>
      <c r="CJ16" s="270" t="s">
        <v>73</v>
      </c>
      <c r="CK16" s="270" t="s">
        <v>73</v>
      </c>
      <c r="CL16" s="270" t="s">
        <v>73</v>
      </c>
      <c r="CM16" s="270" t="s">
        <v>73</v>
      </c>
      <c r="CN16" s="271" t="s">
        <v>1429</v>
      </c>
      <c r="CO16" s="270" t="s">
        <v>73</v>
      </c>
      <c r="CP16" s="270" t="s">
        <v>73</v>
      </c>
      <c r="CQ16" s="270" t="s">
        <v>73</v>
      </c>
      <c r="CR16" s="270" t="s">
        <v>73</v>
      </c>
      <c r="CS16" s="270" t="s">
        <v>73</v>
      </c>
      <c r="CT16" s="269" t="s">
        <v>73</v>
      </c>
    </row>
    <row r="17" spans="2:55" ht="9" customHeight="1">
      <c r="B17" s="205" t="s">
        <v>73</v>
      </c>
      <c r="C17" t="s">
        <v>73</v>
      </c>
      <c r="D17" t="s">
        <v>73</v>
      </c>
      <c r="E17" t="s">
        <v>1348</v>
      </c>
      <c r="F17" t="s">
        <v>1348</v>
      </c>
      <c r="G17" t="s">
        <v>1348</v>
      </c>
      <c r="H17" t="s">
        <v>1348</v>
      </c>
      <c r="I17" t="s">
        <v>1348</v>
      </c>
      <c r="J17" t="s">
        <v>73</v>
      </c>
      <c r="K17" t="s">
        <v>73</v>
      </c>
      <c r="L17" t="s">
        <v>73</v>
      </c>
      <c r="M17" t="s">
        <v>1348</v>
      </c>
      <c r="N17" t="s">
        <v>1348</v>
      </c>
      <c r="O17" t="s">
        <v>1348</v>
      </c>
      <c r="P17" t="s">
        <v>1348</v>
      </c>
      <c r="Q17" t="s">
        <v>1348</v>
      </c>
      <c r="R17" t="s">
        <v>73</v>
      </c>
      <c r="S17" t="s">
        <v>73</v>
      </c>
      <c r="T17" t="s">
        <v>73</v>
      </c>
      <c r="U17" t="s">
        <v>1348</v>
      </c>
      <c r="V17" t="s">
        <v>1348</v>
      </c>
      <c r="W17" t="s">
        <v>1348</v>
      </c>
      <c r="X17" t="s">
        <v>1348</v>
      </c>
      <c r="Y17" t="s">
        <v>1348</v>
      </c>
      <c r="Z17" t="s">
        <v>73</v>
      </c>
      <c r="AA17" t="s">
        <v>73</v>
      </c>
      <c r="AB17" t="s">
        <v>73</v>
      </c>
      <c r="AC17" t="s">
        <v>1348</v>
      </c>
      <c r="AD17" t="s">
        <v>1348</v>
      </c>
      <c r="AE17" t="s">
        <v>1348</v>
      </c>
      <c r="AF17" t="s">
        <v>1348</v>
      </c>
      <c r="AG17" t="s">
        <v>1348</v>
      </c>
      <c r="AH17" t="s">
        <v>1348</v>
      </c>
      <c r="AI17" t="s">
        <v>1348</v>
      </c>
      <c r="AJ17" t="s">
        <v>1348</v>
      </c>
      <c r="AK17" t="s">
        <v>1348</v>
      </c>
      <c r="AL17" t="s">
        <v>1348</v>
      </c>
      <c r="AM17" t="s">
        <v>1348</v>
      </c>
      <c r="BA17" t="s">
        <v>73</v>
      </c>
      <c r="BB17" t="s">
        <v>73</v>
      </c>
      <c r="BC17" s="206" t="s">
        <v>73</v>
      </c>
    </row>
    <row r="18" spans="2:55" ht="9" customHeight="1">
      <c r="B18" s="205" t="s">
        <v>73</v>
      </c>
      <c r="C18" t="s">
        <v>73</v>
      </c>
      <c r="D18" t="s">
        <v>73</v>
      </c>
      <c r="E18" t="s">
        <v>1348</v>
      </c>
      <c r="F18" t="s">
        <v>1348</v>
      </c>
      <c r="G18" t="s">
        <v>1348</v>
      </c>
      <c r="H18" t="s">
        <v>1348</v>
      </c>
      <c r="I18" t="s">
        <v>1348</v>
      </c>
      <c r="J18" t="s">
        <v>73</v>
      </c>
      <c r="K18" t="s">
        <v>73</v>
      </c>
      <c r="L18" t="s">
        <v>73</v>
      </c>
      <c r="M18" t="s">
        <v>1348</v>
      </c>
      <c r="N18" t="s">
        <v>1348</v>
      </c>
      <c r="O18" t="s">
        <v>1348</v>
      </c>
      <c r="P18" t="s">
        <v>1348</v>
      </c>
      <c r="Q18" t="s">
        <v>1348</v>
      </c>
      <c r="R18" t="s">
        <v>73</v>
      </c>
      <c r="S18" t="s">
        <v>73</v>
      </c>
      <c r="T18" t="s">
        <v>73</v>
      </c>
      <c r="U18" t="s">
        <v>1348</v>
      </c>
      <c r="V18" t="s">
        <v>1348</v>
      </c>
      <c r="W18" t="s">
        <v>1348</v>
      </c>
      <c r="X18" t="s">
        <v>1348</v>
      </c>
      <c r="Y18" t="s">
        <v>1348</v>
      </c>
      <c r="Z18" t="s">
        <v>73</v>
      </c>
      <c r="AA18" t="s">
        <v>73</v>
      </c>
      <c r="AB18" t="s">
        <v>73</v>
      </c>
      <c r="AC18" t="s">
        <v>1348</v>
      </c>
      <c r="AD18" t="s">
        <v>1348</v>
      </c>
      <c r="AE18" t="s">
        <v>1348</v>
      </c>
      <c r="AF18" t="s">
        <v>1348</v>
      </c>
      <c r="AG18" t="s">
        <v>1348</v>
      </c>
      <c r="AH18" t="s">
        <v>1348</v>
      </c>
      <c r="AI18" t="s">
        <v>1348</v>
      </c>
      <c r="AJ18" t="s">
        <v>1348</v>
      </c>
      <c r="AK18" t="s">
        <v>1348</v>
      </c>
      <c r="AL18" t="s">
        <v>1348</v>
      </c>
      <c r="AM18" t="s">
        <v>1348</v>
      </c>
      <c r="BA18" t="s">
        <v>73</v>
      </c>
      <c r="BB18" t="s">
        <v>73</v>
      </c>
      <c r="BC18" s="206" t="s">
        <v>73</v>
      </c>
    </row>
    <row r="19" spans="2:55" ht="9" customHeight="1">
      <c r="B19" s="205" t="s">
        <v>73</v>
      </c>
      <c r="C19" t="s">
        <v>73</v>
      </c>
      <c r="D19" t="s">
        <v>73</v>
      </c>
      <c r="E19" t="s">
        <v>1348</v>
      </c>
      <c r="F19" t="s">
        <v>1348</v>
      </c>
      <c r="G19" t="s">
        <v>1348</v>
      </c>
      <c r="H19" t="s">
        <v>1348</v>
      </c>
      <c r="I19" t="s">
        <v>1348</v>
      </c>
      <c r="J19" t="s">
        <v>73</v>
      </c>
      <c r="K19" t="s">
        <v>73</v>
      </c>
      <c r="L19" t="s">
        <v>73</v>
      </c>
      <c r="M19" t="s">
        <v>1348</v>
      </c>
      <c r="N19" t="s">
        <v>1348</v>
      </c>
      <c r="O19" t="s">
        <v>1348</v>
      </c>
      <c r="P19" t="s">
        <v>1348</v>
      </c>
      <c r="Q19" t="s">
        <v>1348</v>
      </c>
      <c r="R19" t="s">
        <v>73</v>
      </c>
      <c r="S19" t="s">
        <v>73</v>
      </c>
      <c r="T19" t="s">
        <v>73</v>
      </c>
      <c r="U19" t="s">
        <v>1348</v>
      </c>
      <c r="V19" t="s">
        <v>1348</v>
      </c>
      <c r="W19" t="s">
        <v>1348</v>
      </c>
      <c r="X19" t="s">
        <v>1348</v>
      </c>
      <c r="Y19" t="s">
        <v>1348</v>
      </c>
      <c r="Z19" t="s">
        <v>73</v>
      </c>
      <c r="AA19" t="s">
        <v>73</v>
      </c>
      <c r="AB19" t="s">
        <v>73</v>
      </c>
      <c r="AC19" t="s">
        <v>1348</v>
      </c>
      <c r="AD19" t="s">
        <v>1348</v>
      </c>
      <c r="AE19" t="s">
        <v>1348</v>
      </c>
      <c r="AF19" t="s">
        <v>1348</v>
      </c>
      <c r="AG19" t="s">
        <v>1348</v>
      </c>
      <c r="AH19" t="s">
        <v>1348</v>
      </c>
      <c r="AI19" t="s">
        <v>1348</v>
      </c>
      <c r="AJ19" t="s">
        <v>1348</v>
      </c>
      <c r="AK19" t="s">
        <v>1348</v>
      </c>
      <c r="AL19" t="s">
        <v>1348</v>
      </c>
      <c r="AM19" t="s">
        <v>1348</v>
      </c>
      <c r="BA19" t="s">
        <v>73</v>
      </c>
      <c r="BB19" t="s">
        <v>73</v>
      </c>
      <c r="BC19" s="206" t="s">
        <v>73</v>
      </c>
    </row>
    <row r="20" spans="2:55" ht="9" customHeight="1">
      <c r="B20" s="205" t="s">
        <v>73</v>
      </c>
      <c r="C20" t="s">
        <v>73</v>
      </c>
      <c r="D20" t="s">
        <v>73</v>
      </c>
      <c r="E20" t="s">
        <v>1348</v>
      </c>
      <c r="F20" t="s">
        <v>1348</v>
      </c>
      <c r="G20" t="s">
        <v>1348</v>
      </c>
      <c r="H20" t="s">
        <v>1348</v>
      </c>
      <c r="I20" t="s">
        <v>1348</v>
      </c>
      <c r="J20" t="s">
        <v>73</v>
      </c>
      <c r="K20" t="s">
        <v>73</v>
      </c>
      <c r="L20" t="s">
        <v>73</v>
      </c>
      <c r="M20" t="s">
        <v>1348</v>
      </c>
      <c r="N20" t="s">
        <v>1348</v>
      </c>
      <c r="O20" t="s">
        <v>1348</v>
      </c>
      <c r="P20" t="s">
        <v>1348</v>
      </c>
      <c r="Q20" t="s">
        <v>1348</v>
      </c>
      <c r="R20" t="s">
        <v>73</v>
      </c>
      <c r="S20" t="s">
        <v>73</v>
      </c>
      <c r="T20" t="s">
        <v>73</v>
      </c>
      <c r="U20" t="s">
        <v>1348</v>
      </c>
      <c r="V20" t="s">
        <v>1348</v>
      </c>
      <c r="W20" t="s">
        <v>1348</v>
      </c>
      <c r="X20" t="s">
        <v>1348</v>
      </c>
      <c r="Y20" t="s">
        <v>1348</v>
      </c>
      <c r="Z20" t="s">
        <v>73</v>
      </c>
      <c r="AA20" t="s">
        <v>73</v>
      </c>
      <c r="AB20" t="s">
        <v>73</v>
      </c>
      <c r="AC20" t="s">
        <v>1348</v>
      </c>
      <c r="AD20" t="s">
        <v>1348</v>
      </c>
      <c r="AE20" t="s">
        <v>1348</v>
      </c>
      <c r="AF20" t="s">
        <v>1348</v>
      </c>
      <c r="AG20" t="s">
        <v>1348</v>
      </c>
      <c r="AH20" t="s">
        <v>1348</v>
      </c>
      <c r="AI20" t="s">
        <v>1348</v>
      </c>
      <c r="AJ20" t="s">
        <v>1348</v>
      </c>
      <c r="AK20" t="s">
        <v>1348</v>
      </c>
      <c r="AL20" t="s">
        <v>1348</v>
      </c>
      <c r="AM20" t="s">
        <v>1348</v>
      </c>
      <c r="AU20" t="s">
        <v>73</v>
      </c>
      <c r="AV20" t="s">
        <v>73</v>
      </c>
      <c r="AW20" t="s">
        <v>73</v>
      </c>
      <c r="AX20" t="s">
        <v>73</v>
      </c>
      <c r="AY20" t="s">
        <v>73</v>
      </c>
      <c r="AZ20" t="s">
        <v>73</v>
      </c>
      <c r="BA20" t="s">
        <v>73</v>
      </c>
      <c r="BB20" t="s">
        <v>73</v>
      </c>
      <c r="BC20" s="206" t="s">
        <v>73</v>
      </c>
    </row>
    <row r="21" spans="2:55" ht="9" customHeight="1">
      <c r="B21" s="205" t="s">
        <v>73</v>
      </c>
      <c r="C21" t="s">
        <v>73</v>
      </c>
      <c r="D21" t="s">
        <v>73</v>
      </c>
      <c r="E21" t="s">
        <v>1348</v>
      </c>
      <c r="F21" t="s">
        <v>1348</v>
      </c>
      <c r="G21" t="s">
        <v>1348</v>
      </c>
      <c r="H21" t="s">
        <v>1348</v>
      </c>
      <c r="I21" t="s">
        <v>1348</v>
      </c>
      <c r="J21" t="s">
        <v>73</v>
      </c>
      <c r="K21" t="s">
        <v>73</v>
      </c>
      <c r="L21" t="s">
        <v>73</v>
      </c>
      <c r="M21" t="s">
        <v>1348</v>
      </c>
      <c r="N21" t="s">
        <v>1348</v>
      </c>
      <c r="O21" t="s">
        <v>1348</v>
      </c>
      <c r="P21" t="s">
        <v>1348</v>
      </c>
      <c r="Q21" t="s">
        <v>1348</v>
      </c>
      <c r="R21" t="s">
        <v>73</v>
      </c>
      <c r="S21" t="s">
        <v>73</v>
      </c>
      <c r="T21" t="s">
        <v>73</v>
      </c>
      <c r="U21" t="s">
        <v>1348</v>
      </c>
      <c r="V21" t="s">
        <v>1348</v>
      </c>
      <c r="W21" t="s">
        <v>1348</v>
      </c>
      <c r="X21" t="s">
        <v>1348</v>
      </c>
      <c r="Y21" t="s">
        <v>1348</v>
      </c>
      <c r="Z21" t="s">
        <v>73</v>
      </c>
      <c r="AA21" t="s">
        <v>73</v>
      </c>
      <c r="AB21" t="s">
        <v>73</v>
      </c>
      <c r="AC21" t="s">
        <v>1348</v>
      </c>
      <c r="AD21" t="s">
        <v>1348</v>
      </c>
      <c r="AE21" t="s">
        <v>1348</v>
      </c>
      <c r="AF21" t="s">
        <v>1348</v>
      </c>
      <c r="AG21" t="s">
        <v>1348</v>
      </c>
      <c r="AH21" t="s">
        <v>1348</v>
      </c>
      <c r="AI21" t="s">
        <v>1348</v>
      </c>
      <c r="AJ21" t="s">
        <v>1348</v>
      </c>
      <c r="AK21" t="s">
        <v>1348</v>
      </c>
      <c r="AL21" t="s">
        <v>1348</v>
      </c>
      <c r="AU21" t="s">
        <v>73</v>
      </c>
      <c r="AV21" t="s">
        <v>73</v>
      </c>
      <c r="AW21" t="s">
        <v>73</v>
      </c>
      <c r="AX21" t="s">
        <v>73</v>
      </c>
      <c r="AY21" t="s">
        <v>73</v>
      </c>
      <c r="AZ21" t="s">
        <v>73</v>
      </c>
      <c r="BA21" t="s">
        <v>73</v>
      </c>
      <c r="BB21" t="s">
        <v>73</v>
      </c>
      <c r="BC21" s="206" t="s">
        <v>73</v>
      </c>
    </row>
    <row r="22" spans="2:55" ht="9" customHeight="1">
      <c r="B22" s="205" t="s">
        <v>73</v>
      </c>
      <c r="C22" t="s">
        <v>73</v>
      </c>
      <c r="D22" t="s">
        <v>73</v>
      </c>
      <c r="E22" t="s">
        <v>1348</v>
      </c>
      <c r="F22" t="s">
        <v>1348</v>
      </c>
      <c r="G22" t="s">
        <v>1348</v>
      </c>
      <c r="H22" t="s">
        <v>1348</v>
      </c>
      <c r="I22" t="s">
        <v>1348</v>
      </c>
      <c r="J22" t="s">
        <v>73</v>
      </c>
      <c r="K22" t="s">
        <v>73</v>
      </c>
      <c r="L22" t="s">
        <v>73</v>
      </c>
      <c r="M22" t="s">
        <v>1348</v>
      </c>
      <c r="N22" t="s">
        <v>1348</v>
      </c>
      <c r="O22" t="s">
        <v>1348</v>
      </c>
      <c r="P22" t="s">
        <v>1348</v>
      </c>
      <c r="Q22" t="s">
        <v>1348</v>
      </c>
      <c r="R22" t="s">
        <v>73</v>
      </c>
      <c r="S22" t="s">
        <v>73</v>
      </c>
      <c r="T22" t="s">
        <v>73</v>
      </c>
      <c r="U22" t="s">
        <v>1348</v>
      </c>
      <c r="V22" t="s">
        <v>1348</v>
      </c>
      <c r="W22" t="s">
        <v>1348</v>
      </c>
      <c r="X22" t="s">
        <v>1348</v>
      </c>
      <c r="Y22" t="s">
        <v>1348</v>
      </c>
      <c r="Z22" t="s">
        <v>73</v>
      </c>
      <c r="AA22" t="s">
        <v>73</v>
      </c>
      <c r="AB22" t="s">
        <v>73</v>
      </c>
      <c r="AC22" t="s">
        <v>1348</v>
      </c>
      <c r="AD22" t="s">
        <v>1348</v>
      </c>
      <c r="AE22" t="s">
        <v>1348</v>
      </c>
      <c r="AF22" t="s">
        <v>1348</v>
      </c>
      <c r="AG22" t="s">
        <v>1348</v>
      </c>
      <c r="AH22" t="s">
        <v>1348</v>
      </c>
      <c r="AI22" t="s">
        <v>73</v>
      </c>
      <c r="AJ22" t="s">
        <v>73</v>
      </c>
      <c r="AK22" t="s">
        <v>73</v>
      </c>
      <c r="AL22" t="s">
        <v>73</v>
      </c>
      <c r="AM22" t="s">
        <v>73</v>
      </c>
      <c r="AN22" t="s">
        <v>73</v>
      </c>
      <c r="AU22" t="s">
        <v>73</v>
      </c>
      <c r="AV22" t="s">
        <v>73</v>
      </c>
      <c r="AW22" t="s">
        <v>73</v>
      </c>
      <c r="AX22" t="s">
        <v>73</v>
      </c>
      <c r="AY22" t="s">
        <v>73</v>
      </c>
      <c r="AZ22" t="s">
        <v>73</v>
      </c>
      <c r="BA22" t="s">
        <v>73</v>
      </c>
      <c r="BB22" t="s">
        <v>73</v>
      </c>
      <c r="BC22" s="206" t="s">
        <v>73</v>
      </c>
    </row>
    <row r="23" spans="2:55" ht="9" customHeight="1">
      <c r="B23" s="205" t="s">
        <v>73</v>
      </c>
      <c r="C23" t="s">
        <v>73</v>
      </c>
      <c r="D23" t="s">
        <v>73</v>
      </c>
      <c r="E23" t="s">
        <v>1348</v>
      </c>
      <c r="F23" t="s">
        <v>1348</v>
      </c>
      <c r="G23" t="s">
        <v>1348</v>
      </c>
      <c r="H23" t="s">
        <v>1348</v>
      </c>
      <c r="I23" t="s">
        <v>1348</v>
      </c>
      <c r="J23" t="s">
        <v>73</v>
      </c>
      <c r="K23" t="s">
        <v>73</v>
      </c>
      <c r="L23" t="s">
        <v>73</v>
      </c>
      <c r="M23" t="s">
        <v>1348</v>
      </c>
      <c r="N23" t="s">
        <v>1348</v>
      </c>
      <c r="O23" t="s">
        <v>1348</v>
      </c>
      <c r="P23" t="s">
        <v>1348</v>
      </c>
      <c r="Q23" t="s">
        <v>1348</v>
      </c>
      <c r="R23" t="s">
        <v>73</v>
      </c>
      <c r="S23" t="s">
        <v>73</v>
      </c>
      <c r="T23" t="s">
        <v>73</v>
      </c>
      <c r="U23" t="s">
        <v>1348</v>
      </c>
      <c r="V23" t="s">
        <v>1348</v>
      </c>
      <c r="W23" t="s">
        <v>1348</v>
      </c>
      <c r="X23" t="s">
        <v>1348</v>
      </c>
      <c r="Y23" t="s">
        <v>1348</v>
      </c>
      <c r="Z23" t="s">
        <v>73</v>
      </c>
      <c r="AA23" t="s">
        <v>73</v>
      </c>
      <c r="AB23" t="s">
        <v>73</v>
      </c>
      <c r="AF23" t="s">
        <v>1348</v>
      </c>
      <c r="AG23" t="s">
        <v>1348</v>
      </c>
      <c r="AH23" t="s">
        <v>1348</v>
      </c>
      <c r="AI23" t="s">
        <v>73</v>
      </c>
      <c r="AJ23" t="s">
        <v>73</v>
      </c>
      <c r="AK23" t="s">
        <v>73</v>
      </c>
      <c r="AL23" t="s">
        <v>73</v>
      </c>
      <c r="AM23" t="s">
        <v>73</v>
      </c>
      <c r="AN23" t="s">
        <v>73</v>
      </c>
      <c r="AU23" t="s">
        <v>73</v>
      </c>
      <c r="AV23" t="s">
        <v>73</v>
      </c>
      <c r="AW23" t="s">
        <v>73</v>
      </c>
      <c r="AX23" t="s">
        <v>73</v>
      </c>
      <c r="AY23" t="s">
        <v>73</v>
      </c>
      <c r="AZ23" t="s">
        <v>73</v>
      </c>
      <c r="BA23" t="s">
        <v>73</v>
      </c>
      <c r="BB23" t="s">
        <v>73</v>
      </c>
      <c r="BC23" s="206" t="s">
        <v>73</v>
      </c>
    </row>
    <row r="24" spans="2:55" ht="9" customHeight="1">
      <c r="B24" s="205" t="s">
        <v>73</v>
      </c>
      <c r="C24" t="s">
        <v>73</v>
      </c>
      <c r="D24" t="s">
        <v>73</v>
      </c>
      <c r="E24" t="s">
        <v>1348</v>
      </c>
      <c r="F24" t="s">
        <v>1348</v>
      </c>
      <c r="G24" t="s">
        <v>1348</v>
      </c>
      <c r="H24" t="s">
        <v>1348</v>
      </c>
      <c r="I24" t="s">
        <v>1348</v>
      </c>
      <c r="J24" t="s">
        <v>73</v>
      </c>
      <c r="K24" t="s">
        <v>73</v>
      </c>
      <c r="L24" t="s">
        <v>73</v>
      </c>
      <c r="M24" t="s">
        <v>1348</v>
      </c>
      <c r="N24" t="s">
        <v>1348</v>
      </c>
      <c r="O24" t="s">
        <v>1348</v>
      </c>
      <c r="P24" t="s">
        <v>1348</v>
      </c>
      <c r="Q24" t="s">
        <v>1348</v>
      </c>
      <c r="R24" t="s">
        <v>73</v>
      </c>
      <c r="S24" t="s">
        <v>73</v>
      </c>
      <c r="T24" t="s">
        <v>73</v>
      </c>
      <c r="Z24" t="s">
        <v>73</v>
      </c>
      <c r="AA24" t="s">
        <v>73</v>
      </c>
      <c r="AB24" t="s">
        <v>73</v>
      </c>
      <c r="AI24" t="s">
        <v>73</v>
      </c>
      <c r="AJ24" t="s">
        <v>73</v>
      </c>
      <c r="AK24" t="s">
        <v>73</v>
      </c>
      <c r="AL24" t="s">
        <v>73</v>
      </c>
      <c r="AM24" t="s">
        <v>73</v>
      </c>
      <c r="AN24" t="s">
        <v>73</v>
      </c>
      <c r="AU24" t="s">
        <v>73</v>
      </c>
      <c r="AV24" t="s">
        <v>73</v>
      </c>
      <c r="AW24" t="s">
        <v>73</v>
      </c>
      <c r="AX24" t="s">
        <v>73</v>
      </c>
      <c r="AY24" t="s">
        <v>73</v>
      </c>
      <c r="AZ24" t="s">
        <v>73</v>
      </c>
      <c r="BA24" t="s">
        <v>73</v>
      </c>
      <c r="BB24" t="s">
        <v>73</v>
      </c>
      <c r="BC24" s="206" t="s">
        <v>73</v>
      </c>
    </row>
    <row r="25" spans="2:55" ht="9" customHeight="1">
      <c r="B25" s="205" t="s">
        <v>73</v>
      </c>
      <c r="C25" t="s">
        <v>73</v>
      </c>
      <c r="D25" t="s">
        <v>73</v>
      </c>
      <c r="E25" t="s">
        <v>1348</v>
      </c>
      <c r="F25" t="s">
        <v>1348</v>
      </c>
      <c r="G25" t="s">
        <v>1348</v>
      </c>
      <c r="H25" t="s">
        <v>1348</v>
      </c>
      <c r="I25" t="s">
        <v>1348</v>
      </c>
      <c r="J25" t="s">
        <v>73</v>
      </c>
      <c r="K25" t="s">
        <v>73</v>
      </c>
      <c r="L25" t="s">
        <v>73</v>
      </c>
      <c r="M25" t="s">
        <v>1348</v>
      </c>
      <c r="N25" t="s">
        <v>1348</v>
      </c>
      <c r="O25" t="s">
        <v>1348</v>
      </c>
      <c r="P25" t="s">
        <v>1348</v>
      </c>
      <c r="Q25" t="s">
        <v>1348</v>
      </c>
      <c r="R25" t="s">
        <v>73</v>
      </c>
      <c r="S25" t="s">
        <v>73</v>
      </c>
      <c r="T25" t="s">
        <v>73</v>
      </c>
      <c r="AI25" t="s">
        <v>73</v>
      </c>
      <c r="AJ25" t="s">
        <v>73</v>
      </c>
      <c r="AK25" t="s">
        <v>73</v>
      </c>
      <c r="AL25" t="s">
        <v>73</v>
      </c>
      <c r="AM25" t="s">
        <v>73</v>
      </c>
      <c r="AN25" t="s">
        <v>73</v>
      </c>
      <c r="AU25" t="s">
        <v>73</v>
      </c>
      <c r="AV25" t="s">
        <v>73</v>
      </c>
      <c r="AW25" t="s">
        <v>73</v>
      </c>
      <c r="AX25" t="s">
        <v>73</v>
      </c>
      <c r="AY25" t="s">
        <v>73</v>
      </c>
      <c r="AZ25" t="s">
        <v>73</v>
      </c>
      <c r="BA25" t="s">
        <v>73</v>
      </c>
      <c r="BB25" t="s">
        <v>73</v>
      </c>
      <c r="BC25" s="206" t="s">
        <v>73</v>
      </c>
    </row>
    <row r="26" spans="2:55" ht="9" customHeight="1">
      <c r="B26" s="205" t="s">
        <v>73</v>
      </c>
      <c r="C26" t="s">
        <v>73</v>
      </c>
      <c r="D26" t="s">
        <v>73</v>
      </c>
      <c r="E26" t="s">
        <v>1348</v>
      </c>
      <c r="F26" t="s">
        <v>1348</v>
      </c>
      <c r="G26" t="s">
        <v>1348</v>
      </c>
      <c r="H26" t="s">
        <v>1348</v>
      </c>
      <c r="I26" t="s">
        <v>1348</v>
      </c>
      <c r="J26" t="s">
        <v>73</v>
      </c>
      <c r="K26" t="s">
        <v>73</v>
      </c>
      <c r="L26" t="s">
        <v>73</v>
      </c>
      <c r="M26" t="s">
        <v>1348</v>
      </c>
      <c r="N26" t="s">
        <v>1348</v>
      </c>
      <c r="O26" t="s">
        <v>1348</v>
      </c>
      <c r="P26" t="s">
        <v>1348</v>
      </c>
      <c r="Q26" t="s">
        <v>1348</v>
      </c>
      <c r="R26" t="s">
        <v>73</v>
      </c>
      <c r="S26" t="s">
        <v>73</v>
      </c>
      <c r="T26" t="s">
        <v>73</v>
      </c>
      <c r="U26" t="s">
        <v>73</v>
      </c>
      <c r="V26" t="s">
        <v>73</v>
      </c>
      <c r="AI26" t="s">
        <v>73</v>
      </c>
      <c r="AJ26" t="s">
        <v>73</v>
      </c>
      <c r="AK26" t="s">
        <v>73</v>
      </c>
      <c r="AL26" t="s">
        <v>73</v>
      </c>
      <c r="AM26" t="s">
        <v>73</v>
      </c>
      <c r="AN26" t="s">
        <v>73</v>
      </c>
      <c r="BA26" t="s">
        <v>73</v>
      </c>
      <c r="BB26" t="s">
        <v>73</v>
      </c>
      <c r="BC26" s="206" t="s">
        <v>73</v>
      </c>
    </row>
    <row r="27" spans="2:55" ht="9" customHeight="1">
      <c r="B27" s="205" t="s">
        <v>73</v>
      </c>
      <c r="C27" t="s">
        <v>73</v>
      </c>
      <c r="D27" t="s">
        <v>73</v>
      </c>
      <c r="E27" t="s">
        <v>1348</v>
      </c>
      <c r="F27" t="s">
        <v>1348</v>
      </c>
      <c r="G27" t="s">
        <v>1348</v>
      </c>
      <c r="H27" t="s">
        <v>1348</v>
      </c>
      <c r="I27" t="s">
        <v>1348</v>
      </c>
      <c r="J27" t="s">
        <v>73</v>
      </c>
      <c r="K27" t="s">
        <v>73</v>
      </c>
      <c r="L27" t="s">
        <v>73</v>
      </c>
      <c r="M27" t="s">
        <v>1348</v>
      </c>
      <c r="N27" t="s">
        <v>1348</v>
      </c>
      <c r="O27" t="s">
        <v>1348</v>
      </c>
      <c r="P27" t="s">
        <v>1348</v>
      </c>
      <c r="Q27" t="s">
        <v>1348</v>
      </c>
      <c r="R27" t="s">
        <v>73</v>
      </c>
      <c r="S27" t="s">
        <v>73</v>
      </c>
      <c r="T27" t="s">
        <v>73</v>
      </c>
      <c r="U27" t="s">
        <v>73</v>
      </c>
      <c r="V27" t="s">
        <v>73</v>
      </c>
      <c r="AI27" t="s">
        <v>73</v>
      </c>
      <c r="AJ27" t="s">
        <v>73</v>
      </c>
      <c r="AK27" t="s">
        <v>73</v>
      </c>
      <c r="AL27" t="s">
        <v>73</v>
      </c>
      <c r="AM27" t="s">
        <v>73</v>
      </c>
      <c r="AN27" t="s">
        <v>73</v>
      </c>
      <c r="BA27" t="s">
        <v>73</v>
      </c>
      <c r="BB27" t="s">
        <v>73</v>
      </c>
      <c r="BC27" s="206" t="s">
        <v>73</v>
      </c>
    </row>
    <row r="28" spans="2:55" ht="9" customHeight="1">
      <c r="B28" s="205" t="s">
        <v>73</v>
      </c>
      <c r="C28" t="s">
        <v>73</v>
      </c>
      <c r="D28" t="s">
        <v>73</v>
      </c>
      <c r="E28" t="s">
        <v>1348</v>
      </c>
      <c r="F28" t="s">
        <v>1348</v>
      </c>
      <c r="G28" t="s">
        <v>1348</v>
      </c>
      <c r="H28" t="s">
        <v>1348</v>
      </c>
      <c r="I28" t="s">
        <v>1348</v>
      </c>
      <c r="J28" t="s">
        <v>73</v>
      </c>
      <c r="K28" t="s">
        <v>73</v>
      </c>
      <c r="L28" t="s">
        <v>73</v>
      </c>
      <c r="M28" t="s">
        <v>1348</v>
      </c>
      <c r="N28" t="s">
        <v>1348</v>
      </c>
      <c r="O28" t="s">
        <v>1348</v>
      </c>
      <c r="P28" t="s">
        <v>1348</v>
      </c>
      <c r="Q28" t="s">
        <v>1348</v>
      </c>
      <c r="R28" t="s">
        <v>1348</v>
      </c>
      <c r="S28" t="s">
        <v>1348</v>
      </c>
      <c r="T28" t="s">
        <v>73</v>
      </c>
      <c r="U28" t="s">
        <v>73</v>
      </c>
      <c r="V28" t="s">
        <v>73</v>
      </c>
      <c r="W28" t="s">
        <v>73</v>
      </c>
      <c r="X28" t="s">
        <v>73</v>
      </c>
      <c r="Y28" t="s">
        <v>73</v>
      </c>
      <c r="Z28" t="s">
        <v>73</v>
      </c>
      <c r="AA28" t="s">
        <v>73</v>
      </c>
      <c r="AB28" t="s">
        <v>73</v>
      </c>
      <c r="AC28" t="s">
        <v>73</v>
      </c>
      <c r="AD28" t="s">
        <v>73</v>
      </c>
      <c r="AE28" t="s">
        <v>73</v>
      </c>
      <c r="AF28" t="s">
        <v>73</v>
      </c>
      <c r="AG28" t="s">
        <v>73</v>
      </c>
      <c r="AH28" t="s">
        <v>73</v>
      </c>
      <c r="AI28" t="s">
        <v>73</v>
      </c>
      <c r="AJ28" t="s">
        <v>73</v>
      </c>
      <c r="AK28" t="s">
        <v>73</v>
      </c>
      <c r="AL28" t="s">
        <v>73</v>
      </c>
      <c r="AM28" t="s">
        <v>73</v>
      </c>
      <c r="AN28" t="s">
        <v>73</v>
      </c>
      <c r="AS28" t="s">
        <v>73</v>
      </c>
      <c r="BA28" t="s">
        <v>73</v>
      </c>
      <c r="BB28" t="s">
        <v>73</v>
      </c>
      <c r="BC28" s="206" t="s">
        <v>73</v>
      </c>
    </row>
    <row r="29" spans="2:55" ht="9" customHeight="1">
      <c r="B29" s="205" t="s">
        <v>73</v>
      </c>
      <c r="C29" t="s">
        <v>73</v>
      </c>
      <c r="D29" t="s">
        <v>73</v>
      </c>
      <c r="E29" t="s">
        <v>1348</v>
      </c>
      <c r="F29" t="s">
        <v>1348</v>
      </c>
      <c r="G29" t="s">
        <v>1348</v>
      </c>
      <c r="H29" t="s">
        <v>1348</v>
      </c>
      <c r="I29" t="s">
        <v>1348</v>
      </c>
      <c r="M29" t="s">
        <v>1348</v>
      </c>
      <c r="N29" t="s">
        <v>1348</v>
      </c>
      <c r="O29" t="s">
        <v>1348</v>
      </c>
      <c r="P29" t="s">
        <v>1348</v>
      </c>
      <c r="Q29" t="s">
        <v>1348</v>
      </c>
      <c r="R29" t="s">
        <v>1348</v>
      </c>
      <c r="S29" t="s">
        <v>1348</v>
      </c>
      <c r="T29" t="s">
        <v>73</v>
      </c>
      <c r="U29" t="s">
        <v>73</v>
      </c>
      <c r="V29" t="s">
        <v>73</v>
      </c>
      <c r="W29" t="s">
        <v>73</v>
      </c>
      <c r="X29" t="s">
        <v>73</v>
      </c>
      <c r="Y29" t="s">
        <v>73</v>
      </c>
      <c r="Z29" t="s">
        <v>73</v>
      </c>
      <c r="AA29" t="s">
        <v>73</v>
      </c>
      <c r="AB29" t="s">
        <v>73</v>
      </c>
      <c r="AC29" t="s">
        <v>73</v>
      </c>
      <c r="AD29" t="s">
        <v>73</v>
      </c>
      <c r="AE29" t="s">
        <v>73</v>
      </c>
      <c r="AF29" t="s">
        <v>73</v>
      </c>
      <c r="AG29" t="s">
        <v>73</v>
      </c>
      <c r="AH29" t="s">
        <v>73</v>
      </c>
      <c r="AI29" t="s">
        <v>73</v>
      </c>
      <c r="AJ29" t="s">
        <v>73</v>
      </c>
      <c r="AK29" t="s">
        <v>73</v>
      </c>
      <c r="AL29" t="s">
        <v>73</v>
      </c>
      <c r="AM29" t="s">
        <v>73</v>
      </c>
      <c r="AN29" t="s">
        <v>73</v>
      </c>
      <c r="BA29" t="s">
        <v>73</v>
      </c>
      <c r="BB29" t="s">
        <v>73</v>
      </c>
      <c r="BC29" s="206" t="s">
        <v>73</v>
      </c>
    </row>
    <row r="30" spans="2:55" ht="9" customHeight="1">
      <c r="B30" s="205" t="s">
        <v>73</v>
      </c>
      <c r="C30" t="s">
        <v>73</v>
      </c>
      <c r="D30" t="s">
        <v>73</v>
      </c>
      <c r="T30" t="s">
        <v>73</v>
      </c>
      <c r="U30" t="s">
        <v>73</v>
      </c>
      <c r="V30" t="s">
        <v>73</v>
      </c>
      <c r="W30" t="s">
        <v>73</v>
      </c>
      <c r="X30" t="s">
        <v>73</v>
      </c>
      <c r="Y30" t="s">
        <v>73</v>
      </c>
      <c r="Z30" t="s">
        <v>73</v>
      </c>
      <c r="AA30" t="s">
        <v>73</v>
      </c>
      <c r="AB30" t="s">
        <v>73</v>
      </c>
      <c r="AC30" t="s">
        <v>73</v>
      </c>
      <c r="AD30" t="s">
        <v>73</v>
      </c>
      <c r="AE30" t="s">
        <v>73</v>
      </c>
      <c r="AF30" t="s">
        <v>73</v>
      </c>
      <c r="AG30" t="s">
        <v>73</v>
      </c>
      <c r="AH30" t="s">
        <v>73</v>
      </c>
      <c r="AI30" t="s">
        <v>73</v>
      </c>
      <c r="AJ30" t="s">
        <v>73</v>
      </c>
      <c r="AK30" t="s">
        <v>73</v>
      </c>
      <c r="AL30" t="s">
        <v>73</v>
      </c>
      <c r="AM30" t="s">
        <v>73</v>
      </c>
      <c r="AN30" t="s">
        <v>73</v>
      </c>
      <c r="BA30" t="s">
        <v>73</v>
      </c>
      <c r="BB30" t="s">
        <v>73</v>
      </c>
      <c r="BC30" s="206" t="s">
        <v>73</v>
      </c>
    </row>
    <row r="31" spans="2:55" ht="9" customHeight="1">
      <c r="B31" s="205" t="s">
        <v>73</v>
      </c>
      <c r="C31" t="s">
        <v>73</v>
      </c>
      <c r="D31" t="s">
        <v>73</v>
      </c>
      <c r="K31" t="s">
        <v>73</v>
      </c>
      <c r="T31" t="s">
        <v>73</v>
      </c>
      <c r="U31" t="s">
        <v>73</v>
      </c>
      <c r="V31" t="s">
        <v>73</v>
      </c>
      <c r="W31" t="s">
        <v>73</v>
      </c>
      <c r="X31" t="s">
        <v>73</v>
      </c>
      <c r="Y31" t="s">
        <v>73</v>
      </c>
      <c r="Z31" t="s">
        <v>73</v>
      </c>
      <c r="AA31" t="s">
        <v>73</v>
      </c>
      <c r="AB31" t="s">
        <v>73</v>
      </c>
      <c r="AC31" t="s">
        <v>73</v>
      </c>
      <c r="AD31" t="s">
        <v>73</v>
      </c>
      <c r="AE31" t="s">
        <v>73</v>
      </c>
      <c r="AF31" t="s">
        <v>73</v>
      </c>
      <c r="AG31" t="s">
        <v>73</v>
      </c>
      <c r="AH31" t="s">
        <v>73</v>
      </c>
      <c r="AI31" t="s">
        <v>73</v>
      </c>
      <c r="AJ31" t="s">
        <v>73</v>
      </c>
      <c r="AK31" t="s">
        <v>73</v>
      </c>
      <c r="AL31" t="s">
        <v>73</v>
      </c>
      <c r="AM31" t="s">
        <v>73</v>
      </c>
      <c r="AN31" t="s">
        <v>73</v>
      </c>
      <c r="AO31" t="s">
        <v>1348</v>
      </c>
      <c r="AP31" t="s">
        <v>1348</v>
      </c>
      <c r="AQ31" t="s">
        <v>1348</v>
      </c>
      <c r="AR31" t="s">
        <v>1348</v>
      </c>
      <c r="BA31" t="s">
        <v>73</v>
      </c>
      <c r="BB31" t="s">
        <v>73</v>
      </c>
      <c r="BC31" s="206" t="s">
        <v>73</v>
      </c>
    </row>
    <row r="32" spans="2:55" ht="9" customHeight="1">
      <c r="B32" s="205" t="s">
        <v>73</v>
      </c>
      <c r="C32" t="s">
        <v>73</v>
      </c>
      <c r="D32" t="s">
        <v>73</v>
      </c>
      <c r="Z32" t="s">
        <v>73</v>
      </c>
      <c r="AA32" t="s">
        <v>73</v>
      </c>
      <c r="AB32" t="s">
        <v>73</v>
      </c>
      <c r="AC32" t="s">
        <v>73</v>
      </c>
      <c r="AD32" t="s">
        <v>73</v>
      </c>
      <c r="AE32" t="s">
        <v>73</v>
      </c>
      <c r="AF32" t="s">
        <v>73</v>
      </c>
      <c r="AG32" t="s">
        <v>73</v>
      </c>
      <c r="AH32" t="s">
        <v>73</v>
      </c>
      <c r="AI32" t="s">
        <v>73</v>
      </c>
      <c r="AJ32" t="s">
        <v>73</v>
      </c>
      <c r="AK32" t="s">
        <v>73</v>
      </c>
      <c r="AL32" t="s">
        <v>73</v>
      </c>
      <c r="AM32" t="s">
        <v>73</v>
      </c>
      <c r="AN32" t="s">
        <v>73</v>
      </c>
      <c r="AO32" t="s">
        <v>1348</v>
      </c>
      <c r="AP32" t="s">
        <v>1348</v>
      </c>
      <c r="AQ32" t="s">
        <v>1348</v>
      </c>
      <c r="AR32" t="s">
        <v>1348</v>
      </c>
      <c r="AS32" t="s">
        <v>1348</v>
      </c>
      <c r="AT32" t="s">
        <v>73</v>
      </c>
      <c r="AU32" t="s">
        <v>73</v>
      </c>
      <c r="AV32" t="s">
        <v>73</v>
      </c>
      <c r="BA32" t="s">
        <v>73</v>
      </c>
      <c r="BB32" t="s">
        <v>73</v>
      </c>
      <c r="BC32" s="206" t="s">
        <v>73</v>
      </c>
    </row>
    <row r="33" spans="2:55" ht="9" customHeight="1">
      <c r="B33" s="205" t="s">
        <v>73</v>
      </c>
      <c r="C33" t="s">
        <v>73</v>
      </c>
      <c r="D33" t="s">
        <v>73</v>
      </c>
      <c r="Z33" t="s">
        <v>73</v>
      </c>
      <c r="AA33" t="s">
        <v>73</v>
      </c>
      <c r="AB33" t="s">
        <v>73</v>
      </c>
      <c r="AC33" t="s">
        <v>73</v>
      </c>
      <c r="AD33" t="s">
        <v>73</v>
      </c>
      <c r="AE33" t="s">
        <v>73</v>
      </c>
      <c r="AF33" t="s">
        <v>73</v>
      </c>
      <c r="AG33" t="s">
        <v>73</v>
      </c>
      <c r="AH33" t="s">
        <v>73</v>
      </c>
      <c r="AI33" t="s">
        <v>73</v>
      </c>
      <c r="AJ33" t="s">
        <v>73</v>
      </c>
      <c r="AK33" t="s">
        <v>73</v>
      </c>
      <c r="AL33" t="s">
        <v>73</v>
      </c>
      <c r="AM33" t="s">
        <v>73</v>
      </c>
      <c r="AN33" t="s">
        <v>73</v>
      </c>
      <c r="AO33" t="s">
        <v>1348</v>
      </c>
      <c r="AP33" t="s">
        <v>1348</v>
      </c>
      <c r="AQ33" t="s">
        <v>1348</v>
      </c>
      <c r="AR33" t="s">
        <v>1348</v>
      </c>
      <c r="AS33" t="s">
        <v>1348</v>
      </c>
      <c r="AT33" t="s">
        <v>73</v>
      </c>
      <c r="AU33" t="s">
        <v>73</v>
      </c>
      <c r="AV33" t="s">
        <v>73</v>
      </c>
      <c r="BA33" t="s">
        <v>73</v>
      </c>
      <c r="BB33" t="s">
        <v>73</v>
      </c>
      <c r="BC33" s="206" t="s">
        <v>73</v>
      </c>
    </row>
    <row r="34" spans="2:55" ht="9" customHeight="1">
      <c r="B34" s="205" t="s">
        <v>73</v>
      </c>
      <c r="C34" t="s">
        <v>73</v>
      </c>
      <c r="D34" t="s">
        <v>73</v>
      </c>
      <c r="Z34" t="s">
        <v>73</v>
      </c>
      <c r="AA34" t="s">
        <v>73</v>
      </c>
      <c r="AB34" t="s">
        <v>73</v>
      </c>
      <c r="AC34" t="s">
        <v>73</v>
      </c>
      <c r="AD34" t="s">
        <v>73</v>
      </c>
      <c r="AE34" t="s">
        <v>73</v>
      </c>
      <c r="AF34" t="s">
        <v>73</v>
      </c>
      <c r="AG34" t="s">
        <v>73</v>
      </c>
      <c r="AH34" t="s">
        <v>73</v>
      </c>
      <c r="AI34" t="s">
        <v>73</v>
      </c>
      <c r="AJ34" t="s">
        <v>73</v>
      </c>
      <c r="AK34" t="s">
        <v>73</v>
      </c>
      <c r="AL34" t="s">
        <v>73</v>
      </c>
      <c r="AM34" t="s">
        <v>73</v>
      </c>
      <c r="AN34" t="s">
        <v>73</v>
      </c>
      <c r="AO34" t="s">
        <v>1348</v>
      </c>
      <c r="AP34" t="s">
        <v>1348</v>
      </c>
      <c r="AQ34" t="s">
        <v>1348</v>
      </c>
      <c r="AR34" t="s">
        <v>1348</v>
      </c>
      <c r="AS34" t="s">
        <v>1348</v>
      </c>
      <c r="AT34" t="s">
        <v>73</v>
      </c>
      <c r="AU34" t="s">
        <v>73</v>
      </c>
      <c r="AV34" t="s">
        <v>73</v>
      </c>
      <c r="BA34" t="s">
        <v>73</v>
      </c>
      <c r="BB34" t="s">
        <v>73</v>
      </c>
      <c r="BC34" s="206" t="s">
        <v>73</v>
      </c>
    </row>
    <row r="35" spans="2:55" ht="9" customHeight="1">
      <c r="B35" s="205" t="s">
        <v>73</v>
      </c>
      <c r="C35" t="s">
        <v>73</v>
      </c>
      <c r="D35" t="s">
        <v>73</v>
      </c>
      <c r="Z35" t="s">
        <v>73</v>
      </c>
      <c r="AA35" t="s">
        <v>73</v>
      </c>
      <c r="AB35" t="s">
        <v>73</v>
      </c>
      <c r="AC35" t="s">
        <v>73</v>
      </c>
      <c r="AD35" t="s">
        <v>73</v>
      </c>
      <c r="AE35" t="s">
        <v>73</v>
      </c>
      <c r="AF35" t="s">
        <v>73</v>
      </c>
      <c r="AG35" t="s">
        <v>73</v>
      </c>
      <c r="AH35" t="s">
        <v>73</v>
      </c>
      <c r="AI35" t="s">
        <v>73</v>
      </c>
      <c r="AJ35" t="s">
        <v>73</v>
      </c>
      <c r="AK35" t="s">
        <v>73</v>
      </c>
      <c r="AL35" t="s">
        <v>73</v>
      </c>
      <c r="AM35" t="s">
        <v>73</v>
      </c>
      <c r="AN35" t="s">
        <v>73</v>
      </c>
      <c r="AO35" t="s">
        <v>1348</v>
      </c>
      <c r="AP35" t="s">
        <v>1348</v>
      </c>
      <c r="AQ35" t="s">
        <v>1348</v>
      </c>
      <c r="AR35" t="s">
        <v>1348</v>
      </c>
      <c r="AS35" t="s">
        <v>1348</v>
      </c>
      <c r="AT35" t="s">
        <v>73</v>
      </c>
      <c r="AU35" t="s">
        <v>73</v>
      </c>
      <c r="AV35" t="s">
        <v>73</v>
      </c>
      <c r="BA35" t="s">
        <v>73</v>
      </c>
      <c r="BB35" t="s">
        <v>73</v>
      </c>
      <c r="BC35" s="206" t="s">
        <v>73</v>
      </c>
    </row>
    <row r="36" spans="2:55" ht="9" customHeight="1">
      <c r="B36" s="205" t="s">
        <v>73</v>
      </c>
      <c r="C36" t="s">
        <v>73</v>
      </c>
      <c r="D36" t="s">
        <v>73</v>
      </c>
      <c r="E36" t="s">
        <v>73</v>
      </c>
      <c r="F36" t="s">
        <v>73</v>
      </c>
      <c r="G36" t="s">
        <v>73</v>
      </c>
      <c r="H36" t="s">
        <v>73</v>
      </c>
      <c r="I36" t="s">
        <v>73</v>
      </c>
      <c r="J36" t="s">
        <v>73</v>
      </c>
      <c r="K36" t="s">
        <v>73</v>
      </c>
      <c r="L36" t="s">
        <v>73</v>
      </c>
      <c r="M36" t="s">
        <v>73</v>
      </c>
      <c r="N36" t="s">
        <v>73</v>
      </c>
      <c r="O36" t="s">
        <v>73</v>
      </c>
      <c r="P36" t="s">
        <v>73</v>
      </c>
      <c r="Q36" t="s">
        <v>73</v>
      </c>
      <c r="R36" t="s">
        <v>73</v>
      </c>
      <c r="S36" t="s">
        <v>73</v>
      </c>
      <c r="Z36" t="s">
        <v>73</v>
      </c>
      <c r="AA36" t="s">
        <v>73</v>
      </c>
      <c r="AB36" t="s">
        <v>73</v>
      </c>
      <c r="AC36" t="s">
        <v>73</v>
      </c>
      <c r="AD36" t="s">
        <v>73</v>
      </c>
      <c r="AE36" t="s">
        <v>73</v>
      </c>
      <c r="AF36" t="s">
        <v>73</v>
      </c>
      <c r="AG36" t="s">
        <v>73</v>
      </c>
      <c r="AH36" t="s">
        <v>73</v>
      </c>
      <c r="AI36" t="s">
        <v>73</v>
      </c>
      <c r="AJ36" t="s">
        <v>73</v>
      </c>
      <c r="AK36" t="s">
        <v>73</v>
      </c>
      <c r="AL36" t="s">
        <v>73</v>
      </c>
      <c r="AM36" t="s">
        <v>73</v>
      </c>
      <c r="AN36" t="s">
        <v>73</v>
      </c>
      <c r="AO36" t="s">
        <v>1348</v>
      </c>
      <c r="AP36" t="s">
        <v>1348</v>
      </c>
      <c r="AQ36" t="s">
        <v>1348</v>
      </c>
      <c r="AR36" t="s">
        <v>1348</v>
      </c>
      <c r="AS36" t="s">
        <v>1348</v>
      </c>
      <c r="AT36" t="s">
        <v>73</v>
      </c>
      <c r="AU36" t="s">
        <v>73</v>
      </c>
      <c r="AV36" t="s">
        <v>73</v>
      </c>
      <c r="BA36" t="s">
        <v>73</v>
      </c>
      <c r="BB36" t="s">
        <v>73</v>
      </c>
      <c r="BC36" s="206" t="s">
        <v>73</v>
      </c>
    </row>
    <row r="37" spans="2:55" ht="9" customHeight="1">
      <c r="B37" s="205" t="s">
        <v>73</v>
      </c>
      <c r="C37" t="s">
        <v>73</v>
      </c>
      <c r="D37" t="s">
        <v>73</v>
      </c>
      <c r="E37" t="s">
        <v>73</v>
      </c>
      <c r="F37" t="s">
        <v>73</v>
      </c>
      <c r="G37" t="s">
        <v>73</v>
      </c>
      <c r="H37" t="s">
        <v>73</v>
      </c>
      <c r="I37" t="s">
        <v>73</v>
      </c>
      <c r="J37" t="s">
        <v>73</v>
      </c>
      <c r="K37" t="s">
        <v>73</v>
      </c>
      <c r="L37" t="s">
        <v>73</v>
      </c>
      <c r="M37" t="s">
        <v>73</v>
      </c>
      <c r="N37" t="s">
        <v>73</v>
      </c>
      <c r="O37" t="s">
        <v>73</v>
      </c>
      <c r="P37" t="s">
        <v>73</v>
      </c>
      <c r="Q37" t="s">
        <v>73</v>
      </c>
      <c r="R37" t="s">
        <v>73</v>
      </c>
      <c r="S37" t="s">
        <v>73</v>
      </c>
      <c r="Z37" t="s">
        <v>73</v>
      </c>
      <c r="AA37" t="s">
        <v>73</v>
      </c>
      <c r="AB37" t="s">
        <v>73</v>
      </c>
      <c r="AC37" t="s">
        <v>73</v>
      </c>
      <c r="AD37" t="s">
        <v>73</v>
      </c>
      <c r="AE37" t="s">
        <v>73</v>
      </c>
      <c r="AF37" t="s">
        <v>73</v>
      </c>
      <c r="AG37" t="s">
        <v>73</v>
      </c>
      <c r="AH37" t="s">
        <v>73</v>
      </c>
      <c r="AI37" t="s">
        <v>73</v>
      </c>
      <c r="AJ37" t="s">
        <v>73</v>
      </c>
      <c r="AK37" t="s">
        <v>73</v>
      </c>
      <c r="AL37" t="s">
        <v>73</v>
      </c>
      <c r="AM37" t="s">
        <v>73</v>
      </c>
      <c r="AN37" t="s">
        <v>73</v>
      </c>
      <c r="AO37" t="s">
        <v>1348</v>
      </c>
      <c r="AP37" t="s">
        <v>1348</v>
      </c>
      <c r="AQ37" t="s">
        <v>1348</v>
      </c>
      <c r="AR37" t="s">
        <v>1348</v>
      </c>
      <c r="AS37" t="s">
        <v>1348</v>
      </c>
      <c r="AT37" t="s">
        <v>73</v>
      </c>
      <c r="AU37" t="s">
        <v>73</v>
      </c>
      <c r="AV37" t="s">
        <v>73</v>
      </c>
      <c r="BA37" t="s">
        <v>73</v>
      </c>
      <c r="BB37" t="s">
        <v>73</v>
      </c>
      <c r="BC37" s="206" t="s">
        <v>73</v>
      </c>
    </row>
    <row r="38" spans="2:55" ht="9" customHeight="1">
      <c r="B38" s="205" t="s">
        <v>73</v>
      </c>
      <c r="C38" t="s">
        <v>73</v>
      </c>
      <c r="D38" t="s">
        <v>73</v>
      </c>
      <c r="E38" t="s">
        <v>73</v>
      </c>
      <c r="F38" t="s">
        <v>73</v>
      </c>
      <c r="G38" t="s">
        <v>73</v>
      </c>
      <c r="H38" t="s">
        <v>73</v>
      </c>
      <c r="I38" t="s">
        <v>73</v>
      </c>
      <c r="J38" t="s">
        <v>73</v>
      </c>
      <c r="K38" t="s">
        <v>73</v>
      </c>
      <c r="L38" t="s">
        <v>73</v>
      </c>
      <c r="M38" t="s">
        <v>73</v>
      </c>
      <c r="N38" t="s">
        <v>73</v>
      </c>
      <c r="O38" t="s">
        <v>73</v>
      </c>
      <c r="P38" t="s">
        <v>73</v>
      </c>
      <c r="Q38" t="s">
        <v>73</v>
      </c>
      <c r="R38" t="s">
        <v>73</v>
      </c>
      <c r="S38" t="s">
        <v>73</v>
      </c>
      <c r="T38" t="s">
        <v>73</v>
      </c>
      <c r="U38" t="s">
        <v>73</v>
      </c>
      <c r="V38" t="s">
        <v>73</v>
      </c>
      <c r="W38" t="s">
        <v>73</v>
      </c>
      <c r="X38" t="s">
        <v>73</v>
      </c>
      <c r="Y38" t="s">
        <v>73</v>
      </c>
      <c r="Z38" t="s">
        <v>73</v>
      </c>
      <c r="AA38" t="s">
        <v>73</v>
      </c>
      <c r="AB38" t="s">
        <v>73</v>
      </c>
      <c r="AC38" t="s">
        <v>73</v>
      </c>
      <c r="AD38" t="s">
        <v>73</v>
      </c>
      <c r="AE38" t="s">
        <v>73</v>
      </c>
      <c r="AF38" t="s">
        <v>73</v>
      </c>
      <c r="AG38" t="s">
        <v>73</v>
      </c>
      <c r="AH38" t="s">
        <v>73</v>
      </c>
      <c r="AI38" t="s">
        <v>73</v>
      </c>
      <c r="AJ38" t="s">
        <v>73</v>
      </c>
      <c r="AK38" t="s">
        <v>73</v>
      </c>
      <c r="AL38" t="s">
        <v>73</v>
      </c>
      <c r="AM38" t="s">
        <v>73</v>
      </c>
      <c r="AN38" t="s">
        <v>73</v>
      </c>
      <c r="AO38" t="s">
        <v>1348</v>
      </c>
      <c r="AP38" t="s">
        <v>1348</v>
      </c>
      <c r="AQ38" t="s">
        <v>1348</v>
      </c>
      <c r="AR38" t="s">
        <v>1348</v>
      </c>
      <c r="AS38" t="s">
        <v>1348</v>
      </c>
      <c r="AT38" t="s">
        <v>73</v>
      </c>
      <c r="AU38" t="s">
        <v>73</v>
      </c>
      <c r="AV38" t="s">
        <v>73</v>
      </c>
      <c r="BA38" t="s">
        <v>73</v>
      </c>
      <c r="BB38" t="s">
        <v>73</v>
      </c>
      <c r="BC38" s="206" t="s">
        <v>73</v>
      </c>
    </row>
    <row r="39" spans="2:55" ht="9" customHeight="1">
      <c r="B39" s="205" t="s">
        <v>73</v>
      </c>
      <c r="C39" t="s">
        <v>73</v>
      </c>
      <c r="D39" t="s">
        <v>73</v>
      </c>
      <c r="E39" t="s">
        <v>73</v>
      </c>
      <c r="F39" t="s">
        <v>73</v>
      </c>
      <c r="G39" t="s">
        <v>73</v>
      </c>
      <c r="H39" t="s">
        <v>73</v>
      </c>
      <c r="I39" t="s">
        <v>73</v>
      </c>
      <c r="J39" t="s">
        <v>73</v>
      </c>
      <c r="K39" t="s">
        <v>73</v>
      </c>
      <c r="L39" t="s">
        <v>73</v>
      </c>
      <c r="M39" t="s">
        <v>73</v>
      </c>
      <c r="N39" t="s">
        <v>73</v>
      </c>
      <c r="O39" t="s">
        <v>73</v>
      </c>
      <c r="P39" t="s">
        <v>73</v>
      </c>
      <c r="Q39" t="s">
        <v>73</v>
      </c>
      <c r="R39" t="s">
        <v>73</v>
      </c>
      <c r="S39" t="s">
        <v>73</v>
      </c>
      <c r="T39" t="s">
        <v>73</v>
      </c>
      <c r="U39" t="s">
        <v>73</v>
      </c>
      <c r="V39" t="s">
        <v>73</v>
      </c>
      <c r="W39" t="s">
        <v>73</v>
      </c>
      <c r="X39" t="s">
        <v>73</v>
      </c>
      <c r="Y39" t="s">
        <v>73</v>
      </c>
      <c r="Z39" t="s">
        <v>73</v>
      </c>
      <c r="AA39" t="s">
        <v>73</v>
      </c>
      <c r="AB39" t="s">
        <v>73</v>
      </c>
      <c r="AC39" t="s">
        <v>73</v>
      </c>
      <c r="AD39" t="s">
        <v>73</v>
      </c>
      <c r="AE39" t="s">
        <v>73</v>
      </c>
      <c r="AF39" t="s">
        <v>73</v>
      </c>
      <c r="AG39" t="s">
        <v>73</v>
      </c>
      <c r="AH39" t="s">
        <v>73</v>
      </c>
      <c r="AI39" t="s">
        <v>73</v>
      </c>
      <c r="AJ39" t="s">
        <v>73</v>
      </c>
      <c r="AK39" t="s">
        <v>73</v>
      </c>
      <c r="AL39" t="s">
        <v>73</v>
      </c>
      <c r="AM39" t="s">
        <v>73</v>
      </c>
      <c r="AN39" t="s">
        <v>73</v>
      </c>
      <c r="AO39" t="s">
        <v>1348</v>
      </c>
      <c r="AP39" t="s">
        <v>1348</v>
      </c>
      <c r="AQ39" t="s">
        <v>1348</v>
      </c>
      <c r="AR39" t="s">
        <v>1348</v>
      </c>
      <c r="AS39" t="s">
        <v>1348</v>
      </c>
      <c r="AT39" t="s">
        <v>73</v>
      </c>
      <c r="AU39" t="s">
        <v>73</v>
      </c>
      <c r="AV39" t="s">
        <v>73</v>
      </c>
      <c r="BA39" t="s">
        <v>73</v>
      </c>
      <c r="BB39" t="s">
        <v>73</v>
      </c>
      <c r="BC39" s="206" t="s">
        <v>73</v>
      </c>
    </row>
    <row r="40" spans="2:55" ht="9" customHeight="1">
      <c r="B40" s="205" t="s">
        <v>73</v>
      </c>
      <c r="C40" t="s">
        <v>73</v>
      </c>
      <c r="D40" t="s">
        <v>73</v>
      </c>
      <c r="E40" t="s">
        <v>73</v>
      </c>
      <c r="F40" t="s">
        <v>73</v>
      </c>
      <c r="G40" t="s">
        <v>73</v>
      </c>
      <c r="H40" t="s">
        <v>73</v>
      </c>
      <c r="I40" t="s">
        <v>73</v>
      </c>
      <c r="J40" t="s">
        <v>73</v>
      </c>
      <c r="K40" t="s">
        <v>73</v>
      </c>
      <c r="L40" t="s">
        <v>73</v>
      </c>
      <c r="M40" t="s">
        <v>73</v>
      </c>
      <c r="N40" t="s">
        <v>73</v>
      </c>
      <c r="O40" t="s">
        <v>73</v>
      </c>
      <c r="P40" t="s">
        <v>73</v>
      </c>
      <c r="Q40" t="s">
        <v>73</v>
      </c>
      <c r="R40" t="s">
        <v>73</v>
      </c>
      <c r="S40" t="s">
        <v>73</v>
      </c>
      <c r="T40" t="s">
        <v>73</v>
      </c>
      <c r="U40" t="s">
        <v>73</v>
      </c>
      <c r="V40" t="s">
        <v>73</v>
      </c>
      <c r="W40" t="s">
        <v>73</v>
      </c>
      <c r="X40" t="s">
        <v>73</v>
      </c>
      <c r="Y40" t="s">
        <v>73</v>
      </c>
      <c r="Z40" t="s">
        <v>73</v>
      </c>
      <c r="AA40" t="s">
        <v>73</v>
      </c>
      <c r="AB40" t="s">
        <v>73</v>
      </c>
      <c r="AC40" t="s">
        <v>73</v>
      </c>
      <c r="AD40" t="s">
        <v>73</v>
      </c>
      <c r="AE40" t="s">
        <v>73</v>
      </c>
      <c r="AF40" t="s">
        <v>73</v>
      </c>
      <c r="AG40" t="s">
        <v>73</v>
      </c>
      <c r="AH40" t="s">
        <v>73</v>
      </c>
      <c r="AI40" t="s">
        <v>73</v>
      </c>
      <c r="AJ40" t="s">
        <v>73</v>
      </c>
      <c r="AK40" t="s">
        <v>73</v>
      </c>
      <c r="AL40" t="s">
        <v>73</v>
      </c>
      <c r="AM40" t="s">
        <v>73</v>
      </c>
      <c r="AN40" t="s">
        <v>73</v>
      </c>
      <c r="AO40" t="s">
        <v>1348</v>
      </c>
      <c r="AP40" t="s">
        <v>1348</v>
      </c>
      <c r="AQ40" t="s">
        <v>1348</v>
      </c>
      <c r="AR40" t="s">
        <v>1348</v>
      </c>
      <c r="AS40" t="s">
        <v>1348</v>
      </c>
      <c r="AT40" t="s">
        <v>73</v>
      </c>
      <c r="AU40" t="s">
        <v>73</v>
      </c>
      <c r="AV40" t="s">
        <v>73</v>
      </c>
      <c r="BA40" t="s">
        <v>73</v>
      </c>
      <c r="BB40" t="s">
        <v>73</v>
      </c>
      <c r="BC40" s="206" t="s">
        <v>73</v>
      </c>
    </row>
    <row r="41" spans="2:55" ht="9" customHeight="1">
      <c r="B41" s="205" t="s">
        <v>73</v>
      </c>
      <c r="C41" t="s">
        <v>73</v>
      </c>
      <c r="D41" t="s">
        <v>73</v>
      </c>
      <c r="E41" t="s">
        <v>1348</v>
      </c>
      <c r="F41" t="s">
        <v>1348</v>
      </c>
      <c r="G41" t="s">
        <v>1348</v>
      </c>
      <c r="H41" t="s">
        <v>1348</v>
      </c>
      <c r="I41" t="s">
        <v>1348</v>
      </c>
      <c r="J41" t="s">
        <v>1348</v>
      </c>
      <c r="K41" t="s">
        <v>1348</v>
      </c>
      <c r="L41" t="s">
        <v>1348</v>
      </c>
      <c r="M41" t="s">
        <v>1348</v>
      </c>
      <c r="N41" t="s">
        <v>1348</v>
      </c>
      <c r="O41" t="s">
        <v>1348</v>
      </c>
      <c r="P41" t="s">
        <v>1348</v>
      </c>
      <c r="Q41" t="s">
        <v>1348</v>
      </c>
      <c r="R41" t="s">
        <v>1348</v>
      </c>
      <c r="S41" t="s">
        <v>1348</v>
      </c>
      <c r="T41" t="s">
        <v>73</v>
      </c>
      <c r="U41" t="s">
        <v>73</v>
      </c>
      <c r="V41" t="s">
        <v>73</v>
      </c>
      <c r="W41" t="s">
        <v>73</v>
      </c>
      <c r="X41" t="s">
        <v>73</v>
      </c>
      <c r="Y41" t="s">
        <v>73</v>
      </c>
      <c r="Z41" t="s">
        <v>73</v>
      </c>
      <c r="AA41" t="s">
        <v>73</v>
      </c>
      <c r="AB41" t="s">
        <v>73</v>
      </c>
      <c r="AC41" t="s">
        <v>73</v>
      </c>
      <c r="AD41" t="s">
        <v>73</v>
      </c>
      <c r="AE41" t="s">
        <v>73</v>
      </c>
      <c r="AF41" t="s">
        <v>73</v>
      </c>
      <c r="AG41" t="s">
        <v>73</v>
      </c>
      <c r="AH41" t="s">
        <v>73</v>
      </c>
      <c r="AI41" t="s">
        <v>73</v>
      </c>
      <c r="AJ41" t="s">
        <v>73</v>
      </c>
      <c r="AK41" t="s">
        <v>73</v>
      </c>
      <c r="AL41" t="s">
        <v>73</v>
      </c>
      <c r="AM41" t="s">
        <v>73</v>
      </c>
      <c r="AN41" t="s">
        <v>73</v>
      </c>
      <c r="AO41" t="s">
        <v>1348</v>
      </c>
      <c r="AP41" t="s">
        <v>1348</v>
      </c>
      <c r="AQ41" t="s">
        <v>1348</v>
      </c>
      <c r="AR41" t="s">
        <v>1348</v>
      </c>
      <c r="AS41" t="s">
        <v>1348</v>
      </c>
      <c r="AT41" t="s">
        <v>73</v>
      </c>
      <c r="AU41" t="s">
        <v>73</v>
      </c>
      <c r="AV41" t="s">
        <v>73</v>
      </c>
      <c r="BA41" t="s">
        <v>73</v>
      </c>
      <c r="BB41" t="s">
        <v>73</v>
      </c>
      <c r="BC41" s="206" t="s">
        <v>73</v>
      </c>
    </row>
    <row r="42" spans="2:55" ht="9" customHeight="1">
      <c r="B42" s="205" t="s">
        <v>73</v>
      </c>
      <c r="C42" t="s">
        <v>73</v>
      </c>
      <c r="D42" t="s">
        <v>73</v>
      </c>
      <c r="E42" t="s">
        <v>1348</v>
      </c>
      <c r="F42" t="s">
        <v>1348</v>
      </c>
      <c r="G42" t="s">
        <v>1348</v>
      </c>
      <c r="H42" t="s">
        <v>1348</v>
      </c>
      <c r="I42" t="s">
        <v>1348</v>
      </c>
      <c r="J42" t="s">
        <v>1348</v>
      </c>
      <c r="K42" t="s">
        <v>1348</v>
      </c>
      <c r="L42" t="s">
        <v>1348</v>
      </c>
      <c r="M42" t="s">
        <v>1348</v>
      </c>
      <c r="N42" t="s">
        <v>1348</v>
      </c>
      <c r="O42" t="s">
        <v>1348</v>
      </c>
      <c r="P42" t="s">
        <v>1348</v>
      </c>
      <c r="Q42" t="s">
        <v>1348</v>
      </c>
      <c r="R42" t="s">
        <v>1348</v>
      </c>
      <c r="S42" t="s">
        <v>1348</v>
      </c>
      <c r="T42" t="s">
        <v>73</v>
      </c>
      <c r="U42" t="s">
        <v>73</v>
      </c>
      <c r="V42" t="s">
        <v>73</v>
      </c>
      <c r="W42" t="s">
        <v>73</v>
      </c>
      <c r="X42" t="s">
        <v>73</v>
      </c>
      <c r="Y42" t="s">
        <v>73</v>
      </c>
      <c r="Z42" t="s">
        <v>73</v>
      </c>
      <c r="AA42" t="s">
        <v>73</v>
      </c>
      <c r="AB42" t="s">
        <v>73</v>
      </c>
      <c r="AC42" t="s">
        <v>73</v>
      </c>
      <c r="AD42" t="s">
        <v>73</v>
      </c>
      <c r="AE42" t="s">
        <v>73</v>
      </c>
      <c r="AF42" t="s">
        <v>73</v>
      </c>
      <c r="AG42" t="s">
        <v>73</v>
      </c>
      <c r="AH42" t="s">
        <v>73</v>
      </c>
      <c r="AI42" t="s">
        <v>73</v>
      </c>
      <c r="AJ42" t="s">
        <v>73</v>
      </c>
      <c r="AK42" t="s">
        <v>73</v>
      </c>
      <c r="AL42" t="s">
        <v>73</v>
      </c>
      <c r="AM42" t="s">
        <v>73</v>
      </c>
      <c r="AN42" t="s">
        <v>73</v>
      </c>
      <c r="AO42" t="s">
        <v>1348</v>
      </c>
      <c r="AP42" t="s">
        <v>1348</v>
      </c>
      <c r="AQ42" t="s">
        <v>1348</v>
      </c>
      <c r="AR42" t="s">
        <v>1348</v>
      </c>
      <c r="AS42" t="s">
        <v>1348</v>
      </c>
      <c r="AT42" t="s">
        <v>73</v>
      </c>
      <c r="AU42" t="s">
        <v>73</v>
      </c>
      <c r="AV42" t="s">
        <v>73</v>
      </c>
      <c r="BA42" t="s">
        <v>73</v>
      </c>
      <c r="BB42" t="s">
        <v>73</v>
      </c>
      <c r="BC42" s="206" t="s">
        <v>73</v>
      </c>
    </row>
    <row r="43" spans="2:55" ht="9" customHeight="1">
      <c r="B43" s="205" t="s">
        <v>73</v>
      </c>
      <c r="C43" t="s">
        <v>73</v>
      </c>
      <c r="D43" t="s">
        <v>73</v>
      </c>
      <c r="E43" t="s">
        <v>1348</v>
      </c>
      <c r="F43" t="s">
        <v>1348</v>
      </c>
      <c r="G43" t="s">
        <v>1348</v>
      </c>
      <c r="H43" t="s">
        <v>1348</v>
      </c>
      <c r="I43" t="s">
        <v>1348</v>
      </c>
      <c r="J43" t="s">
        <v>1348</v>
      </c>
      <c r="K43" t="s">
        <v>1348</v>
      </c>
      <c r="L43" t="s">
        <v>1348</v>
      </c>
      <c r="M43" t="s">
        <v>1348</v>
      </c>
      <c r="N43" t="s">
        <v>1348</v>
      </c>
      <c r="O43" t="s">
        <v>1348</v>
      </c>
      <c r="P43" t="s">
        <v>1348</v>
      </c>
      <c r="Q43" t="s">
        <v>1348</v>
      </c>
      <c r="R43" t="s">
        <v>1348</v>
      </c>
      <c r="S43" t="s">
        <v>1348</v>
      </c>
      <c r="T43" t="s">
        <v>73</v>
      </c>
      <c r="U43" t="s">
        <v>73</v>
      </c>
      <c r="V43" t="s">
        <v>73</v>
      </c>
      <c r="W43" t="s">
        <v>73</v>
      </c>
      <c r="X43" t="s">
        <v>73</v>
      </c>
      <c r="Y43" t="s">
        <v>73</v>
      </c>
      <c r="Z43" t="s">
        <v>73</v>
      </c>
      <c r="AA43" t="s">
        <v>73</v>
      </c>
      <c r="AB43" t="s">
        <v>73</v>
      </c>
      <c r="AC43" t="s">
        <v>73</v>
      </c>
      <c r="AD43" t="s">
        <v>73</v>
      </c>
      <c r="AE43" t="s">
        <v>73</v>
      </c>
      <c r="AF43" t="s">
        <v>73</v>
      </c>
      <c r="AG43" t="s">
        <v>73</v>
      </c>
      <c r="AH43" t="s">
        <v>73</v>
      </c>
      <c r="AI43" t="s">
        <v>73</v>
      </c>
      <c r="AJ43" t="s">
        <v>73</v>
      </c>
      <c r="AK43" t="s">
        <v>73</v>
      </c>
      <c r="AL43" t="s">
        <v>73</v>
      </c>
      <c r="AM43" t="s">
        <v>73</v>
      </c>
      <c r="AN43" t="s">
        <v>73</v>
      </c>
      <c r="AO43" t="s">
        <v>1348</v>
      </c>
      <c r="AP43" t="s">
        <v>1348</v>
      </c>
      <c r="AQ43" t="s">
        <v>1348</v>
      </c>
      <c r="AR43" t="s">
        <v>1348</v>
      </c>
      <c r="AS43" t="s">
        <v>1348</v>
      </c>
      <c r="AT43" t="s">
        <v>73</v>
      </c>
      <c r="AU43" t="s">
        <v>73</v>
      </c>
      <c r="AV43" t="s">
        <v>73</v>
      </c>
      <c r="BA43" t="s">
        <v>73</v>
      </c>
      <c r="BB43" t="s">
        <v>73</v>
      </c>
      <c r="BC43" s="206" t="s">
        <v>73</v>
      </c>
    </row>
    <row r="44" spans="2:55" ht="9" customHeight="1">
      <c r="B44" s="205" t="s">
        <v>73</v>
      </c>
      <c r="C44" t="s">
        <v>73</v>
      </c>
      <c r="D44" t="s">
        <v>73</v>
      </c>
      <c r="E44" t="s">
        <v>1348</v>
      </c>
      <c r="F44" t="s">
        <v>1348</v>
      </c>
      <c r="G44" t="s">
        <v>1348</v>
      </c>
      <c r="H44" t="s">
        <v>1348</v>
      </c>
      <c r="I44" t="s">
        <v>1348</v>
      </c>
      <c r="J44" t="s">
        <v>1348</v>
      </c>
      <c r="K44" t="s">
        <v>1348</v>
      </c>
      <c r="L44" t="s">
        <v>1348</v>
      </c>
      <c r="M44" t="s">
        <v>1348</v>
      </c>
      <c r="N44" t="s">
        <v>1348</v>
      </c>
      <c r="O44" t="s">
        <v>1348</v>
      </c>
      <c r="P44" t="s">
        <v>1348</v>
      </c>
      <c r="Q44" t="s">
        <v>1348</v>
      </c>
      <c r="R44" t="s">
        <v>1348</v>
      </c>
      <c r="S44" t="s">
        <v>1348</v>
      </c>
      <c r="T44" t="s">
        <v>73</v>
      </c>
      <c r="U44" t="s">
        <v>73</v>
      </c>
      <c r="V44" t="s">
        <v>73</v>
      </c>
      <c r="W44" t="s">
        <v>73</v>
      </c>
      <c r="X44" t="s">
        <v>73</v>
      </c>
      <c r="Y44" t="s">
        <v>73</v>
      </c>
      <c r="Z44" t="s">
        <v>73</v>
      </c>
      <c r="AA44" t="s">
        <v>73</v>
      </c>
      <c r="AB44" t="s">
        <v>73</v>
      </c>
      <c r="AC44" t="s">
        <v>73</v>
      </c>
      <c r="AD44" t="s">
        <v>73</v>
      </c>
      <c r="AE44" t="s">
        <v>73</v>
      </c>
      <c r="AF44" t="s">
        <v>73</v>
      </c>
      <c r="AG44" t="s">
        <v>73</v>
      </c>
      <c r="AH44" t="s">
        <v>73</v>
      </c>
      <c r="AI44" t="s">
        <v>73</v>
      </c>
      <c r="AJ44" t="s">
        <v>73</v>
      </c>
      <c r="AK44" t="s">
        <v>73</v>
      </c>
      <c r="AL44" t="s">
        <v>73</v>
      </c>
      <c r="AM44" t="s">
        <v>73</v>
      </c>
      <c r="AN44" t="s">
        <v>73</v>
      </c>
      <c r="AO44" t="s">
        <v>1348</v>
      </c>
      <c r="AP44" t="s">
        <v>1348</v>
      </c>
      <c r="AQ44" t="s">
        <v>1348</v>
      </c>
      <c r="AR44" t="s">
        <v>1348</v>
      </c>
      <c r="AS44" t="s">
        <v>1348</v>
      </c>
      <c r="BA44" t="s">
        <v>73</v>
      </c>
      <c r="BB44" t="s">
        <v>73</v>
      </c>
      <c r="BC44" s="206" t="s">
        <v>73</v>
      </c>
    </row>
    <row r="45" spans="2:55" ht="9" customHeight="1">
      <c r="B45" s="205" t="s">
        <v>73</v>
      </c>
      <c r="C45" t="s">
        <v>73</v>
      </c>
      <c r="D45" t="s">
        <v>73</v>
      </c>
      <c r="E45" t="s">
        <v>1348</v>
      </c>
      <c r="F45" t="s">
        <v>1348</v>
      </c>
      <c r="G45" t="s">
        <v>1348</v>
      </c>
      <c r="H45" t="s">
        <v>1348</v>
      </c>
      <c r="I45" t="s">
        <v>1348</v>
      </c>
      <c r="J45" t="s">
        <v>1348</v>
      </c>
      <c r="K45" t="s">
        <v>1348</v>
      </c>
      <c r="L45" t="s">
        <v>1348</v>
      </c>
      <c r="M45" t="s">
        <v>1348</v>
      </c>
      <c r="N45" t="s">
        <v>1348</v>
      </c>
      <c r="O45" t="s">
        <v>1348</v>
      </c>
      <c r="P45" t="s">
        <v>1348</v>
      </c>
      <c r="Q45" t="s">
        <v>1348</v>
      </c>
      <c r="R45" t="s">
        <v>1348</v>
      </c>
      <c r="S45" t="s">
        <v>1348</v>
      </c>
      <c r="T45" t="s">
        <v>1348</v>
      </c>
      <c r="U45" t="s">
        <v>1348</v>
      </c>
      <c r="V45" t="s">
        <v>1348</v>
      </c>
      <c r="W45" t="s">
        <v>1348</v>
      </c>
      <c r="X45" t="s">
        <v>1348</v>
      </c>
      <c r="Y45" t="s">
        <v>1348</v>
      </c>
      <c r="Z45" t="s">
        <v>1348</v>
      </c>
      <c r="AA45" t="s">
        <v>1348</v>
      </c>
      <c r="AB45" t="s">
        <v>1348</v>
      </c>
      <c r="AC45" t="s">
        <v>1348</v>
      </c>
      <c r="AD45" t="s">
        <v>1348</v>
      </c>
      <c r="AE45" t="s">
        <v>1348</v>
      </c>
      <c r="AF45" t="s">
        <v>1348</v>
      </c>
      <c r="AG45" t="s">
        <v>1348</v>
      </c>
      <c r="AH45" t="s">
        <v>1348</v>
      </c>
      <c r="AI45" t="s">
        <v>73</v>
      </c>
      <c r="AJ45" t="s">
        <v>73</v>
      </c>
      <c r="AK45" t="s">
        <v>73</v>
      </c>
      <c r="AL45" t="s">
        <v>73</v>
      </c>
      <c r="AM45" t="s">
        <v>73</v>
      </c>
      <c r="AN45" t="s">
        <v>73</v>
      </c>
      <c r="AO45" t="s">
        <v>1348</v>
      </c>
      <c r="AP45" t="s">
        <v>1348</v>
      </c>
      <c r="AQ45" t="s">
        <v>1348</v>
      </c>
      <c r="AR45" t="s">
        <v>1348</v>
      </c>
      <c r="BA45" t="s">
        <v>73</v>
      </c>
      <c r="BB45" t="s">
        <v>73</v>
      </c>
      <c r="BC45" s="206" t="s">
        <v>73</v>
      </c>
    </row>
    <row r="46" spans="2:55" ht="9" customHeight="1">
      <c r="B46" s="205" t="s">
        <v>73</v>
      </c>
      <c r="C46" t="s">
        <v>73</v>
      </c>
      <c r="D46" t="s">
        <v>73</v>
      </c>
      <c r="E46" t="s">
        <v>73</v>
      </c>
      <c r="F46" t="s">
        <v>73</v>
      </c>
      <c r="G46" t="s">
        <v>73</v>
      </c>
      <c r="H46" t="s">
        <v>73</v>
      </c>
      <c r="I46" t="s">
        <v>73</v>
      </c>
      <c r="J46" t="s">
        <v>73</v>
      </c>
      <c r="K46" t="s">
        <v>73</v>
      </c>
      <c r="L46" t="s">
        <v>73</v>
      </c>
      <c r="M46" t="s">
        <v>73</v>
      </c>
      <c r="N46" t="s">
        <v>1348</v>
      </c>
      <c r="O46" t="s">
        <v>1348</v>
      </c>
      <c r="P46" t="s">
        <v>1348</v>
      </c>
      <c r="Q46" t="s">
        <v>1348</v>
      </c>
      <c r="R46" t="s">
        <v>1348</v>
      </c>
      <c r="S46" t="s">
        <v>1348</v>
      </c>
      <c r="T46" t="s">
        <v>1348</v>
      </c>
      <c r="U46" t="s">
        <v>1348</v>
      </c>
      <c r="V46" t="s">
        <v>1348</v>
      </c>
      <c r="W46" t="s">
        <v>1348</v>
      </c>
      <c r="X46" t="s">
        <v>1348</v>
      </c>
      <c r="Y46" t="s">
        <v>1348</v>
      </c>
      <c r="Z46" t="s">
        <v>1348</v>
      </c>
      <c r="AA46" t="s">
        <v>1348</v>
      </c>
      <c r="AB46" t="s">
        <v>1348</v>
      </c>
      <c r="AC46" t="s">
        <v>1348</v>
      </c>
      <c r="AD46" t="s">
        <v>73</v>
      </c>
      <c r="AG46" t="s">
        <v>1348</v>
      </c>
      <c r="AH46" t="s">
        <v>1348</v>
      </c>
      <c r="AI46" t="s">
        <v>73</v>
      </c>
      <c r="AJ46" t="s">
        <v>73</v>
      </c>
      <c r="AK46" t="s">
        <v>73</v>
      </c>
      <c r="AL46" t="s">
        <v>73</v>
      </c>
      <c r="AM46" t="s">
        <v>73</v>
      </c>
      <c r="AN46" t="s">
        <v>73</v>
      </c>
      <c r="AO46" t="s">
        <v>1348</v>
      </c>
      <c r="AP46" t="s">
        <v>1348</v>
      </c>
      <c r="AQ46" t="s">
        <v>1348</v>
      </c>
      <c r="BA46" t="s">
        <v>73</v>
      </c>
      <c r="BB46" t="s">
        <v>73</v>
      </c>
      <c r="BC46" s="206" t="s">
        <v>73</v>
      </c>
    </row>
    <row r="47" spans="2:55" ht="9" customHeight="1">
      <c r="B47" s="205" t="s">
        <v>73</v>
      </c>
      <c r="C47" t="s">
        <v>73</v>
      </c>
      <c r="D47" t="s">
        <v>73</v>
      </c>
      <c r="E47" t="s">
        <v>73</v>
      </c>
      <c r="F47" t="s">
        <v>73</v>
      </c>
      <c r="G47" t="s">
        <v>73</v>
      </c>
      <c r="H47" t="s">
        <v>73</v>
      </c>
      <c r="I47" t="s">
        <v>73</v>
      </c>
      <c r="J47" t="s">
        <v>73</v>
      </c>
      <c r="K47" t="s">
        <v>73</v>
      </c>
      <c r="L47" t="s">
        <v>73</v>
      </c>
      <c r="M47" t="s">
        <v>73</v>
      </c>
      <c r="N47" t="s">
        <v>1348</v>
      </c>
      <c r="O47" t="s">
        <v>1348</v>
      </c>
      <c r="P47" t="s">
        <v>1348</v>
      </c>
      <c r="Q47" t="s">
        <v>1348</v>
      </c>
      <c r="R47" t="s">
        <v>1348</v>
      </c>
      <c r="S47" t="s">
        <v>1348</v>
      </c>
      <c r="T47" t="s">
        <v>1348</v>
      </c>
      <c r="U47" t="s">
        <v>1348</v>
      </c>
      <c r="V47" t="s">
        <v>1348</v>
      </c>
      <c r="W47" t="s">
        <v>1348</v>
      </c>
      <c r="X47" t="s">
        <v>1348</v>
      </c>
      <c r="Y47" t="s">
        <v>1348</v>
      </c>
      <c r="Z47" t="s">
        <v>1348</v>
      </c>
      <c r="AA47" t="s">
        <v>1348</v>
      </c>
      <c r="AB47" t="s">
        <v>1348</v>
      </c>
      <c r="AC47" t="s">
        <v>1348</v>
      </c>
      <c r="AG47" t="s">
        <v>1348</v>
      </c>
      <c r="AH47" t="s">
        <v>1348</v>
      </c>
      <c r="AI47" t="s">
        <v>73</v>
      </c>
      <c r="AJ47" t="s">
        <v>73</v>
      </c>
      <c r="AK47" t="s">
        <v>73</v>
      </c>
      <c r="AL47" t="s">
        <v>73</v>
      </c>
      <c r="AM47" t="s">
        <v>73</v>
      </c>
      <c r="AN47" t="s">
        <v>73</v>
      </c>
      <c r="AO47" t="s">
        <v>1348</v>
      </c>
      <c r="AP47" t="s">
        <v>1348</v>
      </c>
      <c r="AQ47" t="s">
        <v>1348</v>
      </c>
      <c r="BA47" t="s">
        <v>73</v>
      </c>
      <c r="BB47" t="s">
        <v>73</v>
      </c>
      <c r="BC47" s="206" t="s">
        <v>73</v>
      </c>
    </row>
    <row r="48" spans="2:55" ht="9" customHeight="1">
      <c r="B48" s="205" t="s">
        <v>73</v>
      </c>
      <c r="C48" t="s">
        <v>73</v>
      </c>
      <c r="D48" t="s">
        <v>73</v>
      </c>
      <c r="E48" t="s">
        <v>73</v>
      </c>
      <c r="F48" t="s">
        <v>73</v>
      </c>
      <c r="G48" t="s">
        <v>73</v>
      </c>
      <c r="H48" t="s">
        <v>73</v>
      </c>
      <c r="I48" t="s">
        <v>73</v>
      </c>
      <c r="J48" t="s">
        <v>73</v>
      </c>
      <c r="K48" t="s">
        <v>73</v>
      </c>
      <c r="L48" t="s">
        <v>73</v>
      </c>
      <c r="M48" t="s">
        <v>73</v>
      </c>
      <c r="P48" t="s">
        <v>1348</v>
      </c>
      <c r="Q48" t="s">
        <v>1348</v>
      </c>
      <c r="R48" t="s">
        <v>1348</v>
      </c>
      <c r="S48" t="s">
        <v>73</v>
      </c>
      <c r="T48" t="s">
        <v>73</v>
      </c>
      <c r="U48" t="s">
        <v>73</v>
      </c>
      <c r="V48" t="s">
        <v>73</v>
      </c>
      <c r="W48" t="s">
        <v>73</v>
      </c>
      <c r="X48" t="s">
        <v>73</v>
      </c>
      <c r="Y48" t="s">
        <v>73</v>
      </c>
      <c r="Z48" t="s">
        <v>73</v>
      </c>
      <c r="AA48" t="s">
        <v>73</v>
      </c>
      <c r="AB48" t="s">
        <v>1348</v>
      </c>
      <c r="AC48" t="s">
        <v>1348</v>
      </c>
      <c r="AG48" t="s">
        <v>1348</v>
      </c>
      <c r="AH48" t="s">
        <v>1348</v>
      </c>
      <c r="AI48" t="s">
        <v>73</v>
      </c>
      <c r="AJ48" t="s">
        <v>73</v>
      </c>
      <c r="AK48" t="s">
        <v>73</v>
      </c>
      <c r="AL48" t="s">
        <v>73</v>
      </c>
      <c r="AM48" t="s">
        <v>73</v>
      </c>
      <c r="AN48" t="s">
        <v>73</v>
      </c>
      <c r="AO48" t="s">
        <v>1348</v>
      </c>
      <c r="AP48" t="s">
        <v>1348</v>
      </c>
      <c r="AQ48" t="s">
        <v>1348</v>
      </c>
      <c r="AU48" t="s">
        <v>73</v>
      </c>
      <c r="AV48" t="s">
        <v>73</v>
      </c>
      <c r="AW48" t="s">
        <v>73</v>
      </c>
      <c r="AX48" t="s">
        <v>73</v>
      </c>
      <c r="AY48" t="s">
        <v>73</v>
      </c>
      <c r="AZ48" t="s">
        <v>73</v>
      </c>
      <c r="BA48" t="s">
        <v>73</v>
      </c>
      <c r="BB48" t="s">
        <v>73</v>
      </c>
      <c r="BC48" s="206" t="s">
        <v>73</v>
      </c>
    </row>
    <row r="49" spans="2:55" ht="9" customHeight="1">
      <c r="B49" s="205" t="s">
        <v>73</v>
      </c>
      <c r="C49" t="s">
        <v>73</v>
      </c>
      <c r="D49" t="s">
        <v>73</v>
      </c>
      <c r="E49" t="s">
        <v>73</v>
      </c>
      <c r="F49" t="s">
        <v>73</v>
      </c>
      <c r="G49" t="s">
        <v>73</v>
      </c>
      <c r="H49" t="s">
        <v>73</v>
      </c>
      <c r="I49" t="s">
        <v>73</v>
      </c>
      <c r="J49" t="s">
        <v>73</v>
      </c>
      <c r="K49" t="s">
        <v>73</v>
      </c>
      <c r="L49" t="s">
        <v>73</v>
      </c>
      <c r="M49" t="s">
        <v>73</v>
      </c>
      <c r="P49" t="s">
        <v>1348</v>
      </c>
      <c r="Q49" t="s">
        <v>1348</v>
      </c>
      <c r="R49" t="s">
        <v>1348</v>
      </c>
      <c r="S49" t="s">
        <v>73</v>
      </c>
      <c r="T49" t="s">
        <v>73</v>
      </c>
      <c r="U49" t="s">
        <v>73</v>
      </c>
      <c r="V49" t="s">
        <v>73</v>
      </c>
      <c r="W49" t="s">
        <v>73</v>
      </c>
      <c r="X49" t="s">
        <v>73</v>
      </c>
      <c r="Y49" t="s">
        <v>73</v>
      </c>
      <c r="Z49" t="s">
        <v>73</v>
      </c>
      <c r="AA49" t="s">
        <v>73</v>
      </c>
      <c r="AB49" t="s">
        <v>1348</v>
      </c>
      <c r="AC49" t="s">
        <v>1348</v>
      </c>
      <c r="AG49" t="s">
        <v>1348</v>
      </c>
      <c r="AH49" t="s">
        <v>1348</v>
      </c>
      <c r="AI49" t="s">
        <v>73</v>
      </c>
      <c r="AJ49" t="s">
        <v>73</v>
      </c>
      <c r="AK49" t="s">
        <v>73</v>
      </c>
      <c r="AL49" t="s">
        <v>73</v>
      </c>
      <c r="AM49" t="s">
        <v>73</v>
      </c>
      <c r="AN49" t="s">
        <v>73</v>
      </c>
      <c r="AO49" t="s">
        <v>1348</v>
      </c>
      <c r="AP49" t="s">
        <v>1348</v>
      </c>
      <c r="AQ49" t="s">
        <v>1348</v>
      </c>
      <c r="AU49" t="s">
        <v>73</v>
      </c>
      <c r="AV49" t="s">
        <v>73</v>
      </c>
      <c r="AW49" t="s">
        <v>73</v>
      </c>
      <c r="AX49" t="s">
        <v>73</v>
      </c>
      <c r="AY49" t="s">
        <v>73</v>
      </c>
      <c r="AZ49" t="s">
        <v>73</v>
      </c>
      <c r="BA49" t="s">
        <v>73</v>
      </c>
      <c r="BB49" t="s">
        <v>73</v>
      </c>
      <c r="BC49" s="206" t="s">
        <v>73</v>
      </c>
    </row>
    <row r="50" spans="2:55" ht="9" customHeight="1">
      <c r="B50" s="205" t="s">
        <v>73</v>
      </c>
      <c r="C50" t="s">
        <v>73</v>
      </c>
      <c r="D50" t="s">
        <v>73</v>
      </c>
      <c r="E50" t="s">
        <v>73</v>
      </c>
      <c r="F50" t="s">
        <v>73</v>
      </c>
      <c r="G50" t="s">
        <v>73</v>
      </c>
      <c r="H50" t="s">
        <v>73</v>
      </c>
      <c r="I50" t="s">
        <v>73</v>
      </c>
      <c r="J50" t="s">
        <v>73</v>
      </c>
      <c r="K50" t="s">
        <v>73</v>
      </c>
      <c r="L50" t="s">
        <v>73</v>
      </c>
      <c r="M50" t="s">
        <v>73</v>
      </c>
      <c r="P50" t="s">
        <v>1348</v>
      </c>
      <c r="Q50" t="s">
        <v>1348</v>
      </c>
      <c r="R50" t="s">
        <v>1348</v>
      </c>
      <c r="S50" t="s">
        <v>73</v>
      </c>
      <c r="T50" t="s">
        <v>73</v>
      </c>
      <c r="U50" t="s">
        <v>73</v>
      </c>
      <c r="V50" t="s">
        <v>73</v>
      </c>
      <c r="W50" t="s">
        <v>73</v>
      </c>
      <c r="X50" t="s">
        <v>73</v>
      </c>
      <c r="Y50" t="s">
        <v>73</v>
      </c>
      <c r="Z50" t="s">
        <v>73</v>
      </c>
      <c r="AA50" t="s">
        <v>73</v>
      </c>
      <c r="AB50" t="s">
        <v>1348</v>
      </c>
      <c r="AC50" t="s">
        <v>1348</v>
      </c>
      <c r="AG50" t="s">
        <v>1348</v>
      </c>
      <c r="AH50" t="s">
        <v>1348</v>
      </c>
      <c r="AI50" t="s">
        <v>73</v>
      </c>
      <c r="AJ50" t="s">
        <v>73</v>
      </c>
      <c r="AK50" t="s">
        <v>73</v>
      </c>
      <c r="AL50" t="s">
        <v>73</v>
      </c>
      <c r="AM50" t="s">
        <v>73</v>
      </c>
      <c r="AN50" t="s">
        <v>73</v>
      </c>
      <c r="AO50" t="s">
        <v>1348</v>
      </c>
      <c r="AP50" t="s">
        <v>1348</v>
      </c>
      <c r="AQ50" t="s">
        <v>1348</v>
      </c>
      <c r="AU50" t="s">
        <v>73</v>
      </c>
      <c r="AV50" t="s">
        <v>73</v>
      </c>
      <c r="AW50" t="s">
        <v>73</v>
      </c>
      <c r="AX50" t="s">
        <v>73</v>
      </c>
      <c r="AY50" t="s">
        <v>73</v>
      </c>
      <c r="AZ50" t="s">
        <v>73</v>
      </c>
      <c r="BA50" t="s">
        <v>73</v>
      </c>
      <c r="BB50" t="s">
        <v>73</v>
      </c>
      <c r="BC50" s="206" t="s">
        <v>73</v>
      </c>
    </row>
    <row r="51" spans="2:55" ht="9" customHeight="1">
      <c r="B51" s="205" t="s">
        <v>73</v>
      </c>
      <c r="C51" t="s">
        <v>73</v>
      </c>
      <c r="D51" t="s">
        <v>73</v>
      </c>
      <c r="E51" t="s">
        <v>73</v>
      </c>
      <c r="F51" t="s">
        <v>73</v>
      </c>
      <c r="G51" t="s">
        <v>73</v>
      </c>
      <c r="H51" t="s">
        <v>73</v>
      </c>
      <c r="I51" t="s">
        <v>73</v>
      </c>
      <c r="J51" t="s">
        <v>73</v>
      </c>
      <c r="K51" t="s">
        <v>73</v>
      </c>
      <c r="L51" t="s">
        <v>73</v>
      </c>
      <c r="M51" t="s">
        <v>73</v>
      </c>
      <c r="P51" t="s">
        <v>1348</v>
      </c>
      <c r="Q51" t="s">
        <v>1348</v>
      </c>
      <c r="R51" t="s">
        <v>1348</v>
      </c>
      <c r="S51" t="s">
        <v>73</v>
      </c>
      <c r="T51" t="s">
        <v>73</v>
      </c>
      <c r="U51" t="s">
        <v>73</v>
      </c>
      <c r="V51" t="s">
        <v>73</v>
      </c>
      <c r="W51" t="s">
        <v>73</v>
      </c>
      <c r="X51" t="s">
        <v>73</v>
      </c>
      <c r="Y51" t="s">
        <v>73</v>
      </c>
      <c r="Z51" t="s">
        <v>73</v>
      </c>
      <c r="AA51" t="s">
        <v>73</v>
      </c>
      <c r="AB51" t="s">
        <v>1348</v>
      </c>
      <c r="AC51" t="s">
        <v>1348</v>
      </c>
      <c r="AG51" t="s">
        <v>1348</v>
      </c>
      <c r="AH51" t="s">
        <v>1348</v>
      </c>
      <c r="AI51" t="s">
        <v>73</v>
      </c>
      <c r="AJ51" t="s">
        <v>73</v>
      </c>
      <c r="AK51" t="s">
        <v>73</v>
      </c>
      <c r="AL51" t="s">
        <v>73</v>
      </c>
      <c r="AM51" t="s">
        <v>73</v>
      </c>
      <c r="AN51" t="s">
        <v>73</v>
      </c>
      <c r="AO51" t="s">
        <v>1348</v>
      </c>
      <c r="AP51" t="s">
        <v>1348</v>
      </c>
      <c r="AQ51" t="s">
        <v>1348</v>
      </c>
      <c r="AU51" t="s">
        <v>73</v>
      </c>
      <c r="AV51" t="s">
        <v>73</v>
      </c>
      <c r="AW51" t="s">
        <v>73</v>
      </c>
      <c r="AX51" t="s">
        <v>73</v>
      </c>
      <c r="AY51" t="s">
        <v>73</v>
      </c>
      <c r="AZ51" t="s">
        <v>73</v>
      </c>
      <c r="BA51" t="s">
        <v>73</v>
      </c>
      <c r="BB51" t="s">
        <v>73</v>
      </c>
      <c r="BC51" s="206" t="s">
        <v>73</v>
      </c>
    </row>
    <row r="52" spans="2:55" ht="9" customHeight="1">
      <c r="B52" s="205" t="s">
        <v>73</v>
      </c>
      <c r="C52" t="s">
        <v>73</v>
      </c>
      <c r="D52" t="s">
        <v>73</v>
      </c>
      <c r="E52" t="s">
        <v>73</v>
      </c>
      <c r="F52" t="s">
        <v>73</v>
      </c>
      <c r="G52" t="s">
        <v>73</v>
      </c>
      <c r="H52" t="s">
        <v>73</v>
      </c>
      <c r="I52" t="s">
        <v>73</v>
      </c>
      <c r="J52" t="s">
        <v>73</v>
      </c>
      <c r="K52" t="s">
        <v>73</v>
      </c>
      <c r="L52" t="s">
        <v>73</v>
      </c>
      <c r="M52" t="s">
        <v>73</v>
      </c>
      <c r="P52" t="s">
        <v>1348</v>
      </c>
      <c r="Q52" t="s">
        <v>1348</v>
      </c>
      <c r="R52" t="s">
        <v>1348</v>
      </c>
      <c r="S52" t="s">
        <v>73</v>
      </c>
      <c r="T52" t="s">
        <v>73</v>
      </c>
      <c r="U52" t="s">
        <v>73</v>
      </c>
      <c r="V52" t="s">
        <v>73</v>
      </c>
      <c r="W52" t="s">
        <v>73</v>
      </c>
      <c r="X52" t="s">
        <v>73</v>
      </c>
      <c r="Y52" t="s">
        <v>73</v>
      </c>
      <c r="Z52" t="s">
        <v>73</v>
      </c>
      <c r="AA52" t="s">
        <v>73</v>
      </c>
      <c r="AB52" t="s">
        <v>1348</v>
      </c>
      <c r="AC52" t="s">
        <v>1348</v>
      </c>
      <c r="AG52" t="s">
        <v>1348</v>
      </c>
      <c r="AH52" t="s">
        <v>1348</v>
      </c>
      <c r="AI52" t="s">
        <v>73</v>
      </c>
      <c r="AJ52" t="s">
        <v>73</v>
      </c>
      <c r="AK52" t="s">
        <v>73</v>
      </c>
      <c r="AL52" t="s">
        <v>73</v>
      </c>
      <c r="AM52" t="s">
        <v>73</v>
      </c>
      <c r="AN52" t="s">
        <v>73</v>
      </c>
      <c r="AO52" t="s">
        <v>1348</v>
      </c>
      <c r="AP52" t="s">
        <v>1348</v>
      </c>
      <c r="AQ52" t="s">
        <v>1348</v>
      </c>
      <c r="AU52" t="s">
        <v>73</v>
      </c>
      <c r="AV52" t="s">
        <v>73</v>
      </c>
      <c r="AW52" t="s">
        <v>73</v>
      </c>
      <c r="AX52" t="s">
        <v>73</v>
      </c>
      <c r="AY52" t="s">
        <v>73</v>
      </c>
      <c r="AZ52" t="s">
        <v>73</v>
      </c>
      <c r="BA52" t="s">
        <v>73</v>
      </c>
      <c r="BB52" t="s">
        <v>73</v>
      </c>
      <c r="BC52" s="206" t="s">
        <v>73</v>
      </c>
    </row>
    <row r="53" spans="2:55" ht="9" customHeight="1">
      <c r="B53" s="205" t="s">
        <v>73</v>
      </c>
      <c r="C53" t="s">
        <v>73</v>
      </c>
      <c r="D53" t="s">
        <v>73</v>
      </c>
      <c r="E53" t="s">
        <v>73</v>
      </c>
      <c r="F53" t="s">
        <v>73</v>
      </c>
      <c r="G53" t="s">
        <v>73</v>
      </c>
      <c r="H53" t="s">
        <v>73</v>
      </c>
      <c r="I53" t="s">
        <v>73</v>
      </c>
      <c r="J53" t="s">
        <v>73</v>
      </c>
      <c r="K53" t="s">
        <v>73</v>
      </c>
      <c r="L53" t="s">
        <v>73</v>
      </c>
      <c r="M53" t="s">
        <v>73</v>
      </c>
      <c r="P53" t="s">
        <v>1348</v>
      </c>
      <c r="Q53" t="s">
        <v>1348</v>
      </c>
      <c r="R53" t="s">
        <v>1348</v>
      </c>
      <c r="S53" t="s">
        <v>73</v>
      </c>
      <c r="T53" t="s">
        <v>73</v>
      </c>
      <c r="U53" t="s">
        <v>73</v>
      </c>
      <c r="V53" t="s">
        <v>73</v>
      </c>
      <c r="W53" t="s">
        <v>73</v>
      </c>
      <c r="X53" t="s">
        <v>73</v>
      </c>
      <c r="Y53" t="s">
        <v>73</v>
      </c>
      <c r="Z53" t="s">
        <v>73</v>
      </c>
      <c r="AA53" t="s">
        <v>73</v>
      </c>
      <c r="AB53" t="s">
        <v>1348</v>
      </c>
      <c r="AC53" t="s">
        <v>1348</v>
      </c>
      <c r="AG53" t="s">
        <v>1348</v>
      </c>
      <c r="AH53" t="s">
        <v>1348</v>
      </c>
      <c r="AI53" t="s">
        <v>73</v>
      </c>
      <c r="AJ53" t="s">
        <v>73</v>
      </c>
      <c r="AK53" t="s">
        <v>73</v>
      </c>
      <c r="AL53" t="s">
        <v>73</v>
      </c>
      <c r="AM53" t="s">
        <v>73</v>
      </c>
      <c r="AN53" t="s">
        <v>73</v>
      </c>
      <c r="AO53" t="s">
        <v>1348</v>
      </c>
      <c r="AP53" t="s">
        <v>1348</v>
      </c>
      <c r="AQ53" t="s">
        <v>1348</v>
      </c>
      <c r="AU53" t="s">
        <v>73</v>
      </c>
      <c r="AV53" t="s">
        <v>73</v>
      </c>
      <c r="AW53" t="s">
        <v>73</v>
      </c>
      <c r="AX53" t="s">
        <v>73</v>
      </c>
      <c r="AY53" t="s">
        <v>73</v>
      </c>
      <c r="AZ53" t="s">
        <v>73</v>
      </c>
      <c r="BA53" t="s">
        <v>73</v>
      </c>
      <c r="BB53" t="s">
        <v>73</v>
      </c>
      <c r="BC53" s="206" t="s">
        <v>73</v>
      </c>
    </row>
    <row r="54" spans="2:55" ht="9" customHeight="1">
      <c r="B54" s="205" t="s">
        <v>73</v>
      </c>
      <c r="C54" t="s">
        <v>73</v>
      </c>
      <c r="D54" t="s">
        <v>73</v>
      </c>
      <c r="E54" t="s">
        <v>73</v>
      </c>
      <c r="F54" t="s">
        <v>73</v>
      </c>
      <c r="G54" t="s">
        <v>73</v>
      </c>
      <c r="H54" t="s">
        <v>73</v>
      </c>
      <c r="I54" t="s">
        <v>73</v>
      </c>
      <c r="J54" t="s">
        <v>73</v>
      </c>
      <c r="K54" t="s">
        <v>73</v>
      </c>
      <c r="L54" t="s">
        <v>73</v>
      </c>
      <c r="M54" t="s">
        <v>73</v>
      </c>
      <c r="P54" t="s">
        <v>1348</v>
      </c>
      <c r="Q54" t="s">
        <v>1348</v>
      </c>
      <c r="R54" t="s">
        <v>1348</v>
      </c>
      <c r="S54" t="s">
        <v>73</v>
      </c>
      <c r="T54" t="s">
        <v>73</v>
      </c>
      <c r="U54" t="s">
        <v>73</v>
      </c>
      <c r="V54" t="s">
        <v>73</v>
      </c>
      <c r="W54" t="s">
        <v>73</v>
      </c>
      <c r="X54" t="s">
        <v>73</v>
      </c>
      <c r="Y54" t="s">
        <v>73</v>
      </c>
      <c r="Z54" t="s">
        <v>73</v>
      </c>
      <c r="AA54" t="s">
        <v>73</v>
      </c>
      <c r="AB54" t="s">
        <v>1348</v>
      </c>
      <c r="AC54" t="s">
        <v>1348</v>
      </c>
      <c r="AG54" t="s">
        <v>1348</v>
      </c>
      <c r="AH54" t="s">
        <v>1348</v>
      </c>
      <c r="AI54" t="s">
        <v>73</v>
      </c>
      <c r="AJ54" t="s">
        <v>73</v>
      </c>
      <c r="AK54" t="s">
        <v>73</v>
      </c>
      <c r="AL54" t="s">
        <v>73</v>
      </c>
      <c r="AM54" t="s">
        <v>73</v>
      </c>
      <c r="AN54" t="s">
        <v>73</v>
      </c>
      <c r="AO54" t="s">
        <v>1348</v>
      </c>
      <c r="AP54" t="s">
        <v>1348</v>
      </c>
      <c r="AQ54" t="s">
        <v>1348</v>
      </c>
      <c r="AU54" t="s">
        <v>73</v>
      </c>
      <c r="AV54" t="s">
        <v>73</v>
      </c>
      <c r="AW54" t="s">
        <v>73</v>
      </c>
      <c r="AX54" t="s">
        <v>73</v>
      </c>
      <c r="AY54" t="s">
        <v>73</v>
      </c>
      <c r="AZ54" t="s">
        <v>73</v>
      </c>
      <c r="BA54" t="s">
        <v>73</v>
      </c>
      <c r="BB54" t="s">
        <v>73</v>
      </c>
      <c r="BC54" s="206" t="s">
        <v>73</v>
      </c>
    </row>
    <row r="55" spans="2:55" ht="9" customHeight="1">
      <c r="B55" s="205" t="s">
        <v>73</v>
      </c>
      <c r="C55" t="s">
        <v>73</v>
      </c>
      <c r="D55" t="s">
        <v>73</v>
      </c>
      <c r="E55" t="s">
        <v>73</v>
      </c>
      <c r="F55" t="s">
        <v>73</v>
      </c>
      <c r="G55" t="s">
        <v>73</v>
      </c>
      <c r="H55" t="s">
        <v>73</v>
      </c>
      <c r="I55" t="s">
        <v>73</v>
      </c>
      <c r="J55" t="s">
        <v>73</v>
      </c>
      <c r="K55" t="s">
        <v>73</v>
      </c>
      <c r="L55" t="s">
        <v>73</v>
      </c>
      <c r="M55" t="s">
        <v>73</v>
      </c>
      <c r="P55" t="s">
        <v>1348</v>
      </c>
      <c r="Q55" t="s">
        <v>1348</v>
      </c>
      <c r="R55" t="s">
        <v>1348</v>
      </c>
      <c r="S55" t="s">
        <v>73</v>
      </c>
      <c r="T55" t="s">
        <v>73</v>
      </c>
      <c r="U55" t="s">
        <v>73</v>
      </c>
      <c r="V55" t="s">
        <v>73</v>
      </c>
      <c r="W55" t="s">
        <v>73</v>
      </c>
      <c r="X55" t="s">
        <v>73</v>
      </c>
      <c r="Y55" t="s">
        <v>73</v>
      </c>
      <c r="Z55" t="s">
        <v>73</v>
      </c>
      <c r="AA55" t="s">
        <v>73</v>
      </c>
      <c r="AB55" t="s">
        <v>1348</v>
      </c>
      <c r="AC55" t="s">
        <v>1348</v>
      </c>
      <c r="AG55" t="s">
        <v>1348</v>
      </c>
      <c r="AH55" t="s">
        <v>1348</v>
      </c>
      <c r="AI55" t="s">
        <v>73</v>
      </c>
      <c r="AJ55" t="s">
        <v>73</v>
      </c>
      <c r="AK55" t="s">
        <v>73</v>
      </c>
      <c r="AL55" t="s">
        <v>73</v>
      </c>
      <c r="AM55" t="s">
        <v>73</v>
      </c>
      <c r="AN55" t="s">
        <v>73</v>
      </c>
      <c r="AO55" t="s">
        <v>1348</v>
      </c>
      <c r="AP55" t="s">
        <v>1348</v>
      </c>
      <c r="AQ55" t="s">
        <v>1348</v>
      </c>
      <c r="AU55" t="s">
        <v>73</v>
      </c>
      <c r="AV55" t="s">
        <v>73</v>
      </c>
      <c r="AW55" t="s">
        <v>73</v>
      </c>
      <c r="AX55" t="s">
        <v>73</v>
      </c>
      <c r="AY55" t="s">
        <v>73</v>
      </c>
      <c r="AZ55" t="s">
        <v>73</v>
      </c>
      <c r="BA55" t="s">
        <v>73</v>
      </c>
      <c r="BB55" t="s">
        <v>73</v>
      </c>
      <c r="BC55" s="206" t="s">
        <v>73</v>
      </c>
    </row>
    <row r="56" spans="2:55" ht="9" customHeight="1">
      <c r="B56" s="205" t="s">
        <v>73</v>
      </c>
      <c r="C56" t="s">
        <v>73</v>
      </c>
      <c r="D56" t="s">
        <v>73</v>
      </c>
      <c r="E56" t="s">
        <v>73</v>
      </c>
      <c r="F56" t="s">
        <v>73</v>
      </c>
      <c r="G56" t="s">
        <v>73</v>
      </c>
      <c r="H56" t="s">
        <v>73</v>
      </c>
      <c r="I56" t="s">
        <v>73</v>
      </c>
      <c r="J56" t="s">
        <v>73</v>
      </c>
      <c r="K56" t="s">
        <v>73</v>
      </c>
      <c r="L56" t="s">
        <v>73</v>
      </c>
      <c r="M56" t="s">
        <v>73</v>
      </c>
      <c r="P56" t="s">
        <v>1348</v>
      </c>
      <c r="Q56" t="s">
        <v>1348</v>
      </c>
      <c r="R56" t="s">
        <v>1348</v>
      </c>
      <c r="S56" t="s">
        <v>73</v>
      </c>
      <c r="T56" t="s">
        <v>73</v>
      </c>
      <c r="U56" t="s">
        <v>73</v>
      </c>
      <c r="V56" t="s">
        <v>73</v>
      </c>
      <c r="W56" t="s">
        <v>73</v>
      </c>
      <c r="X56" t="s">
        <v>73</v>
      </c>
      <c r="Y56" t="s">
        <v>73</v>
      </c>
      <c r="Z56" t="s">
        <v>73</v>
      </c>
      <c r="AA56" t="s">
        <v>73</v>
      </c>
      <c r="AB56" t="s">
        <v>1348</v>
      </c>
      <c r="AC56" t="s">
        <v>1348</v>
      </c>
      <c r="AE56" t="s">
        <v>73</v>
      </c>
      <c r="AG56" t="s">
        <v>1348</v>
      </c>
      <c r="AH56" t="s">
        <v>1348</v>
      </c>
      <c r="AI56" t="s">
        <v>73</v>
      </c>
      <c r="AJ56" t="s">
        <v>73</v>
      </c>
      <c r="AK56" t="s">
        <v>73</v>
      </c>
      <c r="AL56" t="s">
        <v>73</v>
      </c>
      <c r="AM56" t="s">
        <v>73</v>
      </c>
      <c r="AN56" t="s">
        <v>73</v>
      </c>
      <c r="AO56" t="s">
        <v>1348</v>
      </c>
      <c r="AP56" t="s">
        <v>1348</v>
      </c>
      <c r="AQ56" t="s">
        <v>1348</v>
      </c>
      <c r="AU56" t="s">
        <v>73</v>
      </c>
      <c r="AV56" t="s">
        <v>73</v>
      </c>
      <c r="AW56" t="s">
        <v>73</v>
      </c>
      <c r="AX56" t="s">
        <v>73</v>
      </c>
      <c r="AY56" t="s">
        <v>73</v>
      </c>
      <c r="AZ56" t="s">
        <v>73</v>
      </c>
      <c r="BA56" t="s">
        <v>73</v>
      </c>
      <c r="BB56" t="s">
        <v>73</v>
      </c>
      <c r="BC56" s="206" t="s">
        <v>73</v>
      </c>
    </row>
    <row r="57" spans="2:55" ht="9" customHeight="1">
      <c r="B57" s="205" t="s">
        <v>73</v>
      </c>
      <c r="C57" t="s">
        <v>73</v>
      </c>
      <c r="D57" t="s">
        <v>73</v>
      </c>
      <c r="E57" t="s">
        <v>1348</v>
      </c>
      <c r="F57" t="s">
        <v>1348</v>
      </c>
      <c r="G57" t="s">
        <v>1348</v>
      </c>
      <c r="H57" t="s">
        <v>1348</v>
      </c>
      <c r="I57" t="s">
        <v>1348</v>
      </c>
      <c r="J57" t="s">
        <v>1348</v>
      </c>
      <c r="K57" t="s">
        <v>1348</v>
      </c>
      <c r="L57" t="s">
        <v>1348</v>
      </c>
      <c r="M57" t="s">
        <v>1348</v>
      </c>
      <c r="P57" t="s">
        <v>1348</v>
      </c>
      <c r="Q57" t="s">
        <v>1348</v>
      </c>
      <c r="R57" t="s">
        <v>1348</v>
      </c>
      <c r="S57" t="s">
        <v>1348</v>
      </c>
      <c r="T57" t="s">
        <v>1348</v>
      </c>
      <c r="U57" t="s">
        <v>1348</v>
      </c>
      <c r="V57" t="s">
        <v>1348</v>
      </c>
      <c r="W57" t="s">
        <v>1348</v>
      </c>
      <c r="X57" t="s">
        <v>1348</v>
      </c>
      <c r="Y57" t="s">
        <v>1348</v>
      </c>
      <c r="Z57" t="s">
        <v>1348</v>
      </c>
      <c r="AA57" t="s">
        <v>1348</v>
      </c>
      <c r="AB57" t="s">
        <v>1348</v>
      </c>
      <c r="AC57" t="s">
        <v>1348</v>
      </c>
      <c r="AD57" t="s">
        <v>73</v>
      </c>
      <c r="AE57" t="s">
        <v>73</v>
      </c>
      <c r="AF57" t="s">
        <v>73</v>
      </c>
      <c r="AG57" t="s">
        <v>1348</v>
      </c>
      <c r="AH57" t="s">
        <v>1348</v>
      </c>
      <c r="AI57" t="s">
        <v>1348</v>
      </c>
      <c r="AJ57" t="s">
        <v>1348</v>
      </c>
      <c r="AK57" t="s">
        <v>1348</v>
      </c>
      <c r="AL57" t="s">
        <v>1348</v>
      </c>
      <c r="AM57" t="s">
        <v>1348</v>
      </c>
      <c r="AN57" t="s">
        <v>1348</v>
      </c>
      <c r="AO57" t="s">
        <v>1348</v>
      </c>
      <c r="AP57" t="s">
        <v>1348</v>
      </c>
      <c r="AQ57" t="s">
        <v>1348</v>
      </c>
      <c r="AU57" t="s">
        <v>1348</v>
      </c>
      <c r="AV57" t="s">
        <v>1348</v>
      </c>
      <c r="AW57" t="s">
        <v>1348</v>
      </c>
      <c r="AX57" t="s">
        <v>1348</v>
      </c>
      <c r="AY57" t="s">
        <v>1348</v>
      </c>
      <c r="AZ57" t="s">
        <v>1348</v>
      </c>
      <c r="BA57" t="s">
        <v>73</v>
      </c>
      <c r="BB57" t="s">
        <v>73</v>
      </c>
      <c r="BC57" s="206" t="s">
        <v>73</v>
      </c>
    </row>
    <row r="58" spans="2:55" ht="9" customHeight="1">
      <c r="B58" s="205" t="s">
        <v>73</v>
      </c>
      <c r="C58" t="s">
        <v>73</v>
      </c>
      <c r="D58" t="s">
        <v>73</v>
      </c>
      <c r="E58" t="s">
        <v>1348</v>
      </c>
      <c r="F58" t="s">
        <v>1348</v>
      </c>
      <c r="G58" t="s">
        <v>1348</v>
      </c>
      <c r="H58" t="s">
        <v>1348</v>
      </c>
      <c r="I58" t="s">
        <v>1348</v>
      </c>
      <c r="J58" t="s">
        <v>1348</v>
      </c>
      <c r="K58" t="s">
        <v>1348</v>
      </c>
      <c r="L58" t="s">
        <v>1348</v>
      </c>
      <c r="M58" t="s">
        <v>1348</v>
      </c>
      <c r="P58" t="s">
        <v>1348</v>
      </c>
      <c r="Q58" t="s">
        <v>1348</v>
      </c>
      <c r="R58" t="s">
        <v>1348</v>
      </c>
      <c r="S58" t="s">
        <v>1348</v>
      </c>
      <c r="T58" t="s">
        <v>1348</v>
      </c>
      <c r="U58" t="s">
        <v>1348</v>
      </c>
      <c r="V58" t="s">
        <v>1348</v>
      </c>
      <c r="W58" t="s">
        <v>1348</v>
      </c>
      <c r="X58" t="s">
        <v>1348</v>
      </c>
      <c r="Y58" t="s">
        <v>1348</v>
      </c>
      <c r="Z58" t="s">
        <v>1348</v>
      </c>
      <c r="AA58" t="s">
        <v>1348</v>
      </c>
      <c r="AB58" t="s">
        <v>1348</v>
      </c>
      <c r="AC58" t="s">
        <v>1348</v>
      </c>
      <c r="AD58" t="s">
        <v>73</v>
      </c>
      <c r="AE58" t="s">
        <v>73</v>
      </c>
      <c r="AF58" t="s">
        <v>73</v>
      </c>
      <c r="AG58" t="s">
        <v>1348</v>
      </c>
      <c r="AH58" t="s">
        <v>1348</v>
      </c>
      <c r="AI58" t="s">
        <v>1348</v>
      </c>
      <c r="AJ58" t="s">
        <v>1348</v>
      </c>
      <c r="AK58" t="s">
        <v>1348</v>
      </c>
      <c r="AL58" t="s">
        <v>1348</v>
      </c>
      <c r="AM58" t="s">
        <v>1348</v>
      </c>
      <c r="AN58" t="s">
        <v>1348</v>
      </c>
      <c r="AO58" t="s">
        <v>1348</v>
      </c>
      <c r="AP58" t="s">
        <v>1348</v>
      </c>
      <c r="AQ58" t="s">
        <v>1348</v>
      </c>
      <c r="AU58" t="s">
        <v>1348</v>
      </c>
      <c r="AV58" t="s">
        <v>1348</v>
      </c>
      <c r="AW58" t="s">
        <v>1348</v>
      </c>
      <c r="AX58" t="s">
        <v>1348</v>
      </c>
      <c r="AY58" t="s">
        <v>1348</v>
      </c>
      <c r="AZ58" t="s">
        <v>1348</v>
      </c>
      <c r="BA58" t="s">
        <v>73</v>
      </c>
      <c r="BB58" t="s">
        <v>73</v>
      </c>
      <c r="BC58" s="206" t="s">
        <v>73</v>
      </c>
    </row>
    <row r="59" spans="2:55" ht="9" customHeight="1">
      <c r="B59" s="205" t="s">
        <v>73</v>
      </c>
      <c r="C59" t="s">
        <v>73</v>
      </c>
      <c r="D59" t="s">
        <v>73</v>
      </c>
      <c r="E59" t="s">
        <v>1348</v>
      </c>
      <c r="F59" t="s">
        <v>1348</v>
      </c>
      <c r="G59" t="s">
        <v>1348</v>
      </c>
      <c r="H59" t="s">
        <v>1348</v>
      </c>
      <c r="I59" t="s">
        <v>1348</v>
      </c>
      <c r="J59" t="s">
        <v>1348</v>
      </c>
      <c r="K59" t="s">
        <v>1348</v>
      </c>
      <c r="L59" t="s">
        <v>1348</v>
      </c>
      <c r="M59" t="s">
        <v>1348</v>
      </c>
      <c r="Q59" t="s">
        <v>1348</v>
      </c>
      <c r="R59" t="s">
        <v>1348</v>
      </c>
      <c r="S59" t="s">
        <v>1348</v>
      </c>
      <c r="T59" t="s">
        <v>1348</v>
      </c>
      <c r="U59" t="s">
        <v>1348</v>
      </c>
      <c r="V59" t="s">
        <v>1348</v>
      </c>
      <c r="W59" t="s">
        <v>1348</v>
      </c>
      <c r="X59" t="s">
        <v>1348</v>
      </c>
      <c r="Y59" t="s">
        <v>1348</v>
      </c>
      <c r="Z59" t="s">
        <v>1348</v>
      </c>
      <c r="AA59" t="s">
        <v>1348</v>
      </c>
      <c r="AB59" t="s">
        <v>1348</v>
      </c>
      <c r="AE59" t="s">
        <v>73</v>
      </c>
      <c r="AH59" t="s">
        <v>1348</v>
      </c>
      <c r="AI59" t="s">
        <v>1348</v>
      </c>
      <c r="AJ59" t="s">
        <v>1348</v>
      </c>
      <c r="AK59" t="s">
        <v>1348</v>
      </c>
      <c r="AL59" t="s">
        <v>1348</v>
      </c>
      <c r="AM59" t="s">
        <v>1348</v>
      </c>
      <c r="AN59" t="s">
        <v>1348</v>
      </c>
      <c r="AO59" t="s">
        <v>1348</v>
      </c>
      <c r="AP59" t="s">
        <v>1348</v>
      </c>
      <c r="AT59" t="s">
        <v>1348</v>
      </c>
      <c r="AU59" t="s">
        <v>1348</v>
      </c>
      <c r="AV59" t="s">
        <v>1348</v>
      </c>
      <c r="AW59" t="s">
        <v>1348</v>
      </c>
      <c r="AX59" t="s">
        <v>1348</v>
      </c>
      <c r="AY59" t="s">
        <v>1348</v>
      </c>
      <c r="AZ59" t="s">
        <v>1348</v>
      </c>
      <c r="BA59" t="s">
        <v>73</v>
      </c>
      <c r="BB59" t="s">
        <v>73</v>
      </c>
      <c r="BC59" s="206" t="s">
        <v>73</v>
      </c>
    </row>
    <row r="60" spans="2:55" ht="9" customHeight="1">
      <c r="B60" s="205" t="s">
        <v>73</v>
      </c>
      <c r="C60" t="s">
        <v>73</v>
      </c>
      <c r="D60" t="s">
        <v>73</v>
      </c>
      <c r="E60" t="s">
        <v>1348</v>
      </c>
      <c r="F60" t="s">
        <v>1348</v>
      </c>
      <c r="G60" t="s">
        <v>1348</v>
      </c>
      <c r="H60" t="s">
        <v>1348</v>
      </c>
      <c r="I60" t="s">
        <v>1348</v>
      </c>
      <c r="J60" t="s">
        <v>1348</v>
      </c>
      <c r="K60" t="s">
        <v>1348</v>
      </c>
      <c r="L60" t="s">
        <v>1348</v>
      </c>
      <c r="M60" t="s">
        <v>1348</v>
      </c>
      <c r="R60" t="s">
        <v>1348</v>
      </c>
      <c r="S60" t="s">
        <v>1348</v>
      </c>
      <c r="T60" t="s">
        <v>1348</v>
      </c>
      <c r="U60" t="s">
        <v>1348</v>
      </c>
      <c r="V60" t="s">
        <v>1348</v>
      </c>
      <c r="W60" t="s">
        <v>1348</v>
      </c>
      <c r="X60" t="s">
        <v>1348</v>
      </c>
      <c r="Y60" t="s">
        <v>1348</v>
      </c>
      <c r="Z60" t="s">
        <v>1348</v>
      </c>
      <c r="AA60" t="s">
        <v>1348</v>
      </c>
      <c r="AI60" t="s">
        <v>1348</v>
      </c>
      <c r="AJ60" t="s">
        <v>1348</v>
      </c>
      <c r="AK60" t="s">
        <v>1348</v>
      </c>
      <c r="AL60" t="s">
        <v>1348</v>
      </c>
      <c r="AM60" t="s">
        <v>1348</v>
      </c>
      <c r="AN60" t="s">
        <v>1348</v>
      </c>
      <c r="AO60" t="s">
        <v>1348</v>
      </c>
      <c r="AT60" t="s">
        <v>1348</v>
      </c>
      <c r="AU60" t="s">
        <v>1348</v>
      </c>
      <c r="AV60" t="s">
        <v>1348</v>
      </c>
      <c r="AW60" t="s">
        <v>1348</v>
      </c>
      <c r="AX60" t="s">
        <v>1348</v>
      </c>
      <c r="AY60" t="s">
        <v>1348</v>
      </c>
      <c r="AZ60" t="s">
        <v>1348</v>
      </c>
      <c r="BA60" t="s">
        <v>73</v>
      </c>
      <c r="BB60" t="s">
        <v>73</v>
      </c>
      <c r="BC60" s="206" t="s">
        <v>73</v>
      </c>
    </row>
    <row r="61" spans="2:55" ht="9" customHeight="1">
      <c r="B61" s="205" t="s">
        <v>73</v>
      </c>
      <c r="C61" t="s">
        <v>73</v>
      </c>
      <c r="D61" t="s">
        <v>73</v>
      </c>
      <c r="E61" t="s">
        <v>1348</v>
      </c>
      <c r="F61" t="s">
        <v>1348</v>
      </c>
      <c r="G61" t="s">
        <v>1348</v>
      </c>
      <c r="H61" t="s">
        <v>1348</v>
      </c>
      <c r="I61" t="s">
        <v>1348</v>
      </c>
      <c r="J61" t="s">
        <v>1348</v>
      </c>
      <c r="K61" t="s">
        <v>1348</v>
      </c>
      <c r="L61" t="s">
        <v>1348</v>
      </c>
      <c r="AO61" t="s">
        <v>73</v>
      </c>
      <c r="AT61" t="s">
        <v>1348</v>
      </c>
      <c r="AU61" t="s">
        <v>1348</v>
      </c>
      <c r="AV61" t="s">
        <v>1348</v>
      </c>
      <c r="AW61" t="s">
        <v>1348</v>
      </c>
      <c r="AX61" t="s">
        <v>1348</v>
      </c>
      <c r="AY61" t="s">
        <v>1348</v>
      </c>
      <c r="AZ61" t="s">
        <v>1348</v>
      </c>
      <c r="BA61" t="s">
        <v>73</v>
      </c>
      <c r="BB61" t="s">
        <v>73</v>
      </c>
      <c r="BC61" s="206" t="s">
        <v>73</v>
      </c>
    </row>
    <row r="62" spans="2:55" ht="9" customHeight="1">
      <c r="B62" s="205" t="s">
        <v>73</v>
      </c>
      <c r="C62" t="s">
        <v>73</v>
      </c>
      <c r="D62" t="s">
        <v>73</v>
      </c>
      <c r="E62" t="s">
        <v>1348</v>
      </c>
      <c r="F62" t="s">
        <v>1348</v>
      </c>
      <c r="G62" t="s">
        <v>1348</v>
      </c>
      <c r="H62" t="s">
        <v>1348</v>
      </c>
      <c r="I62" t="s">
        <v>1348</v>
      </c>
      <c r="J62" t="s">
        <v>1348</v>
      </c>
      <c r="K62" t="s">
        <v>1348</v>
      </c>
      <c r="L62" t="s">
        <v>1348</v>
      </c>
      <c r="AG62" t="s">
        <v>73</v>
      </c>
      <c r="AS62" t="s">
        <v>1348</v>
      </c>
      <c r="AT62" t="s">
        <v>1348</v>
      </c>
      <c r="AU62" t="s">
        <v>1348</v>
      </c>
      <c r="AV62" t="s">
        <v>1348</v>
      </c>
      <c r="AW62" t="s">
        <v>1348</v>
      </c>
      <c r="AX62" t="s">
        <v>1348</v>
      </c>
      <c r="AY62" t="s">
        <v>1348</v>
      </c>
      <c r="AZ62" t="s">
        <v>1348</v>
      </c>
      <c r="BA62" t="s">
        <v>73</v>
      </c>
      <c r="BB62" t="s">
        <v>73</v>
      </c>
      <c r="BC62" s="206" t="s">
        <v>73</v>
      </c>
    </row>
    <row r="63" spans="2:55" ht="9" customHeight="1">
      <c r="B63" s="205" t="s">
        <v>73</v>
      </c>
      <c r="C63" t="s">
        <v>73</v>
      </c>
      <c r="D63" t="s">
        <v>73</v>
      </c>
      <c r="E63" t="s">
        <v>1348</v>
      </c>
      <c r="F63" t="s">
        <v>1348</v>
      </c>
      <c r="G63" t="s">
        <v>1348</v>
      </c>
      <c r="H63" t="s">
        <v>1348</v>
      </c>
      <c r="I63" t="s">
        <v>1348</v>
      </c>
      <c r="J63" t="s">
        <v>1348</v>
      </c>
      <c r="K63" t="s">
        <v>1348</v>
      </c>
      <c r="L63" t="s">
        <v>1348</v>
      </c>
      <c r="AS63" t="s">
        <v>1348</v>
      </c>
      <c r="AT63" t="s">
        <v>1348</v>
      </c>
      <c r="AU63" t="s">
        <v>1348</v>
      </c>
      <c r="AV63" t="s">
        <v>1348</v>
      </c>
      <c r="AW63" t="s">
        <v>1348</v>
      </c>
      <c r="AX63" t="s">
        <v>1348</v>
      </c>
      <c r="AY63" t="s">
        <v>1348</v>
      </c>
      <c r="AZ63" t="s">
        <v>1348</v>
      </c>
      <c r="BA63" t="s">
        <v>73</v>
      </c>
      <c r="BB63" t="s">
        <v>73</v>
      </c>
      <c r="BC63" s="206" t="s">
        <v>73</v>
      </c>
    </row>
    <row r="64" spans="2:55" ht="9" customHeight="1">
      <c r="B64" s="205" t="s">
        <v>73</v>
      </c>
      <c r="C64" t="s">
        <v>73</v>
      </c>
      <c r="D64" t="s">
        <v>73</v>
      </c>
      <c r="E64" t="s">
        <v>73</v>
      </c>
      <c r="F64" t="s">
        <v>73</v>
      </c>
      <c r="G64" t="s">
        <v>73</v>
      </c>
      <c r="H64" t="s">
        <v>73</v>
      </c>
      <c r="I64" t="s">
        <v>73</v>
      </c>
      <c r="J64" t="s">
        <v>73</v>
      </c>
      <c r="K64" t="s">
        <v>73</v>
      </c>
      <c r="L64" t="s">
        <v>73</v>
      </c>
      <c r="M64" t="s">
        <v>73</v>
      </c>
      <c r="N64" t="s">
        <v>73</v>
      </c>
      <c r="O64" t="s">
        <v>73</v>
      </c>
      <c r="P64" t="s">
        <v>73</v>
      </c>
      <c r="Q64" t="s">
        <v>73</v>
      </c>
      <c r="R64" t="s">
        <v>73</v>
      </c>
      <c r="S64" t="s">
        <v>73</v>
      </c>
      <c r="T64" t="s">
        <v>73</v>
      </c>
      <c r="U64" t="s">
        <v>73</v>
      </c>
      <c r="V64" t="s">
        <v>73</v>
      </c>
      <c r="W64" t="s">
        <v>73</v>
      </c>
      <c r="X64" t="s">
        <v>73</v>
      </c>
      <c r="Y64" t="s">
        <v>73</v>
      </c>
      <c r="Z64" t="s">
        <v>73</v>
      </c>
      <c r="AA64" t="s">
        <v>73</v>
      </c>
      <c r="AB64" t="s">
        <v>73</v>
      </c>
      <c r="AI64" t="s">
        <v>73</v>
      </c>
      <c r="AJ64" t="s">
        <v>73</v>
      </c>
      <c r="AK64" t="s">
        <v>73</v>
      </c>
      <c r="AL64" t="s">
        <v>73</v>
      </c>
      <c r="AM64" t="s">
        <v>73</v>
      </c>
      <c r="AN64" t="s">
        <v>73</v>
      </c>
      <c r="AO64" t="s">
        <v>73</v>
      </c>
      <c r="AP64" t="s">
        <v>73</v>
      </c>
      <c r="AQ64" t="s">
        <v>73</v>
      </c>
      <c r="AR64" t="s">
        <v>73</v>
      </c>
      <c r="AS64" t="s">
        <v>73</v>
      </c>
      <c r="AT64" t="s">
        <v>73</v>
      </c>
      <c r="AU64" t="s">
        <v>73</v>
      </c>
      <c r="AV64" t="s">
        <v>73</v>
      </c>
      <c r="AW64" t="s">
        <v>73</v>
      </c>
      <c r="AX64" t="s">
        <v>73</v>
      </c>
      <c r="AY64" t="s">
        <v>73</v>
      </c>
      <c r="AZ64" t="s">
        <v>73</v>
      </c>
      <c r="BA64" t="s">
        <v>73</v>
      </c>
      <c r="BB64" t="s">
        <v>73</v>
      </c>
      <c r="BC64" s="206" t="s">
        <v>73</v>
      </c>
    </row>
    <row r="65" spans="2:94" ht="9" customHeight="1">
      <c r="B65" s="205" t="s">
        <v>73</v>
      </c>
      <c r="C65" t="s">
        <v>73</v>
      </c>
      <c r="D65" t="s">
        <v>73</v>
      </c>
      <c r="E65" t="s">
        <v>73</v>
      </c>
      <c r="F65" t="s">
        <v>73</v>
      </c>
      <c r="G65" t="s">
        <v>73</v>
      </c>
      <c r="H65" t="s">
        <v>73</v>
      </c>
      <c r="I65" t="s">
        <v>73</v>
      </c>
      <c r="J65" t="s">
        <v>73</v>
      </c>
      <c r="K65" t="s">
        <v>73</v>
      </c>
      <c r="L65" t="s">
        <v>73</v>
      </c>
      <c r="M65" t="s">
        <v>73</v>
      </c>
      <c r="N65" t="s">
        <v>73</v>
      </c>
      <c r="O65" t="s">
        <v>73</v>
      </c>
      <c r="P65" t="s">
        <v>73</v>
      </c>
      <c r="Q65" t="s">
        <v>73</v>
      </c>
      <c r="R65" t="s">
        <v>73</v>
      </c>
      <c r="S65" t="s">
        <v>73</v>
      </c>
      <c r="T65" t="s">
        <v>73</v>
      </c>
      <c r="U65" t="s">
        <v>73</v>
      </c>
      <c r="V65" t="s">
        <v>73</v>
      </c>
      <c r="W65" t="s">
        <v>73</v>
      </c>
      <c r="X65" t="s">
        <v>73</v>
      </c>
      <c r="Y65" t="s">
        <v>73</v>
      </c>
      <c r="Z65" t="s">
        <v>73</v>
      </c>
      <c r="AA65" t="s">
        <v>73</v>
      </c>
      <c r="AB65" t="s">
        <v>73</v>
      </c>
      <c r="AC65" t="s">
        <v>73</v>
      </c>
      <c r="AD65" t="s">
        <v>1438</v>
      </c>
      <c r="AE65" t="s">
        <v>1438</v>
      </c>
      <c r="AF65" t="s">
        <v>1438</v>
      </c>
      <c r="AG65" t="s">
        <v>73</v>
      </c>
      <c r="AH65" t="s">
        <v>73</v>
      </c>
      <c r="AI65" t="s">
        <v>73</v>
      </c>
      <c r="AJ65" t="s">
        <v>73</v>
      </c>
      <c r="AK65" t="s">
        <v>73</v>
      </c>
      <c r="AL65" t="s">
        <v>73</v>
      </c>
      <c r="AM65" t="s">
        <v>73</v>
      </c>
      <c r="AN65" t="s">
        <v>73</v>
      </c>
      <c r="AO65" t="s">
        <v>73</v>
      </c>
      <c r="AP65" t="s">
        <v>73</v>
      </c>
      <c r="AQ65" t="s">
        <v>73</v>
      </c>
      <c r="AR65" t="s">
        <v>73</v>
      </c>
      <c r="AS65" t="s">
        <v>73</v>
      </c>
      <c r="AT65" t="s">
        <v>73</v>
      </c>
      <c r="AU65" t="s">
        <v>73</v>
      </c>
      <c r="AV65" t="s">
        <v>73</v>
      </c>
      <c r="AW65" t="s">
        <v>73</v>
      </c>
      <c r="AX65" t="s">
        <v>73</v>
      </c>
      <c r="AY65" t="s">
        <v>73</v>
      </c>
      <c r="AZ65" t="s">
        <v>73</v>
      </c>
      <c r="BA65" t="s">
        <v>73</v>
      </c>
      <c r="BB65" t="s">
        <v>73</v>
      </c>
      <c r="BC65" s="206" t="s">
        <v>73</v>
      </c>
      <c r="CP65" s="257"/>
    </row>
    <row r="66" spans="2:94" ht="9" customHeight="1">
      <c r="B66" s="205" t="s">
        <v>73</v>
      </c>
      <c r="C66" t="s">
        <v>73</v>
      </c>
      <c r="D66" t="s">
        <v>73</v>
      </c>
      <c r="E66" t="s">
        <v>73</v>
      </c>
      <c r="F66" t="s">
        <v>73</v>
      </c>
      <c r="G66" t="s">
        <v>73</v>
      </c>
      <c r="H66" t="s">
        <v>73</v>
      </c>
      <c r="I66" t="s">
        <v>73</v>
      </c>
      <c r="J66" t="s">
        <v>73</v>
      </c>
      <c r="K66" t="s">
        <v>73</v>
      </c>
      <c r="L66" t="s">
        <v>73</v>
      </c>
      <c r="M66" t="s">
        <v>73</v>
      </c>
      <c r="N66" t="s">
        <v>73</v>
      </c>
      <c r="O66" t="s">
        <v>73</v>
      </c>
      <c r="P66" t="s">
        <v>73</v>
      </c>
      <c r="Q66" t="s">
        <v>73</v>
      </c>
      <c r="R66" t="s">
        <v>73</v>
      </c>
      <c r="S66" t="s">
        <v>73</v>
      </c>
      <c r="T66" t="s">
        <v>73</v>
      </c>
      <c r="U66" t="s">
        <v>73</v>
      </c>
      <c r="V66" t="s">
        <v>73</v>
      </c>
      <c r="W66" t="s">
        <v>73</v>
      </c>
      <c r="X66" t="s">
        <v>73</v>
      </c>
      <c r="Y66" t="s">
        <v>73</v>
      </c>
      <c r="Z66" t="s">
        <v>73</v>
      </c>
      <c r="AA66" t="s">
        <v>73</v>
      </c>
      <c r="AB66" t="s">
        <v>73</v>
      </c>
      <c r="AC66" t="s">
        <v>73</v>
      </c>
      <c r="AD66" t="s">
        <v>73</v>
      </c>
      <c r="AE66" t="s">
        <v>73</v>
      </c>
      <c r="AF66" t="s">
        <v>73</v>
      </c>
      <c r="AG66" t="s">
        <v>73</v>
      </c>
      <c r="AH66" t="s">
        <v>73</v>
      </c>
      <c r="AI66" t="s">
        <v>73</v>
      </c>
      <c r="AJ66" t="s">
        <v>73</v>
      </c>
      <c r="AK66" t="s">
        <v>73</v>
      </c>
      <c r="AL66" t="s">
        <v>73</v>
      </c>
      <c r="AM66" t="s">
        <v>73</v>
      </c>
      <c r="AN66" t="s">
        <v>73</v>
      </c>
      <c r="AO66" t="s">
        <v>73</v>
      </c>
      <c r="AP66" t="s">
        <v>73</v>
      </c>
      <c r="AQ66" t="s">
        <v>73</v>
      </c>
      <c r="AR66" t="s">
        <v>73</v>
      </c>
      <c r="AS66" t="s">
        <v>73</v>
      </c>
      <c r="AT66" t="s">
        <v>73</v>
      </c>
      <c r="AU66" t="s">
        <v>73</v>
      </c>
      <c r="AV66" t="s">
        <v>73</v>
      </c>
      <c r="AW66" t="s">
        <v>73</v>
      </c>
      <c r="AX66" t="s">
        <v>73</v>
      </c>
      <c r="AY66" t="s">
        <v>73</v>
      </c>
      <c r="AZ66" t="s">
        <v>73</v>
      </c>
      <c r="BA66" t="s">
        <v>73</v>
      </c>
      <c r="BB66" t="s">
        <v>73</v>
      </c>
      <c r="BC66" s="206" t="s">
        <v>73</v>
      </c>
      <c r="CP66" s="257"/>
    </row>
    <row r="67" spans="2:94" ht="9" customHeight="1">
      <c r="B67" s="205" t="s">
        <v>73</v>
      </c>
      <c r="C67" t="s">
        <v>73</v>
      </c>
      <c r="D67" t="s">
        <v>73</v>
      </c>
      <c r="E67" t="s">
        <v>73</v>
      </c>
      <c r="F67" t="s">
        <v>73</v>
      </c>
      <c r="G67" t="s">
        <v>73</v>
      </c>
      <c r="H67" t="s">
        <v>73</v>
      </c>
      <c r="I67" t="s">
        <v>73</v>
      </c>
      <c r="J67" t="s">
        <v>73</v>
      </c>
      <c r="K67" t="s">
        <v>73</v>
      </c>
      <c r="L67" t="s">
        <v>73</v>
      </c>
      <c r="M67" t="s">
        <v>73</v>
      </c>
      <c r="N67" t="s">
        <v>73</v>
      </c>
      <c r="O67" t="s">
        <v>73</v>
      </c>
      <c r="P67" t="s">
        <v>73</v>
      </c>
      <c r="Q67" t="s">
        <v>73</v>
      </c>
      <c r="R67" t="s">
        <v>73</v>
      </c>
      <c r="S67" t="s">
        <v>73</v>
      </c>
      <c r="T67" t="s">
        <v>73</v>
      </c>
      <c r="U67" t="s">
        <v>73</v>
      </c>
      <c r="V67" t="s">
        <v>73</v>
      </c>
      <c r="W67" t="s">
        <v>73</v>
      </c>
      <c r="X67" t="s">
        <v>73</v>
      </c>
      <c r="Y67" t="s">
        <v>73</v>
      </c>
      <c r="Z67" t="s">
        <v>73</v>
      </c>
      <c r="AA67" t="s">
        <v>73</v>
      </c>
      <c r="AB67" t="s">
        <v>73</v>
      </c>
      <c r="AC67" t="s">
        <v>73</v>
      </c>
      <c r="AD67" t="s">
        <v>73</v>
      </c>
      <c r="AE67" t="s">
        <v>73</v>
      </c>
      <c r="AF67" t="s">
        <v>73</v>
      </c>
      <c r="AG67" t="s">
        <v>73</v>
      </c>
      <c r="AH67" t="s">
        <v>73</v>
      </c>
      <c r="AI67" t="s">
        <v>73</v>
      </c>
      <c r="AJ67" t="s">
        <v>73</v>
      </c>
      <c r="AK67" t="s">
        <v>73</v>
      </c>
      <c r="AL67" t="s">
        <v>73</v>
      </c>
      <c r="AM67" t="s">
        <v>73</v>
      </c>
      <c r="AN67" t="s">
        <v>73</v>
      </c>
      <c r="AO67" t="s">
        <v>73</v>
      </c>
      <c r="AP67" t="s">
        <v>73</v>
      </c>
      <c r="AQ67" t="s">
        <v>73</v>
      </c>
      <c r="AR67" t="s">
        <v>73</v>
      </c>
      <c r="AS67" t="s">
        <v>73</v>
      </c>
      <c r="AT67" t="s">
        <v>73</v>
      </c>
      <c r="AU67" t="s">
        <v>73</v>
      </c>
      <c r="AV67" t="s">
        <v>73</v>
      </c>
      <c r="AW67" t="s">
        <v>73</v>
      </c>
      <c r="AX67" t="s">
        <v>73</v>
      </c>
      <c r="AY67" t="s">
        <v>73</v>
      </c>
      <c r="AZ67" t="s">
        <v>73</v>
      </c>
      <c r="BA67" t="s">
        <v>73</v>
      </c>
      <c r="BB67" t="s">
        <v>73</v>
      </c>
      <c r="BC67" s="206" t="s">
        <v>73</v>
      </c>
      <c r="CP67" s="257"/>
    </row>
    <row r="68" spans="2:94" ht="9" customHeight="1">
      <c r="B68" s="205" t="s">
        <v>73</v>
      </c>
      <c r="C68" t="s">
        <v>73</v>
      </c>
      <c r="D68" t="s">
        <v>73</v>
      </c>
      <c r="E68" t="s">
        <v>73</v>
      </c>
      <c r="F68" t="s">
        <v>73</v>
      </c>
      <c r="G68" t="s">
        <v>73</v>
      </c>
      <c r="H68" t="s">
        <v>73</v>
      </c>
      <c r="I68" t="s">
        <v>73</v>
      </c>
      <c r="J68" t="s">
        <v>73</v>
      </c>
      <c r="K68" t="s">
        <v>73</v>
      </c>
      <c r="L68" t="s">
        <v>73</v>
      </c>
      <c r="M68" t="s">
        <v>73</v>
      </c>
      <c r="N68" t="s">
        <v>73</v>
      </c>
      <c r="O68" t="s">
        <v>73</v>
      </c>
      <c r="P68" t="s">
        <v>73</v>
      </c>
      <c r="Q68" t="s">
        <v>73</v>
      </c>
      <c r="R68" t="s">
        <v>73</v>
      </c>
      <c r="S68" t="s">
        <v>73</v>
      </c>
      <c r="T68" t="s">
        <v>73</v>
      </c>
      <c r="U68" t="s">
        <v>73</v>
      </c>
      <c r="V68" t="s">
        <v>73</v>
      </c>
      <c r="W68" t="s">
        <v>73</v>
      </c>
      <c r="X68" t="s">
        <v>73</v>
      </c>
      <c r="Y68" t="s">
        <v>73</v>
      </c>
      <c r="Z68" t="s">
        <v>73</v>
      </c>
      <c r="AA68" t="s">
        <v>73</v>
      </c>
      <c r="AB68" t="s">
        <v>73</v>
      </c>
      <c r="AC68" t="s">
        <v>73</v>
      </c>
      <c r="AD68" t="s">
        <v>73</v>
      </c>
      <c r="AE68" t="s">
        <v>73</v>
      </c>
      <c r="AF68" t="s">
        <v>73</v>
      </c>
      <c r="AG68" t="s">
        <v>73</v>
      </c>
      <c r="AH68" t="s">
        <v>73</v>
      </c>
      <c r="AI68" t="s">
        <v>73</v>
      </c>
      <c r="AJ68" t="s">
        <v>73</v>
      </c>
      <c r="AK68" t="s">
        <v>73</v>
      </c>
      <c r="AL68" t="s">
        <v>73</v>
      </c>
      <c r="AM68" t="s">
        <v>73</v>
      </c>
      <c r="AN68" t="s">
        <v>73</v>
      </c>
      <c r="AO68" t="s">
        <v>73</v>
      </c>
      <c r="AP68" t="s">
        <v>73</v>
      </c>
      <c r="AQ68" t="s">
        <v>73</v>
      </c>
      <c r="AR68" t="s">
        <v>73</v>
      </c>
      <c r="AS68" t="s">
        <v>73</v>
      </c>
      <c r="AT68" t="s">
        <v>73</v>
      </c>
      <c r="AU68" t="s">
        <v>73</v>
      </c>
      <c r="AV68" t="s">
        <v>73</v>
      </c>
      <c r="AW68" t="s">
        <v>73</v>
      </c>
      <c r="AX68" t="s">
        <v>73</v>
      </c>
      <c r="AY68" t="s">
        <v>73</v>
      </c>
      <c r="AZ68" t="s">
        <v>73</v>
      </c>
      <c r="BA68" t="s">
        <v>73</v>
      </c>
      <c r="BB68" t="s">
        <v>73</v>
      </c>
      <c r="BC68" s="206" t="s">
        <v>73</v>
      </c>
      <c r="CP68" s="257"/>
    </row>
    <row r="69" spans="2:94" ht="9" customHeight="1">
      <c r="B69" s="205" t="s">
        <v>73</v>
      </c>
      <c r="C69" t="s">
        <v>73</v>
      </c>
      <c r="D69" t="s">
        <v>73</v>
      </c>
      <c r="E69" t="s">
        <v>73</v>
      </c>
      <c r="F69" t="s">
        <v>73</v>
      </c>
      <c r="G69" t="s">
        <v>73</v>
      </c>
      <c r="H69" t="s">
        <v>73</v>
      </c>
      <c r="I69" t="s">
        <v>73</v>
      </c>
      <c r="J69" t="s">
        <v>73</v>
      </c>
      <c r="K69" t="s">
        <v>73</v>
      </c>
      <c r="L69" t="s">
        <v>73</v>
      </c>
      <c r="M69" t="s">
        <v>73</v>
      </c>
      <c r="N69" t="s">
        <v>73</v>
      </c>
      <c r="O69" t="s">
        <v>73</v>
      </c>
      <c r="P69" t="s">
        <v>73</v>
      </c>
      <c r="Q69" t="s">
        <v>73</v>
      </c>
      <c r="R69" t="s">
        <v>73</v>
      </c>
      <c r="S69" t="s">
        <v>73</v>
      </c>
      <c r="T69" t="s">
        <v>73</v>
      </c>
      <c r="U69" t="s">
        <v>73</v>
      </c>
      <c r="V69" t="s">
        <v>73</v>
      </c>
      <c r="W69" t="s">
        <v>73</v>
      </c>
      <c r="X69" t="s">
        <v>73</v>
      </c>
      <c r="Y69" t="s">
        <v>73</v>
      </c>
      <c r="Z69" t="s">
        <v>73</v>
      </c>
      <c r="AA69" t="s">
        <v>73</v>
      </c>
      <c r="AB69" t="s">
        <v>73</v>
      </c>
      <c r="AC69" t="s">
        <v>73</v>
      </c>
      <c r="AD69" t="s">
        <v>73</v>
      </c>
      <c r="AE69" t="s">
        <v>73</v>
      </c>
      <c r="AF69" t="s">
        <v>73</v>
      </c>
      <c r="AG69" t="s">
        <v>73</v>
      </c>
      <c r="AH69" t="s">
        <v>73</v>
      </c>
      <c r="AI69" t="s">
        <v>73</v>
      </c>
      <c r="AJ69" t="s">
        <v>73</v>
      </c>
      <c r="AK69" t="s">
        <v>73</v>
      </c>
      <c r="AL69" t="s">
        <v>73</v>
      </c>
      <c r="AM69" t="s">
        <v>73</v>
      </c>
      <c r="AN69" t="s">
        <v>73</v>
      </c>
      <c r="AO69" t="s">
        <v>73</v>
      </c>
      <c r="AP69" t="s">
        <v>73</v>
      </c>
      <c r="AQ69" t="s">
        <v>73</v>
      </c>
      <c r="AR69" t="s">
        <v>73</v>
      </c>
      <c r="AS69" t="s">
        <v>73</v>
      </c>
      <c r="AT69" t="s">
        <v>73</v>
      </c>
      <c r="AU69" t="s">
        <v>73</v>
      </c>
      <c r="AV69" t="s">
        <v>73</v>
      </c>
      <c r="AW69" t="s">
        <v>73</v>
      </c>
      <c r="AX69" t="s">
        <v>73</v>
      </c>
      <c r="AY69" t="s">
        <v>73</v>
      </c>
      <c r="AZ69" t="s">
        <v>73</v>
      </c>
      <c r="BA69" t="s">
        <v>73</v>
      </c>
      <c r="BB69" t="s">
        <v>73</v>
      </c>
      <c r="BC69" s="206" t="s">
        <v>73</v>
      </c>
      <c r="CP69" s="257"/>
    </row>
    <row r="70" spans="2:94" ht="9" customHeight="1" thickBot="1">
      <c r="B70" s="207" t="s">
        <v>73</v>
      </c>
      <c r="C70" s="217" t="s">
        <v>73</v>
      </c>
      <c r="D70" s="217" t="s">
        <v>73</v>
      </c>
      <c r="E70" s="217" t="s">
        <v>73</v>
      </c>
      <c r="F70" s="217" t="s">
        <v>73</v>
      </c>
      <c r="G70" s="217" t="s">
        <v>73</v>
      </c>
      <c r="H70" s="217" t="s">
        <v>73</v>
      </c>
      <c r="I70" s="217" t="s">
        <v>73</v>
      </c>
      <c r="J70" s="217" t="s">
        <v>73</v>
      </c>
      <c r="K70" s="217" t="s">
        <v>73</v>
      </c>
      <c r="L70" s="217" t="s">
        <v>73</v>
      </c>
      <c r="M70" s="217" t="s">
        <v>73</v>
      </c>
      <c r="N70" s="217" t="s">
        <v>73</v>
      </c>
      <c r="O70" s="217" t="s">
        <v>73</v>
      </c>
      <c r="P70" s="217" t="s">
        <v>73</v>
      </c>
      <c r="Q70" s="217" t="s">
        <v>73</v>
      </c>
      <c r="R70" s="217" t="s">
        <v>73</v>
      </c>
      <c r="S70" s="217" t="s">
        <v>73</v>
      </c>
      <c r="T70" s="217" t="s">
        <v>73</v>
      </c>
      <c r="U70" s="217" t="s">
        <v>73</v>
      </c>
      <c r="V70" s="217" t="s">
        <v>73</v>
      </c>
      <c r="W70" s="217" t="s">
        <v>73</v>
      </c>
      <c r="X70" s="217" t="s">
        <v>73</v>
      </c>
      <c r="Y70" s="217" t="s">
        <v>73</v>
      </c>
      <c r="Z70" s="217" t="s">
        <v>73</v>
      </c>
      <c r="AA70" s="217" t="s">
        <v>73</v>
      </c>
      <c r="AB70" s="217" t="s">
        <v>73</v>
      </c>
      <c r="AC70" s="217" t="s">
        <v>73</v>
      </c>
      <c r="AD70" s="217" t="s">
        <v>73</v>
      </c>
      <c r="AE70" s="217" t="s">
        <v>73</v>
      </c>
      <c r="AF70" s="217" t="s">
        <v>73</v>
      </c>
      <c r="AG70" s="217" t="s">
        <v>73</v>
      </c>
      <c r="AH70" s="217" t="s">
        <v>73</v>
      </c>
      <c r="AI70" s="217" t="s">
        <v>73</v>
      </c>
      <c r="AJ70" s="217" t="s">
        <v>73</v>
      </c>
      <c r="AK70" s="217" t="s">
        <v>73</v>
      </c>
      <c r="AL70" s="217" t="s">
        <v>73</v>
      </c>
      <c r="AM70" s="217" t="s">
        <v>73</v>
      </c>
      <c r="AN70" s="217" t="s">
        <v>73</v>
      </c>
      <c r="AO70" s="217" t="s">
        <v>73</v>
      </c>
      <c r="AP70" s="217" t="s">
        <v>73</v>
      </c>
      <c r="AQ70" s="217" t="s">
        <v>73</v>
      </c>
      <c r="AR70" s="217" t="s">
        <v>73</v>
      </c>
      <c r="AS70" s="217" t="s">
        <v>73</v>
      </c>
      <c r="AT70" s="217" t="s">
        <v>73</v>
      </c>
      <c r="AU70" s="217" t="s">
        <v>73</v>
      </c>
      <c r="AV70" s="217" t="s">
        <v>73</v>
      </c>
      <c r="AW70" s="217" t="s">
        <v>73</v>
      </c>
      <c r="AX70" s="217" t="s">
        <v>73</v>
      </c>
      <c r="AY70" s="217" t="s">
        <v>73</v>
      </c>
      <c r="AZ70" s="217" t="s">
        <v>73</v>
      </c>
      <c r="BA70" s="217" t="s">
        <v>73</v>
      </c>
      <c r="BB70" s="217" t="s">
        <v>73</v>
      </c>
      <c r="BC70" s="159" t="s">
        <v>73</v>
      </c>
      <c r="CP70" s="257"/>
    </row>
    <row r="71" spans="2:94" ht="9" customHeight="1">
      <c r="CP71" s="257"/>
    </row>
    <row r="72" spans="2:94" ht="9" customHeight="1">
      <c r="CP72" s="257"/>
    </row>
    <row r="73" spans="2:94" ht="9" customHeight="1">
      <c r="CP73" s="257"/>
    </row>
    <row r="74" spans="2:94" ht="9" customHeight="1">
      <c r="CP74" s="257"/>
    </row>
    <row r="75" spans="2:94" ht="9" customHeight="1">
      <c r="CP75" s="257"/>
    </row>
    <row r="76" spans="2:94" ht="9" customHeight="1">
      <c r="CP76" s="257"/>
    </row>
    <row r="77" spans="2:94" ht="9" customHeight="1">
      <c r="CP77" s="257"/>
    </row>
    <row r="78" spans="2:94" ht="9" customHeight="1">
      <c r="CP78" s="257"/>
    </row>
    <row r="92" spans="47:94" ht="9" customHeight="1" thickBot="1"/>
    <row r="93" spans="47:94" ht="9" customHeight="1">
      <c r="AU93" s="203" t="s">
        <v>73</v>
      </c>
      <c r="AV93" s="216" t="s">
        <v>73</v>
      </c>
      <c r="AW93" s="216" t="s">
        <v>73</v>
      </c>
      <c r="AX93" s="216" t="s">
        <v>73</v>
      </c>
      <c r="AY93" s="216" t="s">
        <v>73</v>
      </c>
      <c r="AZ93" s="216" t="s">
        <v>73</v>
      </c>
      <c r="BA93" s="216" t="s">
        <v>73</v>
      </c>
      <c r="BB93" s="216" t="s">
        <v>73</v>
      </c>
      <c r="BC93" s="216" t="s">
        <v>73</v>
      </c>
      <c r="BD93" s="216" t="s">
        <v>73</v>
      </c>
      <c r="BE93" s="216" t="s">
        <v>73</v>
      </c>
      <c r="BF93" s="216" t="s">
        <v>73</v>
      </c>
      <c r="BG93" s="216" t="s">
        <v>73</v>
      </c>
      <c r="BH93" s="216" t="s">
        <v>73</v>
      </c>
      <c r="BI93" s="216" t="s">
        <v>73</v>
      </c>
      <c r="BJ93" s="216" t="s">
        <v>73</v>
      </c>
      <c r="BK93" s="216" t="s">
        <v>73</v>
      </c>
      <c r="BL93" s="216" t="s">
        <v>73</v>
      </c>
      <c r="BM93" s="216" t="s">
        <v>73</v>
      </c>
      <c r="BN93" s="216" t="s">
        <v>73</v>
      </c>
      <c r="BO93" s="216" t="s">
        <v>73</v>
      </c>
      <c r="BP93" s="216" t="s">
        <v>73</v>
      </c>
      <c r="BQ93" s="216" t="s">
        <v>73</v>
      </c>
      <c r="BR93" s="216" t="s">
        <v>73</v>
      </c>
      <c r="BS93" s="216" t="s">
        <v>73</v>
      </c>
      <c r="BT93" s="216" t="s">
        <v>73</v>
      </c>
      <c r="BU93" s="216" t="s">
        <v>73</v>
      </c>
      <c r="BV93" s="216" t="s">
        <v>73</v>
      </c>
      <c r="BW93" s="216" t="s">
        <v>73</v>
      </c>
      <c r="BX93" s="216" t="s">
        <v>73</v>
      </c>
      <c r="BY93" s="216" t="s">
        <v>73</v>
      </c>
      <c r="BZ93" s="216" t="s">
        <v>73</v>
      </c>
      <c r="CA93" s="216" t="s">
        <v>73</v>
      </c>
      <c r="CB93" s="216" t="s">
        <v>73</v>
      </c>
      <c r="CC93" s="216" t="s">
        <v>73</v>
      </c>
      <c r="CD93" s="216" t="s">
        <v>73</v>
      </c>
      <c r="CE93" s="216" t="s">
        <v>73</v>
      </c>
      <c r="CF93" s="216" t="s">
        <v>73</v>
      </c>
      <c r="CG93" s="216" t="s">
        <v>73</v>
      </c>
      <c r="CH93" s="216" t="s">
        <v>73</v>
      </c>
      <c r="CI93" s="216" t="s">
        <v>73</v>
      </c>
      <c r="CJ93" s="216" t="s">
        <v>73</v>
      </c>
      <c r="CK93" s="216" t="s">
        <v>73</v>
      </c>
      <c r="CL93" s="216" t="s">
        <v>73</v>
      </c>
      <c r="CM93" s="216" t="s">
        <v>73</v>
      </c>
      <c r="CN93" s="216" t="s">
        <v>73</v>
      </c>
      <c r="CO93" s="216" t="s">
        <v>73</v>
      </c>
      <c r="CP93" s="204" t="s">
        <v>73</v>
      </c>
    </row>
    <row r="94" spans="47:94" ht="9" customHeight="1">
      <c r="AU94" s="205" t="s">
        <v>73</v>
      </c>
      <c r="AV94" t="s">
        <v>73</v>
      </c>
      <c r="AW94" t="s">
        <v>73</v>
      </c>
      <c r="AX94" t="s">
        <v>73</v>
      </c>
      <c r="AY94" t="s">
        <v>73</v>
      </c>
      <c r="AZ94" t="s">
        <v>73</v>
      </c>
      <c r="BA94" t="s">
        <v>73</v>
      </c>
      <c r="BB94" t="s">
        <v>73</v>
      </c>
      <c r="BC94" t="s">
        <v>73</v>
      </c>
      <c r="BD94" t="s">
        <v>73</v>
      </c>
      <c r="BE94" t="s">
        <v>73</v>
      </c>
      <c r="BF94" t="s">
        <v>73</v>
      </c>
      <c r="BG94" t="s">
        <v>73</v>
      </c>
      <c r="BH94" t="s">
        <v>73</v>
      </c>
      <c r="BI94" t="s">
        <v>73</v>
      </c>
      <c r="BJ94" t="s">
        <v>73</v>
      </c>
      <c r="BK94" t="s">
        <v>73</v>
      </c>
      <c r="BL94" t="s">
        <v>73</v>
      </c>
      <c r="BM94" t="s">
        <v>73</v>
      </c>
      <c r="BN94" t="s">
        <v>73</v>
      </c>
      <c r="BO94" t="s">
        <v>73</v>
      </c>
      <c r="BP94" t="s">
        <v>73</v>
      </c>
      <c r="BQ94" t="s">
        <v>73</v>
      </c>
      <c r="BR94" t="s">
        <v>73</v>
      </c>
      <c r="BS94" t="s">
        <v>73</v>
      </c>
      <c r="BT94" t="s">
        <v>73</v>
      </c>
      <c r="BU94" t="s">
        <v>73</v>
      </c>
      <c r="BV94" t="s">
        <v>73</v>
      </c>
      <c r="BW94" t="s">
        <v>73</v>
      </c>
      <c r="BX94" t="s">
        <v>73</v>
      </c>
      <c r="BY94" t="s">
        <v>73</v>
      </c>
      <c r="BZ94" t="s">
        <v>73</v>
      </c>
      <c r="CA94" t="s">
        <v>73</v>
      </c>
      <c r="CB94" t="s">
        <v>73</v>
      </c>
      <c r="CC94" t="s">
        <v>73</v>
      </c>
      <c r="CD94" t="s">
        <v>73</v>
      </c>
      <c r="CE94" t="s">
        <v>73</v>
      </c>
      <c r="CF94" t="s">
        <v>73</v>
      </c>
      <c r="CG94" t="s">
        <v>73</v>
      </c>
      <c r="CH94" t="s">
        <v>73</v>
      </c>
      <c r="CI94" t="s">
        <v>73</v>
      </c>
      <c r="CJ94" t="s">
        <v>73</v>
      </c>
      <c r="CK94" t="s">
        <v>73</v>
      </c>
      <c r="CL94" t="s">
        <v>73</v>
      </c>
      <c r="CM94" t="s">
        <v>73</v>
      </c>
      <c r="CN94" t="s">
        <v>73</v>
      </c>
      <c r="CO94" t="s">
        <v>73</v>
      </c>
      <c r="CP94" s="206" t="s">
        <v>73</v>
      </c>
    </row>
    <row r="95" spans="47:94" ht="9" customHeight="1">
      <c r="AU95" s="205" t="s">
        <v>73</v>
      </c>
      <c r="AV95" t="s">
        <v>73</v>
      </c>
      <c r="AW95" t="s">
        <v>73</v>
      </c>
      <c r="AX95" t="s">
        <v>73</v>
      </c>
      <c r="BG95" t="s">
        <v>73</v>
      </c>
      <c r="BH95" t="s">
        <v>73</v>
      </c>
      <c r="BI95" t="s">
        <v>73</v>
      </c>
      <c r="BJ95" t="s">
        <v>73</v>
      </c>
      <c r="BK95" t="s">
        <v>73</v>
      </c>
      <c r="BL95" t="s">
        <v>73</v>
      </c>
      <c r="BM95" t="s">
        <v>73</v>
      </c>
      <c r="BN95" t="s">
        <v>73</v>
      </c>
      <c r="BO95" t="s">
        <v>73</v>
      </c>
      <c r="BP95" t="s">
        <v>73</v>
      </c>
      <c r="BQ95" t="s">
        <v>73</v>
      </c>
      <c r="BR95" t="s">
        <v>73</v>
      </c>
      <c r="BS95" t="s">
        <v>73</v>
      </c>
      <c r="BT95" t="s">
        <v>73</v>
      </c>
      <c r="BU95" t="s">
        <v>73</v>
      </c>
      <c r="BV95" t="s">
        <v>73</v>
      </c>
      <c r="BW95" t="s">
        <v>73</v>
      </c>
      <c r="CG95" t="s">
        <v>73</v>
      </c>
      <c r="CH95" t="s">
        <v>73</v>
      </c>
      <c r="CI95" t="s">
        <v>73</v>
      </c>
      <c r="CJ95" t="s">
        <v>73</v>
      </c>
      <c r="CK95" t="s">
        <v>73</v>
      </c>
      <c r="CL95" t="s">
        <v>73</v>
      </c>
      <c r="CM95" t="s">
        <v>73</v>
      </c>
      <c r="CN95" t="s">
        <v>73</v>
      </c>
      <c r="CO95" t="s">
        <v>73</v>
      </c>
      <c r="CP95" s="206" t="s">
        <v>73</v>
      </c>
    </row>
    <row r="96" spans="47:94" ht="9" customHeight="1">
      <c r="AU96" s="205" t="s">
        <v>73</v>
      </c>
      <c r="AV96" t="s">
        <v>73</v>
      </c>
      <c r="AW96" t="s">
        <v>73</v>
      </c>
      <c r="AX96" t="s">
        <v>73</v>
      </c>
      <c r="BG96" t="s">
        <v>73</v>
      </c>
      <c r="BH96" t="s">
        <v>73</v>
      </c>
      <c r="BI96" t="s">
        <v>73</v>
      </c>
      <c r="BJ96" t="s">
        <v>73</v>
      </c>
      <c r="BK96" t="s">
        <v>73</v>
      </c>
      <c r="BL96" t="s">
        <v>73</v>
      </c>
      <c r="BM96" t="s">
        <v>73</v>
      </c>
      <c r="BN96" t="s">
        <v>73</v>
      </c>
      <c r="BO96" t="s">
        <v>73</v>
      </c>
      <c r="BP96" t="s">
        <v>73</v>
      </c>
      <c r="BQ96" t="s">
        <v>73</v>
      </c>
      <c r="BR96" t="s">
        <v>73</v>
      </c>
      <c r="BS96" t="s">
        <v>73</v>
      </c>
      <c r="BT96" t="s">
        <v>73</v>
      </c>
      <c r="BU96" t="s">
        <v>73</v>
      </c>
      <c r="BV96" t="s">
        <v>73</v>
      </c>
      <c r="BW96" t="s">
        <v>73</v>
      </c>
      <c r="CG96" t="s">
        <v>73</v>
      </c>
      <c r="CH96" t="s">
        <v>73</v>
      </c>
      <c r="CI96" t="s">
        <v>73</v>
      </c>
      <c r="CJ96" t="s">
        <v>73</v>
      </c>
      <c r="CK96" t="s">
        <v>73</v>
      </c>
      <c r="CL96" t="s">
        <v>73</v>
      </c>
      <c r="CM96" t="s">
        <v>73</v>
      </c>
      <c r="CN96" t="s">
        <v>73</v>
      </c>
      <c r="CO96" t="s">
        <v>73</v>
      </c>
      <c r="CP96" s="206" t="s">
        <v>73</v>
      </c>
    </row>
    <row r="97" spans="47:181" ht="9" customHeight="1">
      <c r="AU97" s="205" t="s">
        <v>73</v>
      </c>
      <c r="AV97" t="s">
        <v>73</v>
      </c>
      <c r="AW97" t="s">
        <v>73</v>
      </c>
      <c r="AX97" t="s">
        <v>73</v>
      </c>
      <c r="BG97" t="s">
        <v>73</v>
      </c>
      <c r="BH97" t="s">
        <v>73</v>
      </c>
      <c r="BI97" t="s">
        <v>73</v>
      </c>
      <c r="BJ97" t="s">
        <v>73</v>
      </c>
      <c r="BK97" t="s">
        <v>73</v>
      </c>
      <c r="BL97" t="s">
        <v>73</v>
      </c>
      <c r="BM97" t="s">
        <v>73</v>
      </c>
      <c r="BN97" t="s">
        <v>73</v>
      </c>
      <c r="BO97" t="s">
        <v>73</v>
      </c>
      <c r="BP97" t="s">
        <v>73</v>
      </c>
      <c r="BQ97" t="s">
        <v>73</v>
      </c>
      <c r="BR97" t="s">
        <v>73</v>
      </c>
      <c r="BS97" t="s">
        <v>73</v>
      </c>
      <c r="BT97" t="s">
        <v>73</v>
      </c>
      <c r="BU97" t="s">
        <v>73</v>
      </c>
      <c r="BV97" t="s">
        <v>73</v>
      </c>
      <c r="BW97" t="s">
        <v>73</v>
      </c>
      <c r="BX97" t="s">
        <v>73</v>
      </c>
      <c r="BY97" t="s">
        <v>73</v>
      </c>
      <c r="BZ97" t="s">
        <v>73</v>
      </c>
      <c r="CG97" t="s">
        <v>73</v>
      </c>
      <c r="CH97" t="s">
        <v>73</v>
      </c>
      <c r="CI97" t="s">
        <v>73</v>
      </c>
      <c r="CJ97" t="s">
        <v>73</v>
      </c>
      <c r="CK97" t="s">
        <v>73</v>
      </c>
      <c r="CL97" t="s">
        <v>73</v>
      </c>
      <c r="CM97" t="s">
        <v>73</v>
      </c>
      <c r="CN97" t="s">
        <v>73</v>
      </c>
      <c r="CO97" t="s">
        <v>73</v>
      </c>
      <c r="CP97" s="206" t="s">
        <v>73</v>
      </c>
    </row>
    <row r="98" spans="47:181" ht="9" customHeight="1">
      <c r="AU98" s="205" t="s">
        <v>73</v>
      </c>
      <c r="AV98" t="s">
        <v>73</v>
      </c>
      <c r="AW98" t="s">
        <v>73</v>
      </c>
      <c r="AX98" t="s">
        <v>73</v>
      </c>
      <c r="BG98" t="s">
        <v>73</v>
      </c>
      <c r="BH98" t="s">
        <v>73</v>
      </c>
      <c r="BI98" t="s">
        <v>73</v>
      </c>
      <c r="BJ98" t="s">
        <v>73</v>
      </c>
      <c r="BK98" t="s">
        <v>73</v>
      </c>
      <c r="BL98" t="s">
        <v>73</v>
      </c>
      <c r="BM98" t="s">
        <v>73</v>
      </c>
      <c r="BN98" t="s">
        <v>73</v>
      </c>
      <c r="BO98" t="s">
        <v>73</v>
      </c>
      <c r="BP98" t="s">
        <v>73</v>
      </c>
      <c r="BQ98" t="s">
        <v>73</v>
      </c>
      <c r="CG98" t="s">
        <v>73</v>
      </c>
      <c r="CH98" t="s">
        <v>73</v>
      </c>
      <c r="CI98" t="s">
        <v>73</v>
      </c>
      <c r="CJ98" t="s">
        <v>73</v>
      </c>
      <c r="CK98" t="s">
        <v>73</v>
      </c>
      <c r="CL98" t="s">
        <v>73</v>
      </c>
      <c r="CM98" t="s">
        <v>73</v>
      </c>
      <c r="CN98" t="s">
        <v>73</v>
      </c>
      <c r="CO98" t="s">
        <v>73</v>
      </c>
      <c r="CP98" s="206" t="s">
        <v>73</v>
      </c>
    </row>
    <row r="99" spans="47:181" ht="9" customHeight="1">
      <c r="AU99" s="205" t="s">
        <v>73</v>
      </c>
      <c r="AV99" t="s">
        <v>73</v>
      </c>
      <c r="AW99" t="s">
        <v>73</v>
      </c>
      <c r="AX99" t="s">
        <v>73</v>
      </c>
      <c r="AY99" t="s">
        <v>73</v>
      </c>
      <c r="AZ99" t="s">
        <v>73</v>
      </c>
      <c r="BA99" t="s">
        <v>73</v>
      </c>
      <c r="BG99" t="s">
        <v>73</v>
      </c>
      <c r="BH99" t="s">
        <v>73</v>
      </c>
      <c r="BI99" t="s">
        <v>73</v>
      </c>
      <c r="BJ99" t="s">
        <v>73</v>
      </c>
      <c r="BK99" t="s">
        <v>73</v>
      </c>
      <c r="BL99" t="s">
        <v>73</v>
      </c>
      <c r="BM99" t="s">
        <v>73</v>
      </c>
      <c r="BN99" t="s">
        <v>73</v>
      </c>
      <c r="BO99" t="s">
        <v>73</v>
      </c>
      <c r="BP99" t="s">
        <v>73</v>
      </c>
      <c r="BQ99" t="s">
        <v>73</v>
      </c>
      <c r="BT99" t="s">
        <v>73</v>
      </c>
      <c r="BU99" t="s">
        <v>73</v>
      </c>
      <c r="BV99" t="s">
        <v>73</v>
      </c>
      <c r="BW99" t="s">
        <v>73</v>
      </c>
      <c r="BX99" t="s">
        <v>73</v>
      </c>
      <c r="BY99" t="s">
        <v>73</v>
      </c>
      <c r="BZ99" t="s">
        <v>73</v>
      </c>
      <c r="CI99" t="s">
        <v>73</v>
      </c>
      <c r="CJ99" t="s">
        <v>73</v>
      </c>
      <c r="CK99" t="s">
        <v>73</v>
      </c>
      <c r="CL99" t="s">
        <v>73</v>
      </c>
      <c r="CM99" t="s">
        <v>73</v>
      </c>
      <c r="CN99" t="s">
        <v>73</v>
      </c>
      <c r="CO99" t="s">
        <v>73</v>
      </c>
      <c r="CP99" s="206" t="s">
        <v>73</v>
      </c>
    </row>
    <row r="100" spans="47:181" ht="9" customHeight="1">
      <c r="AU100" s="205" t="s">
        <v>73</v>
      </c>
      <c r="AV100" t="s">
        <v>73</v>
      </c>
      <c r="AW100" t="s">
        <v>73</v>
      </c>
      <c r="AX100" t="s">
        <v>73</v>
      </c>
      <c r="AY100" t="s">
        <v>1320</v>
      </c>
      <c r="AZ100" t="s">
        <v>1320</v>
      </c>
      <c r="BA100" t="s">
        <v>1320</v>
      </c>
      <c r="BD100" t="s">
        <v>1320</v>
      </c>
      <c r="BE100" t="s">
        <v>1320</v>
      </c>
      <c r="BF100" t="s">
        <v>1320</v>
      </c>
      <c r="BG100" t="s">
        <v>1320</v>
      </c>
      <c r="BH100" t="s">
        <v>1320</v>
      </c>
      <c r="BI100" t="s">
        <v>1320</v>
      </c>
      <c r="BJ100" t="s">
        <v>1320</v>
      </c>
      <c r="BK100" t="s">
        <v>73</v>
      </c>
      <c r="BL100" t="s">
        <v>1349</v>
      </c>
      <c r="BM100" t="s">
        <v>73</v>
      </c>
      <c r="BN100" t="s">
        <v>73</v>
      </c>
      <c r="BO100" t="s">
        <v>1320</v>
      </c>
      <c r="BP100" t="s">
        <v>1320</v>
      </c>
      <c r="BQ100" t="s">
        <v>1320</v>
      </c>
      <c r="BR100" t="s">
        <v>1320</v>
      </c>
      <c r="BS100" t="s">
        <v>1320</v>
      </c>
      <c r="BT100" t="s">
        <v>1320</v>
      </c>
      <c r="BU100" t="s">
        <v>1320</v>
      </c>
      <c r="BV100" t="s">
        <v>1320</v>
      </c>
      <c r="BW100" t="s">
        <v>1320</v>
      </c>
      <c r="BX100" t="s">
        <v>1320</v>
      </c>
      <c r="BY100" t="s">
        <v>1320</v>
      </c>
      <c r="BZ100" t="s">
        <v>1320</v>
      </c>
      <c r="CA100" t="s">
        <v>1320</v>
      </c>
      <c r="CB100" t="s">
        <v>1320</v>
      </c>
      <c r="CC100" t="s">
        <v>1320</v>
      </c>
      <c r="CD100" t="s">
        <v>1320</v>
      </c>
      <c r="CE100" t="s">
        <v>1320</v>
      </c>
      <c r="CI100" t="s">
        <v>73</v>
      </c>
      <c r="CJ100" t="s">
        <v>73</v>
      </c>
      <c r="CK100" t="s">
        <v>73</v>
      </c>
      <c r="CL100" t="s">
        <v>73</v>
      </c>
      <c r="CM100" t="s">
        <v>73</v>
      </c>
      <c r="CN100" t="s">
        <v>73</v>
      </c>
      <c r="CO100" t="s">
        <v>73</v>
      </c>
      <c r="CP100" s="206" t="s">
        <v>73</v>
      </c>
    </row>
    <row r="101" spans="47:181" ht="9" customHeight="1">
      <c r="AU101" s="205" t="s">
        <v>73</v>
      </c>
      <c r="AV101" t="s">
        <v>73</v>
      </c>
      <c r="AW101" t="s">
        <v>73</v>
      </c>
      <c r="AX101" t="s">
        <v>73</v>
      </c>
      <c r="CI101" t="s">
        <v>73</v>
      </c>
      <c r="CJ101" t="s">
        <v>73</v>
      </c>
      <c r="CK101" t="s">
        <v>73</v>
      </c>
      <c r="CL101" t="s">
        <v>73</v>
      </c>
      <c r="CM101" t="s">
        <v>73</v>
      </c>
      <c r="CN101" t="s">
        <v>73</v>
      </c>
      <c r="CO101" t="s">
        <v>73</v>
      </c>
      <c r="CP101" s="206" t="s">
        <v>73</v>
      </c>
    </row>
    <row r="102" spans="47:181" ht="9" customHeight="1">
      <c r="AU102" s="205" t="s">
        <v>73</v>
      </c>
      <c r="AV102" t="s">
        <v>73</v>
      </c>
      <c r="AW102" t="s">
        <v>73</v>
      </c>
      <c r="AX102" t="s">
        <v>73</v>
      </c>
      <c r="AY102" t="s">
        <v>73</v>
      </c>
      <c r="AZ102" t="s">
        <v>73</v>
      </c>
      <c r="CA102" t="s">
        <v>73</v>
      </c>
      <c r="CB102" t="s">
        <v>73</v>
      </c>
      <c r="CC102" t="s">
        <v>73</v>
      </c>
      <c r="CD102" t="s">
        <v>73</v>
      </c>
      <c r="CE102" t="s">
        <v>73</v>
      </c>
      <c r="CI102" t="s">
        <v>73</v>
      </c>
      <c r="CJ102" t="s">
        <v>73</v>
      </c>
      <c r="CK102" t="s">
        <v>73</v>
      </c>
      <c r="CL102" t="s">
        <v>73</v>
      </c>
      <c r="CM102" t="s">
        <v>73</v>
      </c>
      <c r="CN102" t="s">
        <v>73</v>
      </c>
      <c r="CO102" t="s">
        <v>73</v>
      </c>
      <c r="CP102" s="206" t="s">
        <v>73</v>
      </c>
    </row>
    <row r="103" spans="47:181" ht="9" customHeight="1" thickBot="1">
      <c r="AU103" s="205" t="s">
        <v>73</v>
      </c>
      <c r="AV103" t="s">
        <v>73</v>
      </c>
      <c r="AW103" t="s">
        <v>73</v>
      </c>
      <c r="AX103" t="s">
        <v>73</v>
      </c>
      <c r="AY103" t="s">
        <v>73</v>
      </c>
      <c r="AZ103" t="s">
        <v>73</v>
      </c>
      <c r="CA103" t="s">
        <v>73</v>
      </c>
      <c r="CB103" t="s">
        <v>73</v>
      </c>
      <c r="CC103" t="s">
        <v>73</v>
      </c>
      <c r="CD103" t="s">
        <v>73</v>
      </c>
      <c r="CE103" t="s">
        <v>73</v>
      </c>
      <c r="CI103" t="s">
        <v>73</v>
      </c>
      <c r="CJ103" t="s">
        <v>73</v>
      </c>
      <c r="CK103" t="s">
        <v>73</v>
      </c>
      <c r="CL103" t="s">
        <v>73</v>
      </c>
      <c r="CM103" t="s">
        <v>73</v>
      </c>
      <c r="CN103" t="s">
        <v>73</v>
      </c>
      <c r="CO103" t="s">
        <v>73</v>
      </c>
      <c r="CP103" s="206" t="s">
        <v>73</v>
      </c>
    </row>
    <row r="104" spans="47:181" ht="9" customHeight="1">
      <c r="AU104" s="205" t="s">
        <v>73</v>
      </c>
      <c r="AV104" t="s">
        <v>73</v>
      </c>
      <c r="AW104" t="s">
        <v>73</v>
      </c>
      <c r="AX104" t="s">
        <v>73</v>
      </c>
      <c r="AY104" t="s">
        <v>73</v>
      </c>
      <c r="AZ104" t="s">
        <v>73</v>
      </c>
      <c r="CA104" t="s">
        <v>73</v>
      </c>
      <c r="CB104" t="s">
        <v>73</v>
      </c>
      <c r="CC104" t="s">
        <v>73</v>
      </c>
      <c r="CD104" t="s">
        <v>73</v>
      </c>
      <c r="CE104" t="s">
        <v>73</v>
      </c>
      <c r="CI104" t="s">
        <v>73</v>
      </c>
      <c r="CJ104" t="s">
        <v>73</v>
      </c>
      <c r="CK104" t="s">
        <v>73</v>
      </c>
      <c r="CL104" t="s">
        <v>73</v>
      </c>
      <c r="CM104" t="s">
        <v>73</v>
      </c>
      <c r="CN104" t="s">
        <v>73</v>
      </c>
      <c r="CO104" t="s">
        <v>73</v>
      </c>
      <c r="CP104" s="206" t="s">
        <v>73</v>
      </c>
      <c r="CQ104" s="203" t="s">
        <v>73</v>
      </c>
      <c r="CR104" s="216" t="s">
        <v>73</v>
      </c>
      <c r="CS104" s="216" t="s">
        <v>73</v>
      </c>
      <c r="CT104" s="216" t="s">
        <v>73</v>
      </c>
      <c r="CU104" s="216" t="s">
        <v>73</v>
      </c>
      <c r="CV104" s="216" t="s">
        <v>73</v>
      </c>
      <c r="CW104" s="216" t="s">
        <v>73</v>
      </c>
      <c r="CX104" s="216" t="s">
        <v>73</v>
      </c>
      <c r="CY104" s="216" t="s">
        <v>73</v>
      </c>
      <c r="CZ104" s="216" t="s">
        <v>73</v>
      </c>
      <c r="DA104" s="216" t="s">
        <v>73</v>
      </c>
      <c r="DB104" s="216" t="s">
        <v>73</v>
      </c>
      <c r="DC104" s="216" t="s">
        <v>73</v>
      </c>
      <c r="DD104" s="216" t="s">
        <v>73</v>
      </c>
      <c r="DE104" s="216" t="s">
        <v>73</v>
      </c>
      <c r="DF104" s="216" t="s">
        <v>73</v>
      </c>
      <c r="DG104" s="216" t="s">
        <v>73</v>
      </c>
      <c r="DH104" s="216" t="s">
        <v>73</v>
      </c>
      <c r="DI104" s="216" t="s">
        <v>73</v>
      </c>
      <c r="DJ104" s="216" t="s">
        <v>73</v>
      </c>
      <c r="DK104" s="216" t="s">
        <v>73</v>
      </c>
      <c r="DL104" s="216" t="s">
        <v>73</v>
      </c>
      <c r="DM104" s="216" t="s">
        <v>73</v>
      </c>
      <c r="DN104" s="216" t="s">
        <v>73</v>
      </c>
      <c r="DO104" s="216" t="s">
        <v>73</v>
      </c>
      <c r="DP104" s="216" t="s">
        <v>73</v>
      </c>
      <c r="DQ104" s="216" t="s">
        <v>73</v>
      </c>
      <c r="DR104" s="216" t="s">
        <v>73</v>
      </c>
      <c r="DS104" s="216" t="s">
        <v>73</v>
      </c>
      <c r="DT104" s="216" t="s">
        <v>73</v>
      </c>
      <c r="DU104" s="216" t="s">
        <v>73</v>
      </c>
      <c r="DV104" s="216" t="s">
        <v>73</v>
      </c>
      <c r="DW104" s="216" t="s">
        <v>73</v>
      </c>
      <c r="DX104" s="216" t="s">
        <v>73</v>
      </c>
      <c r="DY104" s="216" t="s">
        <v>73</v>
      </c>
      <c r="DZ104" s="216" t="s">
        <v>73</v>
      </c>
      <c r="EA104" s="216" t="s">
        <v>73</v>
      </c>
      <c r="EB104" s="216" t="s">
        <v>73</v>
      </c>
      <c r="EC104" s="216" t="s">
        <v>73</v>
      </c>
      <c r="ED104" s="216" t="s">
        <v>73</v>
      </c>
      <c r="EE104" s="216" t="s">
        <v>73</v>
      </c>
      <c r="EF104" s="216" t="s">
        <v>73</v>
      </c>
      <c r="EG104" s="216" t="s">
        <v>73</v>
      </c>
      <c r="EH104" s="216" t="s">
        <v>73</v>
      </c>
      <c r="EI104" s="216" t="s">
        <v>73</v>
      </c>
      <c r="EJ104" s="216" t="s">
        <v>73</v>
      </c>
      <c r="EK104" s="216" t="s">
        <v>73</v>
      </c>
      <c r="EL104" s="216" t="s">
        <v>73</v>
      </c>
      <c r="EM104" s="216" t="s">
        <v>73</v>
      </c>
      <c r="EN104" s="216" t="s">
        <v>73</v>
      </c>
      <c r="EO104" s="216" t="s">
        <v>73</v>
      </c>
      <c r="EP104" s="216" t="s">
        <v>73</v>
      </c>
      <c r="EQ104" s="216" t="s">
        <v>73</v>
      </c>
      <c r="ER104" s="216" t="s">
        <v>73</v>
      </c>
      <c r="ES104" s="216" t="s">
        <v>73</v>
      </c>
      <c r="ET104" s="216" t="s">
        <v>73</v>
      </c>
      <c r="EU104" s="216" t="s">
        <v>73</v>
      </c>
      <c r="EV104" s="216" t="s">
        <v>73</v>
      </c>
      <c r="EW104" s="216" t="s">
        <v>73</v>
      </c>
      <c r="EX104" s="216" t="s">
        <v>73</v>
      </c>
      <c r="EY104" s="216" t="s">
        <v>73</v>
      </c>
      <c r="EZ104" s="216" t="s">
        <v>73</v>
      </c>
      <c r="FA104" s="216" t="s">
        <v>73</v>
      </c>
      <c r="FB104" s="216" t="s">
        <v>73</v>
      </c>
      <c r="FC104" s="216" t="s">
        <v>73</v>
      </c>
      <c r="FD104" s="216" t="s">
        <v>73</v>
      </c>
      <c r="FE104" s="216" t="s">
        <v>73</v>
      </c>
      <c r="FF104" s="216" t="s">
        <v>73</v>
      </c>
      <c r="FG104" s="216"/>
      <c r="FH104" s="216"/>
      <c r="FI104" s="216"/>
      <c r="FJ104" s="216"/>
      <c r="FK104" s="216"/>
      <c r="FL104" s="216"/>
      <c r="FM104" s="216"/>
      <c r="FN104" s="216"/>
      <c r="FO104" s="216" t="s">
        <v>73</v>
      </c>
      <c r="FP104" s="216" t="s">
        <v>73</v>
      </c>
      <c r="FQ104" s="216" t="s">
        <v>73</v>
      </c>
      <c r="FR104" s="216" t="s">
        <v>73</v>
      </c>
      <c r="FS104" s="216" t="s">
        <v>73</v>
      </c>
      <c r="FT104" s="216" t="s">
        <v>73</v>
      </c>
      <c r="FU104" s="216" t="s">
        <v>73</v>
      </c>
      <c r="FV104" s="216" t="s">
        <v>73</v>
      </c>
      <c r="FW104" s="216" t="s">
        <v>73</v>
      </c>
      <c r="FX104" s="216" t="s">
        <v>73</v>
      </c>
      <c r="FY104" s="204" t="s">
        <v>73</v>
      </c>
    </row>
    <row r="105" spans="47:181" ht="9" customHeight="1">
      <c r="AU105" s="205" t="s">
        <v>73</v>
      </c>
      <c r="AV105" t="s">
        <v>73</v>
      </c>
      <c r="AW105" t="s">
        <v>73</v>
      </c>
      <c r="AX105" t="s">
        <v>73</v>
      </c>
      <c r="AY105" t="s">
        <v>73</v>
      </c>
      <c r="AZ105" t="s">
        <v>73</v>
      </c>
      <c r="BD105" t="s">
        <v>73</v>
      </c>
      <c r="BE105" t="s">
        <v>73</v>
      </c>
      <c r="BG105" t="s">
        <v>73</v>
      </c>
      <c r="BH105" t="s">
        <v>73</v>
      </c>
      <c r="BI105" t="s">
        <v>73</v>
      </c>
      <c r="BJ105" t="s">
        <v>73</v>
      </c>
      <c r="BK105" t="s">
        <v>73</v>
      </c>
      <c r="BL105" t="s">
        <v>73</v>
      </c>
      <c r="BM105" t="s">
        <v>73</v>
      </c>
      <c r="BO105" t="s">
        <v>73</v>
      </c>
      <c r="BP105" t="s">
        <v>73</v>
      </c>
      <c r="CI105" t="s">
        <v>73</v>
      </c>
      <c r="CJ105" t="s">
        <v>73</v>
      </c>
      <c r="CK105" t="s">
        <v>73</v>
      </c>
      <c r="CL105" t="s">
        <v>73</v>
      </c>
      <c r="CM105" t="s">
        <v>73</v>
      </c>
      <c r="CN105" t="s">
        <v>73</v>
      </c>
      <c r="CO105" t="s">
        <v>73</v>
      </c>
      <c r="CP105" s="206" t="s">
        <v>73</v>
      </c>
      <c r="CQ105" s="205" t="s">
        <v>73</v>
      </c>
      <c r="CR105" t="s">
        <v>73</v>
      </c>
      <c r="CS105" t="s">
        <v>73</v>
      </c>
      <c r="CT105" t="s">
        <v>73</v>
      </c>
      <c r="CU105" t="s">
        <v>73</v>
      </c>
      <c r="CV105" t="s">
        <v>73</v>
      </c>
      <c r="CW105" t="s">
        <v>73</v>
      </c>
      <c r="CX105" t="s">
        <v>73</v>
      </c>
      <c r="CY105" t="s">
        <v>73</v>
      </c>
      <c r="CZ105" t="s">
        <v>73</v>
      </c>
      <c r="DA105" t="s">
        <v>73</v>
      </c>
      <c r="DB105" t="s">
        <v>73</v>
      </c>
      <c r="DC105" t="s">
        <v>73</v>
      </c>
      <c r="DD105" t="s">
        <v>73</v>
      </c>
      <c r="DE105" t="s">
        <v>73</v>
      </c>
      <c r="DF105" t="s">
        <v>73</v>
      </c>
      <c r="DG105" t="s">
        <v>73</v>
      </c>
      <c r="DH105" t="s">
        <v>73</v>
      </c>
      <c r="DI105" t="s">
        <v>73</v>
      </c>
      <c r="DJ105" t="s">
        <v>73</v>
      </c>
      <c r="DK105" t="s">
        <v>73</v>
      </c>
      <c r="DL105" t="s">
        <v>73</v>
      </c>
      <c r="DM105" t="s">
        <v>73</v>
      </c>
      <c r="DN105" t="s">
        <v>73</v>
      </c>
      <c r="DO105" t="s">
        <v>73</v>
      </c>
      <c r="DP105" t="s">
        <v>73</v>
      </c>
      <c r="DQ105" t="s">
        <v>73</v>
      </c>
      <c r="DR105" t="s">
        <v>73</v>
      </c>
      <c r="DS105" t="s">
        <v>73</v>
      </c>
      <c r="DT105" t="s">
        <v>73</v>
      </c>
      <c r="DU105" t="s">
        <v>73</v>
      </c>
      <c r="DV105" t="s">
        <v>73</v>
      </c>
      <c r="DW105" t="s">
        <v>73</v>
      </c>
      <c r="DX105" t="s">
        <v>73</v>
      </c>
      <c r="DY105" t="s">
        <v>73</v>
      </c>
      <c r="DZ105" t="s">
        <v>73</v>
      </c>
      <c r="EA105" t="s">
        <v>73</v>
      </c>
      <c r="EB105" t="s">
        <v>73</v>
      </c>
      <c r="EC105" t="s">
        <v>73</v>
      </c>
      <c r="ED105" t="s">
        <v>73</v>
      </c>
      <c r="EE105" t="s">
        <v>73</v>
      </c>
      <c r="EF105" t="s">
        <v>73</v>
      </c>
      <c r="EG105" t="s">
        <v>73</v>
      </c>
      <c r="EH105" t="s">
        <v>73</v>
      </c>
      <c r="EI105" t="s">
        <v>73</v>
      </c>
      <c r="EJ105" t="s">
        <v>73</v>
      </c>
      <c r="EK105" t="s">
        <v>73</v>
      </c>
      <c r="EL105" t="s">
        <v>73</v>
      </c>
      <c r="EM105" t="s">
        <v>73</v>
      </c>
      <c r="EN105" t="s">
        <v>73</v>
      </c>
      <c r="EO105" t="s">
        <v>73</v>
      </c>
      <c r="EP105" t="s">
        <v>73</v>
      </c>
      <c r="EQ105" t="s">
        <v>73</v>
      </c>
      <c r="ER105" t="s">
        <v>73</v>
      </c>
      <c r="ES105" t="s">
        <v>73</v>
      </c>
      <c r="ET105" t="s">
        <v>73</v>
      </c>
      <c r="EU105" t="s">
        <v>73</v>
      </c>
      <c r="EV105" t="s">
        <v>73</v>
      </c>
      <c r="EW105" t="s">
        <v>73</v>
      </c>
      <c r="EX105" t="s">
        <v>73</v>
      </c>
      <c r="EY105" t="s">
        <v>73</v>
      </c>
      <c r="EZ105" t="s">
        <v>73</v>
      </c>
      <c r="FA105" t="s">
        <v>73</v>
      </c>
      <c r="FB105" t="s">
        <v>73</v>
      </c>
      <c r="FC105" t="s">
        <v>73</v>
      </c>
      <c r="FD105" t="s">
        <v>73</v>
      </c>
      <c r="FE105" t="s">
        <v>73</v>
      </c>
      <c r="FF105" t="s">
        <v>73</v>
      </c>
      <c r="FO105" t="s">
        <v>73</v>
      </c>
      <c r="FP105" t="s">
        <v>73</v>
      </c>
      <c r="FQ105" t="s">
        <v>73</v>
      </c>
      <c r="FR105" t="s">
        <v>73</v>
      </c>
      <c r="FS105" t="s">
        <v>73</v>
      </c>
      <c r="FT105" t="s">
        <v>73</v>
      </c>
      <c r="FU105" t="s">
        <v>73</v>
      </c>
      <c r="FV105" t="s">
        <v>73</v>
      </c>
      <c r="FW105" t="s">
        <v>73</v>
      </c>
      <c r="FX105" t="s">
        <v>73</v>
      </c>
      <c r="FY105" s="206" t="s">
        <v>73</v>
      </c>
    </row>
    <row r="106" spans="47:181" ht="9" customHeight="1">
      <c r="AU106" s="205" t="s">
        <v>73</v>
      </c>
      <c r="AV106" t="s">
        <v>73</v>
      </c>
      <c r="AW106" t="s">
        <v>73</v>
      </c>
      <c r="AX106" t="s">
        <v>73</v>
      </c>
      <c r="AY106" t="s">
        <v>73</v>
      </c>
      <c r="AZ106" t="s">
        <v>73</v>
      </c>
      <c r="BD106" t="s">
        <v>73</v>
      </c>
      <c r="BE106" t="s">
        <v>73</v>
      </c>
      <c r="BG106" t="s">
        <v>73</v>
      </c>
      <c r="BH106" t="s">
        <v>73</v>
      </c>
      <c r="BI106" t="s">
        <v>73</v>
      </c>
      <c r="BJ106" t="s">
        <v>73</v>
      </c>
      <c r="BK106" t="s">
        <v>73</v>
      </c>
      <c r="BL106" t="s">
        <v>73</v>
      </c>
      <c r="BM106" t="s">
        <v>73</v>
      </c>
      <c r="BO106" t="s">
        <v>73</v>
      </c>
      <c r="BP106" t="s">
        <v>73</v>
      </c>
      <c r="CI106" t="s">
        <v>73</v>
      </c>
      <c r="CJ106" t="s">
        <v>73</v>
      </c>
      <c r="CK106" t="s">
        <v>73</v>
      </c>
      <c r="CL106" t="s">
        <v>73</v>
      </c>
      <c r="CM106" t="s">
        <v>73</v>
      </c>
      <c r="CN106" t="s">
        <v>73</v>
      </c>
      <c r="CO106" t="s">
        <v>73</v>
      </c>
      <c r="CP106" s="206" t="s">
        <v>73</v>
      </c>
      <c r="CQ106" s="205" t="s">
        <v>73</v>
      </c>
      <c r="CR106" t="s">
        <v>73</v>
      </c>
      <c r="CS106" t="s">
        <v>73</v>
      </c>
      <c r="CT106" t="s">
        <v>73</v>
      </c>
      <c r="CU106" t="s">
        <v>73</v>
      </c>
      <c r="CV106" t="s">
        <v>73</v>
      </c>
      <c r="CW106" t="s">
        <v>73</v>
      </c>
      <c r="CX106" t="s">
        <v>73</v>
      </c>
      <c r="CY106" t="s">
        <v>73</v>
      </c>
      <c r="CZ106" t="s">
        <v>73</v>
      </c>
      <c r="DA106" t="s">
        <v>73</v>
      </c>
      <c r="DB106" t="s">
        <v>73</v>
      </c>
      <c r="DC106" t="s">
        <v>73</v>
      </c>
      <c r="DD106" t="s">
        <v>73</v>
      </c>
      <c r="DE106" t="s">
        <v>73</v>
      </c>
      <c r="DF106" t="s">
        <v>73</v>
      </c>
      <c r="DG106" t="s">
        <v>73</v>
      </c>
      <c r="DH106" t="s">
        <v>73</v>
      </c>
      <c r="DI106" t="s">
        <v>73</v>
      </c>
      <c r="DJ106" t="s">
        <v>73</v>
      </c>
      <c r="DK106" t="s">
        <v>73</v>
      </c>
      <c r="DL106" t="s">
        <v>73</v>
      </c>
      <c r="DM106" t="s">
        <v>73</v>
      </c>
      <c r="DN106" t="s">
        <v>73</v>
      </c>
      <c r="DO106" t="s">
        <v>73</v>
      </c>
      <c r="DP106" t="s">
        <v>73</v>
      </c>
      <c r="DQ106" t="s">
        <v>73</v>
      </c>
      <c r="DR106" t="s">
        <v>73</v>
      </c>
      <c r="DS106" t="s">
        <v>73</v>
      </c>
      <c r="DT106" t="s">
        <v>73</v>
      </c>
      <c r="DU106" t="s">
        <v>73</v>
      </c>
      <c r="DV106" t="s">
        <v>73</v>
      </c>
      <c r="DW106" t="s">
        <v>73</v>
      </c>
      <c r="DX106" t="s">
        <v>73</v>
      </c>
      <c r="DY106" t="s">
        <v>73</v>
      </c>
      <c r="DZ106" t="s">
        <v>73</v>
      </c>
      <c r="EA106" t="s">
        <v>73</v>
      </c>
      <c r="EB106" t="s">
        <v>73</v>
      </c>
      <c r="EC106" t="s">
        <v>73</v>
      </c>
      <c r="ED106" t="s">
        <v>73</v>
      </c>
      <c r="EE106" t="s">
        <v>73</v>
      </c>
      <c r="EF106" t="s">
        <v>73</v>
      </c>
      <c r="EG106" t="s">
        <v>73</v>
      </c>
      <c r="EH106" t="s">
        <v>73</v>
      </c>
      <c r="EI106" t="s">
        <v>73</v>
      </c>
      <c r="EJ106" t="s">
        <v>73</v>
      </c>
      <c r="EK106" t="s">
        <v>73</v>
      </c>
      <c r="EL106" t="s">
        <v>73</v>
      </c>
      <c r="EM106" t="s">
        <v>73</v>
      </c>
      <c r="EN106" t="s">
        <v>73</v>
      </c>
      <c r="EO106" t="s">
        <v>73</v>
      </c>
      <c r="EP106" t="s">
        <v>73</v>
      </c>
      <c r="EQ106" t="s">
        <v>73</v>
      </c>
      <c r="ER106" t="s">
        <v>73</v>
      </c>
      <c r="ES106" t="s">
        <v>73</v>
      </c>
      <c r="ET106" t="s">
        <v>73</v>
      </c>
      <c r="EU106" t="s">
        <v>73</v>
      </c>
      <c r="EV106" t="s">
        <v>73</v>
      </c>
      <c r="EW106" t="s">
        <v>73</v>
      </c>
      <c r="EX106" t="s">
        <v>73</v>
      </c>
      <c r="EY106" t="s">
        <v>73</v>
      </c>
      <c r="EZ106" t="s">
        <v>73</v>
      </c>
      <c r="FA106" t="s">
        <v>73</v>
      </c>
      <c r="FB106" t="s">
        <v>73</v>
      </c>
      <c r="FC106" t="s">
        <v>73</v>
      </c>
      <c r="FD106" t="s">
        <v>73</v>
      </c>
      <c r="FE106" t="s">
        <v>73</v>
      </c>
      <c r="FF106" t="s">
        <v>73</v>
      </c>
      <c r="FO106" t="s">
        <v>73</v>
      </c>
      <c r="FP106" t="s">
        <v>73</v>
      </c>
      <c r="FQ106" t="s">
        <v>73</v>
      </c>
      <c r="FR106" t="s">
        <v>73</v>
      </c>
      <c r="FS106" t="s">
        <v>73</v>
      </c>
      <c r="FT106" t="s">
        <v>73</v>
      </c>
      <c r="FU106" t="s">
        <v>73</v>
      </c>
      <c r="FV106" t="s">
        <v>73</v>
      </c>
      <c r="FW106" t="s">
        <v>73</v>
      </c>
      <c r="FX106" t="s">
        <v>73</v>
      </c>
      <c r="FY106" s="206" t="s">
        <v>73</v>
      </c>
    </row>
    <row r="107" spans="47:181" ht="9" customHeight="1">
      <c r="AU107" s="205" t="s">
        <v>73</v>
      </c>
      <c r="AV107" t="s">
        <v>73</v>
      </c>
      <c r="AW107" t="s">
        <v>73</v>
      </c>
      <c r="AX107" t="s">
        <v>73</v>
      </c>
      <c r="AY107" t="s">
        <v>73</v>
      </c>
      <c r="AZ107" t="s">
        <v>73</v>
      </c>
      <c r="BD107" t="s">
        <v>73</v>
      </c>
      <c r="BE107" t="s">
        <v>73</v>
      </c>
      <c r="BF107" t="s">
        <v>73</v>
      </c>
      <c r="BG107" t="s">
        <v>73</v>
      </c>
      <c r="BH107" t="s">
        <v>73</v>
      </c>
      <c r="BI107" t="s">
        <v>73</v>
      </c>
      <c r="BJ107" t="s">
        <v>73</v>
      </c>
      <c r="BK107" t="s">
        <v>73</v>
      </c>
      <c r="BL107" t="s">
        <v>73</v>
      </c>
      <c r="BM107" t="s">
        <v>73</v>
      </c>
      <c r="BN107" t="s">
        <v>73</v>
      </c>
      <c r="BO107" t="s">
        <v>73</v>
      </c>
      <c r="BP107" t="s">
        <v>73</v>
      </c>
      <c r="CI107" t="s">
        <v>73</v>
      </c>
      <c r="CJ107" t="s">
        <v>73</v>
      </c>
      <c r="CK107" t="s">
        <v>73</v>
      </c>
      <c r="CL107" t="s">
        <v>73</v>
      </c>
      <c r="CM107" t="s">
        <v>73</v>
      </c>
      <c r="CN107" t="s">
        <v>73</v>
      </c>
      <c r="CO107" t="s">
        <v>73</v>
      </c>
      <c r="CP107" s="206" t="s">
        <v>73</v>
      </c>
      <c r="CQ107" s="205" t="s">
        <v>73</v>
      </c>
      <c r="CR107" t="s">
        <v>73</v>
      </c>
      <c r="CS107" t="s">
        <v>73</v>
      </c>
      <c r="CT107" t="s">
        <v>73</v>
      </c>
      <c r="CU107" t="s">
        <v>73</v>
      </c>
      <c r="CV107" t="s">
        <v>73</v>
      </c>
      <c r="CW107" t="s">
        <v>73</v>
      </c>
      <c r="CX107" t="s">
        <v>73</v>
      </c>
      <c r="CY107" t="s">
        <v>73</v>
      </c>
      <c r="CZ107" t="s">
        <v>73</v>
      </c>
      <c r="DA107" t="s">
        <v>73</v>
      </c>
      <c r="DB107" t="s">
        <v>73</v>
      </c>
      <c r="DC107" t="s">
        <v>73</v>
      </c>
      <c r="DZ107" t="s">
        <v>73</v>
      </c>
      <c r="EA107" t="s">
        <v>73</v>
      </c>
      <c r="EB107" t="s">
        <v>73</v>
      </c>
      <c r="EC107" t="s">
        <v>73</v>
      </c>
      <c r="ED107" t="s">
        <v>73</v>
      </c>
      <c r="EE107" t="s">
        <v>73</v>
      </c>
      <c r="EF107" t="s">
        <v>73</v>
      </c>
      <c r="EG107" t="s">
        <v>73</v>
      </c>
      <c r="EH107" t="s">
        <v>73</v>
      </c>
      <c r="EI107" t="s">
        <v>73</v>
      </c>
      <c r="EJ107" t="s">
        <v>73</v>
      </c>
      <c r="EK107" t="s">
        <v>73</v>
      </c>
      <c r="EL107" t="s">
        <v>73</v>
      </c>
      <c r="EM107" t="s">
        <v>73</v>
      </c>
      <c r="EN107" t="s">
        <v>73</v>
      </c>
      <c r="EO107" t="s">
        <v>73</v>
      </c>
      <c r="EP107" t="s">
        <v>73</v>
      </c>
      <c r="EQ107" t="s">
        <v>73</v>
      </c>
      <c r="ER107" t="s">
        <v>73</v>
      </c>
      <c r="ES107" t="s">
        <v>73</v>
      </c>
      <c r="ET107" t="s">
        <v>73</v>
      </c>
      <c r="EU107" t="s">
        <v>73</v>
      </c>
      <c r="EV107" t="s">
        <v>73</v>
      </c>
      <c r="EW107" t="s">
        <v>73</v>
      </c>
      <c r="EX107" t="s">
        <v>73</v>
      </c>
      <c r="EY107" t="s">
        <v>73</v>
      </c>
      <c r="EZ107" t="s">
        <v>73</v>
      </c>
      <c r="FA107" t="s">
        <v>73</v>
      </c>
      <c r="FB107" t="s">
        <v>73</v>
      </c>
      <c r="FC107" t="s">
        <v>73</v>
      </c>
      <c r="FD107" t="s">
        <v>73</v>
      </c>
      <c r="FE107" t="s">
        <v>73</v>
      </c>
      <c r="FF107" t="s">
        <v>73</v>
      </c>
      <c r="FN107" t="s">
        <v>73</v>
      </c>
      <c r="FO107" t="s">
        <v>73</v>
      </c>
      <c r="FP107" t="s">
        <v>73</v>
      </c>
      <c r="FQ107" t="s">
        <v>73</v>
      </c>
      <c r="FR107" t="s">
        <v>73</v>
      </c>
      <c r="FS107" t="s">
        <v>73</v>
      </c>
      <c r="FT107" t="s">
        <v>73</v>
      </c>
      <c r="FU107" t="s">
        <v>73</v>
      </c>
      <c r="FV107" t="s">
        <v>73</v>
      </c>
      <c r="FW107" t="s">
        <v>73</v>
      </c>
      <c r="FX107" t="s">
        <v>73</v>
      </c>
      <c r="FY107" s="206" t="s">
        <v>73</v>
      </c>
    </row>
    <row r="108" spans="47:181" ht="9" customHeight="1">
      <c r="AU108" s="205" t="s">
        <v>73</v>
      </c>
      <c r="AV108" t="s">
        <v>73</v>
      </c>
      <c r="AW108" t="s">
        <v>73</v>
      </c>
      <c r="AX108" t="s">
        <v>73</v>
      </c>
      <c r="AY108" t="s">
        <v>73</v>
      </c>
      <c r="AZ108" t="s">
        <v>73</v>
      </c>
      <c r="BD108" t="s">
        <v>73</v>
      </c>
      <c r="BE108" t="s">
        <v>73</v>
      </c>
      <c r="BF108" t="s">
        <v>73</v>
      </c>
      <c r="BG108" t="s">
        <v>73</v>
      </c>
      <c r="BH108" t="s">
        <v>73</v>
      </c>
      <c r="BI108" t="s">
        <v>73</v>
      </c>
      <c r="BJ108" t="s">
        <v>73</v>
      </c>
      <c r="BK108" t="s">
        <v>73</v>
      </c>
      <c r="BL108" t="s">
        <v>73</v>
      </c>
      <c r="BM108" t="s">
        <v>73</v>
      </c>
      <c r="BN108" t="s">
        <v>73</v>
      </c>
      <c r="BO108" t="s">
        <v>73</v>
      </c>
      <c r="BP108" t="s">
        <v>73</v>
      </c>
      <c r="BU108" t="s">
        <v>73</v>
      </c>
      <c r="BV108" t="s">
        <v>73</v>
      </c>
      <c r="BW108" t="s">
        <v>73</v>
      </c>
      <c r="BX108" t="s">
        <v>73</v>
      </c>
      <c r="CI108" t="s">
        <v>73</v>
      </c>
      <c r="CJ108" t="s">
        <v>73</v>
      </c>
      <c r="CK108" t="s">
        <v>73</v>
      </c>
      <c r="CL108" t="s">
        <v>73</v>
      </c>
      <c r="CM108" t="s">
        <v>73</v>
      </c>
      <c r="CN108" t="s">
        <v>73</v>
      </c>
      <c r="CO108" t="s">
        <v>73</v>
      </c>
      <c r="CP108" s="206" t="s">
        <v>73</v>
      </c>
      <c r="CQ108" s="205" t="s">
        <v>73</v>
      </c>
      <c r="CR108" t="s">
        <v>73</v>
      </c>
      <c r="CS108" t="s">
        <v>73</v>
      </c>
      <c r="CT108" t="s">
        <v>73</v>
      </c>
      <c r="CU108" t="s">
        <v>73</v>
      </c>
      <c r="CV108" t="s">
        <v>73</v>
      </c>
      <c r="CW108" t="s">
        <v>73</v>
      </c>
      <c r="CX108" t="s">
        <v>73</v>
      </c>
      <c r="CY108" t="s">
        <v>73</v>
      </c>
      <c r="CZ108" t="s">
        <v>73</v>
      </c>
      <c r="DA108" t="s">
        <v>73</v>
      </c>
      <c r="EB108" t="s">
        <v>73</v>
      </c>
      <c r="EC108" t="s">
        <v>73</v>
      </c>
      <c r="ED108" t="s">
        <v>73</v>
      </c>
      <c r="EE108" t="s">
        <v>73</v>
      </c>
      <c r="EF108" t="s">
        <v>73</v>
      </c>
      <c r="EG108" t="s">
        <v>73</v>
      </c>
      <c r="EH108" t="s">
        <v>73</v>
      </c>
      <c r="EI108" t="s">
        <v>73</v>
      </c>
      <c r="EJ108" t="s">
        <v>73</v>
      </c>
      <c r="EK108" t="s">
        <v>73</v>
      </c>
      <c r="EL108" t="s">
        <v>73</v>
      </c>
      <c r="EM108" t="s">
        <v>73</v>
      </c>
      <c r="EN108" t="s">
        <v>73</v>
      </c>
      <c r="EO108" t="s">
        <v>73</v>
      </c>
      <c r="EP108" t="s">
        <v>73</v>
      </c>
      <c r="EQ108" t="s">
        <v>73</v>
      </c>
      <c r="ER108" t="s">
        <v>73</v>
      </c>
      <c r="ES108" t="s">
        <v>73</v>
      </c>
      <c r="ET108" t="s">
        <v>73</v>
      </c>
      <c r="EU108" t="s">
        <v>73</v>
      </c>
      <c r="EV108" t="s">
        <v>73</v>
      </c>
      <c r="EW108" t="s">
        <v>73</v>
      </c>
      <c r="EX108" t="s">
        <v>73</v>
      </c>
      <c r="EY108" t="s">
        <v>73</v>
      </c>
      <c r="EZ108" t="s">
        <v>73</v>
      </c>
      <c r="FA108" t="s">
        <v>73</v>
      </c>
      <c r="FB108" t="s">
        <v>73</v>
      </c>
      <c r="FC108" t="s">
        <v>73</v>
      </c>
      <c r="FD108" t="s">
        <v>73</v>
      </c>
      <c r="FE108" t="s">
        <v>73</v>
      </c>
      <c r="FF108" t="s">
        <v>73</v>
      </c>
      <c r="FL108" t="s">
        <v>73</v>
      </c>
      <c r="FM108" t="s">
        <v>73</v>
      </c>
      <c r="FN108" t="s">
        <v>73</v>
      </c>
      <c r="FO108" t="s">
        <v>73</v>
      </c>
      <c r="FP108" t="s">
        <v>73</v>
      </c>
      <c r="FQ108" t="s">
        <v>73</v>
      </c>
      <c r="FR108" t="s">
        <v>73</v>
      </c>
      <c r="FS108" t="s">
        <v>73</v>
      </c>
      <c r="FT108" t="s">
        <v>73</v>
      </c>
      <c r="FU108" t="s">
        <v>73</v>
      </c>
      <c r="FV108" t="s">
        <v>73</v>
      </c>
      <c r="FW108" t="s">
        <v>73</v>
      </c>
      <c r="FX108" t="s">
        <v>73</v>
      </c>
      <c r="FY108" s="206" t="s">
        <v>73</v>
      </c>
    </row>
    <row r="109" spans="47:181" ht="9" customHeight="1">
      <c r="AU109" s="205" t="s">
        <v>73</v>
      </c>
      <c r="AV109" t="s">
        <v>73</v>
      </c>
      <c r="AW109" t="s">
        <v>73</v>
      </c>
      <c r="AX109" t="s">
        <v>73</v>
      </c>
      <c r="AY109" t="s">
        <v>73</v>
      </c>
      <c r="AZ109" t="s">
        <v>73</v>
      </c>
      <c r="BD109" t="s">
        <v>73</v>
      </c>
      <c r="BE109" t="s">
        <v>73</v>
      </c>
      <c r="BF109" t="s">
        <v>73</v>
      </c>
      <c r="BJ109" t="s">
        <v>1321</v>
      </c>
      <c r="BO109" t="s">
        <v>73</v>
      </c>
      <c r="BP109" t="s">
        <v>73</v>
      </c>
      <c r="BU109" t="s">
        <v>73</v>
      </c>
      <c r="BV109" t="s">
        <v>73</v>
      </c>
      <c r="BW109" t="s">
        <v>73</v>
      </c>
      <c r="BX109" t="s">
        <v>73</v>
      </c>
      <c r="BY109" t="s">
        <v>73</v>
      </c>
      <c r="BZ109" t="s">
        <v>73</v>
      </c>
      <c r="CI109" t="s">
        <v>73</v>
      </c>
      <c r="CJ109" t="s">
        <v>73</v>
      </c>
      <c r="CK109" t="s">
        <v>73</v>
      </c>
      <c r="CL109" t="s">
        <v>73</v>
      </c>
      <c r="CM109" t="s">
        <v>73</v>
      </c>
      <c r="CN109" t="s">
        <v>73</v>
      </c>
      <c r="CO109" t="s">
        <v>73</v>
      </c>
      <c r="CP109" s="206" t="s">
        <v>73</v>
      </c>
      <c r="CQ109" s="205" t="s">
        <v>73</v>
      </c>
      <c r="CR109" t="s">
        <v>73</v>
      </c>
      <c r="CS109" t="s">
        <v>73</v>
      </c>
      <c r="CT109" t="s">
        <v>73</v>
      </c>
      <c r="CU109" t="s">
        <v>73</v>
      </c>
      <c r="CV109" t="s">
        <v>73</v>
      </c>
      <c r="CW109" t="s">
        <v>73</v>
      </c>
      <c r="CX109" t="s">
        <v>73</v>
      </c>
      <c r="CY109" t="s">
        <v>73</v>
      </c>
      <c r="CZ109" t="s">
        <v>73</v>
      </c>
      <c r="DA109" t="s">
        <v>73</v>
      </c>
      <c r="EB109" t="s">
        <v>73</v>
      </c>
      <c r="EC109" t="s">
        <v>73</v>
      </c>
      <c r="ED109" t="s">
        <v>73</v>
      </c>
      <c r="EE109" t="s">
        <v>73</v>
      </c>
      <c r="EF109" t="s">
        <v>73</v>
      </c>
      <c r="EG109" t="s">
        <v>73</v>
      </c>
      <c r="EX109" t="s">
        <v>73</v>
      </c>
      <c r="EY109" t="s">
        <v>73</v>
      </c>
      <c r="EZ109" t="s">
        <v>73</v>
      </c>
      <c r="FA109" t="s">
        <v>73</v>
      </c>
      <c r="FB109" t="s">
        <v>73</v>
      </c>
      <c r="FC109" t="s">
        <v>73</v>
      </c>
      <c r="FD109" t="s">
        <v>73</v>
      </c>
      <c r="FE109" t="s">
        <v>73</v>
      </c>
      <c r="FF109" t="s">
        <v>73</v>
      </c>
      <c r="FL109" t="s">
        <v>73</v>
      </c>
      <c r="FM109" t="s">
        <v>73</v>
      </c>
      <c r="FN109" t="s">
        <v>73</v>
      </c>
      <c r="FO109" t="s">
        <v>73</v>
      </c>
      <c r="FP109" t="s">
        <v>73</v>
      </c>
      <c r="FQ109" t="s">
        <v>73</v>
      </c>
      <c r="FR109" t="s">
        <v>73</v>
      </c>
      <c r="FS109" t="s">
        <v>73</v>
      </c>
      <c r="FT109" t="s">
        <v>73</v>
      </c>
      <c r="FU109" t="s">
        <v>73</v>
      </c>
      <c r="FV109" t="s">
        <v>73</v>
      </c>
      <c r="FW109" t="s">
        <v>73</v>
      </c>
      <c r="FX109" t="s">
        <v>73</v>
      </c>
      <c r="FY109" s="206" t="s">
        <v>73</v>
      </c>
    </row>
    <row r="110" spans="47:181" ht="9" customHeight="1">
      <c r="AU110" s="205" t="s">
        <v>73</v>
      </c>
      <c r="AV110" t="s">
        <v>73</v>
      </c>
      <c r="AW110" t="s">
        <v>73</v>
      </c>
      <c r="AX110" t="s">
        <v>73</v>
      </c>
      <c r="AY110" t="s">
        <v>73</v>
      </c>
      <c r="AZ110" t="s">
        <v>73</v>
      </c>
      <c r="BP110" t="s">
        <v>73</v>
      </c>
      <c r="BU110" t="s">
        <v>73</v>
      </c>
      <c r="BV110" t="s">
        <v>73</v>
      </c>
      <c r="BW110" t="s">
        <v>73</v>
      </c>
      <c r="BX110" t="s">
        <v>73</v>
      </c>
      <c r="BY110" t="s">
        <v>73</v>
      </c>
      <c r="BZ110" t="s">
        <v>73</v>
      </c>
      <c r="CI110" t="s">
        <v>73</v>
      </c>
      <c r="CJ110" t="s">
        <v>73</v>
      </c>
      <c r="CK110" t="s">
        <v>73</v>
      </c>
      <c r="CL110" t="s">
        <v>73</v>
      </c>
      <c r="CM110" t="s">
        <v>73</v>
      </c>
      <c r="CN110" t="s">
        <v>73</v>
      </c>
      <c r="CO110" t="s">
        <v>73</v>
      </c>
      <c r="CP110" s="206" t="s">
        <v>73</v>
      </c>
      <c r="CQ110" s="205" t="s">
        <v>73</v>
      </c>
      <c r="CR110" t="s">
        <v>73</v>
      </c>
      <c r="CS110" t="s">
        <v>73</v>
      </c>
      <c r="CT110" t="s">
        <v>73</v>
      </c>
      <c r="CU110" t="s">
        <v>73</v>
      </c>
      <c r="CV110" t="s">
        <v>73</v>
      </c>
      <c r="CW110" t="s">
        <v>73</v>
      </c>
      <c r="CX110" t="s">
        <v>73</v>
      </c>
      <c r="CY110" t="s">
        <v>73</v>
      </c>
      <c r="CZ110" t="s">
        <v>73</v>
      </c>
      <c r="DA110" t="s">
        <v>73</v>
      </c>
      <c r="DK110" t="s">
        <v>73</v>
      </c>
      <c r="DL110" t="s">
        <v>73</v>
      </c>
      <c r="DM110" t="s">
        <v>73</v>
      </c>
      <c r="DU110" t="s">
        <v>73</v>
      </c>
      <c r="DV110" t="s">
        <v>73</v>
      </c>
      <c r="EB110" t="s">
        <v>73</v>
      </c>
      <c r="EC110" t="s">
        <v>73</v>
      </c>
      <c r="ED110" t="s">
        <v>73</v>
      </c>
      <c r="EE110" t="s">
        <v>73</v>
      </c>
      <c r="EF110" t="s">
        <v>73</v>
      </c>
      <c r="EZ110" t="s">
        <v>73</v>
      </c>
      <c r="FA110" t="s">
        <v>73</v>
      </c>
      <c r="FB110" t="s">
        <v>73</v>
      </c>
      <c r="FC110" t="s">
        <v>73</v>
      </c>
      <c r="FD110" t="s">
        <v>73</v>
      </c>
      <c r="FE110" t="s">
        <v>73</v>
      </c>
      <c r="FF110" t="s">
        <v>73</v>
      </c>
      <c r="FL110" t="s">
        <v>73</v>
      </c>
      <c r="FM110" t="s">
        <v>73</v>
      </c>
      <c r="FN110" t="s">
        <v>73</v>
      </c>
      <c r="FO110" t="s">
        <v>73</v>
      </c>
      <c r="FP110" t="s">
        <v>73</v>
      </c>
      <c r="FQ110" t="s">
        <v>73</v>
      </c>
      <c r="FR110" t="s">
        <v>73</v>
      </c>
      <c r="FS110" t="s">
        <v>73</v>
      </c>
      <c r="FT110" t="s">
        <v>73</v>
      </c>
      <c r="FU110" t="s">
        <v>73</v>
      </c>
      <c r="FV110" t="s">
        <v>73</v>
      </c>
      <c r="FW110" t="s">
        <v>73</v>
      </c>
      <c r="FX110" t="s">
        <v>73</v>
      </c>
      <c r="FY110" s="206" t="s">
        <v>73</v>
      </c>
    </row>
    <row r="111" spans="47:181" ht="9" customHeight="1">
      <c r="AU111" s="205" t="s">
        <v>73</v>
      </c>
      <c r="AV111" t="s">
        <v>73</v>
      </c>
      <c r="AW111" t="s">
        <v>73</v>
      </c>
      <c r="AX111" t="s">
        <v>73</v>
      </c>
      <c r="AY111" t="s">
        <v>73</v>
      </c>
      <c r="AZ111" t="s">
        <v>73</v>
      </c>
      <c r="BP111" t="s">
        <v>73</v>
      </c>
      <c r="BU111" t="s">
        <v>73</v>
      </c>
      <c r="BV111" t="s">
        <v>73</v>
      </c>
      <c r="BW111" t="s">
        <v>1322</v>
      </c>
      <c r="BX111" t="s">
        <v>73</v>
      </c>
      <c r="BY111" t="s">
        <v>73</v>
      </c>
      <c r="BZ111" t="s">
        <v>73</v>
      </c>
      <c r="CI111" t="s">
        <v>73</v>
      </c>
      <c r="CJ111" t="s">
        <v>73</v>
      </c>
      <c r="CK111" t="s">
        <v>73</v>
      </c>
      <c r="CL111" t="s">
        <v>73</v>
      </c>
      <c r="CM111" t="s">
        <v>73</v>
      </c>
      <c r="CN111" t="s">
        <v>73</v>
      </c>
      <c r="CO111" t="s">
        <v>73</v>
      </c>
      <c r="CP111" s="206" t="s">
        <v>73</v>
      </c>
      <c r="CQ111" s="205" t="s">
        <v>73</v>
      </c>
      <c r="CR111" t="s">
        <v>73</v>
      </c>
      <c r="CS111" t="s">
        <v>73</v>
      </c>
      <c r="CT111" t="s">
        <v>73</v>
      </c>
      <c r="CU111" t="s">
        <v>73</v>
      </c>
      <c r="CV111" t="s">
        <v>73</v>
      </c>
      <c r="CW111" t="s">
        <v>73</v>
      </c>
      <c r="CX111" t="s">
        <v>73</v>
      </c>
      <c r="CY111" t="s">
        <v>73</v>
      </c>
      <c r="CZ111" t="s">
        <v>73</v>
      </c>
      <c r="DA111" t="s">
        <v>73</v>
      </c>
      <c r="DB111" t="s">
        <v>1320</v>
      </c>
      <c r="DC111" t="s">
        <v>1320</v>
      </c>
      <c r="DD111" t="s">
        <v>1320</v>
      </c>
      <c r="DG111" t="s">
        <v>1320</v>
      </c>
      <c r="DH111" t="s">
        <v>1320</v>
      </c>
      <c r="DI111" t="s">
        <v>1320</v>
      </c>
      <c r="DJ111" t="s">
        <v>1320</v>
      </c>
      <c r="DK111" t="s">
        <v>73</v>
      </c>
      <c r="DL111" t="s">
        <v>73</v>
      </c>
      <c r="DM111" t="s">
        <v>73</v>
      </c>
      <c r="DN111" t="s">
        <v>1320</v>
      </c>
      <c r="DO111" t="s">
        <v>1320</v>
      </c>
      <c r="DP111" t="s">
        <v>1320</v>
      </c>
      <c r="DQ111" t="s">
        <v>1320</v>
      </c>
      <c r="DR111" t="s">
        <v>1320</v>
      </c>
      <c r="DS111" t="s">
        <v>1320</v>
      </c>
      <c r="DT111" t="s">
        <v>1320</v>
      </c>
      <c r="DU111" t="s">
        <v>73</v>
      </c>
      <c r="DV111" t="s">
        <v>73</v>
      </c>
      <c r="DW111" t="s">
        <v>1320</v>
      </c>
      <c r="DX111" t="s">
        <v>1320</v>
      </c>
      <c r="DY111" t="s">
        <v>1320</v>
      </c>
      <c r="EB111" t="s">
        <v>73</v>
      </c>
      <c r="EC111" t="s">
        <v>73</v>
      </c>
      <c r="ED111" t="s">
        <v>73</v>
      </c>
      <c r="EE111" t="s">
        <v>73</v>
      </c>
      <c r="EF111" t="s">
        <v>73</v>
      </c>
      <c r="EZ111" t="s">
        <v>73</v>
      </c>
      <c r="FA111" t="s">
        <v>73</v>
      </c>
      <c r="FB111" t="s">
        <v>73</v>
      </c>
      <c r="FC111" t="s">
        <v>73</v>
      </c>
      <c r="FD111" t="s">
        <v>73</v>
      </c>
      <c r="FE111" t="s">
        <v>73</v>
      </c>
      <c r="FF111" t="s">
        <v>73</v>
      </c>
      <c r="FL111" t="s">
        <v>73</v>
      </c>
      <c r="FM111" t="s">
        <v>73</v>
      </c>
      <c r="FN111" t="s">
        <v>73</v>
      </c>
      <c r="FO111" t="s">
        <v>73</v>
      </c>
      <c r="FP111" t="s">
        <v>73</v>
      </c>
      <c r="FQ111" t="s">
        <v>73</v>
      </c>
      <c r="FR111" t="s">
        <v>73</v>
      </c>
      <c r="FS111" t="s">
        <v>73</v>
      </c>
      <c r="FT111" t="s">
        <v>73</v>
      </c>
      <c r="FU111" t="s">
        <v>73</v>
      </c>
      <c r="FV111" t="s">
        <v>73</v>
      </c>
      <c r="FW111" t="s">
        <v>73</v>
      </c>
      <c r="FX111" t="s">
        <v>73</v>
      </c>
      <c r="FY111" s="206" t="s">
        <v>73</v>
      </c>
    </row>
    <row r="112" spans="47:181" ht="9" customHeight="1">
      <c r="AU112" s="205" t="s">
        <v>73</v>
      </c>
      <c r="AV112" t="s">
        <v>73</v>
      </c>
      <c r="AW112" t="s">
        <v>73</v>
      </c>
      <c r="AX112" t="s">
        <v>73</v>
      </c>
      <c r="AY112" t="s">
        <v>73</v>
      </c>
      <c r="AZ112" t="s">
        <v>73</v>
      </c>
      <c r="BP112" t="s">
        <v>73</v>
      </c>
      <c r="CH112" t="s">
        <v>73</v>
      </c>
      <c r="CI112" t="s">
        <v>73</v>
      </c>
      <c r="CJ112" t="s">
        <v>73</v>
      </c>
      <c r="CK112" t="s">
        <v>73</v>
      </c>
      <c r="CL112" t="s">
        <v>73</v>
      </c>
      <c r="CM112" t="s">
        <v>73</v>
      </c>
      <c r="CN112" t="s">
        <v>73</v>
      </c>
      <c r="CO112" t="s">
        <v>73</v>
      </c>
      <c r="CP112" s="206" t="s">
        <v>73</v>
      </c>
      <c r="CQ112" s="205" t="s">
        <v>73</v>
      </c>
      <c r="CR112" t="s">
        <v>73</v>
      </c>
      <c r="CS112" t="s">
        <v>73</v>
      </c>
      <c r="CT112" t="s">
        <v>73</v>
      </c>
      <c r="CU112" t="s">
        <v>73</v>
      </c>
      <c r="CV112" t="s">
        <v>73</v>
      </c>
      <c r="CW112" t="s">
        <v>73</v>
      </c>
      <c r="DK112" t="s">
        <v>73</v>
      </c>
      <c r="DL112" t="s">
        <v>73</v>
      </c>
      <c r="DM112" t="s">
        <v>73</v>
      </c>
      <c r="DU112" t="s">
        <v>73</v>
      </c>
      <c r="DV112" t="s">
        <v>73</v>
      </c>
      <c r="EB112" t="s">
        <v>73</v>
      </c>
      <c r="EC112" t="s">
        <v>73</v>
      </c>
      <c r="ED112" t="s">
        <v>73</v>
      </c>
      <c r="EE112" t="s">
        <v>73</v>
      </c>
      <c r="EF112" t="s">
        <v>73</v>
      </c>
      <c r="EG112" t="s">
        <v>1320</v>
      </c>
      <c r="EH112" t="s">
        <v>1320</v>
      </c>
      <c r="EI112" t="s">
        <v>1320</v>
      </c>
      <c r="EJ112" t="s">
        <v>1320</v>
      </c>
      <c r="EM112" t="s">
        <v>73</v>
      </c>
      <c r="EN112" t="s">
        <v>73</v>
      </c>
      <c r="EO112" t="s">
        <v>73</v>
      </c>
      <c r="EP112" t="s">
        <v>73</v>
      </c>
      <c r="EQ112" t="s">
        <v>73</v>
      </c>
      <c r="ER112" t="s">
        <v>73</v>
      </c>
      <c r="ES112" t="s">
        <v>73</v>
      </c>
      <c r="ET112" t="s">
        <v>1320</v>
      </c>
      <c r="EU112" t="s">
        <v>1320</v>
      </c>
      <c r="EV112" t="s">
        <v>1320</v>
      </c>
      <c r="EW112" t="s">
        <v>1320</v>
      </c>
      <c r="EX112" t="s">
        <v>1320</v>
      </c>
      <c r="EZ112" t="s">
        <v>73</v>
      </c>
      <c r="FA112" t="s">
        <v>73</v>
      </c>
      <c r="FB112" t="s">
        <v>73</v>
      </c>
      <c r="FC112" t="s">
        <v>73</v>
      </c>
      <c r="FD112" t="s">
        <v>73</v>
      </c>
      <c r="FE112" t="s">
        <v>73</v>
      </c>
      <c r="FF112" t="s">
        <v>73</v>
      </c>
      <c r="FG112" t="s">
        <v>1320</v>
      </c>
      <c r="FH112" t="s">
        <v>1320</v>
      </c>
      <c r="FI112" t="s">
        <v>1320</v>
      </c>
      <c r="FL112" t="s">
        <v>73</v>
      </c>
      <c r="FM112" t="s">
        <v>73</v>
      </c>
      <c r="FN112" t="s">
        <v>73</v>
      </c>
      <c r="FO112" t="s">
        <v>73</v>
      </c>
      <c r="FP112" t="s">
        <v>73</v>
      </c>
      <c r="FQ112" t="s">
        <v>73</v>
      </c>
      <c r="FR112" t="s">
        <v>73</v>
      </c>
      <c r="FS112" t="s">
        <v>73</v>
      </c>
      <c r="FT112" t="s">
        <v>73</v>
      </c>
      <c r="FU112" t="s">
        <v>73</v>
      </c>
      <c r="FV112" t="s">
        <v>73</v>
      </c>
      <c r="FW112" t="s">
        <v>73</v>
      </c>
      <c r="FX112" t="s">
        <v>73</v>
      </c>
      <c r="FY112" s="206" t="s">
        <v>73</v>
      </c>
    </row>
    <row r="113" spans="47:181" ht="9" customHeight="1">
      <c r="AU113" s="205" t="s">
        <v>73</v>
      </c>
      <c r="AV113" t="s">
        <v>73</v>
      </c>
      <c r="AW113" t="s">
        <v>73</v>
      </c>
      <c r="AX113" t="s">
        <v>73</v>
      </c>
      <c r="AY113" t="s">
        <v>73</v>
      </c>
      <c r="AZ113" t="s">
        <v>73</v>
      </c>
      <c r="BA113" t="s">
        <v>73</v>
      </c>
      <c r="BB113" t="s">
        <v>73</v>
      </c>
      <c r="BC113" t="s">
        <v>73</v>
      </c>
      <c r="BD113" t="s">
        <v>73</v>
      </c>
      <c r="BE113" t="s">
        <v>73</v>
      </c>
      <c r="BF113" t="s">
        <v>73</v>
      </c>
      <c r="BG113" t="s">
        <v>73</v>
      </c>
      <c r="BH113" t="s">
        <v>73</v>
      </c>
      <c r="BI113" t="s">
        <v>73</v>
      </c>
      <c r="BJ113" t="s">
        <v>73</v>
      </c>
      <c r="BK113" t="s">
        <v>73</v>
      </c>
      <c r="BL113" t="s">
        <v>73</v>
      </c>
      <c r="BM113" t="s">
        <v>73</v>
      </c>
      <c r="BN113" t="s">
        <v>73</v>
      </c>
      <c r="BO113" t="s">
        <v>73</v>
      </c>
      <c r="BP113" t="s">
        <v>73</v>
      </c>
      <c r="CP113" s="206"/>
      <c r="CQ113" s="205"/>
      <c r="DK113" t="s">
        <v>73</v>
      </c>
      <c r="DL113" t="s">
        <v>73</v>
      </c>
      <c r="DM113" t="s">
        <v>73</v>
      </c>
      <c r="DU113" t="s">
        <v>73</v>
      </c>
      <c r="DV113" t="s">
        <v>73</v>
      </c>
      <c r="EM113" t="s">
        <v>73</v>
      </c>
      <c r="EN113" t="s">
        <v>73</v>
      </c>
      <c r="EO113" t="s">
        <v>73</v>
      </c>
      <c r="EP113" t="s">
        <v>73</v>
      </c>
      <c r="EQ113" t="s">
        <v>73</v>
      </c>
      <c r="ER113" t="s">
        <v>73</v>
      </c>
      <c r="ES113" t="s">
        <v>73</v>
      </c>
      <c r="EZ113" t="s">
        <v>73</v>
      </c>
      <c r="FA113" t="s">
        <v>73</v>
      </c>
      <c r="FB113" t="s">
        <v>73</v>
      </c>
      <c r="FC113" t="s">
        <v>73</v>
      </c>
      <c r="FD113" t="s">
        <v>73</v>
      </c>
      <c r="FE113" t="s">
        <v>73</v>
      </c>
      <c r="FF113" t="s">
        <v>73</v>
      </c>
      <c r="FL113" t="s">
        <v>73</v>
      </c>
      <c r="FM113" t="s">
        <v>73</v>
      </c>
      <c r="FN113" t="s">
        <v>73</v>
      </c>
      <c r="FO113" t="s">
        <v>73</v>
      </c>
      <c r="FP113" t="s">
        <v>73</v>
      </c>
      <c r="FQ113" t="s">
        <v>73</v>
      </c>
      <c r="FR113" t="s">
        <v>73</v>
      </c>
      <c r="FS113" t="s">
        <v>73</v>
      </c>
      <c r="FT113" t="s">
        <v>73</v>
      </c>
      <c r="FU113" t="s">
        <v>73</v>
      </c>
      <c r="FV113" t="s">
        <v>73</v>
      </c>
      <c r="FW113" t="s">
        <v>73</v>
      </c>
      <c r="FX113" t="s">
        <v>73</v>
      </c>
      <c r="FY113" s="206" t="s">
        <v>73</v>
      </c>
    </row>
    <row r="114" spans="47:181" ht="9" customHeight="1">
      <c r="AU114" s="205" t="s">
        <v>73</v>
      </c>
      <c r="AV114" t="s">
        <v>73</v>
      </c>
      <c r="AW114" t="s">
        <v>73</v>
      </c>
      <c r="AX114" t="s">
        <v>73</v>
      </c>
      <c r="AY114" t="s">
        <v>73</v>
      </c>
      <c r="AZ114" t="s">
        <v>73</v>
      </c>
      <c r="CP114" s="206"/>
      <c r="CQ114" s="205"/>
      <c r="DK114" t="s">
        <v>73</v>
      </c>
      <c r="DL114" t="s">
        <v>73</v>
      </c>
      <c r="DM114" t="s">
        <v>73</v>
      </c>
      <c r="DU114" t="s">
        <v>73</v>
      </c>
      <c r="DV114" t="s">
        <v>73</v>
      </c>
      <c r="DW114" t="s">
        <v>73</v>
      </c>
      <c r="EM114" t="s">
        <v>73</v>
      </c>
      <c r="EN114" t="s">
        <v>73</v>
      </c>
      <c r="EO114" t="s">
        <v>73</v>
      </c>
      <c r="EP114" t="s">
        <v>73</v>
      </c>
      <c r="EQ114" t="s">
        <v>73</v>
      </c>
      <c r="ER114" t="s">
        <v>73</v>
      </c>
      <c r="ES114" t="s">
        <v>73</v>
      </c>
      <c r="EZ114" t="s">
        <v>73</v>
      </c>
      <c r="FA114" t="s">
        <v>73</v>
      </c>
      <c r="FB114" t="s">
        <v>73</v>
      </c>
      <c r="FC114" t="s">
        <v>73</v>
      </c>
      <c r="FD114" t="s">
        <v>73</v>
      </c>
      <c r="FL114" t="s">
        <v>1348</v>
      </c>
      <c r="FM114" t="s">
        <v>1348</v>
      </c>
      <c r="FN114" t="s">
        <v>1348</v>
      </c>
      <c r="FO114" t="s">
        <v>1348</v>
      </c>
      <c r="FP114" t="s">
        <v>73</v>
      </c>
      <c r="FQ114" t="s">
        <v>73</v>
      </c>
      <c r="FR114" t="s">
        <v>73</v>
      </c>
      <c r="FS114" t="s">
        <v>73</v>
      </c>
      <c r="FT114" t="s">
        <v>73</v>
      </c>
      <c r="FU114" t="s">
        <v>73</v>
      </c>
      <c r="FV114" t="s">
        <v>73</v>
      </c>
      <c r="FW114" t="s">
        <v>73</v>
      </c>
      <c r="FX114" t="s">
        <v>73</v>
      </c>
      <c r="FY114" s="206" t="s">
        <v>73</v>
      </c>
    </row>
    <row r="115" spans="47:181" ht="9" customHeight="1">
      <c r="AU115" s="205" t="s">
        <v>73</v>
      </c>
      <c r="AV115" t="s">
        <v>73</v>
      </c>
      <c r="AW115" t="s">
        <v>73</v>
      </c>
      <c r="AX115" t="s">
        <v>73</v>
      </c>
      <c r="AY115" t="s">
        <v>73</v>
      </c>
      <c r="AZ115" t="s">
        <v>73</v>
      </c>
      <c r="BH115" t="s">
        <v>73</v>
      </c>
      <c r="BI115" t="s">
        <v>73</v>
      </c>
      <c r="BJ115" t="s">
        <v>73</v>
      </c>
      <c r="BK115" t="s">
        <v>73</v>
      </c>
      <c r="BL115" t="s">
        <v>73</v>
      </c>
      <c r="BM115" t="s">
        <v>73</v>
      </c>
      <c r="BN115" t="s">
        <v>73</v>
      </c>
      <c r="BO115" t="s">
        <v>73</v>
      </c>
      <c r="BP115" t="s">
        <v>73</v>
      </c>
      <c r="BU115" t="s">
        <v>73</v>
      </c>
      <c r="BV115" t="s">
        <v>73</v>
      </c>
      <c r="BW115" t="s">
        <v>73</v>
      </c>
      <c r="BX115" t="s">
        <v>73</v>
      </c>
      <c r="BY115" t="s">
        <v>73</v>
      </c>
      <c r="BZ115" t="s">
        <v>73</v>
      </c>
      <c r="CA115" t="s">
        <v>73</v>
      </c>
      <c r="CB115" t="s">
        <v>73</v>
      </c>
      <c r="CC115" t="s">
        <v>73</v>
      </c>
      <c r="CD115" t="s">
        <v>73</v>
      </c>
      <c r="CP115" s="206"/>
      <c r="CQ115" s="205"/>
      <c r="CZ115" t="s">
        <v>73</v>
      </c>
      <c r="DA115" t="s">
        <v>73</v>
      </c>
      <c r="DB115" t="s">
        <v>73</v>
      </c>
      <c r="DK115" t="s">
        <v>73</v>
      </c>
      <c r="DL115" t="s">
        <v>73</v>
      </c>
      <c r="DM115" t="s">
        <v>73</v>
      </c>
      <c r="DU115" t="s">
        <v>73</v>
      </c>
      <c r="DV115" t="s">
        <v>73</v>
      </c>
      <c r="DW115" t="s">
        <v>73</v>
      </c>
      <c r="DX115" t="s">
        <v>1348</v>
      </c>
      <c r="DY115" t="s">
        <v>1348</v>
      </c>
      <c r="DZ115" t="s">
        <v>1348</v>
      </c>
      <c r="EA115" t="s">
        <v>1348</v>
      </c>
      <c r="EB115" t="s">
        <v>1348</v>
      </c>
      <c r="EC115" t="s">
        <v>1348</v>
      </c>
      <c r="ED115" t="s">
        <v>1348</v>
      </c>
      <c r="EM115" t="s">
        <v>73</v>
      </c>
      <c r="EN115" t="s">
        <v>73</v>
      </c>
      <c r="EO115" t="s">
        <v>73</v>
      </c>
      <c r="EP115" t="s">
        <v>73</v>
      </c>
      <c r="EQ115" t="s">
        <v>73</v>
      </c>
      <c r="ER115" t="s">
        <v>73</v>
      </c>
      <c r="ES115" t="s">
        <v>73</v>
      </c>
      <c r="FI115" t="s">
        <v>73</v>
      </c>
      <c r="FJ115" t="s">
        <v>73</v>
      </c>
      <c r="FK115" t="s">
        <v>73</v>
      </c>
      <c r="FL115" t="s">
        <v>1348</v>
      </c>
      <c r="FM115" t="s">
        <v>1348</v>
      </c>
      <c r="FN115" t="s">
        <v>1348</v>
      </c>
      <c r="FO115" t="s">
        <v>1348</v>
      </c>
      <c r="FP115" t="s">
        <v>1348</v>
      </c>
      <c r="FQ115" t="s">
        <v>1348</v>
      </c>
      <c r="FR115" t="s">
        <v>73</v>
      </c>
      <c r="FS115" t="s">
        <v>73</v>
      </c>
      <c r="FT115" t="s">
        <v>73</v>
      </c>
      <c r="FU115" t="s">
        <v>73</v>
      </c>
      <c r="FV115" t="s">
        <v>73</v>
      </c>
      <c r="FW115" t="s">
        <v>73</v>
      </c>
      <c r="FX115" t="s">
        <v>73</v>
      </c>
      <c r="FY115" s="206" t="s">
        <v>73</v>
      </c>
    </row>
    <row r="116" spans="47:181" ht="9" customHeight="1">
      <c r="AU116" s="205" t="s">
        <v>73</v>
      </c>
      <c r="AV116" t="s">
        <v>73</v>
      </c>
      <c r="AW116" t="s">
        <v>73</v>
      </c>
      <c r="AX116" t="s">
        <v>73</v>
      </c>
      <c r="AY116" t="s">
        <v>73</v>
      </c>
      <c r="AZ116" t="s">
        <v>73</v>
      </c>
      <c r="BH116" t="s">
        <v>73</v>
      </c>
      <c r="BI116" t="s">
        <v>73</v>
      </c>
      <c r="BJ116" t="s">
        <v>73</v>
      </c>
      <c r="BK116" t="s">
        <v>73</v>
      </c>
      <c r="BL116" t="s">
        <v>73</v>
      </c>
      <c r="BM116" t="s">
        <v>73</v>
      </c>
      <c r="BN116" t="s">
        <v>73</v>
      </c>
      <c r="BO116" t="s">
        <v>73</v>
      </c>
      <c r="BP116" t="s">
        <v>73</v>
      </c>
      <c r="BU116" t="s">
        <v>73</v>
      </c>
      <c r="BV116" t="s">
        <v>73</v>
      </c>
      <c r="BW116" t="s">
        <v>73</v>
      </c>
      <c r="BX116" t="s">
        <v>73</v>
      </c>
      <c r="BY116" t="s">
        <v>73</v>
      </c>
      <c r="BZ116" t="s">
        <v>73</v>
      </c>
      <c r="CA116" t="s">
        <v>73</v>
      </c>
      <c r="CB116" t="s">
        <v>73</v>
      </c>
      <c r="CC116" t="s">
        <v>73</v>
      </c>
      <c r="CD116" t="s">
        <v>73</v>
      </c>
      <c r="CI116" t="s">
        <v>73</v>
      </c>
      <c r="CJ116" t="s">
        <v>73</v>
      </c>
      <c r="CK116" t="s">
        <v>73</v>
      </c>
      <c r="CL116" t="s">
        <v>73</v>
      </c>
      <c r="CM116" t="s">
        <v>73</v>
      </c>
      <c r="CN116" t="s">
        <v>73</v>
      </c>
      <c r="CO116" t="s">
        <v>73</v>
      </c>
      <c r="CP116" s="206" t="s">
        <v>73</v>
      </c>
      <c r="CQ116" s="205"/>
      <c r="CS116" t="s">
        <v>73</v>
      </c>
      <c r="CT116" t="s">
        <v>73</v>
      </c>
      <c r="CU116" t="s">
        <v>73</v>
      </c>
      <c r="CV116" t="s">
        <v>73</v>
      </c>
      <c r="CW116" t="s">
        <v>73</v>
      </c>
      <c r="CX116" t="s">
        <v>73</v>
      </c>
      <c r="CY116" t="s">
        <v>73</v>
      </c>
      <c r="CZ116" t="s">
        <v>73</v>
      </c>
      <c r="DA116" t="s">
        <v>73</v>
      </c>
      <c r="DB116" t="s">
        <v>73</v>
      </c>
      <c r="DC116" t="s">
        <v>1320</v>
      </c>
      <c r="DD116" t="s">
        <v>1320</v>
      </c>
      <c r="DE116" t="s">
        <v>1320</v>
      </c>
      <c r="DF116" t="s">
        <v>1320</v>
      </c>
      <c r="DI116" t="s">
        <v>1320</v>
      </c>
      <c r="DJ116" t="s">
        <v>1320</v>
      </c>
      <c r="DK116" t="s">
        <v>73</v>
      </c>
      <c r="DL116" t="s">
        <v>73</v>
      </c>
      <c r="DM116" t="s">
        <v>73</v>
      </c>
      <c r="DN116" t="s">
        <v>1320</v>
      </c>
      <c r="DO116" t="s">
        <v>1320</v>
      </c>
      <c r="DP116" t="s">
        <v>1320</v>
      </c>
      <c r="DQ116" t="s">
        <v>1320</v>
      </c>
      <c r="DR116" t="s">
        <v>1320</v>
      </c>
      <c r="DS116" t="s">
        <v>1320</v>
      </c>
      <c r="DT116" t="s">
        <v>1320</v>
      </c>
      <c r="DU116" t="s">
        <v>73</v>
      </c>
      <c r="DV116" t="s">
        <v>73</v>
      </c>
      <c r="DW116" t="s">
        <v>73</v>
      </c>
      <c r="DX116" t="s">
        <v>1348</v>
      </c>
      <c r="DY116" t="s">
        <v>1348</v>
      </c>
      <c r="DZ116" t="s">
        <v>1348</v>
      </c>
      <c r="EA116" t="s">
        <v>1348</v>
      </c>
      <c r="EB116" t="s">
        <v>1348</v>
      </c>
      <c r="EC116" t="s">
        <v>1348</v>
      </c>
      <c r="ED116" t="s">
        <v>1348</v>
      </c>
      <c r="EE116" t="s">
        <v>1348</v>
      </c>
      <c r="EF116" t="s">
        <v>1348</v>
      </c>
      <c r="EG116" t="s">
        <v>1348</v>
      </c>
      <c r="EH116" t="s">
        <v>1348</v>
      </c>
      <c r="EI116" t="s">
        <v>1348</v>
      </c>
      <c r="EJ116" t="s">
        <v>1348</v>
      </c>
      <c r="EK116" t="s">
        <v>1348</v>
      </c>
      <c r="EL116" t="s">
        <v>73</v>
      </c>
      <c r="EM116" t="s">
        <v>73</v>
      </c>
      <c r="EN116" t="s">
        <v>73</v>
      </c>
      <c r="EO116" t="s">
        <v>73</v>
      </c>
      <c r="EP116" t="s">
        <v>73</v>
      </c>
      <c r="EQ116" t="s">
        <v>73</v>
      </c>
      <c r="ER116" t="s">
        <v>73</v>
      </c>
      <c r="ES116" t="s">
        <v>73</v>
      </c>
      <c r="FJ116" t="s">
        <v>1348</v>
      </c>
      <c r="FK116" t="s">
        <v>1348</v>
      </c>
      <c r="FL116" t="s">
        <v>1348</v>
      </c>
      <c r="FM116" t="s">
        <v>1348</v>
      </c>
      <c r="FN116" t="s">
        <v>1348</v>
      </c>
      <c r="FO116" t="s">
        <v>1348</v>
      </c>
      <c r="FP116" t="s">
        <v>1348</v>
      </c>
      <c r="FQ116" t="s">
        <v>1348</v>
      </c>
      <c r="FR116" t="s">
        <v>73</v>
      </c>
      <c r="FS116" t="s">
        <v>73</v>
      </c>
      <c r="FT116" t="s">
        <v>73</v>
      </c>
      <c r="FU116" t="s">
        <v>73</v>
      </c>
      <c r="FV116" t="s">
        <v>73</v>
      </c>
      <c r="FW116" t="s">
        <v>73</v>
      </c>
      <c r="FX116" t="s">
        <v>73</v>
      </c>
      <c r="FY116" s="206" t="s">
        <v>73</v>
      </c>
    </row>
    <row r="117" spans="47:181" ht="9" customHeight="1">
      <c r="AU117" s="205" t="s">
        <v>73</v>
      </c>
      <c r="AV117" t="s">
        <v>73</v>
      </c>
      <c r="AW117" t="s">
        <v>73</v>
      </c>
      <c r="AX117" t="s">
        <v>73</v>
      </c>
      <c r="AY117" t="s">
        <v>73</v>
      </c>
      <c r="AZ117" t="s">
        <v>73</v>
      </c>
      <c r="BH117" t="s">
        <v>73</v>
      </c>
      <c r="BI117" t="s">
        <v>73</v>
      </c>
      <c r="BJ117" t="s">
        <v>73</v>
      </c>
      <c r="BK117" t="s">
        <v>73</v>
      </c>
      <c r="BL117" t="s">
        <v>73</v>
      </c>
      <c r="BM117" t="s">
        <v>73</v>
      </c>
      <c r="BN117" t="s">
        <v>73</v>
      </c>
      <c r="BO117" t="s">
        <v>73</v>
      </c>
      <c r="BP117" t="s">
        <v>73</v>
      </c>
      <c r="BU117" t="s">
        <v>73</v>
      </c>
      <c r="BV117" t="s">
        <v>73</v>
      </c>
      <c r="BW117" t="s">
        <v>73</v>
      </c>
      <c r="BX117" t="s">
        <v>73</v>
      </c>
      <c r="BY117" t="s">
        <v>73</v>
      </c>
      <c r="BZ117" t="s">
        <v>73</v>
      </c>
      <c r="CA117" t="s">
        <v>73</v>
      </c>
      <c r="CB117" t="s">
        <v>73</v>
      </c>
      <c r="CC117" t="s">
        <v>73</v>
      </c>
      <c r="CD117" t="s">
        <v>73</v>
      </c>
      <c r="CI117" t="s">
        <v>73</v>
      </c>
      <c r="CJ117" t="s">
        <v>73</v>
      </c>
      <c r="CK117" t="s">
        <v>73</v>
      </c>
      <c r="CL117" t="s">
        <v>73</v>
      </c>
      <c r="CM117" t="s">
        <v>73</v>
      </c>
      <c r="CN117" t="s">
        <v>73</v>
      </c>
      <c r="CO117" t="s">
        <v>73</v>
      </c>
      <c r="CP117" s="206" t="s">
        <v>73</v>
      </c>
      <c r="CQ117" s="205" t="s">
        <v>73</v>
      </c>
      <c r="CR117" t="s">
        <v>73</v>
      </c>
      <c r="CS117" t="s">
        <v>73</v>
      </c>
      <c r="CT117" t="s">
        <v>73</v>
      </c>
      <c r="CU117" t="s">
        <v>73</v>
      </c>
      <c r="CV117" t="s">
        <v>73</v>
      </c>
      <c r="CW117" t="s">
        <v>73</v>
      </c>
      <c r="CX117" t="s">
        <v>73</v>
      </c>
      <c r="CY117" t="s">
        <v>73</v>
      </c>
      <c r="CZ117" t="s">
        <v>73</v>
      </c>
      <c r="DA117" t="s">
        <v>73</v>
      </c>
      <c r="DB117" t="s">
        <v>73</v>
      </c>
      <c r="DK117" t="s">
        <v>73</v>
      </c>
      <c r="DL117" t="s">
        <v>73</v>
      </c>
      <c r="DM117" t="s">
        <v>73</v>
      </c>
      <c r="DU117" t="s">
        <v>73</v>
      </c>
      <c r="DV117" t="s">
        <v>73</v>
      </c>
      <c r="DW117" t="s">
        <v>73</v>
      </c>
      <c r="DX117" t="s">
        <v>1348</v>
      </c>
      <c r="DY117" t="s">
        <v>1348</v>
      </c>
      <c r="DZ117" t="s">
        <v>1348</v>
      </c>
      <c r="EA117" t="s">
        <v>1348</v>
      </c>
      <c r="EB117" t="s">
        <v>1348</v>
      </c>
      <c r="EC117" t="s">
        <v>1348</v>
      </c>
      <c r="ED117" t="s">
        <v>1348</v>
      </c>
      <c r="EE117" t="s">
        <v>1348</v>
      </c>
      <c r="EF117" t="s">
        <v>1348</v>
      </c>
      <c r="EG117" t="s">
        <v>1348</v>
      </c>
      <c r="EH117" t="s">
        <v>1348</v>
      </c>
      <c r="EI117" t="s">
        <v>1348</v>
      </c>
      <c r="EJ117" t="s">
        <v>1348</v>
      </c>
      <c r="EK117" t="s">
        <v>1348</v>
      </c>
      <c r="EL117" t="s">
        <v>73</v>
      </c>
      <c r="EM117" t="s">
        <v>73</v>
      </c>
      <c r="EN117" t="s">
        <v>73</v>
      </c>
      <c r="EO117" t="s">
        <v>73</v>
      </c>
      <c r="EP117" t="s">
        <v>73</v>
      </c>
      <c r="EQ117" t="s">
        <v>73</v>
      </c>
      <c r="ER117" t="s">
        <v>73</v>
      </c>
      <c r="ES117" t="s">
        <v>73</v>
      </c>
      <c r="FJ117" t="s">
        <v>1348</v>
      </c>
      <c r="FK117" t="s">
        <v>1348</v>
      </c>
      <c r="FL117" t="s">
        <v>1348</v>
      </c>
      <c r="FM117" t="s">
        <v>1348</v>
      </c>
      <c r="FN117" t="s">
        <v>1348</v>
      </c>
      <c r="FO117" t="s">
        <v>1348</v>
      </c>
      <c r="FP117" t="s">
        <v>1348</v>
      </c>
      <c r="FQ117" t="s">
        <v>1348</v>
      </c>
      <c r="FR117" t="s">
        <v>73</v>
      </c>
      <c r="FS117" t="s">
        <v>73</v>
      </c>
      <c r="FT117" t="s">
        <v>73</v>
      </c>
      <c r="FU117" t="s">
        <v>73</v>
      </c>
      <c r="FV117" t="s">
        <v>73</v>
      </c>
      <c r="FW117" t="s">
        <v>73</v>
      </c>
      <c r="FX117" t="s">
        <v>73</v>
      </c>
      <c r="FY117" s="206" t="s">
        <v>73</v>
      </c>
    </row>
    <row r="118" spans="47:181" ht="9" customHeight="1">
      <c r="AU118" s="205" t="s">
        <v>73</v>
      </c>
      <c r="AV118" t="s">
        <v>73</v>
      </c>
      <c r="AW118" t="s">
        <v>73</v>
      </c>
      <c r="AX118" t="s">
        <v>73</v>
      </c>
      <c r="AY118" t="s">
        <v>73</v>
      </c>
      <c r="AZ118" t="s">
        <v>73</v>
      </c>
      <c r="BH118" t="s">
        <v>73</v>
      </c>
      <c r="BI118" t="s">
        <v>73</v>
      </c>
      <c r="BJ118" t="s">
        <v>73</v>
      </c>
      <c r="BK118" t="s">
        <v>73</v>
      </c>
      <c r="BL118" t="s">
        <v>1323</v>
      </c>
      <c r="BM118" t="s">
        <v>73</v>
      </c>
      <c r="BN118" t="s">
        <v>73</v>
      </c>
      <c r="BO118" t="s">
        <v>73</v>
      </c>
      <c r="BP118" t="s">
        <v>73</v>
      </c>
      <c r="BU118" t="s">
        <v>73</v>
      </c>
      <c r="BV118" t="s">
        <v>73</v>
      </c>
      <c r="BW118" t="s">
        <v>73</v>
      </c>
      <c r="BX118" t="s">
        <v>73</v>
      </c>
      <c r="BY118" t="s">
        <v>73</v>
      </c>
      <c r="BZ118" t="s">
        <v>73</v>
      </c>
      <c r="CA118" t="s">
        <v>73</v>
      </c>
      <c r="CB118" t="s">
        <v>73</v>
      </c>
      <c r="CC118" t="s">
        <v>73</v>
      </c>
      <c r="CD118" t="s">
        <v>73</v>
      </c>
      <c r="CE118" t="s">
        <v>73</v>
      </c>
      <c r="CI118" t="s">
        <v>73</v>
      </c>
      <c r="CJ118" t="s">
        <v>73</v>
      </c>
      <c r="CK118" t="s">
        <v>73</v>
      </c>
      <c r="CL118" t="s">
        <v>73</v>
      </c>
      <c r="CM118" t="s">
        <v>73</v>
      </c>
      <c r="CN118" t="s">
        <v>73</v>
      </c>
      <c r="CO118" t="s">
        <v>73</v>
      </c>
      <c r="CP118" s="206" t="s">
        <v>73</v>
      </c>
      <c r="CQ118" s="205" t="s">
        <v>73</v>
      </c>
      <c r="CR118" t="s">
        <v>73</v>
      </c>
      <c r="CS118" t="s">
        <v>73</v>
      </c>
      <c r="CT118" t="s">
        <v>73</v>
      </c>
      <c r="CU118" t="s">
        <v>73</v>
      </c>
      <c r="CV118" t="s">
        <v>73</v>
      </c>
      <c r="CW118" t="s">
        <v>73</v>
      </c>
      <c r="CX118" t="s">
        <v>73</v>
      </c>
      <c r="CY118" t="s">
        <v>73</v>
      </c>
      <c r="CZ118" t="s">
        <v>73</v>
      </c>
      <c r="DA118" t="s">
        <v>73</v>
      </c>
      <c r="DB118" t="s">
        <v>73</v>
      </c>
      <c r="DT118" t="s">
        <v>73</v>
      </c>
      <c r="DU118" t="s">
        <v>73</v>
      </c>
      <c r="DV118" t="s">
        <v>73</v>
      </c>
      <c r="DW118" t="s">
        <v>73</v>
      </c>
      <c r="DX118" t="s">
        <v>73</v>
      </c>
      <c r="DY118" t="s">
        <v>73</v>
      </c>
      <c r="DZ118" t="s">
        <v>1348</v>
      </c>
      <c r="EA118" t="s">
        <v>1348</v>
      </c>
      <c r="EB118" t="s">
        <v>1348</v>
      </c>
      <c r="EC118" t="s">
        <v>1348</v>
      </c>
      <c r="ED118" t="s">
        <v>1348</v>
      </c>
      <c r="EE118" t="s">
        <v>1348</v>
      </c>
      <c r="EF118" t="s">
        <v>1348</v>
      </c>
      <c r="EG118" t="s">
        <v>1348</v>
      </c>
      <c r="EH118" t="s">
        <v>1348</v>
      </c>
      <c r="EI118" t="s">
        <v>1348</v>
      </c>
      <c r="EJ118" t="s">
        <v>1348</v>
      </c>
      <c r="EK118" t="s">
        <v>1348</v>
      </c>
      <c r="EL118" t="s">
        <v>73</v>
      </c>
      <c r="EM118" t="s">
        <v>73</v>
      </c>
      <c r="EN118" t="s">
        <v>73</v>
      </c>
      <c r="EO118" t="s">
        <v>73</v>
      </c>
      <c r="EP118" t="s">
        <v>73</v>
      </c>
      <c r="EQ118" t="s">
        <v>73</v>
      </c>
      <c r="ER118" t="s">
        <v>73</v>
      </c>
      <c r="ES118" t="s">
        <v>73</v>
      </c>
      <c r="FI118" t="s">
        <v>1348</v>
      </c>
      <c r="FJ118" t="s">
        <v>1348</v>
      </c>
      <c r="FK118" t="s">
        <v>1348</v>
      </c>
      <c r="FL118" t="s">
        <v>1348</v>
      </c>
      <c r="FM118" t="s">
        <v>1348</v>
      </c>
      <c r="FN118" t="s">
        <v>1348</v>
      </c>
      <c r="FO118" t="s">
        <v>1348</v>
      </c>
      <c r="FP118" t="s">
        <v>1348</v>
      </c>
      <c r="FQ118" t="s">
        <v>1348</v>
      </c>
      <c r="FR118" t="s">
        <v>73</v>
      </c>
      <c r="FS118" t="s">
        <v>73</v>
      </c>
      <c r="FT118" t="s">
        <v>73</v>
      </c>
      <c r="FU118" t="s">
        <v>73</v>
      </c>
      <c r="FV118" t="s">
        <v>73</v>
      </c>
      <c r="FW118" t="s">
        <v>73</v>
      </c>
      <c r="FX118" t="s">
        <v>73</v>
      </c>
      <c r="FY118" s="206" t="s">
        <v>73</v>
      </c>
    </row>
    <row r="119" spans="47:181" ht="9" customHeight="1">
      <c r="AU119" s="205" t="s">
        <v>73</v>
      </c>
      <c r="AV119" t="s">
        <v>73</v>
      </c>
      <c r="AW119" t="s">
        <v>73</v>
      </c>
      <c r="AX119" t="s">
        <v>73</v>
      </c>
      <c r="AY119" t="s">
        <v>73</v>
      </c>
      <c r="AZ119" t="s">
        <v>73</v>
      </c>
      <c r="BU119" t="s">
        <v>73</v>
      </c>
      <c r="CE119" t="s">
        <v>73</v>
      </c>
      <c r="CI119" t="s">
        <v>73</v>
      </c>
      <c r="CJ119" t="s">
        <v>73</v>
      </c>
      <c r="CK119" t="s">
        <v>73</v>
      </c>
      <c r="CL119" t="s">
        <v>73</v>
      </c>
      <c r="CM119" t="s">
        <v>73</v>
      </c>
      <c r="CN119" t="s">
        <v>73</v>
      </c>
      <c r="CO119" t="s">
        <v>73</v>
      </c>
      <c r="CP119" s="206" t="s">
        <v>73</v>
      </c>
      <c r="CQ119" s="205" t="s">
        <v>73</v>
      </c>
      <c r="CR119" t="s">
        <v>73</v>
      </c>
      <c r="CS119" t="s">
        <v>73</v>
      </c>
      <c r="CT119" t="s">
        <v>73</v>
      </c>
      <c r="CU119" t="s">
        <v>73</v>
      </c>
      <c r="CV119" t="s">
        <v>73</v>
      </c>
      <c r="CW119" t="s">
        <v>73</v>
      </c>
      <c r="CX119" t="s">
        <v>73</v>
      </c>
      <c r="CY119" t="s">
        <v>73</v>
      </c>
      <c r="CZ119" t="s">
        <v>73</v>
      </c>
      <c r="DA119" t="s">
        <v>73</v>
      </c>
      <c r="DB119" t="s">
        <v>73</v>
      </c>
      <c r="DC119" t="s">
        <v>73</v>
      </c>
      <c r="DD119" t="s">
        <v>73</v>
      </c>
      <c r="DT119" t="s">
        <v>73</v>
      </c>
      <c r="DU119" t="s">
        <v>73</v>
      </c>
      <c r="DV119" t="s">
        <v>73</v>
      </c>
      <c r="DW119" t="s">
        <v>73</v>
      </c>
      <c r="DX119" t="s">
        <v>73</v>
      </c>
      <c r="DY119" t="s">
        <v>73</v>
      </c>
      <c r="DZ119" t="s">
        <v>1348</v>
      </c>
      <c r="EA119" t="s">
        <v>1348</v>
      </c>
      <c r="EB119" t="s">
        <v>1348</v>
      </c>
      <c r="EC119" t="s">
        <v>1348</v>
      </c>
      <c r="ED119" t="s">
        <v>1348</v>
      </c>
      <c r="EE119" t="s">
        <v>1348</v>
      </c>
      <c r="EF119" t="s">
        <v>1348</v>
      </c>
      <c r="EG119" t="s">
        <v>1348</v>
      </c>
      <c r="EH119" t="s">
        <v>1348</v>
      </c>
      <c r="EI119" t="s">
        <v>1348</v>
      </c>
      <c r="EJ119" t="s">
        <v>1348</v>
      </c>
      <c r="EK119" t="s">
        <v>1348</v>
      </c>
      <c r="EL119" t="s">
        <v>73</v>
      </c>
      <c r="EM119" t="s">
        <v>73</v>
      </c>
      <c r="EN119" t="s">
        <v>73</v>
      </c>
      <c r="EO119" t="s">
        <v>73</v>
      </c>
      <c r="EP119" t="s">
        <v>73</v>
      </c>
      <c r="EQ119" t="s">
        <v>73</v>
      </c>
      <c r="ER119" t="s">
        <v>73</v>
      </c>
      <c r="ES119" t="s">
        <v>73</v>
      </c>
      <c r="ET119" t="s">
        <v>73</v>
      </c>
      <c r="EU119" t="s">
        <v>73</v>
      </c>
      <c r="FI119" t="s">
        <v>1348</v>
      </c>
      <c r="FJ119" t="s">
        <v>1348</v>
      </c>
      <c r="FK119" t="s">
        <v>1348</v>
      </c>
      <c r="FL119" t="s">
        <v>1348</v>
      </c>
      <c r="FM119" t="s">
        <v>1348</v>
      </c>
      <c r="FN119" t="s">
        <v>1348</v>
      </c>
      <c r="FO119" t="s">
        <v>1348</v>
      </c>
      <c r="FP119" t="s">
        <v>1348</v>
      </c>
      <c r="FQ119" t="s">
        <v>1348</v>
      </c>
      <c r="FR119" t="s">
        <v>73</v>
      </c>
      <c r="FS119" t="s">
        <v>73</v>
      </c>
      <c r="FT119" t="s">
        <v>73</v>
      </c>
      <c r="FU119" t="s">
        <v>73</v>
      </c>
      <c r="FV119" t="s">
        <v>73</v>
      </c>
      <c r="FW119" t="s">
        <v>73</v>
      </c>
      <c r="FX119" t="s">
        <v>73</v>
      </c>
      <c r="FY119" s="206" t="s">
        <v>73</v>
      </c>
    </row>
    <row r="120" spans="47:181" ht="9" customHeight="1">
      <c r="AU120" s="205" t="s">
        <v>73</v>
      </c>
      <c r="AV120" t="s">
        <v>73</v>
      </c>
      <c r="AW120" t="s">
        <v>73</v>
      </c>
      <c r="AX120" t="s">
        <v>73</v>
      </c>
      <c r="AY120" t="s">
        <v>73</v>
      </c>
      <c r="AZ120" t="s">
        <v>73</v>
      </c>
      <c r="BU120" t="s">
        <v>73</v>
      </c>
      <c r="CE120" t="s">
        <v>73</v>
      </c>
      <c r="CI120" t="s">
        <v>73</v>
      </c>
      <c r="CJ120" t="s">
        <v>73</v>
      </c>
      <c r="CK120" t="s">
        <v>73</v>
      </c>
      <c r="CL120" t="s">
        <v>73</v>
      </c>
      <c r="CM120" t="s">
        <v>73</v>
      </c>
      <c r="CN120" t="s">
        <v>73</v>
      </c>
      <c r="CO120" t="s">
        <v>73</v>
      </c>
      <c r="CP120" s="206" t="s">
        <v>73</v>
      </c>
      <c r="CQ120" s="205" t="s">
        <v>73</v>
      </c>
      <c r="CR120" t="s">
        <v>73</v>
      </c>
      <c r="CS120" t="s">
        <v>73</v>
      </c>
      <c r="CT120" t="s">
        <v>73</v>
      </c>
      <c r="CU120" t="s">
        <v>73</v>
      </c>
      <c r="CV120" t="s">
        <v>73</v>
      </c>
      <c r="CW120" t="s">
        <v>73</v>
      </c>
      <c r="CX120" t="s">
        <v>73</v>
      </c>
      <c r="CY120" t="s">
        <v>73</v>
      </c>
      <c r="CZ120" t="s">
        <v>73</v>
      </c>
      <c r="DA120" t="s">
        <v>73</v>
      </c>
      <c r="DB120" t="s">
        <v>73</v>
      </c>
      <c r="DC120" t="s">
        <v>73</v>
      </c>
      <c r="DD120" t="s">
        <v>73</v>
      </c>
      <c r="DE120" t="s">
        <v>73</v>
      </c>
      <c r="DF120" t="s">
        <v>73</v>
      </c>
      <c r="DG120" t="s">
        <v>73</v>
      </c>
      <c r="DH120" t="s">
        <v>73</v>
      </c>
      <c r="DI120" t="s">
        <v>73</v>
      </c>
      <c r="DJ120" t="s">
        <v>73</v>
      </c>
      <c r="DK120" t="s">
        <v>73</v>
      </c>
      <c r="DL120" t="s">
        <v>73</v>
      </c>
      <c r="DM120" t="s">
        <v>73</v>
      </c>
      <c r="DN120" t="s">
        <v>73</v>
      </c>
      <c r="DO120" t="s">
        <v>73</v>
      </c>
      <c r="DP120" t="s">
        <v>73</v>
      </c>
      <c r="DQ120" t="s">
        <v>73</v>
      </c>
      <c r="DR120" t="s">
        <v>73</v>
      </c>
      <c r="DS120" t="s">
        <v>73</v>
      </c>
      <c r="DT120" t="s">
        <v>73</v>
      </c>
      <c r="DU120" t="s">
        <v>73</v>
      </c>
      <c r="DV120" t="s">
        <v>73</v>
      </c>
      <c r="DW120" t="s">
        <v>73</v>
      </c>
      <c r="DX120" t="s">
        <v>73</v>
      </c>
      <c r="DY120" t="s">
        <v>73</v>
      </c>
      <c r="DZ120" t="s">
        <v>73</v>
      </c>
      <c r="EA120" t="s">
        <v>73</v>
      </c>
      <c r="EB120" t="s">
        <v>73</v>
      </c>
      <c r="EC120" t="s">
        <v>73</v>
      </c>
      <c r="ED120" t="s">
        <v>1348</v>
      </c>
      <c r="EE120" t="s">
        <v>1348</v>
      </c>
      <c r="EF120" t="s">
        <v>1348</v>
      </c>
      <c r="EG120" t="s">
        <v>1348</v>
      </c>
      <c r="EH120" t="s">
        <v>1348</v>
      </c>
      <c r="EI120" t="s">
        <v>1348</v>
      </c>
      <c r="EJ120" t="s">
        <v>1348</v>
      </c>
      <c r="EK120" t="s">
        <v>1348</v>
      </c>
      <c r="EL120" t="s">
        <v>73</v>
      </c>
      <c r="EM120" t="s">
        <v>73</v>
      </c>
      <c r="EN120" t="s">
        <v>73</v>
      </c>
      <c r="EO120" t="s">
        <v>73</v>
      </c>
      <c r="EP120" t="s">
        <v>73</v>
      </c>
      <c r="EQ120" t="s">
        <v>73</v>
      </c>
      <c r="ER120" t="s">
        <v>73</v>
      </c>
      <c r="ES120" t="s">
        <v>73</v>
      </c>
      <c r="ET120" t="s">
        <v>73</v>
      </c>
      <c r="EU120" t="s">
        <v>73</v>
      </c>
      <c r="FI120" t="s">
        <v>1348</v>
      </c>
      <c r="FJ120" t="s">
        <v>1348</v>
      </c>
      <c r="FK120" t="s">
        <v>1348</v>
      </c>
      <c r="FL120" t="s">
        <v>1348</v>
      </c>
      <c r="FM120" t="s">
        <v>1348</v>
      </c>
      <c r="FN120" t="s">
        <v>1348</v>
      </c>
      <c r="FO120" t="s">
        <v>73</v>
      </c>
      <c r="FP120" t="s">
        <v>73</v>
      </c>
      <c r="FQ120" t="s">
        <v>73</v>
      </c>
      <c r="FR120" t="s">
        <v>73</v>
      </c>
      <c r="FS120" t="s">
        <v>73</v>
      </c>
      <c r="FT120" t="s">
        <v>73</v>
      </c>
      <c r="FU120" t="s">
        <v>73</v>
      </c>
      <c r="FV120" t="s">
        <v>73</v>
      </c>
      <c r="FW120" t="s">
        <v>73</v>
      </c>
      <c r="FX120" t="s">
        <v>73</v>
      </c>
      <c r="FY120" s="206" t="s">
        <v>73</v>
      </c>
    </row>
    <row r="121" spans="47:181" ht="9" customHeight="1">
      <c r="AU121" s="205" t="s">
        <v>73</v>
      </c>
      <c r="AV121" t="s">
        <v>73</v>
      </c>
      <c r="AW121" t="s">
        <v>73</v>
      </c>
      <c r="AX121" t="s">
        <v>73</v>
      </c>
      <c r="AY121" t="s">
        <v>73</v>
      </c>
      <c r="AZ121" t="s">
        <v>73</v>
      </c>
      <c r="BC121" t="s">
        <v>73</v>
      </c>
      <c r="BD121" t="s">
        <v>73</v>
      </c>
      <c r="BE121" t="s">
        <v>73</v>
      </c>
      <c r="BF121" t="s">
        <v>73</v>
      </c>
      <c r="BG121" t="s">
        <v>73</v>
      </c>
      <c r="BU121" t="s">
        <v>73</v>
      </c>
      <c r="CE121" t="s">
        <v>73</v>
      </c>
      <c r="CI121" t="s">
        <v>73</v>
      </c>
      <c r="CJ121" t="s">
        <v>73</v>
      </c>
      <c r="CK121" t="s">
        <v>73</v>
      </c>
      <c r="CL121" t="s">
        <v>73</v>
      </c>
      <c r="CM121" t="s">
        <v>73</v>
      </c>
      <c r="CN121" t="s">
        <v>73</v>
      </c>
      <c r="CO121" t="s">
        <v>73</v>
      </c>
      <c r="CP121" s="206" t="s">
        <v>73</v>
      </c>
      <c r="CQ121" s="205" t="s">
        <v>73</v>
      </c>
      <c r="CR121" t="s">
        <v>73</v>
      </c>
      <c r="CS121" t="s">
        <v>73</v>
      </c>
      <c r="CT121" t="s">
        <v>73</v>
      </c>
      <c r="CU121" t="s">
        <v>73</v>
      </c>
      <c r="CV121" t="s">
        <v>73</v>
      </c>
      <c r="CW121" t="s">
        <v>73</v>
      </c>
      <c r="CX121" t="s">
        <v>73</v>
      </c>
      <c r="CY121" t="s">
        <v>73</v>
      </c>
      <c r="CZ121" t="s">
        <v>73</v>
      </c>
      <c r="DA121" t="s">
        <v>73</v>
      </c>
      <c r="DB121" t="s">
        <v>73</v>
      </c>
      <c r="DC121" t="s">
        <v>73</v>
      </c>
      <c r="DD121" t="s">
        <v>73</v>
      </c>
      <c r="DE121" t="s">
        <v>73</v>
      </c>
      <c r="DF121" t="s">
        <v>73</v>
      </c>
      <c r="DG121" t="s">
        <v>73</v>
      </c>
      <c r="DH121" t="s">
        <v>73</v>
      </c>
      <c r="DI121" t="s">
        <v>73</v>
      </c>
      <c r="DJ121" t="s">
        <v>73</v>
      </c>
      <c r="DK121" t="s">
        <v>73</v>
      </c>
      <c r="DL121" t="s">
        <v>73</v>
      </c>
      <c r="DM121" t="s">
        <v>73</v>
      </c>
      <c r="DN121" t="s">
        <v>73</v>
      </c>
      <c r="DO121" t="s">
        <v>73</v>
      </c>
      <c r="DP121" t="s">
        <v>73</v>
      </c>
      <c r="DQ121" t="s">
        <v>73</v>
      </c>
      <c r="DR121" t="s">
        <v>73</v>
      </c>
      <c r="DS121" t="s">
        <v>73</v>
      </c>
      <c r="DT121" t="s">
        <v>73</v>
      </c>
      <c r="DU121" t="s">
        <v>73</v>
      </c>
      <c r="DV121" t="s">
        <v>73</v>
      </c>
      <c r="DW121" t="s">
        <v>73</v>
      </c>
      <c r="DX121" t="s">
        <v>73</v>
      </c>
      <c r="DY121" t="s">
        <v>73</v>
      </c>
      <c r="DZ121" t="s">
        <v>73</v>
      </c>
      <c r="EA121" t="s">
        <v>73</v>
      </c>
      <c r="EB121" t="s">
        <v>73</v>
      </c>
      <c r="EC121" t="s">
        <v>73</v>
      </c>
      <c r="ED121" t="s">
        <v>73</v>
      </c>
      <c r="EE121" t="s">
        <v>73</v>
      </c>
      <c r="EF121" t="s">
        <v>73</v>
      </c>
      <c r="EG121" t="s">
        <v>73</v>
      </c>
      <c r="EH121" t="s">
        <v>73</v>
      </c>
      <c r="EI121" t="s">
        <v>73</v>
      </c>
      <c r="EJ121" t="s">
        <v>73</v>
      </c>
      <c r="EK121" t="s">
        <v>73</v>
      </c>
      <c r="EL121" t="s">
        <v>73</v>
      </c>
      <c r="EM121" t="s">
        <v>73</v>
      </c>
      <c r="EN121" t="s">
        <v>73</v>
      </c>
      <c r="EO121" t="s">
        <v>73</v>
      </c>
      <c r="EP121" t="s">
        <v>73</v>
      </c>
      <c r="EQ121" t="s">
        <v>73</v>
      </c>
      <c r="ER121" t="s">
        <v>73</v>
      </c>
      <c r="ES121" t="s">
        <v>73</v>
      </c>
      <c r="ET121" t="s">
        <v>73</v>
      </c>
      <c r="EU121" t="s">
        <v>73</v>
      </c>
      <c r="EV121" t="s">
        <v>73</v>
      </c>
      <c r="EW121" t="s">
        <v>73</v>
      </c>
      <c r="EX121" t="s">
        <v>73</v>
      </c>
      <c r="EY121" t="s">
        <v>73</v>
      </c>
      <c r="EZ121" t="s">
        <v>73</v>
      </c>
      <c r="FA121" t="s">
        <v>73</v>
      </c>
      <c r="FB121" t="s">
        <v>73</v>
      </c>
      <c r="FC121" t="s">
        <v>73</v>
      </c>
      <c r="FD121" t="s">
        <v>73</v>
      </c>
      <c r="FE121" t="s">
        <v>73</v>
      </c>
      <c r="FF121" t="s">
        <v>73</v>
      </c>
      <c r="FG121" t="s">
        <v>73</v>
      </c>
      <c r="FH121" t="s">
        <v>73</v>
      </c>
      <c r="FI121" t="s">
        <v>73</v>
      </c>
      <c r="FJ121" t="s">
        <v>73</v>
      </c>
      <c r="FK121" t="s">
        <v>73</v>
      </c>
      <c r="FL121" t="s">
        <v>73</v>
      </c>
      <c r="FM121" t="s">
        <v>73</v>
      </c>
      <c r="FN121" t="s">
        <v>73</v>
      </c>
      <c r="FO121" t="s">
        <v>73</v>
      </c>
      <c r="FP121" t="s">
        <v>73</v>
      </c>
      <c r="FQ121" t="s">
        <v>73</v>
      </c>
      <c r="FR121" t="s">
        <v>73</v>
      </c>
      <c r="FS121" t="s">
        <v>73</v>
      </c>
      <c r="FT121" t="s">
        <v>73</v>
      </c>
      <c r="FU121" t="s">
        <v>73</v>
      </c>
      <c r="FV121" t="s">
        <v>73</v>
      </c>
      <c r="FW121" t="s">
        <v>73</v>
      </c>
      <c r="FX121" t="s">
        <v>73</v>
      </c>
      <c r="FY121" s="206" t="s">
        <v>73</v>
      </c>
    </row>
    <row r="122" spans="47:181" ht="9" customHeight="1">
      <c r="AU122" s="205" t="s">
        <v>73</v>
      </c>
      <c r="AV122" t="s">
        <v>73</v>
      </c>
      <c r="AW122" t="s">
        <v>73</v>
      </c>
      <c r="AX122" t="s">
        <v>73</v>
      </c>
      <c r="AY122" t="s">
        <v>73</v>
      </c>
      <c r="AZ122" t="s">
        <v>73</v>
      </c>
      <c r="BC122" t="s">
        <v>73</v>
      </c>
      <c r="BD122" t="s">
        <v>73</v>
      </c>
      <c r="BE122" t="s">
        <v>73</v>
      </c>
      <c r="BF122" t="s">
        <v>73</v>
      </c>
      <c r="BG122" t="s">
        <v>73</v>
      </c>
      <c r="BU122" t="s">
        <v>73</v>
      </c>
      <c r="CE122" t="s">
        <v>73</v>
      </c>
      <c r="CI122" t="s">
        <v>73</v>
      </c>
      <c r="CJ122" t="s">
        <v>73</v>
      </c>
      <c r="CK122" t="s">
        <v>73</v>
      </c>
      <c r="CL122" t="s">
        <v>73</v>
      </c>
      <c r="CM122" t="s">
        <v>73</v>
      </c>
      <c r="CN122" t="s">
        <v>73</v>
      </c>
      <c r="CO122" t="s">
        <v>73</v>
      </c>
      <c r="CP122" s="206" t="s">
        <v>73</v>
      </c>
      <c r="CQ122" s="205" t="s">
        <v>73</v>
      </c>
      <c r="CR122" t="s">
        <v>73</v>
      </c>
      <c r="CS122" t="s">
        <v>73</v>
      </c>
      <c r="CT122" t="s">
        <v>73</v>
      </c>
      <c r="CU122" t="s">
        <v>73</v>
      </c>
      <c r="CV122" t="s">
        <v>73</v>
      </c>
      <c r="CW122" t="s">
        <v>73</v>
      </c>
      <c r="CX122" t="s">
        <v>73</v>
      </c>
      <c r="CY122" t="s">
        <v>73</v>
      </c>
      <c r="CZ122" t="s">
        <v>73</v>
      </c>
      <c r="DA122" t="s">
        <v>73</v>
      </c>
      <c r="DB122" t="s">
        <v>73</v>
      </c>
      <c r="DC122" t="s">
        <v>73</v>
      </c>
      <c r="DD122" t="s">
        <v>73</v>
      </c>
      <c r="DE122" t="s">
        <v>73</v>
      </c>
      <c r="DF122" t="s">
        <v>73</v>
      </c>
      <c r="DG122" t="s">
        <v>73</v>
      </c>
      <c r="DH122" t="s">
        <v>73</v>
      </c>
      <c r="DI122" t="s">
        <v>73</v>
      </c>
      <c r="DJ122" t="s">
        <v>73</v>
      </c>
      <c r="DK122" t="s">
        <v>73</v>
      </c>
      <c r="DL122" t="s">
        <v>73</v>
      </c>
      <c r="DM122" t="s">
        <v>73</v>
      </c>
      <c r="DN122" t="s">
        <v>73</v>
      </c>
      <c r="DO122" t="s">
        <v>73</v>
      </c>
      <c r="DP122" t="s">
        <v>73</v>
      </c>
      <c r="DQ122" t="s">
        <v>73</v>
      </c>
      <c r="DR122" t="s">
        <v>73</v>
      </c>
      <c r="DS122" t="s">
        <v>73</v>
      </c>
      <c r="DT122" t="s">
        <v>73</v>
      </c>
      <c r="DU122" t="s">
        <v>73</v>
      </c>
      <c r="DV122" t="s">
        <v>73</v>
      </c>
      <c r="DW122" t="s">
        <v>73</v>
      </c>
      <c r="DX122" t="s">
        <v>73</v>
      </c>
      <c r="DY122" t="s">
        <v>73</v>
      </c>
      <c r="DZ122" t="s">
        <v>73</v>
      </c>
      <c r="EA122" t="s">
        <v>73</v>
      </c>
      <c r="EB122" t="s">
        <v>73</v>
      </c>
      <c r="EC122" t="s">
        <v>73</v>
      </c>
      <c r="ED122" t="s">
        <v>73</v>
      </c>
      <c r="EE122" t="s">
        <v>73</v>
      </c>
      <c r="EF122" t="s">
        <v>73</v>
      </c>
      <c r="EG122" t="s">
        <v>73</v>
      </c>
      <c r="EH122" t="s">
        <v>73</v>
      </c>
      <c r="EI122" t="s">
        <v>73</v>
      </c>
      <c r="EJ122" t="s">
        <v>73</v>
      </c>
      <c r="EK122" t="s">
        <v>73</v>
      </c>
      <c r="EL122" t="s">
        <v>73</v>
      </c>
      <c r="EM122" t="s">
        <v>73</v>
      </c>
      <c r="EN122" t="s">
        <v>73</v>
      </c>
      <c r="EO122" t="s">
        <v>73</v>
      </c>
      <c r="EP122" t="s">
        <v>73</v>
      </c>
      <c r="EQ122" t="s">
        <v>73</v>
      </c>
      <c r="ER122" t="s">
        <v>73</v>
      </c>
      <c r="ES122" t="s">
        <v>73</v>
      </c>
      <c r="ET122" t="s">
        <v>73</v>
      </c>
      <c r="EU122" t="s">
        <v>73</v>
      </c>
      <c r="EV122" t="s">
        <v>73</v>
      </c>
      <c r="EW122" t="s">
        <v>73</v>
      </c>
      <c r="EX122" t="s">
        <v>73</v>
      </c>
      <c r="EY122" t="s">
        <v>73</v>
      </c>
      <c r="EZ122" t="s">
        <v>73</v>
      </c>
      <c r="FA122" t="s">
        <v>73</v>
      </c>
      <c r="FB122" t="s">
        <v>73</v>
      </c>
      <c r="FC122" t="s">
        <v>73</v>
      </c>
      <c r="FD122" t="s">
        <v>73</v>
      </c>
      <c r="FE122" t="s">
        <v>73</v>
      </c>
      <c r="FF122" t="s">
        <v>73</v>
      </c>
      <c r="FG122" t="s">
        <v>73</v>
      </c>
      <c r="FH122" t="s">
        <v>73</v>
      </c>
      <c r="FI122" t="s">
        <v>73</v>
      </c>
      <c r="FJ122" t="s">
        <v>73</v>
      </c>
      <c r="FK122" t="s">
        <v>73</v>
      </c>
      <c r="FL122" t="s">
        <v>73</v>
      </c>
      <c r="FM122" t="s">
        <v>73</v>
      </c>
      <c r="FN122" t="s">
        <v>73</v>
      </c>
      <c r="FO122" t="s">
        <v>73</v>
      </c>
      <c r="FP122" t="s">
        <v>73</v>
      </c>
      <c r="FQ122" t="s">
        <v>73</v>
      </c>
      <c r="FR122" t="s">
        <v>73</v>
      </c>
      <c r="FS122" t="s">
        <v>73</v>
      </c>
      <c r="FT122" t="s">
        <v>73</v>
      </c>
      <c r="FU122" t="s">
        <v>73</v>
      </c>
      <c r="FV122" t="s">
        <v>73</v>
      </c>
      <c r="FW122" t="s">
        <v>73</v>
      </c>
      <c r="FX122" t="s">
        <v>73</v>
      </c>
      <c r="FY122" s="206" t="s">
        <v>73</v>
      </c>
    </row>
    <row r="123" spans="47:181" ht="9" customHeight="1" thickBot="1">
      <c r="AU123" s="205" t="s">
        <v>73</v>
      </c>
      <c r="AV123" t="s">
        <v>73</v>
      </c>
      <c r="AW123" t="s">
        <v>73</v>
      </c>
      <c r="AX123" t="s">
        <v>73</v>
      </c>
      <c r="AY123" t="s">
        <v>73</v>
      </c>
      <c r="AZ123" t="s">
        <v>73</v>
      </c>
      <c r="BC123" t="s">
        <v>73</v>
      </c>
      <c r="BD123" t="s">
        <v>73</v>
      </c>
      <c r="BE123" t="s">
        <v>73</v>
      </c>
      <c r="BF123" t="s">
        <v>73</v>
      </c>
      <c r="BG123" t="s">
        <v>73</v>
      </c>
      <c r="BU123" t="s">
        <v>73</v>
      </c>
      <c r="BV123" t="s">
        <v>1320</v>
      </c>
      <c r="BW123" t="s">
        <v>1320</v>
      </c>
      <c r="BX123" t="s">
        <v>1320</v>
      </c>
      <c r="BY123" t="s">
        <v>1320</v>
      </c>
      <c r="CA123" t="s">
        <v>1320</v>
      </c>
      <c r="CB123" t="s">
        <v>1320</v>
      </c>
      <c r="CC123" t="s">
        <v>1320</v>
      </c>
      <c r="CD123" t="s">
        <v>1320</v>
      </c>
      <c r="CE123" t="s">
        <v>73</v>
      </c>
      <c r="CI123" t="s">
        <v>73</v>
      </c>
      <c r="CJ123" t="s">
        <v>73</v>
      </c>
      <c r="CK123" t="s">
        <v>73</v>
      </c>
      <c r="CL123" t="s">
        <v>73</v>
      </c>
      <c r="CM123" t="s">
        <v>73</v>
      </c>
      <c r="CN123" t="s">
        <v>73</v>
      </c>
      <c r="CO123" t="s">
        <v>73</v>
      </c>
      <c r="CP123" s="206" t="s">
        <v>73</v>
      </c>
      <c r="CQ123" s="207" t="s">
        <v>73</v>
      </c>
      <c r="CR123" s="217" t="s">
        <v>73</v>
      </c>
      <c r="CS123" s="217" t="s">
        <v>73</v>
      </c>
      <c r="CT123" s="217" t="s">
        <v>73</v>
      </c>
      <c r="CU123" s="217" t="s">
        <v>73</v>
      </c>
      <c r="CV123" s="217" t="s">
        <v>73</v>
      </c>
      <c r="CW123" s="217" t="s">
        <v>73</v>
      </c>
      <c r="CX123" s="217" t="s">
        <v>73</v>
      </c>
      <c r="CY123" s="217" t="s">
        <v>73</v>
      </c>
      <c r="CZ123" s="217" t="s">
        <v>73</v>
      </c>
      <c r="DA123" s="217" t="s">
        <v>73</v>
      </c>
      <c r="DB123" s="217" t="s">
        <v>73</v>
      </c>
      <c r="DC123" s="217" t="s">
        <v>73</v>
      </c>
      <c r="DD123" s="217" t="s">
        <v>73</v>
      </c>
      <c r="DE123" s="217" t="s">
        <v>73</v>
      </c>
      <c r="DF123" s="217" t="s">
        <v>73</v>
      </c>
      <c r="DG123" s="217" t="s">
        <v>73</v>
      </c>
      <c r="DH123" s="217" t="s">
        <v>73</v>
      </c>
      <c r="DI123" s="217" t="s">
        <v>73</v>
      </c>
      <c r="DJ123" s="217" t="s">
        <v>73</v>
      </c>
      <c r="DK123" s="217" t="s">
        <v>73</v>
      </c>
      <c r="DL123" s="217" t="s">
        <v>73</v>
      </c>
      <c r="DM123" s="217" t="s">
        <v>73</v>
      </c>
      <c r="DN123" s="217" t="s">
        <v>73</v>
      </c>
      <c r="DO123" s="217" t="s">
        <v>73</v>
      </c>
      <c r="DP123" s="217" t="s">
        <v>73</v>
      </c>
      <c r="DQ123" s="217" t="s">
        <v>73</v>
      </c>
      <c r="DR123" s="217" t="s">
        <v>73</v>
      </c>
      <c r="DS123" s="217" t="s">
        <v>73</v>
      </c>
      <c r="DT123" s="217" t="s">
        <v>73</v>
      </c>
      <c r="DU123" s="217" t="s">
        <v>73</v>
      </c>
      <c r="DV123" s="217" t="s">
        <v>73</v>
      </c>
      <c r="DW123" s="217" t="s">
        <v>73</v>
      </c>
      <c r="DX123" s="217" t="s">
        <v>73</v>
      </c>
      <c r="DY123" s="217" t="s">
        <v>73</v>
      </c>
      <c r="DZ123" s="217" t="s">
        <v>73</v>
      </c>
      <c r="EA123" s="217" t="s">
        <v>73</v>
      </c>
      <c r="EB123" s="217" t="s">
        <v>73</v>
      </c>
      <c r="EC123" s="217" t="s">
        <v>73</v>
      </c>
      <c r="ED123" s="217" t="s">
        <v>73</v>
      </c>
      <c r="EE123" s="217" t="s">
        <v>73</v>
      </c>
      <c r="EF123" s="217" t="s">
        <v>73</v>
      </c>
      <c r="EG123" s="217" t="s">
        <v>73</v>
      </c>
      <c r="EH123" s="217" t="s">
        <v>73</v>
      </c>
      <c r="EI123" s="217" t="s">
        <v>73</v>
      </c>
      <c r="EJ123" s="217" t="s">
        <v>73</v>
      </c>
      <c r="EK123" s="217" t="s">
        <v>73</v>
      </c>
      <c r="EL123" s="217" t="s">
        <v>73</v>
      </c>
      <c r="EM123" s="217" t="s">
        <v>73</v>
      </c>
      <c r="EN123" s="217" t="s">
        <v>73</v>
      </c>
      <c r="EO123" s="217" t="s">
        <v>73</v>
      </c>
      <c r="EP123" s="217" t="s">
        <v>73</v>
      </c>
      <c r="EQ123" s="217" t="s">
        <v>73</v>
      </c>
      <c r="ER123" s="217" t="s">
        <v>73</v>
      </c>
      <c r="ES123" s="217" t="s">
        <v>73</v>
      </c>
      <c r="ET123" s="217" t="s">
        <v>73</v>
      </c>
      <c r="EU123" s="217" t="s">
        <v>73</v>
      </c>
      <c r="EV123" s="217" t="s">
        <v>73</v>
      </c>
      <c r="EW123" s="217" t="s">
        <v>73</v>
      </c>
      <c r="EX123" s="217" t="s">
        <v>73</v>
      </c>
      <c r="EY123" s="217" t="s">
        <v>73</v>
      </c>
      <c r="EZ123" s="217" t="s">
        <v>73</v>
      </c>
      <c r="FA123" s="217" t="s">
        <v>73</v>
      </c>
      <c r="FB123" s="217" t="s">
        <v>73</v>
      </c>
      <c r="FC123" s="217" t="s">
        <v>73</v>
      </c>
      <c r="FD123" s="217" t="s">
        <v>73</v>
      </c>
      <c r="FE123" s="217" t="s">
        <v>73</v>
      </c>
      <c r="FF123" s="217" t="s">
        <v>73</v>
      </c>
      <c r="FG123" s="217" t="s">
        <v>73</v>
      </c>
      <c r="FH123" s="217" t="s">
        <v>73</v>
      </c>
      <c r="FI123" s="217" t="s">
        <v>73</v>
      </c>
      <c r="FJ123" s="217" t="s">
        <v>73</v>
      </c>
      <c r="FK123" s="217" t="s">
        <v>73</v>
      </c>
      <c r="FL123" s="217" t="s">
        <v>73</v>
      </c>
      <c r="FM123" s="217" t="s">
        <v>73</v>
      </c>
      <c r="FN123" s="217" t="s">
        <v>73</v>
      </c>
      <c r="FO123" s="217" t="s">
        <v>73</v>
      </c>
      <c r="FP123" s="217" t="s">
        <v>73</v>
      </c>
      <c r="FQ123" s="217" t="s">
        <v>73</v>
      </c>
      <c r="FR123" s="217" t="s">
        <v>73</v>
      </c>
      <c r="FS123" s="217" t="s">
        <v>73</v>
      </c>
      <c r="FT123" s="217" t="s">
        <v>73</v>
      </c>
      <c r="FU123" s="217" t="s">
        <v>73</v>
      </c>
      <c r="FV123" s="217" t="s">
        <v>73</v>
      </c>
      <c r="FW123" s="217" t="s">
        <v>73</v>
      </c>
      <c r="FX123" s="217" t="s">
        <v>73</v>
      </c>
      <c r="FY123" s="159" t="s">
        <v>73</v>
      </c>
    </row>
    <row r="124" spans="47:181" ht="9" customHeight="1">
      <c r="AU124" s="205" t="s">
        <v>73</v>
      </c>
      <c r="AV124" t="s">
        <v>73</v>
      </c>
      <c r="AW124" t="s">
        <v>73</v>
      </c>
      <c r="AX124" t="s">
        <v>73</v>
      </c>
      <c r="AY124" t="s">
        <v>73</v>
      </c>
      <c r="AZ124" t="s">
        <v>73</v>
      </c>
      <c r="CI124" t="s">
        <v>73</v>
      </c>
      <c r="CJ124" t="s">
        <v>73</v>
      </c>
      <c r="CK124" t="s">
        <v>73</v>
      </c>
      <c r="CL124" t="s">
        <v>73</v>
      </c>
      <c r="CM124" t="s">
        <v>73</v>
      </c>
      <c r="CN124" t="s">
        <v>73</v>
      </c>
      <c r="CO124" t="s">
        <v>73</v>
      </c>
      <c r="CP124" s="206" t="s">
        <v>73</v>
      </c>
    </row>
    <row r="125" spans="47:181" ht="9" customHeight="1">
      <c r="AU125" s="205" t="s">
        <v>73</v>
      </c>
      <c r="AV125" t="s">
        <v>73</v>
      </c>
      <c r="AW125" t="s">
        <v>73</v>
      </c>
      <c r="AX125" t="s">
        <v>73</v>
      </c>
      <c r="AY125" t="s">
        <v>73</v>
      </c>
      <c r="AZ125" t="s">
        <v>73</v>
      </c>
      <c r="CI125" t="s">
        <v>73</v>
      </c>
      <c r="CJ125" t="s">
        <v>73</v>
      </c>
      <c r="CK125" t="s">
        <v>73</v>
      </c>
      <c r="CL125" t="s">
        <v>73</v>
      </c>
      <c r="CM125" t="s">
        <v>73</v>
      </c>
      <c r="CN125" t="s">
        <v>73</v>
      </c>
      <c r="CO125" t="s">
        <v>73</v>
      </c>
      <c r="CP125" s="206" t="s">
        <v>73</v>
      </c>
    </row>
    <row r="126" spans="47:181" ht="9" customHeight="1">
      <c r="AU126" s="205" t="s">
        <v>73</v>
      </c>
      <c r="AV126" t="s">
        <v>73</v>
      </c>
      <c r="AW126" t="s">
        <v>73</v>
      </c>
      <c r="AX126" t="s">
        <v>73</v>
      </c>
      <c r="AY126" t="s">
        <v>73</v>
      </c>
      <c r="AZ126" t="s">
        <v>73</v>
      </c>
      <c r="CI126" t="s">
        <v>73</v>
      </c>
      <c r="CJ126" t="s">
        <v>73</v>
      </c>
      <c r="CK126" t="s">
        <v>73</v>
      </c>
      <c r="CL126" t="s">
        <v>73</v>
      </c>
      <c r="CM126" t="s">
        <v>73</v>
      </c>
      <c r="CN126" t="s">
        <v>73</v>
      </c>
      <c r="CO126" t="s">
        <v>73</v>
      </c>
      <c r="CP126" s="206" t="s">
        <v>73</v>
      </c>
    </row>
    <row r="127" spans="47:181" ht="9" customHeight="1">
      <c r="AU127" s="205" t="s">
        <v>73</v>
      </c>
      <c r="AV127" t="s">
        <v>73</v>
      </c>
      <c r="AW127" t="s">
        <v>73</v>
      </c>
      <c r="AX127" t="s">
        <v>73</v>
      </c>
      <c r="AY127" t="s">
        <v>73</v>
      </c>
      <c r="AZ127" t="s">
        <v>73</v>
      </c>
      <c r="CI127" t="s">
        <v>73</v>
      </c>
      <c r="CJ127" t="s">
        <v>73</v>
      </c>
      <c r="CK127" t="s">
        <v>73</v>
      </c>
      <c r="CL127" t="s">
        <v>73</v>
      </c>
      <c r="CM127" t="s">
        <v>73</v>
      </c>
      <c r="CN127" t="s">
        <v>73</v>
      </c>
      <c r="CO127" t="s">
        <v>73</v>
      </c>
      <c r="CP127" s="206" t="s">
        <v>73</v>
      </c>
    </row>
    <row r="128" spans="47:181" ht="9" customHeight="1">
      <c r="AU128" s="205" t="s">
        <v>73</v>
      </c>
      <c r="AV128" t="s">
        <v>73</v>
      </c>
      <c r="AW128" t="s">
        <v>73</v>
      </c>
      <c r="AX128" t="s">
        <v>73</v>
      </c>
      <c r="AY128" t="s">
        <v>73</v>
      </c>
      <c r="AZ128" t="s">
        <v>73</v>
      </c>
      <c r="BA128" t="s">
        <v>73</v>
      </c>
      <c r="BB128" t="s">
        <v>73</v>
      </c>
      <c r="BC128" t="s">
        <v>73</v>
      </c>
      <c r="BD128" t="s">
        <v>73</v>
      </c>
      <c r="BE128" t="s">
        <v>73</v>
      </c>
      <c r="BF128" t="s">
        <v>73</v>
      </c>
      <c r="BG128" t="s">
        <v>73</v>
      </c>
      <c r="BH128" t="s">
        <v>73</v>
      </c>
      <c r="BI128" t="s">
        <v>73</v>
      </c>
      <c r="BJ128" t="s">
        <v>73</v>
      </c>
      <c r="BK128" t="s">
        <v>73</v>
      </c>
      <c r="BL128" t="s">
        <v>73</v>
      </c>
      <c r="BM128" t="s">
        <v>73</v>
      </c>
      <c r="BN128" t="s">
        <v>73</v>
      </c>
      <c r="BS128" t="s">
        <v>73</v>
      </c>
      <c r="BT128" t="s">
        <v>73</v>
      </c>
      <c r="BU128" t="s">
        <v>73</v>
      </c>
      <c r="BV128" t="s">
        <v>73</v>
      </c>
      <c r="BW128" t="s">
        <v>73</v>
      </c>
      <c r="BX128" t="s">
        <v>73</v>
      </c>
      <c r="BY128" t="s">
        <v>73</v>
      </c>
      <c r="BZ128" t="s">
        <v>73</v>
      </c>
      <c r="CA128" t="s">
        <v>73</v>
      </c>
      <c r="CB128" t="s">
        <v>73</v>
      </c>
      <c r="CC128" t="s">
        <v>73</v>
      </c>
      <c r="CD128" t="s">
        <v>73</v>
      </c>
      <c r="CE128" t="s">
        <v>73</v>
      </c>
      <c r="CF128" t="s">
        <v>73</v>
      </c>
      <c r="CG128" t="s">
        <v>73</v>
      </c>
      <c r="CH128" t="s">
        <v>73</v>
      </c>
      <c r="CI128" t="s">
        <v>73</v>
      </c>
      <c r="CJ128" t="s">
        <v>73</v>
      </c>
      <c r="CK128" t="s">
        <v>73</v>
      </c>
      <c r="CL128" t="s">
        <v>73</v>
      </c>
      <c r="CM128" t="s">
        <v>73</v>
      </c>
      <c r="CN128" t="s">
        <v>73</v>
      </c>
      <c r="CO128" t="s">
        <v>73</v>
      </c>
      <c r="CP128" s="206" t="s">
        <v>73</v>
      </c>
    </row>
    <row r="129" spans="47:94" ht="9" customHeight="1">
      <c r="AU129" s="205" t="s">
        <v>73</v>
      </c>
      <c r="AV129" t="s">
        <v>73</v>
      </c>
      <c r="AW129" t="s">
        <v>73</v>
      </c>
      <c r="AX129" t="s">
        <v>73</v>
      </c>
      <c r="AY129" t="s">
        <v>73</v>
      </c>
      <c r="AZ129" t="s">
        <v>73</v>
      </c>
      <c r="BA129" t="s">
        <v>73</v>
      </c>
      <c r="BB129" t="s">
        <v>73</v>
      </c>
      <c r="BC129" t="s">
        <v>73</v>
      </c>
      <c r="BD129" t="s">
        <v>73</v>
      </c>
      <c r="BE129" t="s">
        <v>73</v>
      </c>
      <c r="BF129" t="s">
        <v>73</v>
      </c>
      <c r="BG129" t="s">
        <v>73</v>
      </c>
      <c r="BH129" t="s">
        <v>73</v>
      </c>
      <c r="BI129" t="s">
        <v>73</v>
      </c>
      <c r="BJ129" t="s">
        <v>73</v>
      </c>
      <c r="BK129" t="s">
        <v>73</v>
      </c>
      <c r="BL129" t="s">
        <v>73</v>
      </c>
      <c r="BM129" t="s">
        <v>73</v>
      </c>
      <c r="BN129" t="s">
        <v>73</v>
      </c>
      <c r="BS129" t="s">
        <v>73</v>
      </c>
      <c r="BT129" t="s">
        <v>73</v>
      </c>
      <c r="BU129" t="s">
        <v>73</v>
      </c>
      <c r="BV129" t="s">
        <v>73</v>
      </c>
      <c r="BW129" t="s">
        <v>73</v>
      </c>
      <c r="BX129" t="s">
        <v>73</v>
      </c>
      <c r="BY129" t="s">
        <v>73</v>
      </c>
      <c r="BZ129" t="s">
        <v>73</v>
      </c>
      <c r="CA129" t="s">
        <v>73</v>
      </c>
      <c r="CB129" t="s">
        <v>73</v>
      </c>
      <c r="CC129" t="s">
        <v>73</v>
      </c>
      <c r="CD129" t="s">
        <v>73</v>
      </c>
      <c r="CE129" t="s">
        <v>73</v>
      </c>
      <c r="CF129" t="s">
        <v>73</v>
      </c>
      <c r="CG129" t="s">
        <v>73</v>
      </c>
      <c r="CH129" t="s">
        <v>73</v>
      </c>
      <c r="CI129" t="s">
        <v>73</v>
      </c>
      <c r="CJ129" t="s">
        <v>73</v>
      </c>
      <c r="CK129" t="s">
        <v>73</v>
      </c>
      <c r="CL129" t="s">
        <v>73</v>
      </c>
      <c r="CM129" t="s">
        <v>73</v>
      </c>
      <c r="CN129" t="s">
        <v>73</v>
      </c>
      <c r="CO129" t="s">
        <v>73</v>
      </c>
      <c r="CP129" s="206" t="s">
        <v>73</v>
      </c>
    </row>
    <row r="130" spans="47:94" ht="9" customHeight="1">
      <c r="AU130" s="205" t="s">
        <v>73</v>
      </c>
      <c r="AV130" t="s">
        <v>73</v>
      </c>
      <c r="AW130" t="s">
        <v>73</v>
      </c>
      <c r="AX130" t="s">
        <v>73</v>
      </c>
      <c r="AY130" t="s">
        <v>73</v>
      </c>
      <c r="AZ130" t="s">
        <v>73</v>
      </c>
      <c r="BA130" t="s">
        <v>73</v>
      </c>
      <c r="BB130" t="s">
        <v>73</v>
      </c>
      <c r="BC130" t="s">
        <v>73</v>
      </c>
      <c r="BD130" t="s">
        <v>73</v>
      </c>
      <c r="BE130" t="s">
        <v>73</v>
      </c>
      <c r="BF130" t="s">
        <v>73</v>
      </c>
      <c r="BG130" t="s">
        <v>73</v>
      </c>
      <c r="BH130" t="s">
        <v>73</v>
      </c>
      <c r="BI130" t="s">
        <v>73</v>
      </c>
      <c r="BJ130" t="s">
        <v>73</v>
      </c>
      <c r="BK130" t="s">
        <v>73</v>
      </c>
      <c r="BL130" t="s">
        <v>73</v>
      </c>
      <c r="BM130" t="s">
        <v>73</v>
      </c>
      <c r="BN130" t="s">
        <v>73</v>
      </c>
      <c r="BS130" t="s">
        <v>73</v>
      </c>
      <c r="BT130" t="s">
        <v>73</v>
      </c>
      <c r="BU130" t="s">
        <v>73</v>
      </c>
      <c r="BV130" t="s">
        <v>73</v>
      </c>
      <c r="BW130" t="s">
        <v>73</v>
      </c>
      <c r="BX130" t="s">
        <v>73</v>
      </c>
      <c r="BY130" t="s">
        <v>73</v>
      </c>
      <c r="BZ130" t="s">
        <v>73</v>
      </c>
      <c r="CA130" t="s">
        <v>73</v>
      </c>
      <c r="CB130" t="s">
        <v>73</v>
      </c>
      <c r="CC130" t="s">
        <v>73</v>
      </c>
      <c r="CD130" t="s">
        <v>73</v>
      </c>
      <c r="CE130" t="s">
        <v>73</v>
      </c>
      <c r="CF130" t="s">
        <v>73</v>
      </c>
      <c r="CG130" t="s">
        <v>73</v>
      </c>
      <c r="CH130" t="s">
        <v>73</v>
      </c>
      <c r="CI130" t="s">
        <v>73</v>
      </c>
      <c r="CJ130" t="s">
        <v>73</v>
      </c>
      <c r="CK130" t="s">
        <v>73</v>
      </c>
      <c r="CL130" t="s">
        <v>73</v>
      </c>
      <c r="CM130" t="s">
        <v>73</v>
      </c>
      <c r="CN130" t="s">
        <v>73</v>
      </c>
      <c r="CO130" t="s">
        <v>73</v>
      </c>
      <c r="CP130" s="206" t="s">
        <v>73</v>
      </c>
    </row>
    <row r="131" spans="47:94" ht="9" customHeight="1">
      <c r="AU131" s="205" t="s">
        <v>73</v>
      </c>
      <c r="AV131" t="s">
        <v>73</v>
      </c>
      <c r="AW131" t="s">
        <v>73</v>
      </c>
      <c r="AX131" t="s">
        <v>73</v>
      </c>
      <c r="AY131" t="s">
        <v>73</v>
      </c>
      <c r="AZ131" t="s">
        <v>73</v>
      </c>
      <c r="BA131" t="s">
        <v>73</v>
      </c>
      <c r="BB131" t="s">
        <v>73</v>
      </c>
      <c r="BC131" t="s">
        <v>73</v>
      </c>
      <c r="BD131" t="s">
        <v>73</v>
      </c>
      <c r="BE131" t="s">
        <v>73</v>
      </c>
      <c r="BF131" t="s">
        <v>73</v>
      </c>
      <c r="BG131" t="s">
        <v>73</v>
      </c>
      <c r="BH131" t="s">
        <v>73</v>
      </c>
      <c r="BI131" t="s">
        <v>73</v>
      </c>
      <c r="BJ131" t="s">
        <v>73</v>
      </c>
      <c r="BK131" t="s">
        <v>73</v>
      </c>
      <c r="BL131" t="s">
        <v>73</v>
      </c>
      <c r="BM131" t="s">
        <v>73</v>
      </c>
      <c r="BN131" t="s">
        <v>73</v>
      </c>
      <c r="BS131" t="s">
        <v>73</v>
      </c>
      <c r="BT131" t="s">
        <v>73</v>
      </c>
      <c r="BU131" t="s">
        <v>73</v>
      </c>
      <c r="BV131" t="s">
        <v>73</v>
      </c>
      <c r="BW131" t="s">
        <v>73</v>
      </c>
      <c r="BX131" t="s">
        <v>73</v>
      </c>
      <c r="BY131" t="s">
        <v>73</v>
      </c>
      <c r="BZ131" t="s">
        <v>73</v>
      </c>
      <c r="CA131" t="s">
        <v>73</v>
      </c>
      <c r="CB131" t="s">
        <v>73</v>
      </c>
      <c r="CC131" t="s">
        <v>73</v>
      </c>
      <c r="CD131" t="s">
        <v>73</v>
      </c>
      <c r="CE131" t="s">
        <v>73</v>
      </c>
      <c r="CF131" t="s">
        <v>73</v>
      </c>
      <c r="CG131" t="s">
        <v>73</v>
      </c>
      <c r="CH131" t="s">
        <v>73</v>
      </c>
      <c r="CI131" t="s">
        <v>73</v>
      </c>
      <c r="CJ131" t="s">
        <v>73</v>
      </c>
      <c r="CK131" t="s">
        <v>73</v>
      </c>
      <c r="CL131" t="s">
        <v>73</v>
      </c>
      <c r="CM131" t="s">
        <v>73</v>
      </c>
      <c r="CN131" t="s">
        <v>73</v>
      </c>
      <c r="CO131" t="s">
        <v>73</v>
      </c>
      <c r="CP131" s="206" t="s">
        <v>73</v>
      </c>
    </row>
    <row r="132" spans="47:94" ht="9" customHeight="1" thickBot="1">
      <c r="AU132" s="207" t="s">
        <v>73</v>
      </c>
      <c r="AV132" s="217" t="s">
        <v>73</v>
      </c>
      <c r="AW132" s="217" t="s">
        <v>73</v>
      </c>
      <c r="AX132" s="217" t="s">
        <v>73</v>
      </c>
      <c r="AY132" s="217" t="s">
        <v>73</v>
      </c>
      <c r="AZ132" s="217" t="s">
        <v>73</v>
      </c>
      <c r="BA132" s="217" t="s">
        <v>73</v>
      </c>
      <c r="BB132" s="217" t="s">
        <v>73</v>
      </c>
      <c r="BC132" s="217" t="s">
        <v>73</v>
      </c>
      <c r="BD132" s="217" t="s">
        <v>73</v>
      </c>
      <c r="BE132" s="217" t="s">
        <v>73</v>
      </c>
      <c r="BF132" s="217" t="s">
        <v>73</v>
      </c>
      <c r="BG132" s="217" t="s">
        <v>73</v>
      </c>
      <c r="BH132" s="217" t="s">
        <v>73</v>
      </c>
      <c r="BI132" s="217" t="s">
        <v>73</v>
      </c>
      <c r="BJ132" s="217" t="s">
        <v>73</v>
      </c>
      <c r="BK132" s="217" t="s">
        <v>73</v>
      </c>
      <c r="BL132" s="217" t="s">
        <v>73</v>
      </c>
      <c r="BM132" s="217" t="s">
        <v>73</v>
      </c>
      <c r="BN132" s="217" t="s">
        <v>73</v>
      </c>
      <c r="BO132" s="217"/>
      <c r="BP132" s="217"/>
      <c r="BQ132" s="217"/>
      <c r="BR132" s="217"/>
      <c r="BS132" s="217" t="s">
        <v>73</v>
      </c>
      <c r="BT132" s="217" t="s">
        <v>73</v>
      </c>
      <c r="BU132" s="217" t="s">
        <v>73</v>
      </c>
      <c r="BV132" s="217" t="s">
        <v>73</v>
      </c>
      <c r="BW132" s="217" t="s">
        <v>73</v>
      </c>
      <c r="BX132" s="217" t="s">
        <v>73</v>
      </c>
      <c r="BY132" s="217" t="s">
        <v>73</v>
      </c>
      <c r="BZ132" s="217" t="s">
        <v>73</v>
      </c>
      <c r="CA132" s="217" t="s">
        <v>73</v>
      </c>
      <c r="CB132" s="217" t="s">
        <v>73</v>
      </c>
      <c r="CC132" s="217" t="s">
        <v>73</v>
      </c>
      <c r="CD132" s="217" t="s">
        <v>73</v>
      </c>
      <c r="CE132" s="217" t="s">
        <v>73</v>
      </c>
      <c r="CF132" s="217" t="s">
        <v>73</v>
      </c>
      <c r="CG132" s="217" t="s">
        <v>73</v>
      </c>
      <c r="CH132" s="217" t="s">
        <v>73</v>
      </c>
      <c r="CI132" s="217" t="s">
        <v>73</v>
      </c>
      <c r="CJ132" s="217" t="s">
        <v>73</v>
      </c>
      <c r="CK132" s="217" t="s">
        <v>73</v>
      </c>
      <c r="CL132" s="217" t="s">
        <v>73</v>
      </c>
      <c r="CM132" s="217" t="s">
        <v>73</v>
      </c>
      <c r="CN132" s="217" t="s">
        <v>73</v>
      </c>
      <c r="CO132" s="217" t="s">
        <v>73</v>
      </c>
      <c r="CP132" s="159" t="s">
        <v>73</v>
      </c>
    </row>
    <row r="133" spans="47:94" ht="9" customHeight="1">
      <c r="BG133" s="203" t="s">
        <v>73</v>
      </c>
      <c r="BH133" s="216" t="s">
        <v>73</v>
      </c>
      <c r="BI133" s="216" t="s">
        <v>73</v>
      </c>
      <c r="BJ133" s="216" t="s">
        <v>73</v>
      </c>
      <c r="BK133" s="216" t="s">
        <v>73</v>
      </c>
      <c r="BL133" s="216" t="s">
        <v>73</v>
      </c>
      <c r="BM133" s="216" t="s">
        <v>73</v>
      </c>
      <c r="BN133" s="216" t="s">
        <v>73</v>
      </c>
      <c r="BO133" s="216"/>
      <c r="BP133" s="216"/>
      <c r="BQ133" s="216"/>
      <c r="BR133" s="216"/>
      <c r="BS133" s="216" t="s">
        <v>73</v>
      </c>
      <c r="BT133" s="216" t="s">
        <v>73</v>
      </c>
      <c r="BU133" s="216" t="s">
        <v>73</v>
      </c>
      <c r="BV133" s="216" t="s">
        <v>73</v>
      </c>
      <c r="BW133" s="216" t="s">
        <v>73</v>
      </c>
      <c r="BX133" s="216" t="s">
        <v>73</v>
      </c>
      <c r="BY133" s="216" t="s">
        <v>73</v>
      </c>
      <c r="BZ133" s="216" t="s">
        <v>73</v>
      </c>
      <c r="CA133" s="216" t="s">
        <v>73</v>
      </c>
      <c r="CB133" s="216" t="s">
        <v>73</v>
      </c>
      <c r="CC133" s="216" t="s">
        <v>73</v>
      </c>
      <c r="CD133" s="204" t="s">
        <v>73</v>
      </c>
    </row>
    <row r="134" spans="47:94" ht="9" customHeight="1">
      <c r="BG134" s="205" t="s">
        <v>73</v>
      </c>
      <c r="BH134" t="s">
        <v>73</v>
      </c>
      <c r="BI134" t="s">
        <v>73</v>
      </c>
      <c r="BJ134" t="s">
        <v>73</v>
      </c>
      <c r="BK134" t="s">
        <v>73</v>
      </c>
      <c r="BL134" t="s">
        <v>73</v>
      </c>
      <c r="BM134" t="s">
        <v>73</v>
      </c>
      <c r="BN134" t="s">
        <v>73</v>
      </c>
      <c r="BS134" t="s">
        <v>73</v>
      </c>
      <c r="BT134" t="s">
        <v>73</v>
      </c>
      <c r="BU134" t="s">
        <v>73</v>
      </c>
      <c r="BV134" t="s">
        <v>73</v>
      </c>
      <c r="BW134" t="s">
        <v>73</v>
      </c>
      <c r="BX134" t="s">
        <v>73</v>
      </c>
      <c r="BY134" t="s">
        <v>73</v>
      </c>
      <c r="BZ134" t="s">
        <v>73</v>
      </c>
      <c r="CA134" t="s">
        <v>73</v>
      </c>
      <c r="CB134" t="s">
        <v>73</v>
      </c>
      <c r="CC134" t="s">
        <v>73</v>
      </c>
      <c r="CD134" s="206" t="s">
        <v>73</v>
      </c>
    </row>
    <row r="135" spans="47:94" ht="9" customHeight="1">
      <c r="BG135" s="205" t="s">
        <v>73</v>
      </c>
      <c r="BH135" t="s">
        <v>73</v>
      </c>
      <c r="BI135" t="s">
        <v>1348</v>
      </c>
      <c r="BJ135" t="s">
        <v>1348</v>
      </c>
      <c r="BK135" t="s">
        <v>1348</v>
      </c>
      <c r="BL135" t="s">
        <v>1348</v>
      </c>
      <c r="BM135" t="s">
        <v>1348</v>
      </c>
      <c r="BN135" t="s">
        <v>1348</v>
      </c>
      <c r="BO135" t="s">
        <v>1348</v>
      </c>
      <c r="BS135" t="s">
        <v>73</v>
      </c>
      <c r="BT135" t="s">
        <v>73</v>
      </c>
      <c r="BU135" t="s">
        <v>73</v>
      </c>
      <c r="BV135" t="s">
        <v>73</v>
      </c>
      <c r="BW135" t="s">
        <v>73</v>
      </c>
      <c r="BX135" t="s">
        <v>73</v>
      </c>
      <c r="BY135" t="s">
        <v>73</v>
      </c>
      <c r="BZ135" t="s">
        <v>73</v>
      </c>
      <c r="CA135" t="s">
        <v>73</v>
      </c>
      <c r="CB135" t="s">
        <v>73</v>
      </c>
      <c r="CC135" t="s">
        <v>73</v>
      </c>
      <c r="CD135" s="206" t="s">
        <v>73</v>
      </c>
    </row>
    <row r="136" spans="47:94" ht="9" customHeight="1">
      <c r="BG136" s="205" t="s">
        <v>73</v>
      </c>
      <c r="BH136" t="s">
        <v>73</v>
      </c>
      <c r="BI136" t="s">
        <v>1348</v>
      </c>
      <c r="BJ136" t="s">
        <v>1348</v>
      </c>
      <c r="BK136" t="s">
        <v>1348</v>
      </c>
      <c r="BL136" t="s">
        <v>1348</v>
      </c>
      <c r="BM136" t="s">
        <v>1348</v>
      </c>
      <c r="BN136" t="s">
        <v>1348</v>
      </c>
      <c r="BO136" t="s">
        <v>1348</v>
      </c>
      <c r="BS136" t="s">
        <v>73</v>
      </c>
      <c r="CC136" t="s">
        <v>73</v>
      </c>
      <c r="CD136" s="206" t="s">
        <v>73</v>
      </c>
    </row>
    <row r="137" spans="47:94" ht="9" customHeight="1">
      <c r="BG137" s="205" t="s">
        <v>73</v>
      </c>
      <c r="BH137" t="s">
        <v>73</v>
      </c>
      <c r="BI137" t="s">
        <v>1348</v>
      </c>
      <c r="BJ137" t="s">
        <v>1348</v>
      </c>
      <c r="BK137" t="s">
        <v>1348</v>
      </c>
      <c r="BL137" t="s">
        <v>1348</v>
      </c>
      <c r="BM137" t="s">
        <v>1348</v>
      </c>
      <c r="BN137" t="s">
        <v>1348</v>
      </c>
      <c r="BO137" t="s">
        <v>1348</v>
      </c>
      <c r="BS137" t="s">
        <v>73</v>
      </c>
      <c r="CC137" t="s">
        <v>73</v>
      </c>
      <c r="CD137" s="206" t="s">
        <v>73</v>
      </c>
    </row>
    <row r="138" spans="47:94" ht="9" customHeight="1">
      <c r="BG138" s="205" t="s">
        <v>73</v>
      </c>
      <c r="BH138" t="s">
        <v>73</v>
      </c>
      <c r="BI138" t="s">
        <v>1348</v>
      </c>
      <c r="BJ138" t="s">
        <v>1348</v>
      </c>
      <c r="BK138" t="s">
        <v>1348</v>
      </c>
      <c r="BL138" t="s">
        <v>1348</v>
      </c>
      <c r="BM138" t="s">
        <v>1348</v>
      </c>
      <c r="BN138" t="s">
        <v>1348</v>
      </c>
      <c r="BO138" t="s">
        <v>1348</v>
      </c>
      <c r="BS138" t="s">
        <v>73</v>
      </c>
      <c r="CC138" t="s">
        <v>73</v>
      </c>
      <c r="CD138" s="206" t="s">
        <v>73</v>
      </c>
    </row>
    <row r="139" spans="47:94" ht="9" customHeight="1">
      <c r="BG139" s="205" t="s">
        <v>73</v>
      </c>
      <c r="BH139" t="s">
        <v>73</v>
      </c>
      <c r="BI139" t="s">
        <v>1348</v>
      </c>
      <c r="BJ139" t="s">
        <v>1348</v>
      </c>
      <c r="BK139" t="s">
        <v>1348</v>
      </c>
      <c r="BL139" t="s">
        <v>1348</v>
      </c>
      <c r="BM139" t="s">
        <v>1348</v>
      </c>
      <c r="BN139" t="s">
        <v>1348</v>
      </c>
      <c r="BO139" t="s">
        <v>1348</v>
      </c>
      <c r="BS139" t="s">
        <v>73</v>
      </c>
      <c r="BT139" t="s">
        <v>73</v>
      </c>
      <c r="BU139" t="s">
        <v>73</v>
      </c>
      <c r="BV139" t="s">
        <v>73</v>
      </c>
      <c r="BW139" t="s">
        <v>73</v>
      </c>
      <c r="BX139" t="s">
        <v>73</v>
      </c>
      <c r="BY139" t="s">
        <v>73</v>
      </c>
      <c r="BZ139" t="s">
        <v>73</v>
      </c>
      <c r="CA139" t="s">
        <v>73</v>
      </c>
      <c r="CC139" t="s">
        <v>73</v>
      </c>
      <c r="CD139" s="206" t="s">
        <v>73</v>
      </c>
    </row>
    <row r="140" spans="47:94" ht="9" customHeight="1">
      <c r="BG140" s="205" t="s">
        <v>73</v>
      </c>
      <c r="BH140" t="s">
        <v>73</v>
      </c>
      <c r="BI140" t="s">
        <v>1348</v>
      </c>
      <c r="BJ140" t="s">
        <v>1348</v>
      </c>
      <c r="BK140" t="s">
        <v>1348</v>
      </c>
      <c r="BL140" t="s">
        <v>1348</v>
      </c>
      <c r="BM140" t="s">
        <v>1348</v>
      </c>
      <c r="BN140" t="s">
        <v>1348</v>
      </c>
      <c r="BO140" t="s">
        <v>1348</v>
      </c>
      <c r="BS140" t="s">
        <v>73</v>
      </c>
      <c r="BT140" t="s">
        <v>73</v>
      </c>
      <c r="BU140" t="s">
        <v>73</v>
      </c>
      <c r="BV140" t="s">
        <v>73</v>
      </c>
      <c r="BW140" t="s">
        <v>73</v>
      </c>
      <c r="BX140" t="s">
        <v>73</v>
      </c>
      <c r="BY140" t="s">
        <v>73</v>
      </c>
      <c r="BZ140" t="s">
        <v>73</v>
      </c>
      <c r="CA140" t="s">
        <v>73</v>
      </c>
      <c r="CC140" t="s">
        <v>73</v>
      </c>
      <c r="CD140" s="206" t="s">
        <v>73</v>
      </c>
    </row>
    <row r="141" spans="47:94" ht="9" customHeight="1">
      <c r="BG141" s="205" t="s">
        <v>73</v>
      </c>
      <c r="BH141" t="s">
        <v>73</v>
      </c>
      <c r="BI141" t="s">
        <v>1348</v>
      </c>
      <c r="BJ141" t="s">
        <v>1348</v>
      </c>
      <c r="BK141" t="s">
        <v>1348</v>
      </c>
      <c r="BL141" t="s">
        <v>1348</v>
      </c>
      <c r="BM141" t="s">
        <v>1348</v>
      </c>
      <c r="BN141" t="s">
        <v>1348</v>
      </c>
      <c r="BO141" t="s">
        <v>1348</v>
      </c>
      <c r="BS141" t="s">
        <v>73</v>
      </c>
      <c r="BT141" t="s">
        <v>73</v>
      </c>
      <c r="BU141" t="s">
        <v>73</v>
      </c>
      <c r="BV141" t="s">
        <v>73</v>
      </c>
      <c r="BW141" t="s">
        <v>73</v>
      </c>
      <c r="BX141" t="s">
        <v>73</v>
      </c>
      <c r="BY141" t="s">
        <v>73</v>
      </c>
      <c r="BZ141" t="s">
        <v>73</v>
      </c>
      <c r="CA141" t="s">
        <v>73</v>
      </c>
      <c r="CC141" t="s">
        <v>73</v>
      </c>
      <c r="CD141" s="206" t="s">
        <v>73</v>
      </c>
    </row>
    <row r="142" spans="47:94" ht="9" customHeight="1">
      <c r="BG142" s="205" t="s">
        <v>73</v>
      </c>
      <c r="BH142" t="s">
        <v>73</v>
      </c>
      <c r="BS142" t="s">
        <v>73</v>
      </c>
      <c r="BT142" t="s">
        <v>73</v>
      </c>
      <c r="BU142" t="s">
        <v>73</v>
      </c>
      <c r="BV142" t="s">
        <v>73</v>
      </c>
      <c r="BW142" t="s">
        <v>73</v>
      </c>
      <c r="BX142" t="s">
        <v>73</v>
      </c>
      <c r="BY142" t="s">
        <v>73</v>
      </c>
      <c r="BZ142" t="s">
        <v>73</v>
      </c>
      <c r="CA142" t="s">
        <v>73</v>
      </c>
      <c r="CC142" t="s">
        <v>73</v>
      </c>
      <c r="CD142" s="206" t="s">
        <v>73</v>
      </c>
    </row>
    <row r="143" spans="47:94" ht="9" customHeight="1">
      <c r="BG143" s="205" t="s">
        <v>73</v>
      </c>
      <c r="BH143" t="s">
        <v>73</v>
      </c>
      <c r="BS143" t="s">
        <v>73</v>
      </c>
      <c r="BT143" t="s">
        <v>73</v>
      </c>
      <c r="BU143" t="s">
        <v>73</v>
      </c>
      <c r="BV143" t="s">
        <v>73</v>
      </c>
      <c r="BW143" t="s">
        <v>73</v>
      </c>
      <c r="BX143" t="s">
        <v>73</v>
      </c>
      <c r="BY143" t="s">
        <v>73</v>
      </c>
      <c r="BZ143" t="s">
        <v>73</v>
      </c>
      <c r="CA143" t="s">
        <v>73</v>
      </c>
      <c r="CC143" t="s">
        <v>73</v>
      </c>
      <c r="CD143" s="206" t="s">
        <v>73</v>
      </c>
    </row>
    <row r="144" spans="47:94" ht="9" customHeight="1">
      <c r="BG144" s="205" t="s">
        <v>73</v>
      </c>
      <c r="BH144" t="s">
        <v>73</v>
      </c>
      <c r="BS144" t="s">
        <v>73</v>
      </c>
      <c r="BT144" t="s">
        <v>73</v>
      </c>
      <c r="BU144" t="s">
        <v>73</v>
      </c>
      <c r="BV144" t="s">
        <v>73</v>
      </c>
      <c r="BW144" t="s">
        <v>73</v>
      </c>
      <c r="BX144" t="s">
        <v>1349</v>
      </c>
      <c r="BY144" t="s">
        <v>73</v>
      </c>
      <c r="BZ144" t="s">
        <v>73</v>
      </c>
      <c r="CA144" t="s">
        <v>73</v>
      </c>
      <c r="CC144" t="s">
        <v>73</v>
      </c>
      <c r="CD144" s="206" t="s">
        <v>73</v>
      </c>
    </row>
    <row r="145" spans="59:82" ht="9" customHeight="1">
      <c r="BG145" s="205" t="s">
        <v>73</v>
      </c>
      <c r="BH145" t="s">
        <v>73</v>
      </c>
      <c r="BS145" t="s">
        <v>73</v>
      </c>
      <c r="BU145" t="s">
        <v>73</v>
      </c>
      <c r="CC145" t="s">
        <v>73</v>
      </c>
      <c r="CD145" s="206" t="s">
        <v>73</v>
      </c>
    </row>
    <row r="146" spans="59:82" ht="9" customHeight="1">
      <c r="BG146" s="205" t="s">
        <v>73</v>
      </c>
      <c r="BH146" t="s">
        <v>73</v>
      </c>
      <c r="BI146" t="s">
        <v>73</v>
      </c>
      <c r="BJ146" t="s">
        <v>73</v>
      </c>
      <c r="BO146" t="s">
        <v>73</v>
      </c>
      <c r="BP146" t="s">
        <v>73</v>
      </c>
      <c r="BQ146" t="s">
        <v>73</v>
      </c>
      <c r="BS146" t="s">
        <v>73</v>
      </c>
      <c r="CC146" t="s">
        <v>73</v>
      </c>
      <c r="CD146" s="206" t="s">
        <v>73</v>
      </c>
    </row>
    <row r="147" spans="59:82" ht="9" customHeight="1">
      <c r="BG147" s="205" t="s">
        <v>73</v>
      </c>
      <c r="BH147" t="s">
        <v>73</v>
      </c>
      <c r="BI147" t="s">
        <v>73</v>
      </c>
      <c r="BJ147" t="s">
        <v>73</v>
      </c>
      <c r="BK147" t="s">
        <v>73</v>
      </c>
      <c r="BL147" s="259" t="s">
        <v>1437</v>
      </c>
      <c r="BM147" s="259" t="s">
        <v>1437</v>
      </c>
      <c r="BN147" t="s">
        <v>73</v>
      </c>
      <c r="BO147" t="s">
        <v>73</v>
      </c>
      <c r="BP147" t="s">
        <v>73</v>
      </c>
      <c r="BQ147" t="s">
        <v>73</v>
      </c>
      <c r="CC147" t="s">
        <v>73</v>
      </c>
      <c r="CD147" s="206" t="s">
        <v>73</v>
      </c>
    </row>
    <row r="148" spans="59:82" ht="9" customHeight="1">
      <c r="BG148" s="205" t="s">
        <v>73</v>
      </c>
      <c r="BH148" t="s">
        <v>73</v>
      </c>
      <c r="BI148" t="s">
        <v>73</v>
      </c>
      <c r="BJ148" t="s">
        <v>73</v>
      </c>
      <c r="BK148" t="s">
        <v>73</v>
      </c>
      <c r="BL148" t="s">
        <v>73</v>
      </c>
      <c r="BM148" t="s">
        <v>73</v>
      </c>
      <c r="BN148" t="s">
        <v>73</v>
      </c>
      <c r="BO148" t="s">
        <v>73</v>
      </c>
      <c r="BP148" t="s">
        <v>73</v>
      </c>
      <c r="BQ148" t="s">
        <v>73</v>
      </c>
      <c r="BR148" t="s">
        <v>73</v>
      </c>
      <c r="BS148" t="s">
        <v>73</v>
      </c>
      <c r="BT148" t="s">
        <v>73</v>
      </c>
      <c r="CC148" t="s">
        <v>73</v>
      </c>
      <c r="CD148" s="206" t="s">
        <v>73</v>
      </c>
    </row>
    <row r="149" spans="59:82" ht="9" customHeight="1">
      <c r="BG149" s="205" t="s">
        <v>73</v>
      </c>
      <c r="BH149" t="s">
        <v>73</v>
      </c>
      <c r="BI149" t="s">
        <v>73</v>
      </c>
      <c r="BJ149" t="s">
        <v>73</v>
      </c>
      <c r="BK149" t="s">
        <v>73</v>
      </c>
      <c r="BL149" t="s">
        <v>73</v>
      </c>
      <c r="BM149" t="s">
        <v>73</v>
      </c>
      <c r="BN149" t="s">
        <v>73</v>
      </c>
      <c r="BO149" t="s">
        <v>73</v>
      </c>
      <c r="BP149" t="s">
        <v>73</v>
      </c>
      <c r="BQ149" t="s">
        <v>73</v>
      </c>
      <c r="BR149" t="s">
        <v>73</v>
      </c>
      <c r="BS149" t="s">
        <v>73</v>
      </c>
      <c r="BT149" t="s">
        <v>73</v>
      </c>
      <c r="CC149" t="s">
        <v>73</v>
      </c>
      <c r="CD149" s="206" t="s">
        <v>73</v>
      </c>
    </row>
    <row r="150" spans="59:82" ht="9" customHeight="1">
      <c r="BG150" s="205" t="s">
        <v>73</v>
      </c>
      <c r="BH150" t="s">
        <v>73</v>
      </c>
      <c r="BI150" t="s">
        <v>73</v>
      </c>
      <c r="BJ150" t="s">
        <v>73</v>
      </c>
      <c r="BK150" t="s">
        <v>73</v>
      </c>
      <c r="BL150" t="s">
        <v>73</v>
      </c>
      <c r="BM150" t="s">
        <v>73</v>
      </c>
      <c r="BN150" t="s">
        <v>73</v>
      </c>
      <c r="BO150" t="s">
        <v>73</v>
      </c>
      <c r="BP150" t="s">
        <v>73</v>
      </c>
      <c r="BQ150" t="s">
        <v>73</v>
      </c>
      <c r="BR150" t="s">
        <v>73</v>
      </c>
      <c r="BS150" t="s">
        <v>73</v>
      </c>
      <c r="BT150" t="s">
        <v>73</v>
      </c>
      <c r="CC150" t="s">
        <v>73</v>
      </c>
      <c r="CD150" s="206" t="s">
        <v>73</v>
      </c>
    </row>
    <row r="151" spans="59:82" ht="9" customHeight="1">
      <c r="BG151" s="205" t="s">
        <v>73</v>
      </c>
      <c r="BH151" t="s">
        <v>73</v>
      </c>
      <c r="BI151" t="s">
        <v>73</v>
      </c>
      <c r="BJ151" t="s">
        <v>73</v>
      </c>
      <c r="BK151" t="s">
        <v>73</v>
      </c>
      <c r="BL151" t="s">
        <v>73</v>
      </c>
      <c r="BM151" t="s">
        <v>73</v>
      </c>
      <c r="BN151" t="s">
        <v>73</v>
      </c>
      <c r="BO151" t="s">
        <v>73</v>
      </c>
      <c r="BP151" t="s">
        <v>73</v>
      </c>
      <c r="BQ151" t="s">
        <v>73</v>
      </c>
      <c r="BR151" t="s">
        <v>73</v>
      </c>
      <c r="BS151" t="s">
        <v>73</v>
      </c>
      <c r="BT151" t="s">
        <v>73</v>
      </c>
      <c r="CC151" t="s">
        <v>73</v>
      </c>
      <c r="CD151" s="206" t="s">
        <v>73</v>
      </c>
    </row>
    <row r="152" spans="59:82" ht="9" customHeight="1">
      <c r="BG152" s="205" t="s">
        <v>73</v>
      </c>
      <c r="BH152" t="s">
        <v>73</v>
      </c>
      <c r="BI152" t="s">
        <v>73</v>
      </c>
      <c r="BJ152" t="s">
        <v>73</v>
      </c>
      <c r="BK152" t="s">
        <v>73</v>
      </c>
      <c r="BL152" t="s">
        <v>73</v>
      </c>
      <c r="BM152" t="s">
        <v>73</v>
      </c>
      <c r="BN152" t="s">
        <v>73</v>
      </c>
      <c r="BO152" t="s">
        <v>73</v>
      </c>
      <c r="BP152" t="s">
        <v>73</v>
      </c>
      <c r="BQ152" t="s">
        <v>73</v>
      </c>
      <c r="BR152" t="s">
        <v>73</v>
      </c>
      <c r="BS152" t="s">
        <v>73</v>
      </c>
      <c r="BT152" t="s">
        <v>73</v>
      </c>
      <c r="CC152" t="s">
        <v>73</v>
      </c>
      <c r="CD152" s="206" t="s">
        <v>73</v>
      </c>
    </row>
    <row r="153" spans="59:82" ht="9" customHeight="1">
      <c r="BG153" s="205" t="s">
        <v>73</v>
      </c>
      <c r="BH153" t="s">
        <v>73</v>
      </c>
      <c r="BI153" t="s">
        <v>73</v>
      </c>
      <c r="BJ153" t="s">
        <v>73</v>
      </c>
      <c r="BK153" t="s">
        <v>73</v>
      </c>
      <c r="BL153" t="s">
        <v>73</v>
      </c>
      <c r="BM153" t="s">
        <v>73</v>
      </c>
      <c r="BN153" t="s">
        <v>73</v>
      </c>
      <c r="BO153" t="s">
        <v>73</v>
      </c>
      <c r="BP153" t="s">
        <v>73</v>
      </c>
      <c r="BQ153" t="s">
        <v>73</v>
      </c>
      <c r="BR153" t="s">
        <v>73</v>
      </c>
      <c r="BS153" t="s">
        <v>73</v>
      </c>
      <c r="BT153" t="s">
        <v>73</v>
      </c>
      <c r="BU153" t="s">
        <v>73</v>
      </c>
      <c r="BV153" t="s">
        <v>73</v>
      </c>
      <c r="BW153" t="s">
        <v>73</v>
      </c>
      <c r="BX153" t="s">
        <v>73</v>
      </c>
      <c r="BY153" t="s">
        <v>73</v>
      </c>
      <c r="CC153" t="s">
        <v>73</v>
      </c>
      <c r="CD153" s="206" t="s">
        <v>73</v>
      </c>
    </row>
    <row r="154" spans="59:82" ht="9" customHeight="1">
      <c r="BG154" s="205" t="s">
        <v>73</v>
      </c>
      <c r="BH154" t="s">
        <v>73</v>
      </c>
      <c r="BI154" t="s">
        <v>73</v>
      </c>
      <c r="BJ154" t="s">
        <v>73</v>
      </c>
      <c r="BK154" t="s">
        <v>73</v>
      </c>
      <c r="BL154" t="s">
        <v>73</v>
      </c>
      <c r="BM154" t="s">
        <v>73</v>
      </c>
      <c r="BN154" t="s">
        <v>73</v>
      </c>
      <c r="BO154" t="s">
        <v>73</v>
      </c>
      <c r="BP154" t="s">
        <v>73</v>
      </c>
      <c r="BQ154" t="s">
        <v>73</v>
      </c>
      <c r="BR154" t="s">
        <v>73</v>
      </c>
      <c r="BS154" t="s">
        <v>73</v>
      </c>
      <c r="BT154" t="s">
        <v>73</v>
      </c>
      <c r="BU154" t="s">
        <v>73</v>
      </c>
      <c r="BV154" t="s">
        <v>73</v>
      </c>
      <c r="BW154" t="s">
        <v>73</v>
      </c>
      <c r="BX154" t="s">
        <v>73</v>
      </c>
      <c r="BY154" t="s">
        <v>73</v>
      </c>
      <c r="CC154" t="s">
        <v>73</v>
      </c>
      <c r="CD154" s="206" t="s">
        <v>73</v>
      </c>
    </row>
    <row r="155" spans="59:82" ht="9" customHeight="1">
      <c r="BG155" s="205" t="s">
        <v>73</v>
      </c>
      <c r="BH155" t="s">
        <v>73</v>
      </c>
      <c r="BI155" t="s">
        <v>73</v>
      </c>
      <c r="BJ155" t="s">
        <v>73</v>
      </c>
      <c r="BK155" t="s">
        <v>73</v>
      </c>
      <c r="BL155" t="s">
        <v>73</v>
      </c>
      <c r="BM155" t="s">
        <v>73</v>
      </c>
      <c r="BN155" t="s">
        <v>73</v>
      </c>
      <c r="BO155" t="s">
        <v>73</v>
      </c>
      <c r="BP155" t="s">
        <v>73</v>
      </c>
      <c r="BQ155" t="s">
        <v>73</v>
      </c>
      <c r="BR155" t="s">
        <v>73</v>
      </c>
      <c r="BS155" t="s">
        <v>73</v>
      </c>
      <c r="BT155" t="s">
        <v>73</v>
      </c>
      <c r="BU155" t="s">
        <v>73</v>
      </c>
      <c r="BV155" t="s">
        <v>73</v>
      </c>
      <c r="BW155" t="s">
        <v>73</v>
      </c>
      <c r="BX155" t="s">
        <v>73</v>
      </c>
      <c r="BY155" t="s">
        <v>73</v>
      </c>
      <c r="CC155" t="s">
        <v>73</v>
      </c>
      <c r="CD155" s="206" t="s">
        <v>73</v>
      </c>
    </row>
    <row r="156" spans="59:82" ht="9" customHeight="1">
      <c r="BG156" s="205" t="s">
        <v>73</v>
      </c>
      <c r="BH156" t="s">
        <v>73</v>
      </c>
      <c r="BI156" t="s">
        <v>73</v>
      </c>
      <c r="BJ156" t="s">
        <v>73</v>
      </c>
      <c r="BK156" t="s">
        <v>73</v>
      </c>
      <c r="BL156" t="s">
        <v>73</v>
      </c>
      <c r="BM156" t="s">
        <v>73</v>
      </c>
      <c r="BN156" t="s">
        <v>73</v>
      </c>
      <c r="BO156" t="s">
        <v>73</v>
      </c>
      <c r="BP156" t="s">
        <v>73</v>
      </c>
      <c r="BQ156" t="s">
        <v>73</v>
      </c>
      <c r="BR156" t="s">
        <v>73</v>
      </c>
      <c r="BS156" t="s">
        <v>73</v>
      </c>
      <c r="BT156" t="s">
        <v>73</v>
      </c>
      <c r="BU156" t="s">
        <v>73</v>
      </c>
      <c r="BV156" t="s">
        <v>73</v>
      </c>
      <c r="CC156" t="s">
        <v>73</v>
      </c>
      <c r="CD156" s="206" t="s">
        <v>73</v>
      </c>
    </row>
    <row r="157" spans="59:82" ht="9" customHeight="1">
      <c r="BG157" s="205" t="s">
        <v>73</v>
      </c>
      <c r="BH157" t="s">
        <v>73</v>
      </c>
      <c r="BI157" t="s">
        <v>73</v>
      </c>
      <c r="BJ157" t="s">
        <v>73</v>
      </c>
      <c r="BK157" t="s">
        <v>73</v>
      </c>
      <c r="BL157" t="s">
        <v>73</v>
      </c>
      <c r="BM157" t="s">
        <v>73</v>
      </c>
      <c r="BN157" t="s">
        <v>73</v>
      </c>
      <c r="BO157" t="s">
        <v>73</v>
      </c>
      <c r="BP157" t="s">
        <v>73</v>
      </c>
      <c r="BQ157" t="s">
        <v>73</v>
      </c>
      <c r="BR157" t="s">
        <v>73</v>
      </c>
      <c r="BS157" t="s">
        <v>73</v>
      </c>
      <c r="BT157" t="s">
        <v>73</v>
      </c>
      <c r="BU157" t="s">
        <v>73</v>
      </c>
      <c r="BV157" t="s">
        <v>73</v>
      </c>
      <c r="CC157" t="s">
        <v>73</v>
      </c>
      <c r="CD157" s="206" t="s">
        <v>73</v>
      </c>
    </row>
    <row r="158" spans="59:82" ht="9" customHeight="1">
      <c r="BG158" s="205" t="s">
        <v>73</v>
      </c>
      <c r="BH158" t="s">
        <v>73</v>
      </c>
      <c r="BI158" t="s">
        <v>73</v>
      </c>
      <c r="BJ158" t="s">
        <v>73</v>
      </c>
      <c r="BK158" t="s">
        <v>73</v>
      </c>
      <c r="BL158" t="s">
        <v>73</v>
      </c>
      <c r="BM158" t="s">
        <v>73</v>
      </c>
      <c r="BN158" t="s">
        <v>73</v>
      </c>
      <c r="BO158" t="s">
        <v>73</v>
      </c>
      <c r="BP158" t="s">
        <v>73</v>
      </c>
      <c r="BQ158" t="s">
        <v>73</v>
      </c>
      <c r="BR158" t="s">
        <v>73</v>
      </c>
      <c r="BS158" t="s">
        <v>73</v>
      </c>
      <c r="BT158" t="s">
        <v>73</v>
      </c>
      <c r="BU158" t="s">
        <v>73</v>
      </c>
      <c r="BV158" t="s">
        <v>73</v>
      </c>
      <c r="CC158" t="s">
        <v>73</v>
      </c>
      <c r="CD158" s="206" t="s">
        <v>73</v>
      </c>
    </row>
    <row r="159" spans="59:82" ht="9" customHeight="1">
      <c r="BG159" s="205" t="s">
        <v>73</v>
      </c>
      <c r="BH159" t="s">
        <v>73</v>
      </c>
      <c r="BI159" t="s">
        <v>73</v>
      </c>
      <c r="BJ159" t="s">
        <v>73</v>
      </c>
      <c r="BK159" t="s">
        <v>73</v>
      </c>
      <c r="BL159" t="s">
        <v>73</v>
      </c>
      <c r="BM159" t="s">
        <v>73</v>
      </c>
      <c r="BN159" t="s">
        <v>73</v>
      </c>
      <c r="BO159" t="s">
        <v>73</v>
      </c>
      <c r="BP159" t="s">
        <v>73</v>
      </c>
      <c r="BQ159" t="s">
        <v>73</v>
      </c>
      <c r="BR159" t="s">
        <v>73</v>
      </c>
      <c r="BS159" t="s">
        <v>73</v>
      </c>
      <c r="BT159" t="s">
        <v>73</v>
      </c>
      <c r="BU159" t="s">
        <v>73</v>
      </c>
      <c r="BV159" t="s">
        <v>73</v>
      </c>
      <c r="BW159" t="s">
        <v>73</v>
      </c>
      <c r="BX159" t="s">
        <v>73</v>
      </c>
      <c r="BZ159" t="s">
        <v>73</v>
      </c>
      <c r="CA159" t="s">
        <v>73</v>
      </c>
      <c r="CB159" t="s">
        <v>73</v>
      </c>
      <c r="CC159" t="s">
        <v>73</v>
      </c>
      <c r="CD159" s="206" t="s">
        <v>73</v>
      </c>
    </row>
    <row r="160" spans="59:82" ht="9" customHeight="1">
      <c r="BG160" s="205" t="s">
        <v>73</v>
      </c>
      <c r="BH160" t="s">
        <v>73</v>
      </c>
      <c r="BI160" t="s">
        <v>73</v>
      </c>
      <c r="BJ160" t="s">
        <v>73</v>
      </c>
      <c r="BK160" t="s">
        <v>73</v>
      </c>
      <c r="BL160" t="s">
        <v>73</v>
      </c>
      <c r="BM160" t="s">
        <v>73</v>
      </c>
      <c r="BN160" t="s">
        <v>73</v>
      </c>
      <c r="BO160" t="s">
        <v>73</v>
      </c>
      <c r="BP160" t="s">
        <v>73</v>
      </c>
      <c r="BQ160" t="s">
        <v>73</v>
      </c>
      <c r="BR160" t="s">
        <v>73</v>
      </c>
      <c r="BS160" t="s">
        <v>73</v>
      </c>
      <c r="BT160" t="s">
        <v>73</v>
      </c>
      <c r="BU160" t="s">
        <v>73</v>
      </c>
      <c r="BV160" t="s">
        <v>73</v>
      </c>
      <c r="CC160" t="s">
        <v>73</v>
      </c>
      <c r="CD160" s="206" t="s">
        <v>73</v>
      </c>
    </row>
    <row r="161" spans="59:82" ht="9" customHeight="1">
      <c r="BG161" s="205" t="s">
        <v>73</v>
      </c>
      <c r="BH161" t="s">
        <v>73</v>
      </c>
      <c r="BI161" t="s">
        <v>73</v>
      </c>
      <c r="BJ161" t="s">
        <v>73</v>
      </c>
      <c r="BK161" t="s">
        <v>73</v>
      </c>
      <c r="BL161" t="s">
        <v>73</v>
      </c>
      <c r="BM161" t="s">
        <v>73</v>
      </c>
      <c r="BN161" t="s">
        <v>73</v>
      </c>
      <c r="BO161" t="s">
        <v>73</v>
      </c>
      <c r="BP161" t="s">
        <v>73</v>
      </c>
      <c r="BQ161" t="s">
        <v>73</v>
      </c>
      <c r="BR161" t="s">
        <v>73</v>
      </c>
      <c r="BS161" t="s">
        <v>73</v>
      </c>
      <c r="BT161" t="s">
        <v>73</v>
      </c>
      <c r="BU161" t="s">
        <v>73</v>
      </c>
      <c r="BV161" t="s">
        <v>73</v>
      </c>
      <c r="CC161" t="s">
        <v>73</v>
      </c>
      <c r="CD161" s="206" t="s">
        <v>73</v>
      </c>
    </row>
    <row r="162" spans="59:82" ht="9" customHeight="1">
      <c r="BG162" s="205" t="s">
        <v>73</v>
      </c>
      <c r="BH162" t="s">
        <v>73</v>
      </c>
      <c r="BI162" t="s">
        <v>73</v>
      </c>
      <c r="BJ162" t="s">
        <v>73</v>
      </c>
      <c r="BK162" t="s">
        <v>73</v>
      </c>
      <c r="BL162" t="s">
        <v>73</v>
      </c>
      <c r="BM162" t="s">
        <v>73</v>
      </c>
      <c r="BN162" t="s">
        <v>73</v>
      </c>
      <c r="BO162" t="s">
        <v>73</v>
      </c>
      <c r="BP162" t="s">
        <v>73</v>
      </c>
      <c r="BQ162" t="s">
        <v>73</v>
      </c>
      <c r="BR162" t="s">
        <v>73</v>
      </c>
      <c r="BS162" t="s">
        <v>73</v>
      </c>
      <c r="BT162" t="s">
        <v>73</v>
      </c>
      <c r="BU162" t="s">
        <v>73</v>
      </c>
      <c r="BV162" t="s">
        <v>73</v>
      </c>
      <c r="CC162" t="s">
        <v>73</v>
      </c>
      <c r="CD162" s="206" t="s">
        <v>73</v>
      </c>
    </row>
    <row r="163" spans="59:82" ht="9" customHeight="1">
      <c r="BG163" s="205" t="s">
        <v>73</v>
      </c>
      <c r="BH163" t="s">
        <v>73</v>
      </c>
      <c r="BI163" t="s">
        <v>73</v>
      </c>
      <c r="BJ163" t="s">
        <v>73</v>
      </c>
      <c r="BK163" t="s">
        <v>73</v>
      </c>
      <c r="BL163" t="s">
        <v>73</v>
      </c>
      <c r="BM163" t="s">
        <v>73</v>
      </c>
      <c r="BN163" t="s">
        <v>73</v>
      </c>
      <c r="BO163" t="s">
        <v>73</v>
      </c>
      <c r="BP163" t="s">
        <v>73</v>
      </c>
      <c r="BQ163" t="s">
        <v>73</v>
      </c>
      <c r="BR163" t="s">
        <v>73</v>
      </c>
      <c r="BS163" t="s">
        <v>73</v>
      </c>
      <c r="BT163" t="s">
        <v>73</v>
      </c>
      <c r="BU163" t="s">
        <v>73</v>
      </c>
      <c r="BV163" t="s">
        <v>73</v>
      </c>
      <c r="CC163" t="s">
        <v>73</v>
      </c>
      <c r="CD163" s="206" t="s">
        <v>73</v>
      </c>
    </row>
    <row r="164" spans="59:82" ht="9" customHeight="1">
      <c r="BG164" s="205" t="s">
        <v>73</v>
      </c>
      <c r="BH164" t="s">
        <v>73</v>
      </c>
      <c r="BI164" t="s">
        <v>73</v>
      </c>
      <c r="BJ164" t="s">
        <v>73</v>
      </c>
      <c r="BK164" t="s">
        <v>73</v>
      </c>
      <c r="BL164" t="s">
        <v>73</v>
      </c>
      <c r="BM164" t="s">
        <v>73</v>
      </c>
      <c r="BN164" t="s">
        <v>73</v>
      </c>
      <c r="BO164" t="s">
        <v>73</v>
      </c>
      <c r="BP164" t="s">
        <v>73</v>
      </c>
      <c r="BQ164" t="s">
        <v>73</v>
      </c>
      <c r="BR164" t="s">
        <v>73</v>
      </c>
      <c r="BS164" t="s">
        <v>73</v>
      </c>
      <c r="BT164" t="s">
        <v>73</v>
      </c>
      <c r="BU164" t="s">
        <v>73</v>
      </c>
      <c r="BV164" t="s">
        <v>73</v>
      </c>
      <c r="CC164" t="s">
        <v>73</v>
      </c>
      <c r="CD164" s="206" t="s">
        <v>73</v>
      </c>
    </row>
    <row r="165" spans="59:82" ht="9" customHeight="1">
      <c r="BG165" s="205" t="s">
        <v>73</v>
      </c>
      <c r="BH165" t="s">
        <v>73</v>
      </c>
      <c r="BI165" t="s">
        <v>73</v>
      </c>
      <c r="BJ165" t="s">
        <v>73</v>
      </c>
      <c r="BK165" t="s">
        <v>73</v>
      </c>
      <c r="BL165" t="s">
        <v>73</v>
      </c>
      <c r="BM165" t="s">
        <v>73</v>
      </c>
      <c r="BN165" t="s">
        <v>73</v>
      </c>
      <c r="BO165" t="s">
        <v>73</v>
      </c>
      <c r="BP165" t="s">
        <v>73</v>
      </c>
      <c r="BQ165" t="s">
        <v>73</v>
      </c>
      <c r="BR165" t="s">
        <v>73</v>
      </c>
      <c r="BS165" t="s">
        <v>73</v>
      </c>
      <c r="BT165" t="s">
        <v>73</v>
      </c>
      <c r="BU165" t="s">
        <v>73</v>
      </c>
      <c r="BV165" t="s">
        <v>73</v>
      </c>
      <c r="BW165" t="s">
        <v>1320</v>
      </c>
      <c r="BX165" t="s">
        <v>1320</v>
      </c>
      <c r="BY165" t="s">
        <v>1320</v>
      </c>
      <c r="CA165" t="s">
        <v>1320</v>
      </c>
      <c r="CB165" t="s">
        <v>1320</v>
      </c>
      <c r="CC165" t="s">
        <v>73</v>
      </c>
      <c r="CD165" s="206" t="s">
        <v>73</v>
      </c>
    </row>
    <row r="166" spans="59:82" ht="9" customHeight="1">
      <c r="BG166" s="205" t="s">
        <v>73</v>
      </c>
      <c r="BH166" t="s">
        <v>73</v>
      </c>
      <c r="BI166" t="s">
        <v>73</v>
      </c>
      <c r="BJ166" t="s">
        <v>73</v>
      </c>
      <c r="BK166" t="s">
        <v>73</v>
      </c>
      <c r="BL166" t="s">
        <v>73</v>
      </c>
      <c r="BM166" t="s">
        <v>73</v>
      </c>
      <c r="BN166" t="s">
        <v>73</v>
      </c>
      <c r="BO166" t="s">
        <v>73</v>
      </c>
      <c r="BP166" t="s">
        <v>73</v>
      </c>
      <c r="BQ166" t="s">
        <v>73</v>
      </c>
      <c r="BR166" t="s">
        <v>73</v>
      </c>
      <c r="BS166" t="s">
        <v>73</v>
      </c>
      <c r="BT166" t="s">
        <v>73</v>
      </c>
      <c r="BU166" t="s">
        <v>73</v>
      </c>
      <c r="BV166" t="s">
        <v>73</v>
      </c>
      <c r="CC166" t="s">
        <v>73</v>
      </c>
      <c r="CD166" s="206" t="s">
        <v>73</v>
      </c>
    </row>
    <row r="167" spans="59:82" ht="9" customHeight="1">
      <c r="BG167" s="205" t="s">
        <v>73</v>
      </c>
      <c r="BH167" t="s">
        <v>73</v>
      </c>
      <c r="BI167" t="s">
        <v>73</v>
      </c>
      <c r="BJ167" t="s">
        <v>73</v>
      </c>
      <c r="BK167" t="s">
        <v>73</v>
      </c>
      <c r="BL167" t="s">
        <v>73</v>
      </c>
      <c r="BM167" t="s">
        <v>73</v>
      </c>
      <c r="BN167" t="s">
        <v>73</v>
      </c>
      <c r="BO167" t="s">
        <v>73</v>
      </c>
      <c r="BP167" t="s">
        <v>73</v>
      </c>
      <c r="BQ167" t="s">
        <v>73</v>
      </c>
      <c r="BR167" t="s">
        <v>73</v>
      </c>
      <c r="BS167" t="s">
        <v>73</v>
      </c>
      <c r="BT167" t="s">
        <v>73</v>
      </c>
      <c r="BU167" t="s">
        <v>73</v>
      </c>
      <c r="BV167" t="s">
        <v>73</v>
      </c>
      <c r="CC167" t="s">
        <v>73</v>
      </c>
      <c r="CD167" s="206" t="s">
        <v>73</v>
      </c>
    </row>
    <row r="168" spans="59:82" ht="9" customHeight="1">
      <c r="BG168" s="205" t="s">
        <v>73</v>
      </c>
      <c r="BH168" t="s">
        <v>73</v>
      </c>
      <c r="BI168" t="s">
        <v>73</v>
      </c>
      <c r="BJ168" t="s">
        <v>73</v>
      </c>
      <c r="BK168" t="s">
        <v>73</v>
      </c>
      <c r="BL168" t="s">
        <v>73</v>
      </c>
      <c r="BM168" t="s">
        <v>73</v>
      </c>
      <c r="BN168" t="s">
        <v>73</v>
      </c>
      <c r="BO168" t="s">
        <v>73</v>
      </c>
      <c r="BP168" t="s">
        <v>73</v>
      </c>
      <c r="BQ168" t="s">
        <v>73</v>
      </c>
      <c r="BR168" t="s">
        <v>73</v>
      </c>
      <c r="BS168" t="s">
        <v>73</v>
      </c>
      <c r="BT168" t="s">
        <v>73</v>
      </c>
      <c r="BU168" t="s">
        <v>73</v>
      </c>
      <c r="BV168" t="s">
        <v>73</v>
      </c>
      <c r="CC168" t="s">
        <v>73</v>
      </c>
      <c r="CD168" s="206" t="s">
        <v>73</v>
      </c>
    </row>
    <row r="169" spans="59:82" ht="9" customHeight="1">
      <c r="BG169" s="205" t="s">
        <v>73</v>
      </c>
      <c r="BH169" t="s">
        <v>73</v>
      </c>
      <c r="BI169" t="s">
        <v>73</v>
      </c>
      <c r="BJ169" t="s">
        <v>73</v>
      </c>
      <c r="BK169" t="s">
        <v>73</v>
      </c>
      <c r="BL169" t="s">
        <v>73</v>
      </c>
      <c r="BM169" t="s">
        <v>73</v>
      </c>
      <c r="BN169" t="s">
        <v>73</v>
      </c>
      <c r="BO169" t="s">
        <v>73</v>
      </c>
      <c r="BP169" t="s">
        <v>73</v>
      </c>
      <c r="BQ169" t="s">
        <v>73</v>
      </c>
      <c r="BR169" t="s">
        <v>73</v>
      </c>
      <c r="BS169" t="s">
        <v>73</v>
      </c>
      <c r="BT169" t="s">
        <v>73</v>
      </c>
      <c r="BU169" t="s">
        <v>73</v>
      </c>
      <c r="BV169" t="s">
        <v>73</v>
      </c>
      <c r="CC169" t="s">
        <v>73</v>
      </c>
      <c r="CD169" s="206" t="s">
        <v>73</v>
      </c>
    </row>
    <row r="170" spans="59:82" ht="9" customHeight="1">
      <c r="BG170" s="205" t="s">
        <v>73</v>
      </c>
      <c r="BH170" t="s">
        <v>73</v>
      </c>
      <c r="BI170" t="s">
        <v>73</v>
      </c>
      <c r="BJ170" t="s">
        <v>73</v>
      </c>
      <c r="BK170" t="s">
        <v>73</v>
      </c>
      <c r="BL170" t="s">
        <v>73</v>
      </c>
      <c r="BM170" t="s">
        <v>73</v>
      </c>
      <c r="BN170" t="s">
        <v>73</v>
      </c>
      <c r="BO170" t="s">
        <v>73</v>
      </c>
      <c r="BP170" t="s">
        <v>73</v>
      </c>
      <c r="BQ170" t="s">
        <v>73</v>
      </c>
      <c r="BR170" t="s">
        <v>73</v>
      </c>
      <c r="BS170" t="s">
        <v>73</v>
      </c>
      <c r="BT170" t="s">
        <v>73</v>
      </c>
      <c r="BU170" t="s">
        <v>73</v>
      </c>
      <c r="BV170" t="s">
        <v>73</v>
      </c>
      <c r="BW170" t="s">
        <v>1320</v>
      </c>
      <c r="BX170" t="s">
        <v>1320</v>
      </c>
      <c r="BY170" t="s">
        <v>1320</v>
      </c>
      <c r="CA170" t="s">
        <v>1320</v>
      </c>
      <c r="CB170" t="s">
        <v>1320</v>
      </c>
      <c r="CC170" t="s">
        <v>73</v>
      </c>
      <c r="CD170" s="206" t="s">
        <v>73</v>
      </c>
    </row>
    <row r="171" spans="59:82" ht="9" customHeight="1">
      <c r="BG171" s="205" t="s">
        <v>73</v>
      </c>
      <c r="BH171" t="s">
        <v>73</v>
      </c>
      <c r="BI171" t="s">
        <v>73</v>
      </c>
      <c r="BJ171" t="s">
        <v>73</v>
      </c>
      <c r="BK171" t="s">
        <v>73</v>
      </c>
      <c r="BL171" t="s">
        <v>73</v>
      </c>
      <c r="BM171" t="s">
        <v>73</v>
      </c>
      <c r="BN171" t="s">
        <v>73</v>
      </c>
      <c r="BO171" t="s">
        <v>73</v>
      </c>
      <c r="BP171" t="s">
        <v>73</v>
      </c>
      <c r="BQ171" t="s">
        <v>73</v>
      </c>
      <c r="BR171" t="s">
        <v>73</v>
      </c>
      <c r="BS171" t="s">
        <v>73</v>
      </c>
      <c r="BT171" t="s">
        <v>73</v>
      </c>
      <c r="BU171" t="s">
        <v>73</v>
      </c>
      <c r="BV171" t="s">
        <v>73</v>
      </c>
      <c r="CC171" t="s">
        <v>73</v>
      </c>
      <c r="CD171" s="206" t="s">
        <v>73</v>
      </c>
    </row>
    <row r="172" spans="59:82" ht="9" customHeight="1">
      <c r="BG172" s="205" t="s">
        <v>73</v>
      </c>
      <c r="BH172" t="s">
        <v>73</v>
      </c>
      <c r="BI172" t="s">
        <v>73</v>
      </c>
      <c r="BJ172" t="s">
        <v>73</v>
      </c>
      <c r="BK172" t="s">
        <v>73</v>
      </c>
      <c r="BL172" t="s">
        <v>73</v>
      </c>
      <c r="BM172" t="s">
        <v>73</v>
      </c>
      <c r="BN172" t="s">
        <v>73</v>
      </c>
      <c r="BO172" t="s">
        <v>73</v>
      </c>
      <c r="BP172" t="s">
        <v>73</v>
      </c>
      <c r="BQ172" t="s">
        <v>73</v>
      </c>
      <c r="BR172" t="s">
        <v>73</v>
      </c>
      <c r="BS172" t="s">
        <v>73</v>
      </c>
      <c r="BT172" t="s">
        <v>73</v>
      </c>
      <c r="BU172" t="s">
        <v>73</v>
      </c>
      <c r="BV172" t="s">
        <v>73</v>
      </c>
      <c r="CC172" t="s">
        <v>73</v>
      </c>
      <c r="CD172" s="206" t="s">
        <v>73</v>
      </c>
    </row>
    <row r="173" spans="59:82" ht="9" customHeight="1">
      <c r="BG173" s="205" t="s">
        <v>73</v>
      </c>
      <c r="BH173" t="s">
        <v>73</v>
      </c>
      <c r="BI173" t="s">
        <v>73</v>
      </c>
      <c r="BJ173" t="s">
        <v>73</v>
      </c>
      <c r="BK173" t="s">
        <v>73</v>
      </c>
      <c r="BL173" t="s">
        <v>73</v>
      </c>
      <c r="BM173" t="s">
        <v>73</v>
      </c>
      <c r="BN173" t="s">
        <v>73</v>
      </c>
      <c r="BO173" t="s">
        <v>73</v>
      </c>
      <c r="BP173" t="s">
        <v>73</v>
      </c>
      <c r="BQ173" t="s">
        <v>73</v>
      </c>
      <c r="BR173" t="s">
        <v>73</v>
      </c>
      <c r="BS173" t="s">
        <v>73</v>
      </c>
      <c r="BT173" t="s">
        <v>73</v>
      </c>
      <c r="BU173" t="s">
        <v>73</v>
      </c>
      <c r="BV173" t="s">
        <v>73</v>
      </c>
      <c r="CC173" t="s">
        <v>73</v>
      </c>
      <c r="CD173" s="206" t="s">
        <v>73</v>
      </c>
    </row>
    <row r="174" spans="59:82" ht="9" customHeight="1">
      <c r="BG174" s="205" t="s">
        <v>73</v>
      </c>
      <c r="BH174" t="s">
        <v>73</v>
      </c>
      <c r="BI174" t="s">
        <v>73</v>
      </c>
      <c r="BJ174" t="s">
        <v>73</v>
      </c>
      <c r="BK174" t="s">
        <v>73</v>
      </c>
      <c r="BL174" t="s">
        <v>73</v>
      </c>
      <c r="BM174" t="s">
        <v>73</v>
      </c>
      <c r="BN174" t="s">
        <v>73</v>
      </c>
      <c r="BO174" t="s">
        <v>73</v>
      </c>
      <c r="BP174" t="s">
        <v>73</v>
      </c>
      <c r="BQ174" t="s">
        <v>73</v>
      </c>
      <c r="BR174" t="s">
        <v>73</v>
      </c>
      <c r="BS174" t="s">
        <v>73</v>
      </c>
      <c r="BT174" t="s">
        <v>73</v>
      </c>
      <c r="BU174" t="s">
        <v>73</v>
      </c>
      <c r="BV174" t="s">
        <v>73</v>
      </c>
      <c r="BW174" t="s">
        <v>73</v>
      </c>
      <c r="CB174" t="s">
        <v>73</v>
      </c>
      <c r="CC174" t="s">
        <v>73</v>
      </c>
      <c r="CD174" s="206" t="s">
        <v>73</v>
      </c>
    </row>
    <row r="175" spans="59:82" ht="9" customHeight="1">
      <c r="BG175" s="205" t="s">
        <v>73</v>
      </c>
      <c r="BH175" t="s">
        <v>73</v>
      </c>
      <c r="BI175" t="s">
        <v>73</v>
      </c>
      <c r="BJ175" t="s">
        <v>73</v>
      </c>
      <c r="BK175" t="s">
        <v>73</v>
      </c>
      <c r="BL175" t="s">
        <v>73</v>
      </c>
      <c r="BM175" t="s">
        <v>73</v>
      </c>
      <c r="BN175" t="s">
        <v>73</v>
      </c>
      <c r="BO175" t="s">
        <v>73</v>
      </c>
      <c r="BP175" t="s">
        <v>73</v>
      </c>
      <c r="BQ175" t="s">
        <v>73</v>
      </c>
      <c r="BR175" t="s">
        <v>73</v>
      </c>
      <c r="BS175" t="s">
        <v>73</v>
      </c>
      <c r="BT175" t="s">
        <v>73</v>
      </c>
      <c r="BU175" t="s">
        <v>73</v>
      </c>
      <c r="BV175" t="s">
        <v>73</v>
      </c>
      <c r="BW175" t="s">
        <v>73</v>
      </c>
      <c r="BX175" t="s">
        <v>73</v>
      </c>
      <c r="BY175" t="s">
        <v>1349</v>
      </c>
      <c r="BZ175" t="s">
        <v>1349</v>
      </c>
      <c r="CA175" t="s">
        <v>73</v>
      </c>
      <c r="CB175" t="s">
        <v>73</v>
      </c>
      <c r="CC175" t="s">
        <v>73</v>
      </c>
      <c r="CD175" s="206" t="s">
        <v>73</v>
      </c>
    </row>
    <row r="176" spans="59:82" ht="9" customHeight="1">
      <c r="BG176" s="205" t="s">
        <v>73</v>
      </c>
      <c r="BH176" t="s">
        <v>73</v>
      </c>
      <c r="BI176" t="s">
        <v>73</v>
      </c>
      <c r="BJ176" t="s">
        <v>73</v>
      </c>
      <c r="BK176" t="s">
        <v>73</v>
      </c>
      <c r="BL176" t="s">
        <v>73</v>
      </c>
      <c r="BM176" t="s">
        <v>73</v>
      </c>
      <c r="BN176" t="s">
        <v>73</v>
      </c>
      <c r="BO176" t="s">
        <v>73</v>
      </c>
      <c r="BP176" t="s">
        <v>73</v>
      </c>
      <c r="BQ176" t="s">
        <v>73</v>
      </c>
      <c r="BR176" t="s">
        <v>73</v>
      </c>
      <c r="BS176" t="s">
        <v>73</v>
      </c>
      <c r="BT176" t="s">
        <v>73</v>
      </c>
      <c r="BU176" t="s">
        <v>73</v>
      </c>
      <c r="BV176" t="s">
        <v>73</v>
      </c>
      <c r="BW176" t="s">
        <v>73</v>
      </c>
      <c r="BX176" t="s">
        <v>73</v>
      </c>
      <c r="BY176" t="s">
        <v>73</v>
      </c>
      <c r="BZ176" t="s">
        <v>73</v>
      </c>
      <c r="CA176" t="s">
        <v>73</v>
      </c>
      <c r="CB176" t="s">
        <v>73</v>
      </c>
      <c r="CC176" t="s">
        <v>73</v>
      </c>
      <c r="CD176" s="206" t="s">
        <v>73</v>
      </c>
    </row>
    <row r="177" spans="59:82" ht="9" customHeight="1">
      <c r="BG177" s="205" t="s">
        <v>73</v>
      </c>
      <c r="BH177" t="s">
        <v>73</v>
      </c>
      <c r="BI177" t="s">
        <v>73</v>
      </c>
      <c r="BJ177" t="s">
        <v>73</v>
      </c>
      <c r="BK177" t="s">
        <v>73</v>
      </c>
      <c r="BL177" t="s">
        <v>73</v>
      </c>
      <c r="BM177" t="s">
        <v>73</v>
      </c>
      <c r="BN177" t="s">
        <v>73</v>
      </c>
      <c r="BO177" t="s">
        <v>73</v>
      </c>
      <c r="BP177" t="s">
        <v>73</v>
      </c>
      <c r="BQ177" t="s">
        <v>73</v>
      </c>
      <c r="BR177" t="s">
        <v>73</v>
      </c>
      <c r="BS177" t="s">
        <v>73</v>
      </c>
      <c r="BT177" t="s">
        <v>73</v>
      </c>
      <c r="BU177" t="s">
        <v>73</v>
      </c>
      <c r="BV177" t="s">
        <v>73</v>
      </c>
      <c r="BW177" t="s">
        <v>73</v>
      </c>
      <c r="BX177" t="s">
        <v>73</v>
      </c>
      <c r="BY177" t="s">
        <v>73</v>
      </c>
      <c r="BZ177" t="s">
        <v>73</v>
      </c>
      <c r="CA177" t="s">
        <v>73</v>
      </c>
      <c r="CB177" t="s">
        <v>73</v>
      </c>
      <c r="CC177" t="s">
        <v>73</v>
      </c>
      <c r="CD177" s="206" t="s">
        <v>73</v>
      </c>
    </row>
    <row r="178" spans="59:82" ht="9" customHeight="1">
      <c r="BG178" s="205" t="s">
        <v>73</v>
      </c>
      <c r="BH178" t="s">
        <v>73</v>
      </c>
      <c r="BI178" t="s">
        <v>73</v>
      </c>
      <c r="BJ178" t="s">
        <v>73</v>
      </c>
      <c r="BK178" t="s">
        <v>73</v>
      </c>
      <c r="BL178" t="s">
        <v>73</v>
      </c>
      <c r="BM178" t="s">
        <v>73</v>
      </c>
      <c r="BN178" t="s">
        <v>73</v>
      </c>
      <c r="BO178" t="s">
        <v>73</v>
      </c>
      <c r="BP178" t="s">
        <v>73</v>
      </c>
      <c r="BQ178" t="s">
        <v>73</v>
      </c>
      <c r="BR178" t="s">
        <v>73</v>
      </c>
      <c r="BS178" t="s">
        <v>73</v>
      </c>
      <c r="BT178" t="s">
        <v>73</v>
      </c>
      <c r="BU178" t="s">
        <v>73</v>
      </c>
      <c r="BV178" t="s">
        <v>73</v>
      </c>
      <c r="BW178" t="s">
        <v>73</v>
      </c>
      <c r="BX178" t="s">
        <v>73</v>
      </c>
      <c r="BY178" t="s">
        <v>73</v>
      </c>
      <c r="BZ178" t="s">
        <v>73</v>
      </c>
      <c r="CA178" t="s">
        <v>73</v>
      </c>
      <c r="CB178" t="s">
        <v>73</v>
      </c>
      <c r="CC178" t="s">
        <v>73</v>
      </c>
      <c r="CD178" s="206" t="s">
        <v>73</v>
      </c>
    </row>
    <row r="179" spans="59:82" ht="9" customHeight="1">
      <c r="BG179" s="205" t="s">
        <v>73</v>
      </c>
      <c r="BH179" t="s">
        <v>73</v>
      </c>
      <c r="BI179" t="s">
        <v>73</v>
      </c>
      <c r="BJ179" t="s">
        <v>73</v>
      </c>
      <c r="BK179" t="s">
        <v>73</v>
      </c>
      <c r="BL179" t="s">
        <v>73</v>
      </c>
      <c r="BM179" t="s">
        <v>73</v>
      </c>
      <c r="BN179" t="s">
        <v>73</v>
      </c>
      <c r="BO179" t="s">
        <v>73</v>
      </c>
      <c r="BP179" t="s">
        <v>73</v>
      </c>
      <c r="BQ179" t="s">
        <v>73</v>
      </c>
      <c r="BR179" t="s">
        <v>73</v>
      </c>
      <c r="BS179" t="s">
        <v>73</v>
      </c>
      <c r="BT179" t="s">
        <v>73</v>
      </c>
      <c r="BU179" t="s">
        <v>73</v>
      </c>
      <c r="BV179" t="s">
        <v>73</v>
      </c>
      <c r="BW179" t="s">
        <v>73</v>
      </c>
      <c r="BX179" t="s">
        <v>73</v>
      </c>
      <c r="BY179" t="s">
        <v>1349</v>
      </c>
      <c r="BZ179" t="s">
        <v>1349</v>
      </c>
      <c r="CA179" t="s">
        <v>73</v>
      </c>
      <c r="CB179" t="s">
        <v>73</v>
      </c>
      <c r="CC179" t="s">
        <v>73</v>
      </c>
      <c r="CD179" s="206" t="s">
        <v>73</v>
      </c>
    </row>
    <row r="180" spans="59:82" ht="9" customHeight="1">
      <c r="BG180" s="205" t="s">
        <v>73</v>
      </c>
      <c r="BH180" t="s">
        <v>73</v>
      </c>
      <c r="BI180" t="s">
        <v>73</v>
      </c>
      <c r="BJ180" t="s">
        <v>73</v>
      </c>
      <c r="BK180" t="s">
        <v>73</v>
      </c>
      <c r="BL180" t="s">
        <v>73</v>
      </c>
      <c r="BM180" t="s">
        <v>73</v>
      </c>
      <c r="BN180" t="s">
        <v>73</v>
      </c>
      <c r="BO180" t="s">
        <v>73</v>
      </c>
      <c r="BP180" t="s">
        <v>73</v>
      </c>
      <c r="BQ180" t="s">
        <v>73</v>
      </c>
      <c r="BR180" t="s">
        <v>73</v>
      </c>
      <c r="BS180" t="s">
        <v>73</v>
      </c>
      <c r="BT180" t="s">
        <v>73</v>
      </c>
      <c r="BU180" t="s">
        <v>73</v>
      </c>
      <c r="BV180" t="s">
        <v>73</v>
      </c>
      <c r="BW180" t="s">
        <v>73</v>
      </c>
      <c r="CB180" t="s">
        <v>73</v>
      </c>
      <c r="CC180" t="s">
        <v>73</v>
      </c>
      <c r="CD180" s="206" t="s">
        <v>73</v>
      </c>
    </row>
    <row r="181" spans="59:82" ht="9" customHeight="1">
      <c r="BG181" s="205" t="s">
        <v>73</v>
      </c>
      <c r="BH181" t="s">
        <v>73</v>
      </c>
      <c r="BI181" t="s">
        <v>73</v>
      </c>
      <c r="BJ181" t="s">
        <v>73</v>
      </c>
      <c r="BK181" t="s">
        <v>73</v>
      </c>
      <c r="BL181" t="s">
        <v>73</v>
      </c>
      <c r="BM181" t="s">
        <v>73</v>
      </c>
      <c r="BN181" t="s">
        <v>73</v>
      </c>
      <c r="BO181" t="s">
        <v>73</v>
      </c>
      <c r="BP181" t="s">
        <v>73</v>
      </c>
      <c r="BQ181" t="s">
        <v>73</v>
      </c>
      <c r="BR181" t="s">
        <v>73</v>
      </c>
      <c r="BS181" t="s">
        <v>73</v>
      </c>
      <c r="BT181" t="s">
        <v>73</v>
      </c>
      <c r="BU181" t="s">
        <v>73</v>
      </c>
      <c r="BV181" t="s">
        <v>73</v>
      </c>
      <c r="CC181" t="s">
        <v>73</v>
      </c>
      <c r="CD181" s="206" t="s">
        <v>73</v>
      </c>
    </row>
    <row r="182" spans="59:82" ht="9" customHeight="1">
      <c r="BG182" s="205" t="s">
        <v>73</v>
      </c>
      <c r="BH182" t="s">
        <v>73</v>
      </c>
      <c r="BI182" t="s">
        <v>73</v>
      </c>
      <c r="BJ182" t="s">
        <v>73</v>
      </c>
      <c r="BK182" t="s">
        <v>73</v>
      </c>
      <c r="BL182" t="s">
        <v>73</v>
      </c>
      <c r="BM182" t="s">
        <v>73</v>
      </c>
      <c r="BN182" t="s">
        <v>73</v>
      </c>
      <c r="BO182" t="s">
        <v>73</v>
      </c>
      <c r="BP182" t="s">
        <v>73</v>
      </c>
      <c r="BQ182" t="s">
        <v>73</v>
      </c>
      <c r="BR182" t="s">
        <v>73</v>
      </c>
      <c r="BS182" t="s">
        <v>73</v>
      </c>
      <c r="BT182" t="s">
        <v>73</v>
      </c>
      <c r="BU182" t="s">
        <v>73</v>
      </c>
      <c r="BV182" t="s">
        <v>73</v>
      </c>
      <c r="CC182" t="s">
        <v>73</v>
      </c>
      <c r="CD182" s="206" t="s">
        <v>73</v>
      </c>
    </row>
    <row r="183" spans="59:82" ht="9" customHeight="1">
      <c r="BG183" s="205" t="s">
        <v>73</v>
      </c>
      <c r="BH183" t="s">
        <v>73</v>
      </c>
      <c r="BI183" t="s">
        <v>73</v>
      </c>
      <c r="BJ183" t="s">
        <v>73</v>
      </c>
      <c r="BK183" t="s">
        <v>73</v>
      </c>
      <c r="BL183" t="s">
        <v>73</v>
      </c>
      <c r="BM183" t="s">
        <v>73</v>
      </c>
      <c r="BN183" t="s">
        <v>73</v>
      </c>
      <c r="BO183" t="s">
        <v>73</v>
      </c>
      <c r="BP183" t="s">
        <v>73</v>
      </c>
      <c r="BQ183" t="s">
        <v>73</v>
      </c>
      <c r="BR183" t="s">
        <v>73</v>
      </c>
      <c r="BS183" t="s">
        <v>73</v>
      </c>
      <c r="BT183" t="s">
        <v>73</v>
      </c>
      <c r="BU183" t="s">
        <v>73</v>
      </c>
      <c r="BV183" t="s">
        <v>73</v>
      </c>
      <c r="CC183" t="s">
        <v>73</v>
      </c>
      <c r="CD183" s="206" t="s">
        <v>73</v>
      </c>
    </row>
    <row r="184" spans="59:82" ht="9" customHeight="1">
      <c r="BG184" s="205" t="s">
        <v>73</v>
      </c>
      <c r="BH184" t="s">
        <v>73</v>
      </c>
      <c r="BI184" t="s">
        <v>73</v>
      </c>
      <c r="BJ184" t="s">
        <v>73</v>
      </c>
      <c r="BK184" t="s">
        <v>73</v>
      </c>
      <c r="BL184" t="s">
        <v>1436</v>
      </c>
      <c r="BM184" t="s">
        <v>1436</v>
      </c>
      <c r="BN184" t="s">
        <v>73</v>
      </c>
      <c r="BO184" t="s">
        <v>73</v>
      </c>
      <c r="BP184" t="s">
        <v>73</v>
      </c>
      <c r="BQ184" t="s">
        <v>73</v>
      </c>
      <c r="BR184" t="s">
        <v>73</v>
      </c>
      <c r="BS184" t="s">
        <v>73</v>
      </c>
      <c r="BT184" t="s">
        <v>73</v>
      </c>
      <c r="BU184" t="s">
        <v>73</v>
      </c>
      <c r="BV184" t="s">
        <v>73</v>
      </c>
      <c r="BW184" t="s">
        <v>1320</v>
      </c>
      <c r="BX184" t="s">
        <v>1320</v>
      </c>
      <c r="BY184" t="s">
        <v>1320</v>
      </c>
      <c r="CA184" t="s">
        <v>1320</v>
      </c>
      <c r="CB184" t="s">
        <v>1320</v>
      </c>
      <c r="CC184" t="s">
        <v>73</v>
      </c>
      <c r="CD184" s="206" t="s">
        <v>73</v>
      </c>
    </row>
    <row r="185" spans="59:82" ht="9" customHeight="1">
      <c r="BG185" s="205" t="s">
        <v>73</v>
      </c>
      <c r="BH185" t="s">
        <v>73</v>
      </c>
      <c r="BI185" t="s">
        <v>73</v>
      </c>
      <c r="BJ185" t="s">
        <v>73</v>
      </c>
      <c r="BO185" t="s">
        <v>73</v>
      </c>
      <c r="BP185" t="s">
        <v>73</v>
      </c>
      <c r="BQ185" t="s">
        <v>73</v>
      </c>
      <c r="BR185" t="s">
        <v>73</v>
      </c>
      <c r="BS185" t="s">
        <v>73</v>
      </c>
      <c r="BT185" t="s">
        <v>73</v>
      </c>
      <c r="BU185" t="s">
        <v>73</v>
      </c>
      <c r="BV185" t="s">
        <v>73</v>
      </c>
      <c r="CC185" t="s">
        <v>73</v>
      </c>
      <c r="CD185" s="206" t="s">
        <v>73</v>
      </c>
    </row>
    <row r="186" spans="59:82" ht="9" customHeight="1">
      <c r="BG186" s="205" t="s">
        <v>73</v>
      </c>
      <c r="BH186" t="s">
        <v>73</v>
      </c>
      <c r="BU186" t="s">
        <v>73</v>
      </c>
      <c r="BV186" t="s">
        <v>73</v>
      </c>
      <c r="CC186" t="s">
        <v>73</v>
      </c>
      <c r="CD186" s="206" t="s">
        <v>73</v>
      </c>
    </row>
    <row r="187" spans="59:82" ht="9" customHeight="1">
      <c r="BG187" s="205" t="s">
        <v>73</v>
      </c>
      <c r="BH187" t="s">
        <v>73</v>
      </c>
      <c r="BU187" t="s">
        <v>73</v>
      </c>
      <c r="BV187" t="s">
        <v>73</v>
      </c>
      <c r="CC187" t="s">
        <v>73</v>
      </c>
      <c r="CD187" s="206" t="s">
        <v>73</v>
      </c>
    </row>
    <row r="188" spans="59:82" ht="9" customHeight="1">
      <c r="BG188" s="205" t="s">
        <v>73</v>
      </c>
      <c r="BH188" t="s">
        <v>73</v>
      </c>
      <c r="BI188" t="s">
        <v>1320</v>
      </c>
      <c r="BJ188" t="s">
        <v>1320</v>
      </c>
      <c r="BK188" t="s">
        <v>1320</v>
      </c>
      <c r="BL188" t="s">
        <v>1320</v>
      </c>
      <c r="BM188" t="s">
        <v>1320</v>
      </c>
      <c r="BN188" t="s">
        <v>1320</v>
      </c>
      <c r="BO188" t="s">
        <v>1320</v>
      </c>
      <c r="BP188" t="s">
        <v>1320</v>
      </c>
      <c r="BQ188" t="s">
        <v>1320</v>
      </c>
      <c r="BU188" t="s">
        <v>73</v>
      </c>
      <c r="BV188" t="s">
        <v>73</v>
      </c>
      <c r="CC188" t="s">
        <v>73</v>
      </c>
      <c r="CD188" s="206" t="s">
        <v>73</v>
      </c>
    </row>
    <row r="189" spans="59:82" ht="9" customHeight="1">
      <c r="BG189" s="205" t="s">
        <v>73</v>
      </c>
      <c r="BH189" t="s">
        <v>73</v>
      </c>
      <c r="BM189" t="s">
        <v>1348</v>
      </c>
      <c r="BN189" t="s">
        <v>1348</v>
      </c>
      <c r="BO189" t="s">
        <v>1348</v>
      </c>
      <c r="BP189" t="s">
        <v>1348</v>
      </c>
      <c r="BQ189" t="s">
        <v>1348</v>
      </c>
      <c r="BR189" t="s">
        <v>1348</v>
      </c>
      <c r="BS189" t="s">
        <v>1348</v>
      </c>
      <c r="BU189" t="s">
        <v>73</v>
      </c>
      <c r="BV189" t="s">
        <v>73</v>
      </c>
      <c r="CC189" t="s">
        <v>73</v>
      </c>
      <c r="CD189" s="206" t="s">
        <v>73</v>
      </c>
    </row>
    <row r="190" spans="59:82" ht="9" customHeight="1">
      <c r="BG190" s="205" t="s">
        <v>73</v>
      </c>
      <c r="BH190" t="s">
        <v>73</v>
      </c>
      <c r="BM190" t="s">
        <v>1348</v>
      </c>
      <c r="BN190" t="s">
        <v>1348</v>
      </c>
      <c r="BO190" t="s">
        <v>1348</v>
      </c>
      <c r="BP190" t="s">
        <v>1348</v>
      </c>
      <c r="BQ190" t="s">
        <v>1348</v>
      </c>
      <c r="BR190" t="s">
        <v>1348</v>
      </c>
      <c r="BS190" t="s">
        <v>1348</v>
      </c>
      <c r="BU190" t="s">
        <v>73</v>
      </c>
      <c r="BV190" t="s">
        <v>73</v>
      </c>
      <c r="BW190" t="s">
        <v>1320</v>
      </c>
      <c r="BX190" t="s">
        <v>1320</v>
      </c>
      <c r="BZ190" t="s">
        <v>1320</v>
      </c>
      <c r="CA190" t="s">
        <v>1320</v>
      </c>
      <c r="CB190" t="s">
        <v>1320</v>
      </c>
      <c r="CC190" t="s">
        <v>73</v>
      </c>
      <c r="CD190" s="206" t="s">
        <v>73</v>
      </c>
    </row>
    <row r="191" spans="59:82" ht="9" customHeight="1">
      <c r="BG191" s="205" t="s">
        <v>73</v>
      </c>
      <c r="BH191" t="s">
        <v>73</v>
      </c>
      <c r="BM191" t="s">
        <v>1348</v>
      </c>
      <c r="BN191" t="s">
        <v>1348</v>
      </c>
      <c r="BO191" t="s">
        <v>1348</v>
      </c>
      <c r="BP191" t="s">
        <v>1348</v>
      </c>
      <c r="BQ191" t="s">
        <v>1348</v>
      </c>
      <c r="BR191" t="s">
        <v>1348</v>
      </c>
      <c r="BS191" t="s">
        <v>1348</v>
      </c>
      <c r="BU191" t="s">
        <v>73</v>
      </c>
      <c r="BV191" t="s">
        <v>73</v>
      </c>
      <c r="CC191" t="s">
        <v>73</v>
      </c>
      <c r="CD191" s="206" t="s">
        <v>73</v>
      </c>
    </row>
    <row r="192" spans="59:82" ht="9" customHeight="1">
      <c r="BG192" s="205" t="s">
        <v>73</v>
      </c>
      <c r="BH192" t="s">
        <v>73</v>
      </c>
      <c r="BM192" t="s">
        <v>1348</v>
      </c>
      <c r="BN192" t="s">
        <v>1348</v>
      </c>
      <c r="BO192" t="s">
        <v>1348</v>
      </c>
      <c r="BP192" t="s">
        <v>1348</v>
      </c>
      <c r="BQ192" t="s">
        <v>1348</v>
      </c>
      <c r="BR192" t="s">
        <v>1348</v>
      </c>
      <c r="BS192" t="s">
        <v>1348</v>
      </c>
      <c r="BU192" t="s">
        <v>73</v>
      </c>
      <c r="BV192" t="s">
        <v>73</v>
      </c>
      <c r="CC192" t="s">
        <v>73</v>
      </c>
      <c r="CD192" s="206" t="s">
        <v>73</v>
      </c>
    </row>
    <row r="193" spans="58:82" ht="9" customHeight="1">
      <c r="BF193" t="s">
        <v>1350</v>
      </c>
      <c r="BG193" s="205" t="s">
        <v>73</v>
      </c>
      <c r="BH193" t="s">
        <v>73</v>
      </c>
      <c r="BM193" t="s">
        <v>1348</v>
      </c>
      <c r="BN193" t="s">
        <v>1348</v>
      </c>
      <c r="BO193" t="s">
        <v>1348</v>
      </c>
      <c r="BP193" t="s">
        <v>1348</v>
      </c>
      <c r="BQ193" t="s">
        <v>1348</v>
      </c>
      <c r="BR193" t="s">
        <v>1348</v>
      </c>
      <c r="BS193" t="s">
        <v>1348</v>
      </c>
      <c r="BU193" t="s">
        <v>73</v>
      </c>
      <c r="BV193" t="s">
        <v>73</v>
      </c>
      <c r="CC193" t="s">
        <v>73</v>
      </c>
      <c r="CD193" s="206" t="s">
        <v>73</v>
      </c>
    </row>
    <row r="194" spans="58:82" ht="9" customHeight="1">
      <c r="BG194" s="205" t="s">
        <v>73</v>
      </c>
      <c r="BH194" t="s">
        <v>73</v>
      </c>
      <c r="BU194" t="s">
        <v>73</v>
      </c>
      <c r="BV194" t="s">
        <v>73</v>
      </c>
      <c r="CC194" t="s">
        <v>73</v>
      </c>
      <c r="CD194" s="206" t="s">
        <v>73</v>
      </c>
    </row>
    <row r="195" spans="58:82" ht="9" customHeight="1">
      <c r="BG195" s="205" t="s">
        <v>73</v>
      </c>
      <c r="BH195" t="s">
        <v>73</v>
      </c>
      <c r="CC195" t="s">
        <v>73</v>
      </c>
      <c r="CD195" s="206" t="s">
        <v>73</v>
      </c>
    </row>
    <row r="196" spans="58:82" ht="9" customHeight="1">
      <c r="BG196" s="205" t="s">
        <v>73</v>
      </c>
      <c r="BH196" t="s">
        <v>73</v>
      </c>
      <c r="BM196" t="s">
        <v>73</v>
      </c>
      <c r="BN196" t="s">
        <v>73</v>
      </c>
      <c r="BO196" t="s">
        <v>73</v>
      </c>
      <c r="BP196" t="s">
        <v>73</v>
      </c>
      <c r="BQ196" t="s">
        <v>73</v>
      </c>
      <c r="BR196" t="s">
        <v>73</v>
      </c>
      <c r="BS196" t="s">
        <v>73</v>
      </c>
      <c r="BT196" t="s">
        <v>73</v>
      </c>
      <c r="BU196" t="s">
        <v>73</v>
      </c>
      <c r="BV196" t="s">
        <v>73</v>
      </c>
      <c r="CC196" t="s">
        <v>73</v>
      </c>
      <c r="CD196" s="206" t="s">
        <v>73</v>
      </c>
    </row>
    <row r="197" spans="58:82" ht="9" customHeight="1">
      <c r="BG197" s="205" t="s">
        <v>73</v>
      </c>
      <c r="BH197" t="s">
        <v>73</v>
      </c>
      <c r="BM197" t="s">
        <v>73</v>
      </c>
      <c r="BN197" t="s">
        <v>73</v>
      </c>
      <c r="BO197" t="s">
        <v>73</v>
      </c>
      <c r="BP197" t="s">
        <v>73</v>
      </c>
      <c r="BQ197" t="s">
        <v>73</v>
      </c>
      <c r="BR197" t="s">
        <v>73</v>
      </c>
      <c r="BS197" t="s">
        <v>73</v>
      </c>
      <c r="BT197" t="s">
        <v>73</v>
      </c>
      <c r="BU197" t="s">
        <v>73</v>
      </c>
      <c r="BV197" t="s">
        <v>73</v>
      </c>
      <c r="CC197" t="s">
        <v>73</v>
      </c>
      <c r="CD197" s="206" t="s">
        <v>73</v>
      </c>
    </row>
    <row r="198" spans="58:82" ht="9" customHeight="1">
      <c r="BG198" s="205" t="s">
        <v>73</v>
      </c>
      <c r="BH198" t="s">
        <v>73</v>
      </c>
      <c r="BM198" t="s">
        <v>73</v>
      </c>
      <c r="BN198" t="s">
        <v>73</v>
      </c>
      <c r="BO198" t="s">
        <v>73</v>
      </c>
      <c r="BP198" t="s">
        <v>73</v>
      </c>
      <c r="BQ198" t="s">
        <v>73</v>
      </c>
      <c r="BR198" t="s">
        <v>73</v>
      </c>
      <c r="BS198" t="s">
        <v>73</v>
      </c>
      <c r="BT198" t="s">
        <v>73</v>
      </c>
      <c r="BU198" t="s">
        <v>73</v>
      </c>
      <c r="BV198" t="s">
        <v>73</v>
      </c>
      <c r="CC198" t="s">
        <v>73</v>
      </c>
      <c r="CD198" s="206" t="s">
        <v>73</v>
      </c>
    </row>
    <row r="199" spans="58:82" ht="9" customHeight="1">
      <c r="BG199" s="205" t="s">
        <v>73</v>
      </c>
      <c r="BH199" t="s">
        <v>73</v>
      </c>
      <c r="BM199" t="s">
        <v>73</v>
      </c>
      <c r="BN199" t="s">
        <v>73</v>
      </c>
      <c r="BO199" t="s">
        <v>73</v>
      </c>
      <c r="BP199" t="s">
        <v>73</v>
      </c>
      <c r="BQ199" t="s">
        <v>73</v>
      </c>
      <c r="BR199" t="s">
        <v>73</v>
      </c>
      <c r="BS199" t="s">
        <v>73</v>
      </c>
      <c r="BT199" t="s">
        <v>73</v>
      </c>
      <c r="BU199" t="s">
        <v>73</v>
      </c>
      <c r="BV199" t="s">
        <v>73</v>
      </c>
      <c r="CC199" t="s">
        <v>73</v>
      </c>
      <c r="CD199" s="206" t="s">
        <v>73</v>
      </c>
    </row>
    <row r="200" spans="58:82" ht="9" customHeight="1">
      <c r="BG200" s="205" t="s">
        <v>73</v>
      </c>
      <c r="BH200" t="s">
        <v>73</v>
      </c>
      <c r="BU200" t="s">
        <v>73</v>
      </c>
      <c r="BV200" t="s">
        <v>73</v>
      </c>
      <c r="CC200" t="s">
        <v>73</v>
      </c>
      <c r="CD200" s="206" t="s">
        <v>73</v>
      </c>
    </row>
    <row r="201" spans="58:82" ht="9" customHeight="1">
      <c r="BG201" s="205" t="s">
        <v>73</v>
      </c>
      <c r="BH201" t="s">
        <v>73</v>
      </c>
      <c r="BU201" t="s">
        <v>73</v>
      </c>
      <c r="BV201" t="s">
        <v>73</v>
      </c>
      <c r="CC201" t="s">
        <v>73</v>
      </c>
      <c r="CD201" s="206" t="s">
        <v>73</v>
      </c>
    </row>
    <row r="202" spans="58:82" ht="9" customHeight="1">
      <c r="BG202" s="205" t="s">
        <v>73</v>
      </c>
      <c r="BH202" t="s">
        <v>73</v>
      </c>
      <c r="CC202" t="s">
        <v>73</v>
      </c>
      <c r="CD202" s="206" t="s">
        <v>73</v>
      </c>
    </row>
    <row r="203" spans="58:82" ht="9" customHeight="1">
      <c r="BG203" s="205" t="s">
        <v>73</v>
      </c>
      <c r="BH203" t="s">
        <v>73</v>
      </c>
      <c r="BI203" t="s">
        <v>1320</v>
      </c>
      <c r="BJ203" t="s">
        <v>1320</v>
      </c>
      <c r="BK203" t="s">
        <v>1320</v>
      </c>
      <c r="BL203" t="s">
        <v>1320</v>
      </c>
      <c r="BM203" t="s">
        <v>1320</v>
      </c>
      <c r="BN203" t="s">
        <v>1320</v>
      </c>
      <c r="BO203" t="s">
        <v>1320</v>
      </c>
      <c r="BR203" t="s">
        <v>1320</v>
      </c>
      <c r="BS203" t="s">
        <v>1320</v>
      </c>
      <c r="BT203" t="s">
        <v>1320</v>
      </c>
      <c r="BU203" t="s">
        <v>73</v>
      </c>
      <c r="BV203" t="s">
        <v>73</v>
      </c>
      <c r="BW203" t="s">
        <v>1320</v>
      </c>
      <c r="BX203" t="s">
        <v>1320</v>
      </c>
      <c r="BZ203" t="s">
        <v>1320</v>
      </c>
      <c r="CA203" t="s">
        <v>1320</v>
      </c>
      <c r="CB203" t="s">
        <v>1320</v>
      </c>
      <c r="CC203" t="s">
        <v>73</v>
      </c>
      <c r="CD203" s="206" t="s">
        <v>73</v>
      </c>
    </row>
    <row r="204" spans="58:82" ht="9" customHeight="1">
      <c r="BG204" s="205" t="s">
        <v>73</v>
      </c>
      <c r="BH204" t="s">
        <v>73</v>
      </c>
      <c r="BI204" t="s">
        <v>73</v>
      </c>
      <c r="BJ204" t="s">
        <v>73</v>
      </c>
      <c r="BU204" t="s">
        <v>73</v>
      </c>
      <c r="BV204" t="s">
        <v>73</v>
      </c>
      <c r="CC204" t="s">
        <v>73</v>
      </c>
      <c r="CD204" s="206" t="s">
        <v>73</v>
      </c>
    </row>
    <row r="205" spans="58:82" ht="9" customHeight="1">
      <c r="BG205" s="205" t="s">
        <v>73</v>
      </c>
      <c r="BH205" t="s">
        <v>73</v>
      </c>
      <c r="BI205" t="s">
        <v>73</v>
      </c>
      <c r="BJ205" t="s">
        <v>73</v>
      </c>
      <c r="BU205" t="s">
        <v>73</v>
      </c>
      <c r="BV205" t="s">
        <v>73</v>
      </c>
      <c r="CC205" t="s">
        <v>73</v>
      </c>
      <c r="CD205" s="206" t="s">
        <v>73</v>
      </c>
    </row>
    <row r="206" spans="58:82" ht="9" customHeight="1">
      <c r="BG206" s="205" t="s">
        <v>73</v>
      </c>
      <c r="BH206" t="s">
        <v>73</v>
      </c>
      <c r="BI206" t="s">
        <v>73</v>
      </c>
      <c r="BJ206" t="s">
        <v>73</v>
      </c>
      <c r="BN206" t="s">
        <v>73</v>
      </c>
      <c r="BU206" t="s">
        <v>73</v>
      </c>
      <c r="BV206" t="s">
        <v>73</v>
      </c>
      <c r="CC206" t="s">
        <v>73</v>
      </c>
      <c r="CD206" s="206" t="s">
        <v>73</v>
      </c>
    </row>
    <row r="207" spans="58:82" ht="9" customHeight="1">
      <c r="BG207" s="205" t="s">
        <v>73</v>
      </c>
      <c r="BH207" t="s">
        <v>73</v>
      </c>
      <c r="BI207" t="s">
        <v>73</v>
      </c>
      <c r="BJ207" t="s">
        <v>73</v>
      </c>
      <c r="BU207" t="s">
        <v>73</v>
      </c>
      <c r="BV207" t="s">
        <v>73</v>
      </c>
      <c r="CC207" t="s">
        <v>73</v>
      </c>
      <c r="CD207" s="206" t="s">
        <v>73</v>
      </c>
    </row>
    <row r="208" spans="58:82" ht="9" customHeight="1">
      <c r="BG208" s="205" t="s">
        <v>73</v>
      </c>
      <c r="BH208" t="s">
        <v>73</v>
      </c>
      <c r="BI208" t="s">
        <v>73</v>
      </c>
      <c r="BJ208" t="s">
        <v>73</v>
      </c>
      <c r="BU208" t="s">
        <v>73</v>
      </c>
      <c r="BV208" t="s">
        <v>73</v>
      </c>
      <c r="CC208" t="s">
        <v>73</v>
      </c>
      <c r="CD208" s="206" t="s">
        <v>73</v>
      </c>
    </row>
    <row r="209" spans="47:94" ht="9" customHeight="1">
      <c r="BG209" s="205" t="s">
        <v>73</v>
      </c>
      <c r="BH209" t="s">
        <v>73</v>
      </c>
      <c r="BI209" t="s">
        <v>73</v>
      </c>
      <c r="BJ209" t="s">
        <v>73</v>
      </c>
      <c r="BU209" t="s">
        <v>73</v>
      </c>
      <c r="BV209" t="s">
        <v>73</v>
      </c>
      <c r="CC209" t="s">
        <v>73</v>
      </c>
      <c r="CD209" s="206" t="s">
        <v>73</v>
      </c>
    </row>
    <row r="210" spans="47:94" ht="9" customHeight="1">
      <c r="BG210" s="205" t="s">
        <v>73</v>
      </c>
      <c r="BH210" t="s">
        <v>73</v>
      </c>
      <c r="BI210" t="s">
        <v>73</v>
      </c>
      <c r="BJ210" t="s">
        <v>73</v>
      </c>
      <c r="BK210" t="s">
        <v>73</v>
      </c>
      <c r="BL210" t="s">
        <v>73</v>
      </c>
      <c r="BU210" t="s">
        <v>73</v>
      </c>
      <c r="BV210" t="s">
        <v>73</v>
      </c>
      <c r="BW210" t="s">
        <v>73</v>
      </c>
      <c r="BX210" t="s">
        <v>73</v>
      </c>
      <c r="BY210" t="s">
        <v>73</v>
      </c>
      <c r="BZ210" t="s">
        <v>73</v>
      </c>
      <c r="CA210" t="s">
        <v>73</v>
      </c>
      <c r="CB210" t="s">
        <v>73</v>
      </c>
      <c r="CC210" t="s">
        <v>73</v>
      </c>
      <c r="CD210" s="206" t="s">
        <v>73</v>
      </c>
    </row>
    <row r="211" spans="47:94" ht="9" customHeight="1">
      <c r="BG211" s="205" t="s">
        <v>73</v>
      </c>
      <c r="BH211" t="s">
        <v>73</v>
      </c>
      <c r="BI211" t="s">
        <v>73</v>
      </c>
      <c r="BJ211" t="s">
        <v>73</v>
      </c>
      <c r="BK211" t="s">
        <v>73</v>
      </c>
      <c r="BL211" t="s">
        <v>73</v>
      </c>
      <c r="BM211" t="s">
        <v>73</v>
      </c>
      <c r="BS211" t="s">
        <v>73</v>
      </c>
      <c r="BT211" t="s">
        <v>73</v>
      </c>
      <c r="BU211" t="s">
        <v>73</v>
      </c>
      <c r="BV211" t="s">
        <v>73</v>
      </c>
      <c r="BW211" t="s">
        <v>73</v>
      </c>
      <c r="BX211" t="s">
        <v>73</v>
      </c>
      <c r="BY211" t="s">
        <v>73</v>
      </c>
      <c r="BZ211" t="s">
        <v>73</v>
      </c>
      <c r="CA211" t="s">
        <v>73</v>
      </c>
      <c r="CB211" t="s">
        <v>73</v>
      </c>
      <c r="CC211" t="s">
        <v>73</v>
      </c>
      <c r="CD211" s="206" t="s">
        <v>73</v>
      </c>
    </row>
    <row r="212" spans="47:94" ht="9" customHeight="1" thickBot="1">
      <c r="BG212" s="207" t="s">
        <v>73</v>
      </c>
      <c r="BH212" s="217" t="s">
        <v>73</v>
      </c>
      <c r="BI212" s="217" t="s">
        <v>73</v>
      </c>
      <c r="BJ212" s="217" t="s">
        <v>73</v>
      </c>
      <c r="BK212" s="217" t="s">
        <v>73</v>
      </c>
      <c r="BL212" s="217" t="s">
        <v>73</v>
      </c>
      <c r="BM212" s="217" t="s">
        <v>73</v>
      </c>
      <c r="BN212" s="217"/>
      <c r="BO212" s="217"/>
      <c r="BP212" s="217"/>
      <c r="BQ212" s="217"/>
      <c r="BR212" s="217"/>
      <c r="BS212" s="217" t="s">
        <v>73</v>
      </c>
      <c r="BT212" s="217" t="s">
        <v>73</v>
      </c>
      <c r="BU212" s="217" t="s">
        <v>73</v>
      </c>
      <c r="BV212" s="217" t="s">
        <v>73</v>
      </c>
      <c r="BW212" s="217" t="s">
        <v>73</v>
      </c>
      <c r="BX212" s="217" t="s">
        <v>73</v>
      </c>
      <c r="BY212" s="217" t="s">
        <v>73</v>
      </c>
      <c r="BZ212" s="217" t="s">
        <v>73</v>
      </c>
      <c r="CA212" s="217" t="s">
        <v>73</v>
      </c>
      <c r="CB212" s="217" t="s">
        <v>73</v>
      </c>
      <c r="CC212" s="217" t="s">
        <v>73</v>
      </c>
      <c r="CD212" s="159" t="s">
        <v>73</v>
      </c>
    </row>
    <row r="213" spans="47:94" ht="9" customHeight="1">
      <c r="AU213" s="224" t="s">
        <v>73</v>
      </c>
      <c r="AV213" s="218" t="s">
        <v>73</v>
      </c>
      <c r="AW213" s="218" t="s">
        <v>73</v>
      </c>
      <c r="AX213" s="218" t="s">
        <v>73</v>
      </c>
      <c r="AY213" s="218" t="s">
        <v>73</v>
      </c>
      <c r="AZ213" s="218" t="s">
        <v>73</v>
      </c>
      <c r="BA213" s="218" t="s">
        <v>73</v>
      </c>
      <c r="BB213" s="218" t="s">
        <v>73</v>
      </c>
      <c r="BC213" s="218" t="s">
        <v>73</v>
      </c>
      <c r="BD213" s="218" t="s">
        <v>73</v>
      </c>
      <c r="BE213" s="218" t="s">
        <v>73</v>
      </c>
      <c r="BF213" s="218" t="s">
        <v>73</v>
      </c>
      <c r="BG213" s="218" t="s">
        <v>73</v>
      </c>
      <c r="BH213" s="218" t="s">
        <v>73</v>
      </c>
      <c r="BI213" s="218" t="s">
        <v>73</v>
      </c>
      <c r="BJ213" s="218" t="s">
        <v>73</v>
      </c>
      <c r="BK213" s="218" t="s">
        <v>73</v>
      </c>
      <c r="BL213" s="218" t="s">
        <v>73</v>
      </c>
      <c r="BM213" s="218" t="s">
        <v>73</v>
      </c>
      <c r="BN213" s="218"/>
      <c r="BO213" s="218"/>
      <c r="BP213" s="218"/>
      <c r="BQ213" s="218"/>
      <c r="BR213" s="218"/>
      <c r="BS213" s="218" t="s">
        <v>73</v>
      </c>
      <c r="BT213" s="218" t="s">
        <v>73</v>
      </c>
      <c r="BU213" s="218" t="s">
        <v>73</v>
      </c>
      <c r="BV213" s="218" t="s">
        <v>73</v>
      </c>
      <c r="BW213" s="218" t="s">
        <v>73</v>
      </c>
      <c r="BX213" s="218" t="s">
        <v>73</v>
      </c>
      <c r="BY213" s="218" t="s">
        <v>73</v>
      </c>
      <c r="BZ213" s="218" t="s">
        <v>73</v>
      </c>
      <c r="CA213" s="218" t="s">
        <v>73</v>
      </c>
      <c r="CB213" s="218" t="s">
        <v>73</v>
      </c>
      <c r="CC213" s="218" t="s">
        <v>73</v>
      </c>
      <c r="CD213" s="218" t="s">
        <v>73</v>
      </c>
      <c r="CE213" s="218" t="s">
        <v>73</v>
      </c>
      <c r="CF213" s="218" t="s">
        <v>73</v>
      </c>
      <c r="CG213" s="218" t="s">
        <v>73</v>
      </c>
      <c r="CH213" s="218" t="s">
        <v>73</v>
      </c>
      <c r="CI213" s="218" t="s">
        <v>73</v>
      </c>
      <c r="CJ213" s="218" t="s">
        <v>73</v>
      </c>
      <c r="CK213" s="218" t="s">
        <v>73</v>
      </c>
      <c r="CL213" s="218" t="s">
        <v>73</v>
      </c>
      <c r="CM213" s="218" t="s">
        <v>73</v>
      </c>
      <c r="CN213" s="218" t="s">
        <v>73</v>
      </c>
      <c r="CO213" s="218" t="s">
        <v>73</v>
      </c>
      <c r="CP213" s="219" t="s">
        <v>73</v>
      </c>
    </row>
    <row r="214" spans="47:94" ht="9" customHeight="1">
      <c r="AU214" s="225" t="s">
        <v>73</v>
      </c>
      <c r="AV214" s="220" t="s">
        <v>73</v>
      </c>
      <c r="AW214" s="220" t="s">
        <v>73</v>
      </c>
      <c r="AX214" s="220" t="s">
        <v>73</v>
      </c>
      <c r="AY214" s="220" t="s">
        <v>73</v>
      </c>
      <c r="AZ214" s="220" t="s">
        <v>73</v>
      </c>
      <c r="BA214" s="220" t="s">
        <v>73</v>
      </c>
      <c r="BB214" s="220" t="s">
        <v>73</v>
      </c>
      <c r="BC214" s="220" t="s">
        <v>73</v>
      </c>
      <c r="BD214" s="220" t="s">
        <v>73</v>
      </c>
      <c r="BE214" s="220" t="s">
        <v>73</v>
      </c>
      <c r="BF214" s="220" t="s">
        <v>73</v>
      </c>
      <c r="BG214" s="220" t="s">
        <v>73</v>
      </c>
      <c r="BH214" s="220" t="s">
        <v>73</v>
      </c>
      <c r="BI214" s="220" t="s">
        <v>73</v>
      </c>
      <c r="BJ214" s="220" t="s">
        <v>73</v>
      </c>
      <c r="BK214" s="220" t="s">
        <v>73</v>
      </c>
      <c r="BL214" s="220" t="s">
        <v>73</v>
      </c>
      <c r="BM214" s="220" t="s">
        <v>73</v>
      </c>
      <c r="BN214" s="220"/>
      <c r="BO214" s="220"/>
      <c r="BP214" s="220"/>
      <c r="BQ214" s="220"/>
      <c r="BR214" s="220" t="s">
        <v>73</v>
      </c>
      <c r="BS214" s="220" t="s">
        <v>73</v>
      </c>
      <c r="BT214" s="220" t="s">
        <v>73</v>
      </c>
      <c r="BU214" s="220" t="s">
        <v>73</v>
      </c>
      <c r="BV214" s="220" t="s">
        <v>73</v>
      </c>
      <c r="BW214" s="220" t="s">
        <v>73</v>
      </c>
      <c r="BX214" s="220" t="s">
        <v>73</v>
      </c>
      <c r="BY214" s="220" t="s">
        <v>73</v>
      </c>
      <c r="BZ214" s="220" t="s">
        <v>73</v>
      </c>
      <c r="CA214" s="220" t="s">
        <v>73</v>
      </c>
      <c r="CB214" s="220" t="s">
        <v>73</v>
      </c>
      <c r="CC214" s="220" t="s">
        <v>73</v>
      </c>
      <c r="CD214" s="220" t="s">
        <v>73</v>
      </c>
      <c r="CE214" s="220" t="s">
        <v>73</v>
      </c>
      <c r="CF214" s="220" t="s">
        <v>73</v>
      </c>
      <c r="CG214" s="220" t="s">
        <v>73</v>
      </c>
      <c r="CH214" s="220" t="s">
        <v>73</v>
      </c>
      <c r="CI214" s="220" t="s">
        <v>73</v>
      </c>
      <c r="CJ214" s="220" t="s">
        <v>73</v>
      </c>
      <c r="CK214" s="220" t="s">
        <v>73</v>
      </c>
      <c r="CL214" s="220" t="s">
        <v>73</v>
      </c>
      <c r="CM214" s="220" t="s">
        <v>73</v>
      </c>
      <c r="CN214" s="220" t="s">
        <v>73</v>
      </c>
      <c r="CO214" s="220" t="s">
        <v>73</v>
      </c>
      <c r="CP214" s="221" t="s">
        <v>73</v>
      </c>
    </row>
    <row r="215" spans="47:94" ht="9" customHeight="1">
      <c r="AU215" s="225" t="s">
        <v>73</v>
      </c>
      <c r="AV215" s="220" t="s">
        <v>73</v>
      </c>
      <c r="AW215" s="220" t="s">
        <v>73</v>
      </c>
      <c r="AX215" s="220" t="s">
        <v>73</v>
      </c>
      <c r="AY215" s="220" t="s">
        <v>73</v>
      </c>
      <c r="AZ215" s="220" t="s">
        <v>73</v>
      </c>
      <c r="BA215" s="220" t="s">
        <v>73</v>
      </c>
      <c r="BB215" s="220" t="s">
        <v>73</v>
      </c>
      <c r="BC215" s="220" t="s">
        <v>73</v>
      </c>
      <c r="BD215" s="220" t="s">
        <v>73</v>
      </c>
      <c r="BE215" s="220" t="s">
        <v>73</v>
      </c>
      <c r="BF215" s="220" t="s">
        <v>73</v>
      </c>
      <c r="BG215" s="220" t="s">
        <v>73</v>
      </c>
      <c r="BH215" s="220" t="s">
        <v>73</v>
      </c>
      <c r="BI215" s="220" t="s">
        <v>73</v>
      </c>
      <c r="BJ215" s="220" t="s">
        <v>73</v>
      </c>
      <c r="BK215" s="220" t="s">
        <v>73</v>
      </c>
      <c r="BL215" s="220" t="s">
        <v>73</v>
      </c>
      <c r="BM215" s="220" t="s">
        <v>73</v>
      </c>
      <c r="BN215" s="220"/>
      <c r="BO215" s="220"/>
      <c r="BP215" s="220"/>
      <c r="BQ215" s="220"/>
      <c r="BR215" s="220"/>
      <c r="BS215" s="220" t="s">
        <v>73</v>
      </c>
      <c r="BT215" s="220" t="s">
        <v>73</v>
      </c>
      <c r="BU215" s="220" t="s">
        <v>73</v>
      </c>
      <c r="BV215" s="220" t="s">
        <v>73</v>
      </c>
      <c r="BW215" s="220" t="s">
        <v>73</v>
      </c>
      <c r="BX215" s="220" t="s">
        <v>73</v>
      </c>
      <c r="BY215" s="220" t="s">
        <v>73</v>
      </c>
      <c r="BZ215" s="220" t="s">
        <v>73</v>
      </c>
      <c r="CA215" s="220" t="s">
        <v>73</v>
      </c>
      <c r="CB215" s="220" t="s">
        <v>73</v>
      </c>
      <c r="CC215" s="220" t="s">
        <v>73</v>
      </c>
      <c r="CD215" s="220" t="s">
        <v>73</v>
      </c>
      <c r="CE215" s="220" t="s">
        <v>73</v>
      </c>
      <c r="CF215" s="220" t="s">
        <v>73</v>
      </c>
      <c r="CG215" s="220" t="s">
        <v>73</v>
      </c>
      <c r="CH215" s="220" t="s">
        <v>73</v>
      </c>
      <c r="CI215" s="220" t="s">
        <v>73</v>
      </c>
      <c r="CJ215" s="220" t="s">
        <v>73</v>
      </c>
      <c r="CK215" s="220" t="s">
        <v>73</v>
      </c>
      <c r="CL215" s="220" t="s">
        <v>73</v>
      </c>
      <c r="CM215" s="220" t="s">
        <v>73</v>
      </c>
      <c r="CN215" s="220" t="s">
        <v>73</v>
      </c>
      <c r="CO215" s="220" t="s">
        <v>73</v>
      </c>
      <c r="CP215" s="221" t="s">
        <v>73</v>
      </c>
    </row>
    <row r="216" spans="47:94" ht="9" customHeight="1">
      <c r="AU216" s="225" t="s">
        <v>73</v>
      </c>
      <c r="AV216" s="220" t="s">
        <v>73</v>
      </c>
      <c r="AW216" s="220" t="s">
        <v>73</v>
      </c>
      <c r="AX216" s="220" t="s">
        <v>73</v>
      </c>
      <c r="AY216" s="220" t="s">
        <v>73</v>
      </c>
      <c r="AZ216" s="220" t="s">
        <v>73</v>
      </c>
      <c r="BA216" s="220" t="s">
        <v>73</v>
      </c>
      <c r="BB216" s="220" t="s">
        <v>73</v>
      </c>
      <c r="BC216" s="220" t="s">
        <v>73</v>
      </c>
      <c r="BD216" s="220" t="s">
        <v>73</v>
      </c>
      <c r="BE216" s="220" t="s">
        <v>73</v>
      </c>
      <c r="BF216" s="220" t="s">
        <v>73</v>
      </c>
      <c r="BG216" s="220" t="s">
        <v>73</v>
      </c>
      <c r="BH216" s="220" t="s">
        <v>73</v>
      </c>
      <c r="BI216" s="220" t="s">
        <v>73</v>
      </c>
      <c r="BJ216" s="220" t="s">
        <v>73</v>
      </c>
      <c r="BK216" s="220" t="s">
        <v>73</v>
      </c>
      <c r="BL216" s="220" t="s">
        <v>73</v>
      </c>
      <c r="BM216" s="220" t="s">
        <v>73</v>
      </c>
      <c r="BN216" s="220"/>
      <c r="BO216" s="220"/>
      <c r="BP216" s="220"/>
      <c r="BQ216" s="220"/>
      <c r="BR216" s="220"/>
      <c r="BS216" s="220" t="s">
        <v>73</v>
      </c>
      <c r="BT216" s="220" t="s">
        <v>73</v>
      </c>
      <c r="BU216" s="220" t="s">
        <v>73</v>
      </c>
      <c r="BV216" s="220" t="s">
        <v>73</v>
      </c>
      <c r="BW216" s="220" t="s">
        <v>73</v>
      </c>
      <c r="BX216" s="220" t="s">
        <v>73</v>
      </c>
      <c r="BY216" s="220" t="s">
        <v>73</v>
      </c>
      <c r="BZ216" s="220" t="s">
        <v>73</v>
      </c>
      <c r="CA216" s="220" t="s">
        <v>73</v>
      </c>
      <c r="CB216" s="220" t="s">
        <v>73</v>
      </c>
      <c r="CC216" s="220" t="s">
        <v>73</v>
      </c>
      <c r="CD216" s="220" t="s">
        <v>73</v>
      </c>
      <c r="CE216" s="220" t="s">
        <v>73</v>
      </c>
      <c r="CF216" s="220" t="s">
        <v>73</v>
      </c>
      <c r="CG216" s="220" t="s">
        <v>73</v>
      </c>
      <c r="CH216" s="220" t="s">
        <v>73</v>
      </c>
      <c r="CI216" s="220" t="s">
        <v>73</v>
      </c>
      <c r="CJ216" s="220" t="s">
        <v>73</v>
      </c>
      <c r="CK216" s="220" t="s">
        <v>73</v>
      </c>
      <c r="CL216" s="220" t="s">
        <v>73</v>
      </c>
      <c r="CM216" s="220" t="s">
        <v>73</v>
      </c>
      <c r="CN216" s="220" t="s">
        <v>73</v>
      </c>
      <c r="CO216" s="220" t="s">
        <v>73</v>
      </c>
      <c r="CP216" s="221" t="s">
        <v>73</v>
      </c>
    </row>
    <row r="217" spans="47:94" ht="9" customHeight="1">
      <c r="AU217" s="225" t="s">
        <v>73</v>
      </c>
      <c r="AV217" s="220" t="s">
        <v>73</v>
      </c>
      <c r="AW217" s="220" t="s">
        <v>73</v>
      </c>
      <c r="AX217" s="220" t="s">
        <v>73</v>
      </c>
      <c r="AY217" s="220" t="s">
        <v>73</v>
      </c>
      <c r="AZ217" s="220" t="s">
        <v>73</v>
      </c>
      <c r="BA217" s="220" t="s">
        <v>73</v>
      </c>
      <c r="BB217" s="220" t="s">
        <v>73</v>
      </c>
      <c r="BC217" s="220" t="s">
        <v>73</v>
      </c>
      <c r="BD217" s="220" t="s">
        <v>73</v>
      </c>
      <c r="BE217" s="220" t="s">
        <v>73</v>
      </c>
      <c r="BF217" s="220" t="s">
        <v>73</v>
      </c>
      <c r="BG217" s="220" t="s">
        <v>73</v>
      </c>
      <c r="BH217" s="220" t="s">
        <v>73</v>
      </c>
      <c r="BI217" s="220" t="s">
        <v>73</v>
      </c>
      <c r="BJ217" s="220" t="s">
        <v>73</v>
      </c>
      <c r="BK217" s="220" t="s">
        <v>73</v>
      </c>
      <c r="BL217" s="220" t="s">
        <v>73</v>
      </c>
      <c r="BM217" s="220" t="s">
        <v>73</v>
      </c>
      <c r="BN217" s="220"/>
      <c r="BO217" s="220"/>
      <c r="BP217" s="220"/>
      <c r="BQ217" s="220"/>
      <c r="BR217" s="220"/>
      <c r="BS217" s="220" t="s">
        <v>73</v>
      </c>
      <c r="BT217" s="220" t="s">
        <v>73</v>
      </c>
      <c r="BU217" s="220" t="s">
        <v>73</v>
      </c>
      <c r="BV217" s="220" t="s">
        <v>73</v>
      </c>
      <c r="BW217" s="220"/>
      <c r="BX217" s="220"/>
      <c r="BY217" s="220"/>
      <c r="BZ217" s="220"/>
      <c r="CA217" s="220"/>
      <c r="CB217" s="220"/>
      <c r="CC217" s="220"/>
      <c r="CD217" s="220"/>
      <c r="CE217" s="220"/>
      <c r="CF217" s="220"/>
      <c r="CG217" s="220"/>
      <c r="CH217" s="220"/>
      <c r="CI217" s="220"/>
      <c r="CJ217" s="220"/>
      <c r="CK217" s="220" t="s">
        <v>73</v>
      </c>
      <c r="CL217" s="220" t="s">
        <v>73</v>
      </c>
      <c r="CM217" s="220" t="s">
        <v>73</v>
      </c>
      <c r="CN217" s="220" t="s">
        <v>73</v>
      </c>
      <c r="CO217" s="220" t="s">
        <v>73</v>
      </c>
      <c r="CP217" s="221" t="s">
        <v>73</v>
      </c>
    </row>
    <row r="218" spans="47:94" ht="9" customHeight="1">
      <c r="AU218" s="225" t="s">
        <v>73</v>
      </c>
      <c r="AV218" s="220" t="s">
        <v>73</v>
      </c>
      <c r="AW218" s="220" t="s">
        <v>73</v>
      </c>
      <c r="AX218" s="220" t="s">
        <v>73</v>
      </c>
      <c r="AY218" s="220" t="s">
        <v>73</v>
      </c>
      <c r="AZ218" s="220" t="s">
        <v>73</v>
      </c>
      <c r="BA218" s="220" t="s">
        <v>73</v>
      </c>
      <c r="BB218" s="220" t="s">
        <v>73</v>
      </c>
      <c r="BC218" s="220"/>
      <c r="BD218" s="220"/>
      <c r="BE218" s="220" t="s">
        <v>73</v>
      </c>
      <c r="BF218" s="220" t="s">
        <v>73</v>
      </c>
      <c r="BG218" s="220" t="s">
        <v>73</v>
      </c>
      <c r="BH218" s="220" t="s">
        <v>73</v>
      </c>
      <c r="BI218" s="220" t="s">
        <v>73</v>
      </c>
      <c r="BJ218" s="220" t="s">
        <v>73</v>
      </c>
      <c r="BK218" s="220" t="s">
        <v>73</v>
      </c>
      <c r="BL218" s="220" t="s">
        <v>73</v>
      </c>
      <c r="BM218" s="220"/>
      <c r="BN218" s="220"/>
      <c r="BO218" s="220"/>
      <c r="BP218" s="220"/>
      <c r="BQ218" s="220"/>
      <c r="BR218" s="220"/>
      <c r="BS218" s="220"/>
      <c r="BT218" s="220"/>
      <c r="BU218" s="220"/>
      <c r="BV218" s="220"/>
      <c r="BW218" s="220"/>
      <c r="BX218" s="220"/>
      <c r="BY218" s="220"/>
      <c r="BZ218" s="220"/>
      <c r="CA218" s="220"/>
      <c r="CB218" s="220"/>
      <c r="CC218" s="220"/>
      <c r="CD218" s="220"/>
      <c r="CE218" s="220"/>
      <c r="CF218" s="220"/>
      <c r="CG218" s="220"/>
      <c r="CH218" s="220"/>
      <c r="CI218" s="220"/>
      <c r="CJ218" s="220"/>
      <c r="CK218" s="220" t="s">
        <v>73</v>
      </c>
      <c r="CL218" s="220" t="s">
        <v>73</v>
      </c>
      <c r="CM218" s="220" t="s">
        <v>73</v>
      </c>
      <c r="CN218" s="220" t="s">
        <v>73</v>
      </c>
      <c r="CO218" s="220" t="s">
        <v>73</v>
      </c>
      <c r="CP218" s="221" t="s">
        <v>73</v>
      </c>
    </row>
    <row r="219" spans="47:94" ht="9" customHeight="1">
      <c r="AU219" s="225" t="s">
        <v>73</v>
      </c>
      <c r="AV219" s="220" t="s">
        <v>73</v>
      </c>
      <c r="AW219" s="220" t="s">
        <v>73</v>
      </c>
      <c r="AX219" s="220" t="s">
        <v>73</v>
      </c>
      <c r="AY219" s="220" t="s">
        <v>73</v>
      </c>
      <c r="AZ219" s="220" t="s">
        <v>73</v>
      </c>
      <c r="BA219" s="220" t="s">
        <v>73</v>
      </c>
      <c r="BB219" s="220" t="s">
        <v>73</v>
      </c>
      <c r="BC219" s="220"/>
      <c r="BD219" s="220" t="s">
        <v>73</v>
      </c>
      <c r="BE219" s="220" t="s">
        <v>73</v>
      </c>
      <c r="BF219" s="220" t="s">
        <v>73</v>
      </c>
      <c r="BG219" s="220" t="s">
        <v>73</v>
      </c>
      <c r="BH219" s="220" t="s">
        <v>73</v>
      </c>
      <c r="BI219" s="220" t="s">
        <v>73</v>
      </c>
      <c r="BJ219" s="220" t="s">
        <v>73</v>
      </c>
      <c r="BK219" s="220" t="s">
        <v>73</v>
      </c>
      <c r="BL219" s="220" t="s">
        <v>73</v>
      </c>
      <c r="BM219" s="220" t="s">
        <v>73</v>
      </c>
      <c r="BN219" s="220"/>
      <c r="BO219" s="220"/>
      <c r="BP219" s="220"/>
      <c r="BQ219" s="220"/>
      <c r="BR219" s="220"/>
      <c r="BS219" s="220"/>
      <c r="BT219" s="220"/>
      <c r="BU219" s="220"/>
      <c r="BV219" s="220"/>
      <c r="BW219" s="220"/>
      <c r="BX219" s="220"/>
      <c r="BY219" s="220"/>
      <c r="BZ219" s="220"/>
      <c r="CA219" s="220"/>
      <c r="CB219" s="220" t="s">
        <v>73</v>
      </c>
      <c r="CC219" s="220" t="s">
        <v>73</v>
      </c>
      <c r="CD219" s="220" t="s">
        <v>73</v>
      </c>
      <c r="CE219" s="220" t="s">
        <v>73</v>
      </c>
      <c r="CF219" s="220" t="s">
        <v>73</v>
      </c>
      <c r="CG219" s="220" t="s">
        <v>73</v>
      </c>
      <c r="CH219" s="220"/>
      <c r="CI219" s="220"/>
      <c r="CJ219" s="220"/>
      <c r="CK219" s="220" t="s">
        <v>73</v>
      </c>
      <c r="CL219" s="220" t="s">
        <v>73</v>
      </c>
      <c r="CM219" s="220" t="s">
        <v>73</v>
      </c>
      <c r="CN219" s="220" t="s">
        <v>73</v>
      </c>
      <c r="CO219" s="220" t="s">
        <v>73</v>
      </c>
      <c r="CP219" s="221" t="s">
        <v>73</v>
      </c>
    </row>
    <row r="220" spans="47:94" ht="9" customHeight="1">
      <c r="AU220" s="225" t="s">
        <v>73</v>
      </c>
      <c r="AV220" s="220" t="s">
        <v>73</v>
      </c>
      <c r="AW220" s="220" t="s">
        <v>73</v>
      </c>
      <c r="AX220" s="220" t="s">
        <v>73</v>
      </c>
      <c r="AY220" s="220" t="s">
        <v>73</v>
      </c>
      <c r="AZ220" s="220" t="s">
        <v>73</v>
      </c>
      <c r="BA220" s="220" t="s">
        <v>73</v>
      </c>
      <c r="BB220" s="220" t="s">
        <v>73</v>
      </c>
      <c r="BC220" s="220"/>
      <c r="BD220" s="220" t="s">
        <v>73</v>
      </c>
      <c r="BE220" s="220" t="s">
        <v>73</v>
      </c>
      <c r="BF220" s="220" t="s">
        <v>73</v>
      </c>
      <c r="BG220" s="220" t="s">
        <v>73</v>
      </c>
      <c r="BH220" s="220" t="s">
        <v>73</v>
      </c>
      <c r="BI220" s="220" t="s">
        <v>73</v>
      </c>
      <c r="BJ220" s="220" t="s">
        <v>73</v>
      </c>
      <c r="BK220" s="220" t="s">
        <v>73</v>
      </c>
      <c r="BL220" s="220" t="s">
        <v>73</v>
      </c>
      <c r="BM220" s="220" t="s">
        <v>73</v>
      </c>
      <c r="BN220" s="220" t="s">
        <v>73</v>
      </c>
      <c r="BO220" s="220"/>
      <c r="BP220" s="220"/>
      <c r="BQ220" s="220"/>
      <c r="BR220" s="220"/>
      <c r="BS220" s="220"/>
      <c r="BT220" s="220"/>
      <c r="BU220" s="220"/>
      <c r="BV220" s="220"/>
      <c r="BW220" s="220"/>
      <c r="BX220" s="220"/>
      <c r="BY220" s="220"/>
      <c r="BZ220" s="220"/>
      <c r="CA220" s="220"/>
      <c r="CB220" s="220" t="s">
        <v>73</v>
      </c>
      <c r="CC220" s="220" t="s">
        <v>73</v>
      </c>
      <c r="CD220" s="220" t="s">
        <v>73</v>
      </c>
      <c r="CE220" s="220" t="s">
        <v>73</v>
      </c>
      <c r="CF220" s="220" t="s">
        <v>73</v>
      </c>
      <c r="CG220" s="220" t="s">
        <v>73</v>
      </c>
      <c r="CH220" s="220"/>
      <c r="CI220" s="220"/>
      <c r="CJ220" s="220"/>
      <c r="CK220" s="220" t="s">
        <v>73</v>
      </c>
      <c r="CL220" s="220" t="s">
        <v>73</v>
      </c>
      <c r="CM220" s="220" t="s">
        <v>73</v>
      </c>
      <c r="CN220" s="220" t="s">
        <v>73</v>
      </c>
      <c r="CO220" s="220" t="s">
        <v>73</v>
      </c>
      <c r="CP220" s="221" t="s">
        <v>73</v>
      </c>
    </row>
    <row r="221" spans="47:94" ht="9" customHeight="1">
      <c r="AU221" s="225" t="s">
        <v>73</v>
      </c>
      <c r="AV221" s="220" t="s">
        <v>73</v>
      </c>
      <c r="AW221" s="220" t="s">
        <v>73</v>
      </c>
      <c r="AX221" s="220" t="s">
        <v>73</v>
      </c>
      <c r="AY221" s="220" t="s">
        <v>73</v>
      </c>
      <c r="AZ221" s="220" t="s">
        <v>73</v>
      </c>
      <c r="BA221" s="220" t="s">
        <v>73</v>
      </c>
      <c r="BB221" s="220" t="s">
        <v>73</v>
      </c>
      <c r="BC221" s="220"/>
      <c r="BD221" s="220" t="s">
        <v>73</v>
      </c>
      <c r="BE221" s="220" t="s">
        <v>73</v>
      </c>
      <c r="BF221" s="220" t="s">
        <v>73</v>
      </c>
      <c r="BG221" s="220" t="s">
        <v>73</v>
      </c>
      <c r="BH221" s="220" t="s">
        <v>73</v>
      </c>
      <c r="BI221" s="220" t="s">
        <v>73</v>
      </c>
      <c r="BJ221" s="220" t="s">
        <v>73</v>
      </c>
      <c r="BK221" s="220" t="s">
        <v>73</v>
      </c>
      <c r="BL221" s="220" t="s">
        <v>73</v>
      </c>
      <c r="BM221" s="220" t="s">
        <v>73</v>
      </c>
      <c r="BN221" s="220"/>
      <c r="BO221" s="220"/>
      <c r="BP221" s="220"/>
      <c r="BQ221" s="220"/>
      <c r="BR221" s="220"/>
      <c r="BS221" s="220" t="s">
        <v>73</v>
      </c>
      <c r="BT221" s="220" t="s">
        <v>73</v>
      </c>
      <c r="BU221" s="220" t="s">
        <v>73</v>
      </c>
      <c r="BV221" s="220" t="s">
        <v>73</v>
      </c>
      <c r="BW221" s="220" t="s">
        <v>73</v>
      </c>
      <c r="BX221" s="220"/>
      <c r="BY221" s="220"/>
      <c r="BZ221" s="220"/>
      <c r="CA221" s="220"/>
      <c r="CB221" s="220" t="s">
        <v>73</v>
      </c>
      <c r="CC221" s="220" t="s">
        <v>73</v>
      </c>
      <c r="CD221" s="220" t="s">
        <v>73</v>
      </c>
      <c r="CE221" s="220" t="s">
        <v>73</v>
      </c>
      <c r="CF221" s="220" t="s">
        <v>73</v>
      </c>
      <c r="CG221" s="220" t="s">
        <v>73</v>
      </c>
      <c r="CH221" s="220"/>
      <c r="CI221" s="220"/>
      <c r="CJ221" s="220"/>
      <c r="CK221" s="220" t="s">
        <v>73</v>
      </c>
      <c r="CL221" s="220" t="s">
        <v>73</v>
      </c>
      <c r="CM221" s="220" t="s">
        <v>73</v>
      </c>
      <c r="CN221" s="220" t="s">
        <v>73</v>
      </c>
      <c r="CO221" s="220" t="s">
        <v>73</v>
      </c>
      <c r="CP221" s="221" t="s">
        <v>73</v>
      </c>
    </row>
    <row r="222" spans="47:94" ht="9" customHeight="1">
      <c r="AU222" s="225" t="s">
        <v>73</v>
      </c>
      <c r="AV222" s="220" t="s">
        <v>73</v>
      </c>
      <c r="AW222" s="220" t="s">
        <v>73</v>
      </c>
      <c r="AX222" s="220" t="s">
        <v>73</v>
      </c>
      <c r="AY222" s="220" t="s">
        <v>73</v>
      </c>
      <c r="AZ222" s="220" t="s">
        <v>73</v>
      </c>
      <c r="BA222" s="220" t="s">
        <v>73</v>
      </c>
      <c r="BB222" s="220" t="s">
        <v>73</v>
      </c>
      <c r="BC222" s="220"/>
      <c r="BD222" s="220" t="s">
        <v>73</v>
      </c>
      <c r="BE222" s="220" t="s">
        <v>73</v>
      </c>
      <c r="BF222" s="220" t="s">
        <v>73</v>
      </c>
      <c r="BG222" s="220" t="s">
        <v>73</v>
      </c>
      <c r="BH222" s="220" t="s">
        <v>73</v>
      </c>
      <c r="BI222" s="220" t="s">
        <v>73</v>
      </c>
      <c r="BJ222" s="220" t="s">
        <v>73</v>
      </c>
      <c r="BK222" s="220" t="s">
        <v>73</v>
      </c>
      <c r="BL222" s="220" t="s">
        <v>73</v>
      </c>
      <c r="BM222" s="220" t="s">
        <v>73</v>
      </c>
      <c r="BN222" s="220" t="s">
        <v>73</v>
      </c>
      <c r="BO222" s="220"/>
      <c r="BP222" s="220"/>
      <c r="BQ222" s="220"/>
      <c r="BR222" s="220" t="s">
        <v>73</v>
      </c>
      <c r="BS222" s="220" t="s">
        <v>73</v>
      </c>
      <c r="BT222" s="220" t="s">
        <v>73</v>
      </c>
      <c r="BU222" s="220" t="s">
        <v>73</v>
      </c>
      <c r="BV222" s="220" t="s">
        <v>73</v>
      </c>
      <c r="BW222" s="220" t="s">
        <v>73</v>
      </c>
      <c r="BX222" s="220"/>
      <c r="BY222" s="220"/>
      <c r="BZ222" s="220"/>
      <c r="CA222" s="220" t="s">
        <v>73</v>
      </c>
      <c r="CB222" s="220" t="s">
        <v>73</v>
      </c>
      <c r="CC222" s="220" t="s">
        <v>73</v>
      </c>
      <c r="CD222" s="220" t="s">
        <v>73</v>
      </c>
      <c r="CE222" s="220" t="s">
        <v>73</v>
      </c>
      <c r="CF222" s="220" t="s">
        <v>73</v>
      </c>
      <c r="CG222" s="220" t="s">
        <v>73</v>
      </c>
      <c r="CH222" s="220"/>
      <c r="CI222" s="220"/>
      <c r="CJ222" s="220"/>
      <c r="CK222" s="220" t="s">
        <v>73</v>
      </c>
      <c r="CL222" s="220" t="s">
        <v>73</v>
      </c>
      <c r="CM222" s="220" t="s">
        <v>73</v>
      </c>
      <c r="CN222" s="220" t="s">
        <v>73</v>
      </c>
      <c r="CO222" s="220" t="s">
        <v>73</v>
      </c>
      <c r="CP222" s="221" t="s">
        <v>73</v>
      </c>
    </row>
    <row r="223" spans="47:94" ht="9" customHeight="1">
      <c r="AU223" s="225" t="s">
        <v>73</v>
      </c>
      <c r="AV223" s="220" t="s">
        <v>73</v>
      </c>
      <c r="AW223" s="220" t="s">
        <v>73</v>
      </c>
      <c r="AX223" s="220" t="s">
        <v>73</v>
      </c>
      <c r="AY223" s="220" t="s">
        <v>73</v>
      </c>
      <c r="AZ223" s="220" t="s">
        <v>73</v>
      </c>
      <c r="BA223" s="220" t="s">
        <v>73</v>
      </c>
      <c r="BB223" s="220" t="s">
        <v>73</v>
      </c>
      <c r="BC223" s="220"/>
      <c r="BD223" s="220" t="s">
        <v>73</v>
      </c>
      <c r="BE223" s="220" t="s">
        <v>73</v>
      </c>
      <c r="BF223" s="220" t="s">
        <v>73</v>
      </c>
      <c r="BG223" s="220" t="s">
        <v>73</v>
      </c>
      <c r="BH223" s="220" t="s">
        <v>73</v>
      </c>
      <c r="BI223" s="220" t="s">
        <v>73</v>
      </c>
      <c r="BJ223" s="220" t="s">
        <v>73</v>
      </c>
      <c r="BK223" s="220" t="s">
        <v>73</v>
      </c>
      <c r="BL223" s="220" t="s">
        <v>73</v>
      </c>
      <c r="BM223" s="220" t="s">
        <v>73</v>
      </c>
      <c r="BN223" s="220"/>
      <c r="BO223" s="220"/>
      <c r="BP223" s="220"/>
      <c r="BQ223" s="220"/>
      <c r="BR223" s="220"/>
      <c r="BS223" s="220" t="s">
        <v>73</v>
      </c>
      <c r="BT223" s="220" t="s">
        <v>73</v>
      </c>
      <c r="BU223" s="220" t="s">
        <v>73</v>
      </c>
      <c r="BV223" s="220" t="s">
        <v>73</v>
      </c>
      <c r="BW223" s="220" t="s">
        <v>73</v>
      </c>
      <c r="BX223" s="220"/>
      <c r="BY223" s="220"/>
      <c r="BZ223" s="220"/>
      <c r="CA223" s="220" t="s">
        <v>73</v>
      </c>
      <c r="CB223" s="220"/>
      <c r="CC223" s="220"/>
      <c r="CD223" s="220" t="s">
        <v>73</v>
      </c>
      <c r="CE223" s="220" t="s">
        <v>1321</v>
      </c>
      <c r="CF223" s="220" t="s">
        <v>73</v>
      </c>
      <c r="CG223" s="220"/>
      <c r="CH223" s="220"/>
      <c r="CI223" s="220"/>
      <c r="CJ223" s="220"/>
      <c r="CK223" s="220" t="s">
        <v>73</v>
      </c>
      <c r="CL223" s="220" t="s">
        <v>73</v>
      </c>
      <c r="CM223" s="220" t="s">
        <v>73</v>
      </c>
      <c r="CN223" s="220" t="s">
        <v>73</v>
      </c>
      <c r="CO223" s="220" t="s">
        <v>73</v>
      </c>
      <c r="CP223" s="221" t="s">
        <v>73</v>
      </c>
    </row>
    <row r="224" spans="47:94" ht="9" customHeight="1">
      <c r="AU224" s="225" t="s">
        <v>73</v>
      </c>
      <c r="AV224" s="220" t="s">
        <v>73</v>
      </c>
      <c r="AW224" s="220" t="s">
        <v>73</v>
      </c>
      <c r="AX224" s="220" t="s">
        <v>73</v>
      </c>
      <c r="AY224" s="220" t="s">
        <v>73</v>
      </c>
      <c r="AZ224" s="220" t="s">
        <v>73</v>
      </c>
      <c r="BA224" s="220" t="s">
        <v>73</v>
      </c>
      <c r="BB224" s="220" t="s">
        <v>73</v>
      </c>
      <c r="BC224" s="220"/>
      <c r="BD224" s="220" t="s">
        <v>73</v>
      </c>
      <c r="BE224" s="220" t="s">
        <v>73</v>
      </c>
      <c r="BF224" s="220" t="s">
        <v>73</v>
      </c>
      <c r="BG224" s="220" t="s">
        <v>73</v>
      </c>
      <c r="BH224" s="220" t="s">
        <v>73</v>
      </c>
      <c r="BI224" s="220" t="s">
        <v>73</v>
      </c>
      <c r="BJ224" s="220" t="s">
        <v>73</v>
      </c>
      <c r="BK224" s="220" t="s">
        <v>73</v>
      </c>
      <c r="BL224" s="220" t="s">
        <v>73</v>
      </c>
      <c r="BM224" s="220" t="s">
        <v>73</v>
      </c>
      <c r="BN224" s="220" t="s">
        <v>73</v>
      </c>
      <c r="BO224" s="220"/>
      <c r="BP224" s="220"/>
      <c r="BQ224" s="220"/>
      <c r="BR224" s="220" t="s">
        <v>73</v>
      </c>
      <c r="BS224" s="220" t="s">
        <v>73</v>
      </c>
      <c r="BT224" s="220" t="s">
        <v>73</v>
      </c>
      <c r="BU224" s="220" t="s">
        <v>73</v>
      </c>
      <c r="BV224" s="220" t="s">
        <v>73</v>
      </c>
      <c r="BW224" s="220" t="s">
        <v>73</v>
      </c>
      <c r="BX224" s="220"/>
      <c r="BY224" s="220"/>
      <c r="BZ224" s="220"/>
      <c r="CA224" s="220"/>
      <c r="CB224" s="220"/>
      <c r="CC224" s="220"/>
      <c r="CD224" s="220"/>
      <c r="CE224" s="220"/>
      <c r="CF224" s="220"/>
      <c r="CG224" s="220"/>
      <c r="CH224" s="220"/>
      <c r="CI224" s="220"/>
      <c r="CJ224" s="220"/>
      <c r="CK224" s="220" t="s">
        <v>73</v>
      </c>
      <c r="CL224" s="220" t="s">
        <v>73</v>
      </c>
      <c r="CM224" s="220" t="s">
        <v>73</v>
      </c>
      <c r="CN224" s="220" t="s">
        <v>73</v>
      </c>
      <c r="CO224" s="220" t="s">
        <v>73</v>
      </c>
      <c r="CP224" s="221" t="s">
        <v>73</v>
      </c>
    </row>
    <row r="225" spans="47:94" ht="9" customHeight="1">
      <c r="AU225" s="225" t="s">
        <v>73</v>
      </c>
      <c r="AV225" s="220" t="s">
        <v>73</v>
      </c>
      <c r="AW225" s="220" t="s">
        <v>73</v>
      </c>
      <c r="AX225" s="220" t="s">
        <v>73</v>
      </c>
      <c r="AY225" s="220" t="s">
        <v>73</v>
      </c>
      <c r="AZ225" s="220" t="s">
        <v>73</v>
      </c>
      <c r="BA225" s="220" t="s">
        <v>73</v>
      </c>
      <c r="BB225" s="220" t="s">
        <v>73</v>
      </c>
      <c r="BC225" s="220"/>
      <c r="BD225" s="220" t="s">
        <v>73</v>
      </c>
      <c r="BE225" s="220" t="s">
        <v>73</v>
      </c>
      <c r="BF225" s="220" t="s">
        <v>73</v>
      </c>
      <c r="BG225" s="220" t="s">
        <v>73</v>
      </c>
      <c r="BH225" s="220" t="s">
        <v>73</v>
      </c>
      <c r="BI225" s="220" t="s">
        <v>73</v>
      </c>
      <c r="BJ225" s="220" t="s">
        <v>73</v>
      </c>
      <c r="BK225" s="220" t="s">
        <v>73</v>
      </c>
      <c r="BL225" s="220" t="s">
        <v>73</v>
      </c>
      <c r="BM225" s="220" t="s">
        <v>73</v>
      </c>
      <c r="BN225" s="220"/>
      <c r="BO225" s="220"/>
      <c r="BP225" s="220"/>
      <c r="BQ225" s="220"/>
      <c r="BR225" s="220"/>
      <c r="BS225" s="220"/>
      <c r="BT225" s="220"/>
      <c r="BU225" s="220"/>
      <c r="BV225" s="220" t="s">
        <v>73</v>
      </c>
      <c r="BW225" s="220" t="s">
        <v>73</v>
      </c>
      <c r="BX225" s="220" t="s">
        <v>1320</v>
      </c>
      <c r="BY225" s="220" t="s">
        <v>1320</v>
      </c>
      <c r="BZ225" s="220" t="s">
        <v>1320</v>
      </c>
      <c r="CA225" s="220" t="s">
        <v>1320</v>
      </c>
      <c r="CB225" s="220" t="s">
        <v>1320</v>
      </c>
      <c r="CC225" s="220" t="s">
        <v>1320</v>
      </c>
      <c r="CD225" s="220" t="s">
        <v>1320</v>
      </c>
      <c r="CE225" s="220" t="s">
        <v>1320</v>
      </c>
      <c r="CF225" s="220" t="s">
        <v>1320</v>
      </c>
      <c r="CG225" s="220" t="s">
        <v>1320</v>
      </c>
      <c r="CH225" s="220" t="s">
        <v>1320</v>
      </c>
      <c r="CI225" s="220" t="s">
        <v>1320</v>
      </c>
      <c r="CJ225" s="220" t="s">
        <v>1320</v>
      </c>
      <c r="CK225" s="220" t="s">
        <v>73</v>
      </c>
      <c r="CL225" s="220" t="s">
        <v>73</v>
      </c>
      <c r="CM225" s="220" t="s">
        <v>73</v>
      </c>
      <c r="CN225" s="220" t="s">
        <v>73</v>
      </c>
      <c r="CO225" s="220" t="s">
        <v>73</v>
      </c>
      <c r="CP225" s="221" t="s">
        <v>73</v>
      </c>
    </row>
    <row r="226" spans="47:94" ht="9" customHeight="1">
      <c r="AU226" s="225" t="s">
        <v>73</v>
      </c>
      <c r="AV226" s="220" t="s">
        <v>73</v>
      </c>
      <c r="AW226" s="220" t="s">
        <v>73</v>
      </c>
      <c r="AX226" s="220" t="s">
        <v>73</v>
      </c>
      <c r="AY226" s="220" t="s">
        <v>73</v>
      </c>
      <c r="AZ226" s="220" t="s">
        <v>73</v>
      </c>
      <c r="BA226" s="220" t="s">
        <v>73</v>
      </c>
      <c r="BB226" s="220" t="s">
        <v>73</v>
      </c>
      <c r="BC226" s="220"/>
      <c r="BD226" s="220" t="s">
        <v>73</v>
      </c>
      <c r="BE226" s="220" t="s">
        <v>73</v>
      </c>
      <c r="BF226" s="220" t="s">
        <v>73</v>
      </c>
      <c r="BG226" s="220" t="s">
        <v>73</v>
      </c>
      <c r="BH226" s="220" t="s">
        <v>73</v>
      </c>
      <c r="BI226" s="220" t="s">
        <v>73</v>
      </c>
      <c r="BJ226" s="220" t="s">
        <v>73</v>
      </c>
      <c r="BK226" s="220" t="s">
        <v>73</v>
      </c>
      <c r="BL226" s="220" t="s">
        <v>73</v>
      </c>
      <c r="BM226" s="220" t="s">
        <v>73</v>
      </c>
      <c r="BN226" s="220" t="s">
        <v>73</v>
      </c>
      <c r="BO226" s="220"/>
      <c r="BP226" s="220"/>
      <c r="BQ226" s="220"/>
      <c r="BR226" s="220"/>
      <c r="BS226" s="220"/>
      <c r="BT226" s="220"/>
      <c r="BU226" s="220"/>
      <c r="BV226" s="220"/>
      <c r="BW226" s="220"/>
      <c r="BX226" s="220"/>
      <c r="BY226" s="220"/>
      <c r="BZ226" s="220"/>
      <c r="CA226" s="220"/>
      <c r="CB226" s="220"/>
      <c r="CC226" s="220"/>
      <c r="CD226" s="220"/>
      <c r="CE226" s="220"/>
      <c r="CF226" s="220"/>
      <c r="CG226" s="220"/>
      <c r="CH226" s="220"/>
      <c r="CI226" s="220"/>
      <c r="CJ226" s="220"/>
      <c r="CK226" s="220" t="s">
        <v>73</v>
      </c>
      <c r="CL226" s="220" t="s">
        <v>73</v>
      </c>
      <c r="CM226" s="220" t="s">
        <v>73</v>
      </c>
      <c r="CN226" s="220" t="s">
        <v>73</v>
      </c>
      <c r="CO226" s="220" t="s">
        <v>73</v>
      </c>
      <c r="CP226" s="221" t="s">
        <v>73</v>
      </c>
    </row>
    <row r="227" spans="47:94" ht="9" customHeight="1">
      <c r="AU227" s="225" t="s">
        <v>73</v>
      </c>
      <c r="AV227" s="220" t="s">
        <v>73</v>
      </c>
      <c r="AW227" s="220" t="s">
        <v>73</v>
      </c>
      <c r="AX227" s="220" t="s">
        <v>73</v>
      </c>
      <c r="AY227" s="220" t="s">
        <v>73</v>
      </c>
      <c r="AZ227" s="220" t="s">
        <v>73</v>
      </c>
      <c r="BA227" s="220" t="s">
        <v>73</v>
      </c>
      <c r="BB227" s="220" t="s">
        <v>73</v>
      </c>
      <c r="BC227" s="220"/>
      <c r="BD227" s="220" t="s">
        <v>73</v>
      </c>
      <c r="BE227" s="220" t="s">
        <v>73</v>
      </c>
      <c r="BF227" s="220" t="s">
        <v>73</v>
      </c>
      <c r="BG227" s="220" t="s">
        <v>73</v>
      </c>
      <c r="BH227" s="220" t="s">
        <v>73</v>
      </c>
      <c r="BI227" s="220" t="s">
        <v>73</v>
      </c>
      <c r="BJ227" s="220" t="s">
        <v>73</v>
      </c>
      <c r="BK227" s="220" t="s">
        <v>73</v>
      </c>
      <c r="BL227" s="220" t="s">
        <v>73</v>
      </c>
      <c r="BM227" s="220" t="s">
        <v>73</v>
      </c>
      <c r="BN227" s="220"/>
      <c r="BO227" s="220"/>
      <c r="BP227" s="220"/>
      <c r="BQ227" s="220"/>
      <c r="BR227" s="220"/>
      <c r="BS227" s="220"/>
      <c r="BT227" s="220"/>
      <c r="BU227" s="220"/>
      <c r="BV227" s="220"/>
      <c r="BW227" s="220"/>
      <c r="BX227" s="220"/>
      <c r="BY227" s="220"/>
      <c r="BZ227" s="220"/>
      <c r="CA227" s="220"/>
      <c r="CB227" s="220"/>
      <c r="CC227" s="220"/>
      <c r="CD227" s="220"/>
      <c r="CE227" s="220"/>
      <c r="CF227" s="220"/>
      <c r="CG227" s="220"/>
      <c r="CH227" s="220"/>
      <c r="CI227" s="220"/>
      <c r="CJ227" s="220"/>
      <c r="CK227" s="220" t="s">
        <v>73</v>
      </c>
      <c r="CL227" s="220" t="s">
        <v>73</v>
      </c>
      <c r="CM227" s="220" t="s">
        <v>73</v>
      </c>
      <c r="CN227" s="220" t="s">
        <v>73</v>
      </c>
      <c r="CO227" s="220" t="s">
        <v>73</v>
      </c>
      <c r="CP227" s="221" t="s">
        <v>73</v>
      </c>
    </row>
    <row r="228" spans="47:94" ht="9" customHeight="1">
      <c r="AU228" s="225" t="s">
        <v>73</v>
      </c>
      <c r="AV228" s="220" t="s">
        <v>73</v>
      </c>
      <c r="AW228" s="220" t="s">
        <v>73</v>
      </c>
      <c r="AX228" s="220" t="s">
        <v>73</v>
      </c>
      <c r="AY228" s="220" t="s">
        <v>73</v>
      </c>
      <c r="AZ228" s="220" t="s">
        <v>73</v>
      </c>
      <c r="BA228" s="220" t="s">
        <v>73</v>
      </c>
      <c r="BB228" s="220" t="s">
        <v>73</v>
      </c>
      <c r="BC228" s="220"/>
      <c r="BD228" s="220" t="s">
        <v>73</v>
      </c>
      <c r="BE228" s="220" t="s">
        <v>73</v>
      </c>
      <c r="BF228" s="220" t="s">
        <v>73</v>
      </c>
      <c r="BG228" s="220" t="s">
        <v>73</v>
      </c>
      <c r="BH228" s="220" t="s">
        <v>73</v>
      </c>
      <c r="BI228" s="220" t="s">
        <v>73</v>
      </c>
      <c r="BJ228" s="220" t="s">
        <v>73</v>
      </c>
      <c r="BK228" s="220" t="s">
        <v>73</v>
      </c>
      <c r="BL228" s="220" t="s">
        <v>73</v>
      </c>
      <c r="BM228" s="220" t="s">
        <v>73</v>
      </c>
      <c r="BN228" s="220" t="s">
        <v>73</v>
      </c>
      <c r="BO228" s="220"/>
      <c r="BP228" s="220"/>
      <c r="BQ228" s="220"/>
      <c r="BR228" s="220"/>
      <c r="BS228" s="220" t="s">
        <v>73</v>
      </c>
      <c r="BT228" s="220" t="s">
        <v>73</v>
      </c>
      <c r="BU228" s="220" t="s">
        <v>73</v>
      </c>
      <c r="BV228" s="220" t="s">
        <v>73</v>
      </c>
      <c r="BW228" s="220" t="s">
        <v>73</v>
      </c>
      <c r="BX228" s="220" t="s">
        <v>73</v>
      </c>
      <c r="BY228" s="220" t="s">
        <v>73</v>
      </c>
      <c r="BZ228" s="220" t="s">
        <v>73</v>
      </c>
      <c r="CA228" s="220" t="s">
        <v>73</v>
      </c>
      <c r="CB228" s="220" t="s">
        <v>73</v>
      </c>
      <c r="CC228" s="220" t="s">
        <v>73</v>
      </c>
      <c r="CD228" s="220" t="s">
        <v>73</v>
      </c>
      <c r="CE228" s="220" t="s">
        <v>73</v>
      </c>
      <c r="CF228" s="220" t="s">
        <v>73</v>
      </c>
      <c r="CG228" s="220" t="s">
        <v>73</v>
      </c>
      <c r="CH228" s="220" t="s">
        <v>73</v>
      </c>
      <c r="CI228" s="220" t="s">
        <v>73</v>
      </c>
      <c r="CJ228" s="220" t="s">
        <v>73</v>
      </c>
      <c r="CK228" s="220" t="s">
        <v>73</v>
      </c>
      <c r="CL228" s="220" t="s">
        <v>73</v>
      </c>
      <c r="CM228" s="220" t="s">
        <v>73</v>
      </c>
      <c r="CN228" s="220" t="s">
        <v>73</v>
      </c>
      <c r="CO228" s="220" t="s">
        <v>73</v>
      </c>
      <c r="CP228" s="221" t="s">
        <v>73</v>
      </c>
    </row>
    <row r="229" spans="47:94" ht="9" customHeight="1">
      <c r="AU229" s="225"/>
      <c r="AV229" s="220"/>
      <c r="AW229" s="220"/>
      <c r="AX229" s="220"/>
      <c r="AY229" s="220"/>
      <c r="AZ229" s="220"/>
      <c r="BA229" s="220"/>
      <c r="BB229" s="220"/>
      <c r="BC229" s="220"/>
      <c r="BD229" s="220" t="s">
        <v>73</v>
      </c>
      <c r="BE229" s="220" t="s">
        <v>73</v>
      </c>
      <c r="BF229" s="220" t="s">
        <v>73</v>
      </c>
      <c r="BG229" s="220" t="s">
        <v>73</v>
      </c>
      <c r="BH229" s="220" t="s">
        <v>73</v>
      </c>
      <c r="BI229" s="220" t="s">
        <v>73</v>
      </c>
      <c r="BJ229" s="220" t="s">
        <v>73</v>
      </c>
      <c r="BK229" s="220" t="s">
        <v>73</v>
      </c>
      <c r="BL229" s="220" t="s">
        <v>73</v>
      </c>
      <c r="BM229" s="220" t="s">
        <v>73</v>
      </c>
      <c r="BN229" s="220"/>
      <c r="BO229" s="220" t="s">
        <v>73</v>
      </c>
      <c r="BP229" s="220"/>
      <c r="BQ229" s="220"/>
      <c r="BR229" s="220" t="s">
        <v>73</v>
      </c>
      <c r="BS229" s="220" t="s">
        <v>73</v>
      </c>
      <c r="BT229" s="220" t="s">
        <v>73</v>
      </c>
      <c r="BU229" s="220" t="s">
        <v>73</v>
      </c>
      <c r="BV229" s="220" t="s">
        <v>73</v>
      </c>
      <c r="BW229" s="220"/>
      <c r="BX229" s="220"/>
      <c r="BY229" s="220"/>
      <c r="BZ229" s="220"/>
      <c r="CA229" s="220"/>
      <c r="CB229" s="220"/>
      <c r="CC229" s="220" t="s">
        <v>73</v>
      </c>
      <c r="CD229" s="220" t="s">
        <v>73</v>
      </c>
      <c r="CE229" s="220" t="s">
        <v>73</v>
      </c>
      <c r="CF229" s="220" t="s">
        <v>73</v>
      </c>
      <c r="CG229" s="220"/>
      <c r="CH229" s="220"/>
      <c r="CI229" s="220"/>
      <c r="CJ229" s="220"/>
      <c r="CK229" s="220" t="s">
        <v>73</v>
      </c>
      <c r="CL229" s="220" t="s">
        <v>73</v>
      </c>
      <c r="CM229" s="220" t="s">
        <v>73</v>
      </c>
      <c r="CN229" s="220" t="s">
        <v>73</v>
      </c>
      <c r="CO229" s="220" t="s">
        <v>73</v>
      </c>
      <c r="CP229" s="221" t="s">
        <v>73</v>
      </c>
    </row>
    <row r="230" spans="47:94" ht="9" customHeight="1">
      <c r="AU230" s="225"/>
      <c r="AV230" s="220"/>
      <c r="AW230" s="220"/>
      <c r="AX230" s="220"/>
      <c r="AY230" s="220"/>
      <c r="AZ230" s="220"/>
      <c r="BA230" s="220"/>
      <c r="BB230" s="220"/>
      <c r="BC230" s="220"/>
      <c r="BD230" s="220"/>
      <c r="BE230" s="220"/>
      <c r="BF230" s="220"/>
      <c r="BG230" s="220"/>
      <c r="BH230" s="220"/>
      <c r="BI230" s="220"/>
      <c r="BJ230" s="220"/>
      <c r="BK230" s="220"/>
      <c r="BL230" s="220"/>
      <c r="BM230" s="220"/>
      <c r="BN230" s="220"/>
      <c r="BO230" s="220"/>
      <c r="BP230" s="220"/>
      <c r="BQ230" s="220"/>
      <c r="BR230" s="220"/>
      <c r="BS230" s="220" t="s">
        <v>73</v>
      </c>
      <c r="BT230" s="220" t="s">
        <v>73</v>
      </c>
      <c r="BU230" s="220" t="s">
        <v>73</v>
      </c>
      <c r="BV230" s="220" t="s">
        <v>73</v>
      </c>
      <c r="BW230" s="220"/>
      <c r="BX230" s="220"/>
      <c r="BY230" s="220"/>
      <c r="BZ230" s="220"/>
      <c r="CA230" s="220"/>
      <c r="CB230" s="220"/>
      <c r="CC230" s="220" t="s">
        <v>73</v>
      </c>
      <c r="CD230" s="220" t="s">
        <v>73</v>
      </c>
      <c r="CE230" s="220" t="s">
        <v>73</v>
      </c>
      <c r="CF230" s="220" t="s">
        <v>73</v>
      </c>
      <c r="CG230" s="220"/>
      <c r="CH230" s="220"/>
      <c r="CI230" s="220"/>
      <c r="CJ230" s="220"/>
      <c r="CK230" s="220" t="s">
        <v>73</v>
      </c>
      <c r="CL230" s="220" t="s">
        <v>73</v>
      </c>
      <c r="CM230" s="220" t="s">
        <v>73</v>
      </c>
      <c r="CN230" s="220" t="s">
        <v>73</v>
      </c>
      <c r="CO230" s="220" t="s">
        <v>73</v>
      </c>
      <c r="CP230" s="221" t="s">
        <v>73</v>
      </c>
    </row>
    <row r="231" spans="47:94" ht="9" customHeight="1">
      <c r="AU231" s="225"/>
      <c r="AV231" s="220"/>
      <c r="AW231" s="220"/>
      <c r="AX231" s="220"/>
      <c r="AY231" s="220"/>
      <c r="AZ231" s="220"/>
      <c r="BA231" s="220"/>
      <c r="BB231" s="220"/>
      <c r="BC231" s="220"/>
      <c r="BD231" s="220"/>
      <c r="BE231" s="220"/>
      <c r="BF231" s="220"/>
      <c r="BG231" s="220"/>
      <c r="BH231" s="220"/>
      <c r="BI231" s="220"/>
      <c r="BJ231" s="220"/>
      <c r="BK231" s="220"/>
      <c r="BL231" s="220"/>
      <c r="BM231" s="220"/>
      <c r="BN231" s="220"/>
      <c r="BO231" s="220"/>
      <c r="BP231" s="220"/>
      <c r="BQ231" s="220"/>
      <c r="BR231" s="220" t="s">
        <v>73</v>
      </c>
      <c r="BS231" s="220" t="s">
        <v>73</v>
      </c>
      <c r="BT231" s="220" t="s">
        <v>73</v>
      </c>
      <c r="BU231" s="220" t="s">
        <v>73</v>
      </c>
      <c r="BV231" s="220" t="s">
        <v>73</v>
      </c>
      <c r="BW231" s="220"/>
      <c r="BX231" s="220"/>
      <c r="BY231" s="220"/>
      <c r="BZ231" s="220"/>
      <c r="CA231" s="220"/>
      <c r="CB231" s="220"/>
      <c r="CC231" s="220" t="s">
        <v>73</v>
      </c>
      <c r="CD231" s="220" t="s">
        <v>73</v>
      </c>
      <c r="CE231" s="220" t="s">
        <v>73</v>
      </c>
      <c r="CF231" s="220" t="s">
        <v>73</v>
      </c>
      <c r="CG231" s="220"/>
      <c r="CH231" s="220"/>
      <c r="CI231" s="220"/>
      <c r="CJ231" s="220"/>
      <c r="CK231" s="220" t="s">
        <v>73</v>
      </c>
      <c r="CL231" s="220" t="s">
        <v>73</v>
      </c>
      <c r="CM231" s="220" t="s">
        <v>73</v>
      </c>
      <c r="CN231" s="220" t="s">
        <v>73</v>
      </c>
      <c r="CO231" s="220" t="s">
        <v>73</v>
      </c>
      <c r="CP231" s="221" t="s">
        <v>73</v>
      </c>
    </row>
    <row r="232" spans="47:94" ht="9" customHeight="1">
      <c r="AU232" s="225"/>
      <c r="AV232" s="220"/>
      <c r="AW232" s="220"/>
      <c r="AX232" s="220"/>
      <c r="AY232" s="220"/>
      <c r="AZ232" s="220"/>
      <c r="BA232" s="220"/>
      <c r="BB232" s="220"/>
      <c r="BC232" s="220"/>
      <c r="BD232" s="220"/>
      <c r="BE232" s="220"/>
      <c r="BF232" s="220"/>
      <c r="BG232" s="220"/>
      <c r="BH232" s="220"/>
      <c r="BI232" s="220"/>
      <c r="BJ232" s="220"/>
      <c r="BK232" s="220"/>
      <c r="BL232" s="220"/>
      <c r="BM232" s="220"/>
      <c r="BN232" s="220"/>
      <c r="BO232" s="220"/>
      <c r="BP232" s="220"/>
      <c r="BQ232" s="220"/>
      <c r="BR232" s="220"/>
      <c r="BS232" s="220"/>
      <c r="BT232" s="220"/>
      <c r="BU232" s="220"/>
      <c r="BV232" s="220"/>
      <c r="BW232" s="220"/>
      <c r="BX232" s="220"/>
      <c r="BY232" s="220"/>
      <c r="BZ232" s="220"/>
      <c r="CA232" s="220"/>
      <c r="CB232" s="220"/>
      <c r="CC232" s="220" t="s">
        <v>73</v>
      </c>
      <c r="CD232" s="220" t="s">
        <v>73</v>
      </c>
      <c r="CE232" s="220" t="s">
        <v>1322</v>
      </c>
      <c r="CF232" s="220" t="s">
        <v>73</v>
      </c>
      <c r="CG232" s="220"/>
      <c r="CH232" s="220"/>
      <c r="CI232" s="220"/>
      <c r="CJ232" s="220"/>
      <c r="CK232" s="220" t="s">
        <v>73</v>
      </c>
      <c r="CL232" s="220" t="s">
        <v>73</v>
      </c>
      <c r="CM232" s="220" t="s">
        <v>73</v>
      </c>
      <c r="CN232" s="220" t="s">
        <v>73</v>
      </c>
      <c r="CO232" s="220" t="s">
        <v>73</v>
      </c>
      <c r="CP232" s="221" t="s">
        <v>73</v>
      </c>
    </row>
    <row r="233" spans="47:94" ht="9" customHeight="1">
      <c r="AU233" s="225" t="s">
        <v>73</v>
      </c>
      <c r="AV233" s="220" t="s">
        <v>73</v>
      </c>
      <c r="AW233" s="220" t="s">
        <v>73</v>
      </c>
      <c r="AX233" s="220" t="s">
        <v>73</v>
      </c>
      <c r="AY233" s="220" t="s">
        <v>73</v>
      </c>
      <c r="AZ233" s="220" t="s">
        <v>73</v>
      </c>
      <c r="BA233" s="220" t="s">
        <v>73</v>
      </c>
      <c r="BB233" s="220"/>
      <c r="BC233" s="220"/>
      <c r="BD233" s="220"/>
      <c r="BE233" s="220"/>
      <c r="BF233" s="220"/>
      <c r="BG233" s="220"/>
      <c r="BH233" s="220"/>
      <c r="BI233" s="220"/>
      <c r="BJ233" s="220"/>
      <c r="BK233" s="220"/>
      <c r="BL233" s="220"/>
      <c r="BM233" s="220"/>
      <c r="BN233" s="220"/>
      <c r="BO233" s="220"/>
      <c r="BP233" s="220"/>
      <c r="BQ233" s="220"/>
      <c r="BR233" s="220"/>
      <c r="BS233" s="220"/>
      <c r="BT233" s="220"/>
      <c r="BU233" s="220"/>
      <c r="BV233" s="220"/>
      <c r="BW233" s="220"/>
      <c r="BX233" s="220"/>
      <c r="BY233" s="220"/>
      <c r="BZ233" s="220"/>
      <c r="CA233" s="220"/>
      <c r="CB233" s="220"/>
      <c r="CC233" s="220"/>
      <c r="CD233" s="220"/>
      <c r="CE233" s="220"/>
      <c r="CF233" s="220"/>
      <c r="CG233" s="220"/>
      <c r="CH233" s="220"/>
      <c r="CI233" s="220"/>
      <c r="CJ233" s="220"/>
      <c r="CK233" s="220" t="s">
        <v>73</v>
      </c>
      <c r="CL233" s="220" t="s">
        <v>73</v>
      </c>
      <c r="CM233" s="220" t="s">
        <v>73</v>
      </c>
      <c r="CN233" s="220" t="s">
        <v>73</v>
      </c>
      <c r="CO233" s="220" t="s">
        <v>73</v>
      </c>
      <c r="CP233" s="221" t="s">
        <v>73</v>
      </c>
    </row>
    <row r="234" spans="47:94" ht="9" customHeight="1">
      <c r="AU234" s="225" t="s">
        <v>73</v>
      </c>
      <c r="AV234" s="220" t="s">
        <v>73</v>
      </c>
      <c r="AW234" s="220" t="s">
        <v>73</v>
      </c>
      <c r="AX234" s="220" t="s">
        <v>73</v>
      </c>
      <c r="AY234" s="220" t="s">
        <v>73</v>
      </c>
      <c r="AZ234" s="220" t="s">
        <v>73</v>
      </c>
      <c r="BA234" s="220" t="s">
        <v>73</v>
      </c>
      <c r="BB234" s="220"/>
      <c r="BC234" s="220"/>
      <c r="BD234" s="220"/>
      <c r="BE234" s="220"/>
      <c r="BF234" s="220"/>
      <c r="BG234" s="220"/>
      <c r="BH234" s="220"/>
      <c r="BI234" s="220"/>
      <c r="BJ234" s="220"/>
      <c r="BK234" s="220"/>
      <c r="BL234" s="220"/>
      <c r="BM234" s="220"/>
      <c r="BN234" s="220"/>
      <c r="BO234" s="220"/>
      <c r="BP234" s="220"/>
      <c r="BQ234" s="220"/>
      <c r="BR234" s="220"/>
      <c r="BS234" s="220"/>
      <c r="BT234" s="220"/>
      <c r="BU234" s="220"/>
      <c r="BV234" s="220"/>
      <c r="BW234" s="220"/>
      <c r="BX234" s="220"/>
      <c r="BY234" s="220"/>
      <c r="BZ234" s="220"/>
      <c r="CA234" s="220"/>
      <c r="CB234" s="220"/>
      <c r="CC234" s="220"/>
      <c r="CD234" s="220"/>
      <c r="CE234" s="220"/>
      <c r="CF234" s="220"/>
      <c r="CG234" s="220"/>
      <c r="CH234" s="220"/>
      <c r="CI234" s="220"/>
      <c r="CJ234" s="220"/>
      <c r="CK234" s="220" t="s">
        <v>73</v>
      </c>
      <c r="CL234" s="220" t="s">
        <v>73</v>
      </c>
      <c r="CM234" s="220" t="s">
        <v>73</v>
      </c>
      <c r="CN234" s="220" t="s">
        <v>73</v>
      </c>
      <c r="CO234" s="220" t="s">
        <v>73</v>
      </c>
      <c r="CP234" s="221" t="s">
        <v>73</v>
      </c>
    </row>
    <row r="235" spans="47:94" ht="9" customHeight="1">
      <c r="AU235" s="225" t="s">
        <v>73</v>
      </c>
      <c r="AV235" s="220" t="s">
        <v>73</v>
      </c>
      <c r="AW235" s="220" t="s">
        <v>73</v>
      </c>
      <c r="AX235" s="220" t="s">
        <v>73</v>
      </c>
      <c r="AY235" s="220" t="s">
        <v>73</v>
      </c>
      <c r="AZ235" s="220" t="s">
        <v>73</v>
      </c>
      <c r="BA235" s="220" t="s">
        <v>73</v>
      </c>
      <c r="BB235" s="220" t="s">
        <v>73</v>
      </c>
      <c r="BC235" s="220" t="s">
        <v>73</v>
      </c>
      <c r="BD235" s="220" t="s">
        <v>73</v>
      </c>
      <c r="BE235" s="220" t="s">
        <v>73</v>
      </c>
      <c r="BF235" s="220"/>
      <c r="BG235" s="220"/>
      <c r="BH235" s="220"/>
      <c r="BI235" s="220"/>
      <c r="BJ235" s="220"/>
      <c r="BK235" s="220"/>
      <c r="BL235" s="220"/>
      <c r="BM235" s="220"/>
      <c r="BN235" s="220"/>
      <c r="BO235" s="220"/>
      <c r="BP235" s="220"/>
      <c r="BQ235" s="220"/>
      <c r="BR235" s="220"/>
      <c r="BS235" s="220" t="s">
        <v>73</v>
      </c>
      <c r="BT235" s="220" t="s">
        <v>73</v>
      </c>
      <c r="BU235" s="220" t="s">
        <v>73</v>
      </c>
      <c r="BV235" s="220" t="s">
        <v>73</v>
      </c>
      <c r="BW235" s="220" t="s">
        <v>73</v>
      </c>
      <c r="BX235" s="220"/>
      <c r="BY235" s="220"/>
      <c r="BZ235" s="220"/>
      <c r="CA235" s="220"/>
      <c r="CB235" s="220"/>
      <c r="CC235" s="220"/>
      <c r="CD235" s="220"/>
      <c r="CE235" s="220"/>
      <c r="CF235" s="220"/>
      <c r="CG235" s="220"/>
      <c r="CH235" s="220"/>
      <c r="CI235" s="220"/>
      <c r="CJ235" s="220"/>
      <c r="CK235" s="220" t="s">
        <v>73</v>
      </c>
      <c r="CL235" s="220" t="s">
        <v>73</v>
      </c>
      <c r="CM235" s="220" t="s">
        <v>73</v>
      </c>
      <c r="CN235" s="220" t="s">
        <v>73</v>
      </c>
      <c r="CO235" s="220" t="s">
        <v>73</v>
      </c>
      <c r="CP235" s="221" t="s">
        <v>73</v>
      </c>
    </row>
    <row r="236" spans="47:94" ht="9" customHeight="1">
      <c r="AU236" s="225" t="s">
        <v>73</v>
      </c>
      <c r="AV236" s="220" t="s">
        <v>73</v>
      </c>
      <c r="AW236" s="220" t="s">
        <v>73</v>
      </c>
      <c r="AX236" s="220" t="s">
        <v>73</v>
      </c>
      <c r="AY236" s="220" t="s">
        <v>73</v>
      </c>
      <c r="AZ236" s="220" t="s">
        <v>73</v>
      </c>
      <c r="BA236" s="220" t="s">
        <v>73</v>
      </c>
      <c r="BB236" s="220" t="s">
        <v>73</v>
      </c>
      <c r="BC236" s="220" t="s">
        <v>73</v>
      </c>
      <c r="BD236" s="220" t="s">
        <v>73</v>
      </c>
      <c r="BE236" s="220" t="s">
        <v>73</v>
      </c>
      <c r="BF236" s="220"/>
      <c r="BG236" s="220" t="s">
        <v>73</v>
      </c>
      <c r="BH236" s="220" t="s">
        <v>73</v>
      </c>
      <c r="BI236" s="220"/>
      <c r="BJ236" s="220"/>
      <c r="BK236" s="220"/>
      <c r="BL236" s="220"/>
      <c r="BM236" s="220"/>
      <c r="BN236" s="220"/>
      <c r="BO236" s="220"/>
      <c r="BP236" s="220"/>
      <c r="BQ236" s="220"/>
      <c r="BR236" s="220"/>
      <c r="BS236" s="220" t="s">
        <v>73</v>
      </c>
      <c r="BT236" s="220" t="s">
        <v>73</v>
      </c>
      <c r="BU236" s="220" t="s">
        <v>73</v>
      </c>
      <c r="BV236" s="220" t="s">
        <v>73</v>
      </c>
      <c r="BW236" s="220" t="s">
        <v>73</v>
      </c>
      <c r="BX236" s="220"/>
      <c r="BY236" s="220"/>
      <c r="BZ236" s="220"/>
      <c r="CA236" s="220"/>
      <c r="CB236" s="220"/>
      <c r="CC236" s="220"/>
      <c r="CD236" s="220"/>
      <c r="CE236" s="220"/>
      <c r="CF236" s="220"/>
      <c r="CG236" s="220"/>
      <c r="CH236" s="220"/>
      <c r="CI236" s="220"/>
      <c r="CJ236" s="220"/>
      <c r="CK236" s="220" t="s">
        <v>73</v>
      </c>
      <c r="CL236" s="220" t="s">
        <v>73</v>
      </c>
      <c r="CM236" s="220" t="s">
        <v>73</v>
      </c>
      <c r="CN236" s="220" t="s">
        <v>73</v>
      </c>
      <c r="CO236" s="220" t="s">
        <v>73</v>
      </c>
      <c r="CP236" s="221" t="s">
        <v>73</v>
      </c>
    </row>
    <row r="237" spans="47:94" ht="9" customHeight="1">
      <c r="AU237" s="225" t="s">
        <v>73</v>
      </c>
      <c r="AV237" s="220" t="s">
        <v>73</v>
      </c>
      <c r="AW237" s="220" t="s">
        <v>73</v>
      </c>
      <c r="AX237" s="220" t="s">
        <v>73</v>
      </c>
      <c r="AY237" s="220" t="s">
        <v>73</v>
      </c>
      <c r="AZ237" s="220" t="s">
        <v>73</v>
      </c>
      <c r="BA237" s="220" t="s">
        <v>73</v>
      </c>
      <c r="BB237" s="220" t="s">
        <v>73</v>
      </c>
      <c r="BC237" s="220" t="s">
        <v>73</v>
      </c>
      <c r="BD237" s="220" t="s">
        <v>73</v>
      </c>
      <c r="BE237" s="220" t="s">
        <v>73</v>
      </c>
      <c r="BF237" s="220"/>
      <c r="BG237" s="220" t="s">
        <v>73</v>
      </c>
      <c r="BH237" s="220" t="s">
        <v>73</v>
      </c>
      <c r="BI237" s="220"/>
      <c r="BJ237" s="220"/>
      <c r="BK237" s="220"/>
      <c r="BL237" s="220"/>
      <c r="BM237" s="220"/>
      <c r="BN237" s="220"/>
      <c r="BO237" s="220"/>
      <c r="BP237" s="220"/>
      <c r="BQ237" s="220"/>
      <c r="BR237" s="220"/>
      <c r="BS237" s="220" t="s">
        <v>73</v>
      </c>
      <c r="BT237" s="220" t="s">
        <v>73</v>
      </c>
      <c r="BU237" s="220" t="s">
        <v>73</v>
      </c>
      <c r="BV237" s="220" t="s">
        <v>73</v>
      </c>
      <c r="BW237" s="220" t="s">
        <v>73</v>
      </c>
      <c r="BX237" s="220"/>
      <c r="BY237" s="220"/>
      <c r="BZ237" s="220"/>
      <c r="CA237" s="220"/>
      <c r="CB237" s="220"/>
      <c r="CC237" s="220"/>
      <c r="CD237" s="220"/>
      <c r="CE237" s="220"/>
      <c r="CF237" s="220"/>
      <c r="CG237" s="220"/>
      <c r="CH237" s="220"/>
      <c r="CI237" s="220"/>
      <c r="CJ237" s="220"/>
      <c r="CK237" s="220" t="s">
        <v>73</v>
      </c>
      <c r="CL237" s="220" t="s">
        <v>73</v>
      </c>
      <c r="CM237" s="220" t="s">
        <v>73</v>
      </c>
      <c r="CN237" s="220" t="s">
        <v>73</v>
      </c>
      <c r="CO237" s="220" t="s">
        <v>73</v>
      </c>
      <c r="CP237" s="221" t="s">
        <v>73</v>
      </c>
    </row>
    <row r="238" spans="47:94" ht="9" customHeight="1">
      <c r="AU238" s="225" t="s">
        <v>73</v>
      </c>
      <c r="AV238" s="220" t="s">
        <v>73</v>
      </c>
      <c r="AW238" s="220" t="s">
        <v>73</v>
      </c>
      <c r="AX238" s="220" t="s">
        <v>73</v>
      </c>
      <c r="AY238" s="220" t="s">
        <v>73</v>
      </c>
      <c r="AZ238" s="220" t="s">
        <v>73</v>
      </c>
      <c r="BA238" s="220" t="s">
        <v>73</v>
      </c>
      <c r="BB238" s="220"/>
      <c r="BC238" s="220"/>
      <c r="BD238" s="220"/>
      <c r="BE238" s="220"/>
      <c r="BF238" s="220"/>
      <c r="BG238" s="220" t="s">
        <v>73</v>
      </c>
      <c r="BH238" s="220" t="s">
        <v>73</v>
      </c>
      <c r="BI238" s="220"/>
      <c r="BJ238" s="220"/>
      <c r="BK238" s="220"/>
      <c r="BL238" s="220"/>
      <c r="BM238" s="220"/>
      <c r="BN238" s="220"/>
      <c r="BO238" s="220"/>
      <c r="BP238" s="220"/>
      <c r="BQ238" s="220"/>
      <c r="BR238" s="220"/>
      <c r="BS238" s="220" t="s">
        <v>73</v>
      </c>
      <c r="BT238" s="220" t="s">
        <v>73</v>
      </c>
      <c r="BU238" s="220" t="s">
        <v>73</v>
      </c>
      <c r="BV238" s="220" t="s">
        <v>73</v>
      </c>
      <c r="BW238" s="220" t="s">
        <v>73</v>
      </c>
      <c r="BX238" s="220"/>
      <c r="BY238" s="220"/>
      <c r="BZ238" s="220"/>
      <c r="CA238" s="220"/>
      <c r="CB238" s="220"/>
      <c r="CC238" s="220"/>
      <c r="CD238" s="220"/>
      <c r="CE238" s="220"/>
      <c r="CF238" s="220"/>
      <c r="CG238" s="220"/>
      <c r="CH238" s="220"/>
      <c r="CI238" s="220"/>
      <c r="CJ238" s="220"/>
      <c r="CK238" s="220" t="s">
        <v>73</v>
      </c>
      <c r="CL238" s="220" t="s">
        <v>73</v>
      </c>
      <c r="CM238" s="220" t="s">
        <v>73</v>
      </c>
      <c r="CN238" s="220" t="s">
        <v>73</v>
      </c>
      <c r="CO238" s="220" t="s">
        <v>73</v>
      </c>
      <c r="CP238" s="221" t="s">
        <v>73</v>
      </c>
    </row>
    <row r="239" spans="47:94" ht="9" customHeight="1">
      <c r="AU239" s="225" t="s">
        <v>73</v>
      </c>
      <c r="AV239" s="220" t="s">
        <v>73</v>
      </c>
      <c r="AW239" s="220" t="s">
        <v>73</v>
      </c>
      <c r="AX239" s="220" t="s">
        <v>73</v>
      </c>
      <c r="AY239" s="220" t="s">
        <v>73</v>
      </c>
      <c r="AZ239" s="220" t="s">
        <v>73</v>
      </c>
      <c r="BA239" s="220" t="s">
        <v>73</v>
      </c>
      <c r="BB239" s="220"/>
      <c r="BC239" s="220"/>
      <c r="BD239" s="220"/>
      <c r="BE239" s="220"/>
      <c r="BF239" s="220" t="s">
        <v>1311</v>
      </c>
      <c r="BG239" s="220" t="s">
        <v>1311</v>
      </c>
      <c r="BH239" s="220" t="s">
        <v>1311</v>
      </c>
      <c r="BI239" s="220" t="s">
        <v>1311</v>
      </c>
      <c r="BJ239" s="220" t="s">
        <v>1311</v>
      </c>
      <c r="BK239" s="220" t="s">
        <v>1311</v>
      </c>
      <c r="BL239" s="220"/>
      <c r="BM239" s="220"/>
      <c r="BN239" s="220"/>
      <c r="BO239" s="220"/>
      <c r="BP239" s="220"/>
      <c r="BQ239" s="220"/>
      <c r="BR239" s="220"/>
      <c r="BS239" s="220" t="s">
        <v>73</v>
      </c>
      <c r="BT239" s="220" t="s">
        <v>73</v>
      </c>
      <c r="BU239" s="220" t="s">
        <v>1323</v>
      </c>
      <c r="BV239" s="220" t="s">
        <v>73</v>
      </c>
      <c r="BW239" s="220" t="s">
        <v>73</v>
      </c>
      <c r="BX239" s="220"/>
      <c r="BY239" s="220"/>
      <c r="BZ239" s="220"/>
      <c r="CA239" s="220"/>
      <c r="CB239" s="220"/>
      <c r="CC239" s="220"/>
      <c r="CD239" s="220"/>
      <c r="CE239" s="220"/>
      <c r="CF239" s="220"/>
      <c r="CG239" s="220"/>
      <c r="CH239" s="220"/>
      <c r="CI239" s="220"/>
      <c r="CJ239" s="220"/>
      <c r="CK239" s="220" t="s">
        <v>73</v>
      </c>
      <c r="CL239" s="220" t="s">
        <v>73</v>
      </c>
      <c r="CM239" s="220" t="s">
        <v>73</v>
      </c>
      <c r="CN239" s="220" t="s">
        <v>73</v>
      </c>
      <c r="CO239" s="220" t="s">
        <v>73</v>
      </c>
      <c r="CP239" s="221" t="s">
        <v>73</v>
      </c>
    </row>
    <row r="240" spans="47:94" ht="9" customHeight="1">
      <c r="AU240" s="225" t="s">
        <v>73</v>
      </c>
      <c r="AV240" s="220" t="s">
        <v>73</v>
      </c>
      <c r="AW240" s="220" t="s">
        <v>73</v>
      </c>
      <c r="AX240" s="220" t="s">
        <v>73</v>
      </c>
      <c r="AY240" s="220" t="s">
        <v>73</v>
      </c>
      <c r="AZ240" s="220" t="s">
        <v>73</v>
      </c>
      <c r="BA240" s="220" t="s">
        <v>73</v>
      </c>
      <c r="BB240" s="220"/>
      <c r="BC240" s="220"/>
      <c r="BD240" s="220"/>
      <c r="BE240" s="220"/>
      <c r="BF240" s="220" t="s">
        <v>1311</v>
      </c>
      <c r="BG240" s="220" t="s">
        <v>1311</v>
      </c>
      <c r="BH240" s="220" t="s">
        <v>1311</v>
      </c>
      <c r="BI240" s="220" t="s">
        <v>1311</v>
      </c>
      <c r="BJ240" s="220" t="s">
        <v>1311</v>
      </c>
      <c r="BK240" s="220" t="s">
        <v>1311</v>
      </c>
      <c r="BL240" s="220"/>
      <c r="BM240" s="220"/>
      <c r="BN240" s="220"/>
      <c r="BO240" s="220"/>
      <c r="BP240" s="220"/>
      <c r="BQ240" s="220"/>
      <c r="BR240" s="220"/>
      <c r="BS240" s="220"/>
      <c r="BT240" s="220"/>
      <c r="BU240" s="220"/>
      <c r="BV240" s="220"/>
      <c r="BW240" s="220"/>
      <c r="BX240" s="220"/>
      <c r="BY240" s="220"/>
      <c r="BZ240" s="220"/>
      <c r="CA240" s="220"/>
      <c r="CB240" s="220"/>
      <c r="CC240" s="220"/>
      <c r="CD240" s="220"/>
      <c r="CE240" s="220"/>
      <c r="CF240" s="220"/>
      <c r="CG240" s="220"/>
      <c r="CH240" s="220"/>
      <c r="CI240" s="220"/>
      <c r="CJ240" s="220"/>
      <c r="CK240" s="220" t="s">
        <v>73</v>
      </c>
      <c r="CL240" s="220" t="s">
        <v>73</v>
      </c>
      <c r="CM240" s="220" t="s">
        <v>73</v>
      </c>
      <c r="CN240" s="220" t="s">
        <v>73</v>
      </c>
      <c r="CO240" s="220" t="s">
        <v>73</v>
      </c>
      <c r="CP240" s="221" t="s">
        <v>73</v>
      </c>
    </row>
    <row r="241" spans="47:94" ht="9" customHeight="1">
      <c r="AU241" s="225" t="s">
        <v>73</v>
      </c>
      <c r="AV241" s="220" t="s">
        <v>73</v>
      </c>
      <c r="AW241" s="220" t="s">
        <v>73</v>
      </c>
      <c r="AX241" s="220" t="s">
        <v>73</v>
      </c>
      <c r="AY241" s="220" t="s">
        <v>73</v>
      </c>
      <c r="AZ241" s="220" t="s">
        <v>73</v>
      </c>
      <c r="BA241" s="220" t="s">
        <v>73</v>
      </c>
      <c r="BB241" s="220"/>
      <c r="BC241" s="220"/>
      <c r="BD241" s="220"/>
      <c r="BE241" s="220"/>
      <c r="BF241" s="220" t="s">
        <v>1311</v>
      </c>
      <c r="BG241" s="220" t="s">
        <v>1311</v>
      </c>
      <c r="BH241" s="220" t="s">
        <v>1311</v>
      </c>
      <c r="BI241" s="220" t="s">
        <v>1311</v>
      </c>
      <c r="BJ241" s="220" t="s">
        <v>1311</v>
      </c>
      <c r="BK241" s="220" t="s">
        <v>1311</v>
      </c>
      <c r="BL241" s="220"/>
      <c r="BM241" s="220"/>
      <c r="BN241" s="220"/>
      <c r="BO241" s="220"/>
      <c r="BP241" s="220"/>
      <c r="BQ241" s="220"/>
      <c r="BR241" s="220"/>
      <c r="BS241" s="220"/>
      <c r="BT241" s="220"/>
      <c r="BU241" s="220"/>
      <c r="BV241" s="220"/>
      <c r="BW241" s="220"/>
      <c r="BX241" s="220"/>
      <c r="BY241" s="220"/>
      <c r="BZ241" s="220"/>
      <c r="CA241" s="220"/>
      <c r="CB241" s="220"/>
      <c r="CC241" s="220"/>
      <c r="CD241" s="220"/>
      <c r="CE241" s="220"/>
      <c r="CF241" s="220"/>
      <c r="CG241" s="220"/>
      <c r="CH241" s="220"/>
      <c r="CI241" s="220"/>
      <c r="CJ241" s="220"/>
      <c r="CK241" s="220" t="s">
        <v>73</v>
      </c>
      <c r="CL241" s="220" t="s">
        <v>73</v>
      </c>
      <c r="CM241" s="220" t="s">
        <v>73</v>
      </c>
      <c r="CN241" s="220" t="s">
        <v>73</v>
      </c>
      <c r="CO241" s="220" t="s">
        <v>73</v>
      </c>
      <c r="CP241" s="221" t="s">
        <v>73</v>
      </c>
    </row>
    <row r="242" spans="47:94" ht="9" customHeight="1">
      <c r="AU242" s="225" t="s">
        <v>73</v>
      </c>
      <c r="AV242" s="220" t="s">
        <v>73</v>
      </c>
      <c r="AW242" s="220" t="s">
        <v>73</v>
      </c>
      <c r="AX242" s="220" t="s">
        <v>73</v>
      </c>
      <c r="AY242" s="220" t="s">
        <v>73</v>
      </c>
      <c r="AZ242" s="220" t="s">
        <v>73</v>
      </c>
      <c r="BA242" s="220" t="s">
        <v>73</v>
      </c>
      <c r="BB242" s="220"/>
      <c r="BC242" s="220"/>
      <c r="BD242" s="220"/>
      <c r="BE242" s="220"/>
      <c r="BF242" s="220" t="s">
        <v>1311</v>
      </c>
      <c r="BG242" s="220" t="s">
        <v>1311</v>
      </c>
      <c r="BH242" s="220" t="s">
        <v>1311</v>
      </c>
      <c r="BI242" s="220" t="s">
        <v>1311</v>
      </c>
      <c r="BJ242" s="220" t="s">
        <v>1311</v>
      </c>
      <c r="BK242" s="220" t="s">
        <v>1311</v>
      </c>
      <c r="BL242" s="220"/>
      <c r="BM242" s="220"/>
      <c r="BN242" s="220"/>
      <c r="BO242" s="220"/>
      <c r="BP242" s="220"/>
      <c r="BQ242" s="220"/>
      <c r="BR242" s="220"/>
      <c r="BS242" s="220"/>
      <c r="BT242" s="220"/>
      <c r="BU242" s="220"/>
      <c r="BV242" s="220"/>
      <c r="BW242" s="220"/>
      <c r="BX242" s="220"/>
      <c r="BY242" s="220"/>
      <c r="BZ242" s="220"/>
      <c r="CA242" s="220"/>
      <c r="CB242" s="220"/>
      <c r="CC242" s="220"/>
      <c r="CD242" s="220"/>
      <c r="CE242" s="220"/>
      <c r="CF242" s="220"/>
      <c r="CG242" s="220"/>
      <c r="CH242" s="220"/>
      <c r="CI242" s="220"/>
      <c r="CJ242" s="220"/>
      <c r="CK242" s="220" t="s">
        <v>73</v>
      </c>
      <c r="CL242" s="220" t="s">
        <v>73</v>
      </c>
      <c r="CM242" s="220" t="s">
        <v>73</v>
      </c>
      <c r="CN242" s="220" t="s">
        <v>73</v>
      </c>
      <c r="CO242" s="220" t="s">
        <v>73</v>
      </c>
      <c r="CP242" s="221" t="s">
        <v>73</v>
      </c>
    </row>
    <row r="243" spans="47:94" ht="9" customHeight="1">
      <c r="AU243" s="225" t="s">
        <v>73</v>
      </c>
      <c r="AV243" s="220" t="s">
        <v>73</v>
      </c>
      <c r="AW243" s="220" t="s">
        <v>73</v>
      </c>
      <c r="AX243" s="220" t="s">
        <v>73</v>
      </c>
      <c r="AY243" s="220" t="s">
        <v>73</v>
      </c>
      <c r="AZ243" s="220" t="s">
        <v>73</v>
      </c>
      <c r="BA243" s="220" t="s">
        <v>73</v>
      </c>
      <c r="BB243" s="220" t="s">
        <v>1320</v>
      </c>
      <c r="BC243" s="220" t="s">
        <v>1320</v>
      </c>
      <c r="BD243" s="220" t="s">
        <v>1320</v>
      </c>
      <c r="BE243" s="220" t="s">
        <v>1320</v>
      </c>
      <c r="BF243" s="220" t="s">
        <v>1311</v>
      </c>
      <c r="BG243" s="220" t="s">
        <v>1311</v>
      </c>
      <c r="BH243" s="220" t="s">
        <v>1311</v>
      </c>
      <c r="BI243" s="220" t="s">
        <v>1311</v>
      </c>
      <c r="BJ243" s="220" t="s">
        <v>1311</v>
      </c>
      <c r="BK243" s="220" t="s">
        <v>1311</v>
      </c>
      <c r="BL243" s="220" t="s">
        <v>1320</v>
      </c>
      <c r="BM243" s="220" t="s">
        <v>1320</v>
      </c>
      <c r="BN243" s="220" t="s">
        <v>1320</v>
      </c>
      <c r="BO243" s="220"/>
      <c r="BP243" s="220"/>
      <c r="BQ243" s="220"/>
      <c r="BR243" s="220" t="s">
        <v>1320</v>
      </c>
      <c r="BS243" s="220" t="s">
        <v>1320</v>
      </c>
      <c r="BT243" s="220" t="s">
        <v>1320</v>
      </c>
      <c r="BU243" s="220" t="s">
        <v>1320</v>
      </c>
      <c r="BV243" s="220" t="s">
        <v>1320</v>
      </c>
      <c r="BW243" s="220" t="s">
        <v>1320</v>
      </c>
      <c r="BX243" s="220" t="s">
        <v>1320</v>
      </c>
      <c r="BY243" s="220" t="s">
        <v>1320</v>
      </c>
      <c r="BZ243" s="220" t="s">
        <v>1320</v>
      </c>
      <c r="CA243" s="220" t="s">
        <v>1320</v>
      </c>
      <c r="CB243" s="220" t="s">
        <v>1320</v>
      </c>
      <c r="CC243" s="220" t="s">
        <v>1320</v>
      </c>
      <c r="CD243" s="220" t="s">
        <v>1320</v>
      </c>
      <c r="CE243" s="220" t="s">
        <v>1320</v>
      </c>
      <c r="CF243" s="220" t="s">
        <v>1320</v>
      </c>
      <c r="CG243" s="220" t="s">
        <v>1320</v>
      </c>
      <c r="CH243" s="220" t="s">
        <v>1320</v>
      </c>
      <c r="CI243" s="220" t="s">
        <v>1320</v>
      </c>
      <c r="CJ243" s="220" t="s">
        <v>1320</v>
      </c>
      <c r="CK243" s="220" t="s">
        <v>73</v>
      </c>
      <c r="CL243" s="220" t="s">
        <v>73</v>
      </c>
      <c r="CM243" s="220" t="s">
        <v>73</v>
      </c>
      <c r="CN243" s="220" t="s">
        <v>73</v>
      </c>
      <c r="CO243" s="220" t="s">
        <v>73</v>
      </c>
      <c r="CP243" s="221" t="s">
        <v>73</v>
      </c>
    </row>
    <row r="244" spans="47:94" ht="9" customHeight="1">
      <c r="AU244" s="225" t="s">
        <v>73</v>
      </c>
      <c r="AV244" s="220" t="s">
        <v>73</v>
      </c>
      <c r="AW244" s="220" t="s">
        <v>73</v>
      </c>
      <c r="AX244" s="220" t="s">
        <v>73</v>
      </c>
      <c r="AY244" s="220" t="s">
        <v>73</v>
      </c>
      <c r="AZ244" s="220" t="s">
        <v>73</v>
      </c>
      <c r="BA244" s="220" t="s">
        <v>73</v>
      </c>
      <c r="BB244" s="220"/>
      <c r="BC244" s="220"/>
      <c r="BD244" s="220"/>
      <c r="BE244" s="220"/>
      <c r="BF244" s="220"/>
      <c r="BG244" s="220"/>
      <c r="BH244" s="220"/>
      <c r="BI244" s="220"/>
      <c r="BJ244" s="220"/>
      <c r="BK244" s="220"/>
      <c r="BL244" s="220"/>
      <c r="BM244" s="220"/>
      <c r="BN244" s="220"/>
      <c r="BO244" s="220" t="s">
        <v>73</v>
      </c>
      <c r="BP244" s="220"/>
      <c r="BQ244" s="220"/>
      <c r="BR244" s="220"/>
      <c r="BS244" s="220"/>
      <c r="BT244" s="220"/>
      <c r="BU244" s="220"/>
      <c r="BV244" s="220"/>
      <c r="BW244" s="220"/>
      <c r="BX244" s="220"/>
      <c r="BY244" s="220"/>
      <c r="BZ244" s="220"/>
      <c r="CA244" s="220"/>
      <c r="CB244" s="220"/>
      <c r="CC244" s="220"/>
      <c r="CD244" s="220"/>
      <c r="CE244" s="220"/>
      <c r="CF244" s="220"/>
      <c r="CG244" s="220"/>
      <c r="CH244" s="220"/>
      <c r="CI244" s="220"/>
      <c r="CJ244" s="220"/>
      <c r="CK244" s="220" t="s">
        <v>73</v>
      </c>
      <c r="CL244" s="220" t="s">
        <v>73</v>
      </c>
      <c r="CM244" s="220" t="s">
        <v>73</v>
      </c>
      <c r="CN244" s="220" t="s">
        <v>73</v>
      </c>
      <c r="CO244" s="220" t="s">
        <v>73</v>
      </c>
      <c r="CP244" s="221" t="s">
        <v>73</v>
      </c>
    </row>
    <row r="245" spans="47:94" ht="9" customHeight="1">
      <c r="AU245" s="225" t="s">
        <v>73</v>
      </c>
      <c r="AV245" s="220" t="s">
        <v>73</v>
      </c>
      <c r="AW245" s="220" t="s">
        <v>73</v>
      </c>
      <c r="AX245" s="220" t="s">
        <v>73</v>
      </c>
      <c r="AY245" s="220" t="s">
        <v>73</v>
      </c>
      <c r="AZ245" s="220" t="s">
        <v>73</v>
      </c>
      <c r="BA245" s="220" t="s">
        <v>73</v>
      </c>
      <c r="BB245" s="220"/>
      <c r="BC245" s="220"/>
      <c r="BD245" s="220"/>
      <c r="BE245" s="220"/>
      <c r="BF245" s="220"/>
      <c r="BG245" s="220"/>
      <c r="BH245" s="220"/>
      <c r="BI245" s="220"/>
      <c r="BJ245" s="220"/>
      <c r="BK245" s="220"/>
      <c r="BL245" s="220"/>
      <c r="BM245" s="220"/>
      <c r="BN245" s="220"/>
      <c r="BO245" s="220"/>
      <c r="BP245" s="220"/>
      <c r="BQ245" s="220"/>
      <c r="BR245" s="220"/>
      <c r="BS245" s="220"/>
      <c r="BT245" s="220"/>
      <c r="BU245" s="220"/>
      <c r="BV245" s="220"/>
      <c r="BW245" s="220"/>
      <c r="BX245" s="220"/>
      <c r="BY245" s="220"/>
      <c r="BZ245" s="220"/>
      <c r="CA245" s="220"/>
      <c r="CB245" s="220"/>
      <c r="CC245" s="220"/>
      <c r="CD245" s="220"/>
      <c r="CE245" s="220"/>
      <c r="CF245" s="220"/>
      <c r="CG245" s="220"/>
      <c r="CH245" s="220"/>
      <c r="CI245" s="220"/>
      <c r="CJ245" s="220"/>
      <c r="CK245" s="220" t="s">
        <v>73</v>
      </c>
      <c r="CL245" s="220" t="s">
        <v>73</v>
      </c>
      <c r="CM245" s="220" t="s">
        <v>73</v>
      </c>
      <c r="CN245" s="220" t="s">
        <v>73</v>
      </c>
      <c r="CO245" s="220" t="s">
        <v>73</v>
      </c>
      <c r="CP245" s="221" t="s">
        <v>73</v>
      </c>
    </row>
    <row r="246" spans="47:94" ht="9" customHeight="1">
      <c r="AU246" s="225" t="s">
        <v>73</v>
      </c>
      <c r="AV246" s="220" t="s">
        <v>73</v>
      </c>
      <c r="AW246" s="220" t="s">
        <v>73</v>
      </c>
      <c r="AX246" s="220" t="s">
        <v>73</v>
      </c>
      <c r="AY246" s="220" t="s">
        <v>73</v>
      </c>
      <c r="AZ246" s="220" t="s">
        <v>73</v>
      </c>
      <c r="BA246" s="220" t="s">
        <v>73</v>
      </c>
      <c r="BB246" s="220" t="s">
        <v>73</v>
      </c>
      <c r="BC246" s="220" t="s">
        <v>73</v>
      </c>
      <c r="BD246" s="220" t="s">
        <v>73</v>
      </c>
      <c r="BE246" s="220" t="s">
        <v>73</v>
      </c>
      <c r="BF246" s="220" t="s">
        <v>73</v>
      </c>
      <c r="BG246" s="220" t="s">
        <v>73</v>
      </c>
      <c r="BH246" s="220" t="s">
        <v>73</v>
      </c>
      <c r="BI246" s="220"/>
      <c r="BJ246" s="220"/>
      <c r="BK246" s="220"/>
      <c r="BL246" s="220"/>
      <c r="BM246" s="220"/>
      <c r="BN246" s="220"/>
      <c r="BO246" s="220"/>
      <c r="BP246" s="220"/>
      <c r="BQ246" s="220"/>
      <c r="BR246" s="220"/>
      <c r="BS246" s="220"/>
      <c r="BT246" s="220"/>
      <c r="BU246" s="220"/>
      <c r="BV246" s="220"/>
      <c r="BW246" s="220"/>
      <c r="BX246" s="220"/>
      <c r="BY246" s="220"/>
      <c r="BZ246" s="220"/>
      <c r="CA246" s="220"/>
      <c r="CB246" s="220"/>
      <c r="CC246" s="220"/>
      <c r="CD246" s="220"/>
      <c r="CE246" s="220"/>
      <c r="CF246" s="220"/>
      <c r="CG246" s="220"/>
      <c r="CH246" s="220"/>
      <c r="CI246" s="220"/>
      <c r="CJ246" s="220"/>
      <c r="CK246" s="220" t="s">
        <v>73</v>
      </c>
      <c r="CL246" s="220" t="s">
        <v>73</v>
      </c>
      <c r="CM246" s="220" t="s">
        <v>73</v>
      </c>
      <c r="CN246" s="220" t="s">
        <v>73</v>
      </c>
      <c r="CO246" s="220" t="s">
        <v>73</v>
      </c>
      <c r="CP246" s="221" t="s">
        <v>73</v>
      </c>
    </row>
    <row r="247" spans="47:94" ht="9" customHeight="1">
      <c r="AU247" s="225" t="s">
        <v>73</v>
      </c>
      <c r="AV247" s="220" t="s">
        <v>73</v>
      </c>
      <c r="AW247" s="220" t="s">
        <v>73</v>
      </c>
      <c r="AX247" s="220" t="s">
        <v>73</v>
      </c>
      <c r="AY247" s="220" t="s">
        <v>73</v>
      </c>
      <c r="AZ247" s="220" t="s">
        <v>73</v>
      </c>
      <c r="BA247" s="220" t="s">
        <v>73</v>
      </c>
      <c r="BB247" s="220" t="s">
        <v>73</v>
      </c>
      <c r="BC247" s="220" t="s">
        <v>73</v>
      </c>
      <c r="BD247" s="220" t="s">
        <v>73</v>
      </c>
      <c r="BE247" s="220" t="s">
        <v>73</v>
      </c>
      <c r="BF247" s="220" t="s">
        <v>73</v>
      </c>
      <c r="BG247" s="220" t="s">
        <v>73</v>
      </c>
      <c r="BH247" s="220" t="s">
        <v>73</v>
      </c>
      <c r="BI247" s="220"/>
      <c r="BJ247" s="220"/>
      <c r="BK247" s="220"/>
      <c r="BL247" s="220"/>
      <c r="BM247" s="220"/>
      <c r="BN247" s="220"/>
      <c r="BO247" s="220"/>
      <c r="BP247" s="220"/>
      <c r="BQ247" s="220"/>
      <c r="BR247" s="220"/>
      <c r="BS247" s="220"/>
      <c r="BT247" s="220"/>
      <c r="BU247" s="220"/>
      <c r="BV247" s="220"/>
      <c r="BW247" s="220"/>
      <c r="BX247" s="220"/>
      <c r="BY247" s="220"/>
      <c r="BZ247" s="220"/>
      <c r="CA247" s="220"/>
      <c r="CB247" s="220"/>
      <c r="CC247" s="220"/>
      <c r="CD247" s="220"/>
      <c r="CE247" s="220"/>
      <c r="CF247" s="220"/>
      <c r="CG247" s="220"/>
      <c r="CH247" s="220"/>
      <c r="CI247" s="220"/>
      <c r="CJ247" s="220"/>
      <c r="CK247" s="220" t="s">
        <v>73</v>
      </c>
      <c r="CL247" s="220" t="s">
        <v>73</v>
      </c>
      <c r="CM247" s="220" t="s">
        <v>73</v>
      </c>
      <c r="CN247" s="220" t="s">
        <v>73</v>
      </c>
      <c r="CO247" s="220" t="s">
        <v>73</v>
      </c>
      <c r="CP247" s="221" t="s">
        <v>73</v>
      </c>
    </row>
    <row r="248" spans="47:94" ht="9" customHeight="1">
      <c r="AU248" s="225" t="s">
        <v>73</v>
      </c>
      <c r="AV248" s="220" t="s">
        <v>73</v>
      </c>
      <c r="AW248" s="220" t="s">
        <v>73</v>
      </c>
      <c r="AX248" s="220" t="s">
        <v>73</v>
      </c>
      <c r="AY248" s="220" t="s">
        <v>73</v>
      </c>
      <c r="AZ248" s="220" t="s">
        <v>73</v>
      </c>
      <c r="BA248" s="220" t="s">
        <v>73</v>
      </c>
      <c r="BB248" s="220" t="s">
        <v>73</v>
      </c>
      <c r="BC248" s="220" t="s">
        <v>73</v>
      </c>
      <c r="BD248" s="220" t="s">
        <v>73</v>
      </c>
      <c r="BE248" s="220" t="s">
        <v>73</v>
      </c>
      <c r="BF248" s="220" t="s">
        <v>73</v>
      </c>
      <c r="BG248" s="220" t="s">
        <v>73</v>
      </c>
      <c r="BH248" s="220" t="s">
        <v>73</v>
      </c>
      <c r="BI248" s="220" t="s">
        <v>73</v>
      </c>
      <c r="BJ248" s="220" t="s">
        <v>73</v>
      </c>
      <c r="BK248" s="220" t="s">
        <v>73</v>
      </c>
      <c r="BL248" s="220" t="s">
        <v>73</v>
      </c>
      <c r="BM248" s="220" t="s">
        <v>73</v>
      </c>
      <c r="BN248" s="220" t="s">
        <v>73</v>
      </c>
      <c r="BO248" s="220" t="s">
        <v>73</v>
      </c>
      <c r="BP248" s="220" t="s">
        <v>73</v>
      </c>
      <c r="BQ248" s="220"/>
      <c r="BR248" s="220"/>
      <c r="BS248" s="220"/>
      <c r="BT248" s="220"/>
      <c r="BU248" s="220" t="s">
        <v>73</v>
      </c>
      <c r="BV248" s="220" t="s">
        <v>73</v>
      </c>
      <c r="BW248" s="220" t="s">
        <v>73</v>
      </c>
      <c r="BX248" s="220" t="s">
        <v>73</v>
      </c>
      <c r="BY248" s="220" t="s">
        <v>73</v>
      </c>
      <c r="BZ248" s="220" t="s">
        <v>73</v>
      </c>
      <c r="CA248" s="220" t="s">
        <v>73</v>
      </c>
      <c r="CB248" s="220" t="s">
        <v>73</v>
      </c>
      <c r="CC248" s="220" t="s">
        <v>73</v>
      </c>
      <c r="CD248" s="220" t="s">
        <v>73</v>
      </c>
      <c r="CE248" s="220" t="s">
        <v>73</v>
      </c>
      <c r="CF248" s="220" t="s">
        <v>73</v>
      </c>
      <c r="CG248" s="220" t="s">
        <v>73</v>
      </c>
      <c r="CH248" s="220" t="s">
        <v>73</v>
      </c>
      <c r="CI248" s="220" t="s">
        <v>73</v>
      </c>
      <c r="CJ248" s="220" t="s">
        <v>73</v>
      </c>
      <c r="CK248" s="220" t="s">
        <v>73</v>
      </c>
      <c r="CL248" s="220" t="s">
        <v>73</v>
      </c>
      <c r="CM248" s="220" t="s">
        <v>73</v>
      </c>
      <c r="CN248" s="220" t="s">
        <v>73</v>
      </c>
      <c r="CO248" s="220" t="s">
        <v>73</v>
      </c>
      <c r="CP248" s="221" t="s">
        <v>73</v>
      </c>
    </row>
    <row r="249" spans="47:94" ht="9" customHeight="1">
      <c r="AU249" s="225" t="s">
        <v>73</v>
      </c>
      <c r="AV249" s="220" t="s">
        <v>73</v>
      </c>
      <c r="AW249" s="220" t="s">
        <v>73</v>
      </c>
      <c r="AX249" s="220" t="s">
        <v>73</v>
      </c>
      <c r="AY249" s="220" t="s">
        <v>73</v>
      </c>
      <c r="AZ249" s="220" t="s">
        <v>73</v>
      </c>
      <c r="BA249" s="220" t="s">
        <v>73</v>
      </c>
      <c r="BB249" s="220" t="s">
        <v>73</v>
      </c>
      <c r="BC249" s="220" t="s">
        <v>73</v>
      </c>
      <c r="BD249" s="220" t="s">
        <v>73</v>
      </c>
      <c r="BE249" s="220" t="s">
        <v>73</v>
      </c>
      <c r="BF249" s="220" t="s">
        <v>73</v>
      </c>
      <c r="BG249" s="220" t="s">
        <v>73</v>
      </c>
      <c r="BH249" s="220" t="s">
        <v>73</v>
      </c>
      <c r="BI249" s="220" t="s">
        <v>73</v>
      </c>
      <c r="BJ249" s="220" t="s">
        <v>73</v>
      </c>
      <c r="BK249" s="220" t="s">
        <v>73</v>
      </c>
      <c r="BL249" s="220" t="s">
        <v>73</v>
      </c>
      <c r="BM249" s="220" t="s">
        <v>73</v>
      </c>
      <c r="BN249" s="220" t="s">
        <v>73</v>
      </c>
      <c r="BO249" s="220" t="s">
        <v>73</v>
      </c>
      <c r="BP249" s="220" t="s">
        <v>73</v>
      </c>
      <c r="BQ249" s="220"/>
      <c r="BR249" s="220"/>
      <c r="BS249" s="220"/>
      <c r="BT249" s="220"/>
      <c r="BU249" s="220" t="s">
        <v>73</v>
      </c>
      <c r="BV249" s="220" t="s">
        <v>73</v>
      </c>
      <c r="BW249" s="220" t="s">
        <v>73</v>
      </c>
      <c r="BX249" s="220" t="s">
        <v>73</v>
      </c>
      <c r="BY249" s="220" t="s">
        <v>73</v>
      </c>
      <c r="BZ249" s="220" t="s">
        <v>73</v>
      </c>
      <c r="CA249" s="220" t="s">
        <v>73</v>
      </c>
      <c r="CB249" s="220" t="s">
        <v>73</v>
      </c>
      <c r="CC249" s="220" t="s">
        <v>73</v>
      </c>
      <c r="CD249" s="220" t="s">
        <v>73</v>
      </c>
      <c r="CE249" s="220" t="s">
        <v>73</v>
      </c>
      <c r="CF249" s="220" t="s">
        <v>73</v>
      </c>
      <c r="CG249" s="220" t="s">
        <v>73</v>
      </c>
      <c r="CH249" s="220" t="s">
        <v>73</v>
      </c>
      <c r="CI249" s="220" t="s">
        <v>73</v>
      </c>
      <c r="CJ249" s="220" t="s">
        <v>73</v>
      </c>
      <c r="CK249" s="220" t="s">
        <v>73</v>
      </c>
      <c r="CL249" s="220" t="s">
        <v>73</v>
      </c>
      <c r="CM249" s="220" t="s">
        <v>73</v>
      </c>
      <c r="CN249" s="220" t="s">
        <v>73</v>
      </c>
      <c r="CO249" s="220" t="s">
        <v>73</v>
      </c>
      <c r="CP249" s="221" t="s">
        <v>73</v>
      </c>
    </row>
    <row r="250" spans="47:94" ht="9" customHeight="1">
      <c r="AU250" s="225" t="s">
        <v>73</v>
      </c>
      <c r="AV250" s="220" t="s">
        <v>73</v>
      </c>
      <c r="AW250" s="220" t="s">
        <v>73</v>
      </c>
      <c r="AX250" s="220" t="s">
        <v>73</v>
      </c>
      <c r="AY250" s="220" t="s">
        <v>73</v>
      </c>
      <c r="AZ250" s="220" t="s">
        <v>73</v>
      </c>
      <c r="BA250" s="220" t="s">
        <v>73</v>
      </c>
      <c r="BB250" s="220" t="s">
        <v>73</v>
      </c>
      <c r="BC250" s="220" t="s">
        <v>73</v>
      </c>
      <c r="BD250" s="220" t="s">
        <v>73</v>
      </c>
      <c r="BE250" s="220" t="s">
        <v>73</v>
      </c>
      <c r="BF250" s="220" t="s">
        <v>73</v>
      </c>
      <c r="BG250" s="220" t="s">
        <v>73</v>
      </c>
      <c r="BH250" s="220" t="s">
        <v>73</v>
      </c>
      <c r="BI250" s="220" t="s">
        <v>73</v>
      </c>
      <c r="BJ250" s="220" t="s">
        <v>73</v>
      </c>
      <c r="BK250" s="220" t="s">
        <v>73</v>
      </c>
      <c r="BL250" s="220" t="s">
        <v>73</v>
      </c>
      <c r="BM250" s="220" t="s">
        <v>73</v>
      </c>
      <c r="BN250" s="220" t="s">
        <v>73</v>
      </c>
      <c r="BO250" s="220" t="s">
        <v>73</v>
      </c>
      <c r="BP250" s="220" t="s">
        <v>73</v>
      </c>
      <c r="BQ250" s="220"/>
      <c r="BR250" s="220"/>
      <c r="BS250" s="220"/>
      <c r="BT250" s="220"/>
      <c r="BU250" s="220" t="s">
        <v>73</v>
      </c>
      <c r="BV250" s="220" t="s">
        <v>73</v>
      </c>
      <c r="BW250" s="220" t="s">
        <v>73</v>
      </c>
      <c r="BX250" s="220" t="s">
        <v>73</v>
      </c>
      <c r="BY250" s="220" t="s">
        <v>73</v>
      </c>
      <c r="BZ250" s="220" t="s">
        <v>73</v>
      </c>
      <c r="CA250" s="220" t="s">
        <v>73</v>
      </c>
      <c r="CB250" s="220" t="s">
        <v>73</v>
      </c>
      <c r="CC250" s="220" t="s">
        <v>73</v>
      </c>
      <c r="CD250" s="220" t="s">
        <v>73</v>
      </c>
      <c r="CE250" s="220" t="s">
        <v>73</v>
      </c>
      <c r="CF250" s="220" t="s">
        <v>73</v>
      </c>
      <c r="CG250" s="220" t="s">
        <v>73</v>
      </c>
      <c r="CH250" s="220" t="s">
        <v>73</v>
      </c>
      <c r="CI250" s="220" t="s">
        <v>73</v>
      </c>
      <c r="CJ250" s="220" t="s">
        <v>73</v>
      </c>
      <c r="CK250" s="220" t="s">
        <v>73</v>
      </c>
      <c r="CL250" s="220" t="s">
        <v>73</v>
      </c>
      <c r="CM250" s="220" t="s">
        <v>73</v>
      </c>
      <c r="CN250" s="220" t="s">
        <v>73</v>
      </c>
      <c r="CO250" s="220" t="s">
        <v>73</v>
      </c>
      <c r="CP250" s="221" t="s">
        <v>73</v>
      </c>
    </row>
    <row r="251" spans="47:94" ht="9" customHeight="1">
      <c r="AU251" s="225" t="s">
        <v>73</v>
      </c>
      <c r="AV251" s="220" t="s">
        <v>73</v>
      </c>
      <c r="AW251" s="220" t="s">
        <v>73</v>
      </c>
      <c r="AX251" s="220" t="s">
        <v>73</v>
      </c>
      <c r="AY251" s="220" t="s">
        <v>73</v>
      </c>
      <c r="AZ251" s="220" t="s">
        <v>73</v>
      </c>
      <c r="BA251" s="220" t="s">
        <v>73</v>
      </c>
      <c r="BB251" s="220" t="s">
        <v>73</v>
      </c>
      <c r="BC251" s="220" t="s">
        <v>73</v>
      </c>
      <c r="BD251" s="220" t="s">
        <v>73</v>
      </c>
      <c r="BE251" s="220" t="s">
        <v>73</v>
      </c>
      <c r="BF251" s="220" t="s">
        <v>73</v>
      </c>
      <c r="BG251" s="220" t="s">
        <v>73</v>
      </c>
      <c r="BH251" s="220" t="s">
        <v>73</v>
      </c>
      <c r="BI251" s="220" t="s">
        <v>73</v>
      </c>
      <c r="BJ251" s="220" t="s">
        <v>73</v>
      </c>
      <c r="BK251" s="220" t="s">
        <v>73</v>
      </c>
      <c r="BL251" s="220" t="s">
        <v>73</v>
      </c>
      <c r="BM251" s="220" t="s">
        <v>73</v>
      </c>
      <c r="BN251" s="220" t="s">
        <v>73</v>
      </c>
      <c r="BO251" s="220" t="s">
        <v>73</v>
      </c>
      <c r="BP251" s="220" t="s">
        <v>73</v>
      </c>
      <c r="BQ251" s="220"/>
      <c r="BR251" s="220"/>
      <c r="BS251" s="220"/>
      <c r="BT251" s="220"/>
      <c r="BU251" s="220" t="s">
        <v>73</v>
      </c>
      <c r="BV251" s="220" t="s">
        <v>73</v>
      </c>
      <c r="BW251" s="220" t="s">
        <v>73</v>
      </c>
      <c r="BX251" s="220" t="s">
        <v>73</v>
      </c>
      <c r="BY251" s="220" t="s">
        <v>73</v>
      </c>
      <c r="BZ251" s="220" t="s">
        <v>73</v>
      </c>
      <c r="CA251" s="220" t="s">
        <v>73</v>
      </c>
      <c r="CB251" s="220" t="s">
        <v>73</v>
      </c>
      <c r="CC251" s="220" t="s">
        <v>73</v>
      </c>
      <c r="CD251" s="220" t="s">
        <v>73</v>
      </c>
      <c r="CE251" s="220" t="s">
        <v>73</v>
      </c>
      <c r="CF251" s="220" t="s">
        <v>73</v>
      </c>
      <c r="CG251" s="220" t="s">
        <v>73</v>
      </c>
      <c r="CH251" s="220" t="s">
        <v>73</v>
      </c>
      <c r="CI251" s="220" t="s">
        <v>73</v>
      </c>
      <c r="CJ251" s="220" t="s">
        <v>73</v>
      </c>
      <c r="CK251" s="220" t="s">
        <v>73</v>
      </c>
      <c r="CL251" s="220" t="s">
        <v>73</v>
      </c>
      <c r="CM251" s="220" t="s">
        <v>73</v>
      </c>
      <c r="CN251" s="220" t="s">
        <v>73</v>
      </c>
      <c r="CO251" s="220" t="s">
        <v>73</v>
      </c>
      <c r="CP251" s="221" t="s">
        <v>73</v>
      </c>
    </row>
    <row r="252" spans="47:94" ht="9" customHeight="1" thickBot="1">
      <c r="AU252" s="226" t="s">
        <v>73</v>
      </c>
      <c r="AV252" s="222" t="s">
        <v>73</v>
      </c>
      <c r="AW252" s="222" t="s">
        <v>73</v>
      </c>
      <c r="AX252" s="222" t="s">
        <v>73</v>
      </c>
      <c r="AY252" s="222" t="s">
        <v>73</v>
      </c>
      <c r="AZ252" s="222" t="s">
        <v>73</v>
      </c>
      <c r="BA252" s="222" t="s">
        <v>73</v>
      </c>
      <c r="BB252" s="222" t="s">
        <v>73</v>
      </c>
      <c r="BC252" s="222" t="s">
        <v>73</v>
      </c>
      <c r="BD252" s="222" t="s">
        <v>73</v>
      </c>
      <c r="BE252" s="222" t="s">
        <v>73</v>
      </c>
      <c r="BF252" s="222" t="s">
        <v>73</v>
      </c>
      <c r="BG252" s="222" t="s">
        <v>73</v>
      </c>
      <c r="BH252" s="222" t="s">
        <v>73</v>
      </c>
      <c r="BI252" s="222" t="s">
        <v>73</v>
      </c>
      <c r="BJ252" s="222" t="s">
        <v>73</v>
      </c>
      <c r="BK252" s="222" t="s">
        <v>73</v>
      </c>
      <c r="BL252" s="222" t="s">
        <v>73</v>
      </c>
      <c r="BM252" s="222" t="s">
        <v>73</v>
      </c>
      <c r="BN252" s="222" t="s">
        <v>73</v>
      </c>
      <c r="BO252" s="222" t="s">
        <v>73</v>
      </c>
      <c r="BP252" s="222" t="s">
        <v>73</v>
      </c>
      <c r="BQ252" s="222"/>
      <c r="BR252" s="222"/>
      <c r="BS252" s="222"/>
      <c r="BT252" s="222"/>
      <c r="BU252" s="222" t="s">
        <v>73</v>
      </c>
      <c r="BV252" s="222" t="s">
        <v>73</v>
      </c>
      <c r="BW252" s="222" t="s">
        <v>73</v>
      </c>
      <c r="BX252" s="222" t="s">
        <v>73</v>
      </c>
      <c r="BY252" s="222" t="s">
        <v>73</v>
      </c>
      <c r="BZ252" s="222" t="s">
        <v>73</v>
      </c>
      <c r="CA252" s="222" t="s">
        <v>73</v>
      </c>
      <c r="CB252" s="222" t="s">
        <v>73</v>
      </c>
      <c r="CC252" s="222" t="s">
        <v>73</v>
      </c>
      <c r="CD252" s="222" t="s">
        <v>73</v>
      </c>
      <c r="CE252" s="222" t="s">
        <v>73</v>
      </c>
      <c r="CF252" s="222" t="s">
        <v>73</v>
      </c>
      <c r="CG252" s="222" t="s">
        <v>73</v>
      </c>
      <c r="CH252" s="222" t="s">
        <v>73</v>
      </c>
      <c r="CI252" s="222" t="s">
        <v>73</v>
      </c>
      <c r="CJ252" s="222" t="s">
        <v>73</v>
      </c>
      <c r="CK252" s="222" t="s">
        <v>73</v>
      </c>
      <c r="CL252" s="222" t="s">
        <v>73</v>
      </c>
      <c r="CM252" s="222" t="s">
        <v>73</v>
      </c>
      <c r="CN252" s="222" t="s">
        <v>73</v>
      </c>
      <c r="CO252" s="222" t="s">
        <v>73</v>
      </c>
      <c r="CP252" s="223" t="s">
        <v>73</v>
      </c>
    </row>
    <row r="253" spans="47:94" ht="9" customHeight="1">
      <c r="BG253" s="224" t="s">
        <v>73</v>
      </c>
      <c r="BH253" s="218" t="s">
        <v>73</v>
      </c>
      <c r="BI253" s="218" t="s">
        <v>73</v>
      </c>
      <c r="BJ253" s="218" t="s">
        <v>73</v>
      </c>
      <c r="BK253" s="218" t="s">
        <v>73</v>
      </c>
      <c r="BL253" s="218" t="s">
        <v>73</v>
      </c>
      <c r="BM253" s="218" t="s">
        <v>73</v>
      </c>
      <c r="BN253" s="218" t="s">
        <v>73</v>
      </c>
      <c r="BO253" s="218" t="s">
        <v>73</v>
      </c>
      <c r="BP253" s="218" t="s">
        <v>73</v>
      </c>
      <c r="BQ253" s="218"/>
      <c r="BR253" s="218"/>
      <c r="BS253" s="218"/>
      <c r="BT253" s="218"/>
      <c r="BU253" s="218" t="s">
        <v>73</v>
      </c>
      <c r="BV253" s="218" t="s">
        <v>73</v>
      </c>
      <c r="BW253" s="218" t="s">
        <v>73</v>
      </c>
      <c r="BX253" s="218" t="s">
        <v>73</v>
      </c>
      <c r="BY253" s="218" t="s">
        <v>73</v>
      </c>
      <c r="BZ253" s="218" t="s">
        <v>73</v>
      </c>
      <c r="CA253" s="218" t="s">
        <v>73</v>
      </c>
      <c r="CB253" s="218" t="s">
        <v>73</v>
      </c>
      <c r="CC253" s="218" t="s">
        <v>73</v>
      </c>
      <c r="CD253" s="219" t="s">
        <v>73</v>
      </c>
    </row>
    <row r="254" spans="47:94" ht="9" customHeight="1">
      <c r="BG254" s="225" t="s">
        <v>73</v>
      </c>
      <c r="BH254" s="220" t="s">
        <v>73</v>
      </c>
      <c r="BI254" s="220" t="s">
        <v>73</v>
      </c>
      <c r="BJ254" s="220" t="s">
        <v>73</v>
      </c>
      <c r="BK254" s="220" t="s">
        <v>73</v>
      </c>
      <c r="BL254" s="220" t="s">
        <v>73</v>
      </c>
      <c r="BM254" s="220" t="s">
        <v>73</v>
      </c>
      <c r="BN254" s="220" t="s">
        <v>73</v>
      </c>
      <c r="BO254" s="220" t="s">
        <v>73</v>
      </c>
      <c r="BP254" s="220" t="s">
        <v>73</v>
      </c>
      <c r="BQ254" s="220"/>
      <c r="BR254" s="220"/>
      <c r="BS254" s="220"/>
      <c r="BT254" s="220"/>
      <c r="BU254" s="220" t="s">
        <v>73</v>
      </c>
      <c r="BV254" s="220" t="s">
        <v>73</v>
      </c>
      <c r="BW254" s="220" t="s">
        <v>73</v>
      </c>
      <c r="BX254" s="220" t="s">
        <v>73</v>
      </c>
      <c r="BY254" s="220" t="s">
        <v>73</v>
      </c>
      <c r="BZ254" s="220" t="s">
        <v>73</v>
      </c>
      <c r="CA254" s="220" t="s">
        <v>73</v>
      </c>
      <c r="CB254" s="220" t="s">
        <v>73</v>
      </c>
      <c r="CC254" s="220" t="s">
        <v>73</v>
      </c>
      <c r="CD254" s="221" t="s">
        <v>73</v>
      </c>
    </row>
    <row r="255" spans="47:94" ht="9" customHeight="1">
      <c r="BG255" s="225" t="s">
        <v>73</v>
      </c>
      <c r="BH255" s="220" t="s">
        <v>73</v>
      </c>
      <c r="BI255" s="220"/>
      <c r="BJ255" s="220"/>
      <c r="BK255" s="220"/>
      <c r="BL255" s="220"/>
      <c r="BM255" s="220"/>
      <c r="BN255" s="220"/>
      <c r="BO255" s="220"/>
      <c r="BP255" s="220"/>
      <c r="BQ255" s="220"/>
      <c r="BR255" s="220"/>
      <c r="BS255" s="220"/>
      <c r="BT255" s="220"/>
      <c r="BU255" s="220"/>
      <c r="BV255" s="220"/>
      <c r="BW255" s="220"/>
      <c r="BX255" s="220"/>
      <c r="BY255" s="220"/>
      <c r="BZ255" s="220"/>
      <c r="CA255" s="220"/>
      <c r="CB255" s="220"/>
      <c r="CC255" s="220" t="s">
        <v>73</v>
      </c>
      <c r="CD255" s="221" t="s">
        <v>73</v>
      </c>
    </row>
    <row r="256" spans="47:94" ht="9" customHeight="1">
      <c r="BG256" s="225" t="s">
        <v>73</v>
      </c>
      <c r="BH256" s="220" t="s">
        <v>73</v>
      </c>
      <c r="BI256" s="220"/>
      <c r="BJ256" s="220"/>
      <c r="BK256" s="220"/>
      <c r="BL256" s="220"/>
      <c r="BM256" s="220"/>
      <c r="BN256" s="220"/>
      <c r="BO256" s="220" t="s">
        <v>73</v>
      </c>
      <c r="BP256" s="220" t="s">
        <v>73</v>
      </c>
      <c r="BQ256" s="220"/>
      <c r="BR256" s="220"/>
      <c r="BS256" s="220"/>
      <c r="BT256" s="220"/>
      <c r="BU256" s="220"/>
      <c r="BV256" s="220"/>
      <c r="BW256" s="220"/>
      <c r="BX256" s="220"/>
      <c r="BY256" s="220"/>
      <c r="BZ256" s="220"/>
      <c r="CA256" s="220"/>
      <c r="CB256" s="220"/>
      <c r="CC256" s="220" t="s">
        <v>73</v>
      </c>
      <c r="CD256" s="221" t="s">
        <v>73</v>
      </c>
    </row>
    <row r="257" spans="59:82" ht="9" customHeight="1">
      <c r="BG257" s="225" t="s">
        <v>73</v>
      </c>
      <c r="BH257" s="220" t="s">
        <v>73</v>
      </c>
      <c r="BI257" s="220"/>
      <c r="BJ257" s="220"/>
      <c r="BK257" s="220"/>
      <c r="BL257" s="220"/>
      <c r="BM257" s="220"/>
      <c r="BN257" s="220"/>
      <c r="BO257" s="220" t="s">
        <v>73</v>
      </c>
      <c r="BP257" s="220" t="s">
        <v>73</v>
      </c>
      <c r="BQ257" s="220"/>
      <c r="BR257" s="220"/>
      <c r="BS257" s="220"/>
      <c r="BT257" s="220"/>
      <c r="BU257" s="220"/>
      <c r="BV257" s="220"/>
      <c r="BW257" s="220"/>
      <c r="BX257" s="220"/>
      <c r="BY257" s="220"/>
      <c r="BZ257" s="220"/>
      <c r="CA257" s="220"/>
      <c r="CB257" s="220"/>
      <c r="CC257" s="220" t="s">
        <v>73</v>
      </c>
      <c r="CD257" s="221" t="s">
        <v>73</v>
      </c>
    </row>
    <row r="258" spans="59:82" ht="9" customHeight="1">
      <c r="BG258" s="225" t="s">
        <v>73</v>
      </c>
      <c r="BH258" s="220" t="s">
        <v>73</v>
      </c>
      <c r="BI258" s="220" t="s">
        <v>1320</v>
      </c>
      <c r="BJ258" s="220" t="s">
        <v>1320</v>
      </c>
      <c r="BK258" s="220" t="s">
        <v>1320</v>
      </c>
      <c r="BL258" s="220" t="s">
        <v>1320</v>
      </c>
      <c r="BM258" s="220" t="s">
        <v>1320</v>
      </c>
      <c r="BN258" s="220" t="s">
        <v>1320</v>
      </c>
      <c r="BO258" s="220" t="s">
        <v>73</v>
      </c>
      <c r="BP258" s="220" t="s">
        <v>73</v>
      </c>
      <c r="BQ258" s="220" t="s">
        <v>1320</v>
      </c>
      <c r="BR258" s="220" t="s">
        <v>1320</v>
      </c>
      <c r="BS258" s="220" t="s">
        <v>1320</v>
      </c>
      <c r="BT258" s="220" t="s">
        <v>1320</v>
      </c>
      <c r="BU258" s="220" t="s">
        <v>1320</v>
      </c>
      <c r="BV258" s="220" t="s">
        <v>1320</v>
      </c>
      <c r="BW258" s="220"/>
      <c r="BX258" s="220"/>
      <c r="BY258" s="220"/>
      <c r="BZ258" s="220"/>
      <c r="CA258" s="220"/>
      <c r="CB258" s="220"/>
      <c r="CC258" s="220" t="s">
        <v>73</v>
      </c>
      <c r="CD258" s="221" t="s">
        <v>73</v>
      </c>
    </row>
    <row r="259" spans="59:82" ht="9" customHeight="1">
      <c r="BG259" s="225" t="s">
        <v>73</v>
      </c>
      <c r="BH259" s="220" t="s">
        <v>73</v>
      </c>
      <c r="BI259" s="220"/>
      <c r="BJ259" s="220"/>
      <c r="BK259" s="220"/>
      <c r="BL259" s="220"/>
      <c r="BM259" s="220"/>
      <c r="BN259" s="220"/>
      <c r="BO259" s="220" t="s">
        <v>73</v>
      </c>
      <c r="BP259" s="220" t="s">
        <v>73</v>
      </c>
      <c r="BQ259" s="220" t="s">
        <v>1348</v>
      </c>
      <c r="BR259" s="220" t="s">
        <v>1348</v>
      </c>
      <c r="BS259" s="220" t="s">
        <v>1348</v>
      </c>
      <c r="BT259" s="220" t="s">
        <v>1348</v>
      </c>
      <c r="BU259" s="220" t="s">
        <v>1348</v>
      </c>
      <c r="BV259" s="220" t="s">
        <v>1348</v>
      </c>
      <c r="BW259" s="220" t="s">
        <v>1348</v>
      </c>
      <c r="BX259" s="220" t="s">
        <v>1348</v>
      </c>
      <c r="BY259" s="220" t="s">
        <v>1348</v>
      </c>
      <c r="BZ259" s="220" t="s">
        <v>1348</v>
      </c>
      <c r="CA259" s="220" t="s">
        <v>1348</v>
      </c>
      <c r="CB259" s="220" t="s">
        <v>1348</v>
      </c>
      <c r="CC259" s="220" t="s">
        <v>73</v>
      </c>
      <c r="CD259" s="221" t="s">
        <v>73</v>
      </c>
    </row>
    <row r="260" spans="59:82" ht="9" customHeight="1">
      <c r="BG260" s="225" t="s">
        <v>73</v>
      </c>
      <c r="BH260" s="220" t="s">
        <v>73</v>
      </c>
      <c r="BI260" s="220"/>
      <c r="BJ260" s="220"/>
      <c r="BK260" s="220"/>
      <c r="BL260" s="220"/>
      <c r="BM260" s="220"/>
      <c r="BN260" s="220"/>
      <c r="BO260" s="220" t="s">
        <v>73</v>
      </c>
      <c r="BP260" s="220" t="s">
        <v>73</v>
      </c>
      <c r="BQ260" s="220" t="s">
        <v>1348</v>
      </c>
      <c r="BR260" s="220" t="s">
        <v>1348</v>
      </c>
      <c r="BS260" s="220" t="s">
        <v>1348</v>
      </c>
      <c r="BT260" s="220" t="s">
        <v>1348</v>
      </c>
      <c r="BU260" s="220" t="s">
        <v>1348</v>
      </c>
      <c r="BV260" s="220" t="s">
        <v>1348</v>
      </c>
      <c r="BW260" s="220" t="s">
        <v>1348</v>
      </c>
      <c r="BX260" s="220" t="s">
        <v>1348</v>
      </c>
      <c r="BY260" s="220" t="s">
        <v>1348</v>
      </c>
      <c r="BZ260" s="220" t="s">
        <v>1348</v>
      </c>
      <c r="CA260" s="220" t="s">
        <v>1348</v>
      </c>
      <c r="CB260" s="220" t="s">
        <v>1348</v>
      </c>
      <c r="CC260" s="220" t="s">
        <v>73</v>
      </c>
      <c r="CD260" s="221" t="s">
        <v>73</v>
      </c>
    </row>
    <row r="261" spans="59:82" ht="9" customHeight="1">
      <c r="BG261" s="225" t="s">
        <v>73</v>
      </c>
      <c r="BH261" s="220" t="s">
        <v>73</v>
      </c>
      <c r="BI261" s="220"/>
      <c r="BJ261" s="220"/>
      <c r="BK261" s="220"/>
      <c r="BL261" s="220"/>
      <c r="BM261" s="220"/>
      <c r="BN261" s="220"/>
      <c r="BO261" s="220" t="s">
        <v>73</v>
      </c>
      <c r="BP261" s="220" t="s">
        <v>73</v>
      </c>
      <c r="BQ261" s="220" t="s">
        <v>1348</v>
      </c>
      <c r="BR261" s="220" t="s">
        <v>1348</v>
      </c>
      <c r="BS261" s="220" t="s">
        <v>1348</v>
      </c>
      <c r="BT261" s="220" t="s">
        <v>1348</v>
      </c>
      <c r="BU261" s="220" t="s">
        <v>1348</v>
      </c>
      <c r="BV261" s="220" t="s">
        <v>1348</v>
      </c>
      <c r="BW261" s="220" t="s">
        <v>1348</v>
      </c>
      <c r="BX261" s="220" t="s">
        <v>1348</v>
      </c>
      <c r="BY261" s="220" t="s">
        <v>1348</v>
      </c>
      <c r="BZ261" s="220" t="s">
        <v>1348</v>
      </c>
      <c r="CA261" s="220" t="s">
        <v>1348</v>
      </c>
      <c r="CB261" s="220" t="s">
        <v>1348</v>
      </c>
      <c r="CC261" s="220" t="s">
        <v>73</v>
      </c>
      <c r="CD261" s="221" t="s">
        <v>73</v>
      </c>
    </row>
    <row r="262" spans="59:82" ht="9" customHeight="1">
      <c r="BG262" s="225" t="s">
        <v>73</v>
      </c>
      <c r="BH262" s="220" t="s">
        <v>73</v>
      </c>
      <c r="BI262" s="220"/>
      <c r="BJ262" s="220"/>
      <c r="BK262" s="220"/>
      <c r="BL262" s="220"/>
      <c r="BM262" s="220"/>
      <c r="BN262" s="220"/>
      <c r="BO262" s="220" t="s">
        <v>73</v>
      </c>
      <c r="BP262" s="220" t="s">
        <v>73</v>
      </c>
      <c r="BQ262" s="220" t="s">
        <v>1348</v>
      </c>
      <c r="BR262" s="220" t="s">
        <v>1348</v>
      </c>
      <c r="BS262" s="220" t="s">
        <v>1348</v>
      </c>
      <c r="BT262" s="220" t="s">
        <v>1348</v>
      </c>
      <c r="BU262" s="220" t="s">
        <v>1348</v>
      </c>
      <c r="BV262" s="220" t="s">
        <v>1348</v>
      </c>
      <c r="BW262" s="220" t="s">
        <v>1348</v>
      </c>
      <c r="BX262" s="220" t="s">
        <v>1348</v>
      </c>
      <c r="BY262" s="220" t="s">
        <v>1348</v>
      </c>
      <c r="BZ262" s="220" t="s">
        <v>1348</v>
      </c>
      <c r="CA262" s="220" t="s">
        <v>1348</v>
      </c>
      <c r="CB262" s="220" t="s">
        <v>1348</v>
      </c>
      <c r="CC262" s="220" t="s">
        <v>73</v>
      </c>
      <c r="CD262" s="221" t="s">
        <v>73</v>
      </c>
    </row>
    <row r="263" spans="59:82" ht="9" customHeight="1">
      <c r="BG263" s="225" t="s">
        <v>73</v>
      </c>
      <c r="BH263" s="220" t="s">
        <v>73</v>
      </c>
      <c r="BI263" s="220" t="s">
        <v>1320</v>
      </c>
      <c r="BJ263" s="220" t="s">
        <v>1320</v>
      </c>
      <c r="BK263" s="220" t="s">
        <v>1320</v>
      </c>
      <c r="BL263" s="220" t="s">
        <v>1320</v>
      </c>
      <c r="BM263" s="220" t="s">
        <v>1320</v>
      </c>
      <c r="BN263" s="220" t="s">
        <v>1320</v>
      </c>
      <c r="BO263" s="220" t="s">
        <v>73</v>
      </c>
      <c r="BP263" s="220" t="s">
        <v>73</v>
      </c>
      <c r="BQ263" s="220" t="s">
        <v>1348</v>
      </c>
      <c r="BR263" s="220" t="s">
        <v>1348</v>
      </c>
      <c r="BS263" s="220" t="s">
        <v>1348</v>
      </c>
      <c r="BT263" s="220" t="s">
        <v>1348</v>
      </c>
      <c r="BU263" s="220" t="s">
        <v>1348</v>
      </c>
      <c r="BV263" s="220" t="s">
        <v>1348</v>
      </c>
      <c r="BW263" s="220" t="s">
        <v>1348</v>
      </c>
      <c r="BX263" s="220" t="s">
        <v>1348</v>
      </c>
      <c r="BY263" s="220" t="s">
        <v>1348</v>
      </c>
      <c r="BZ263" s="220" t="s">
        <v>1348</v>
      </c>
      <c r="CA263" s="220" t="s">
        <v>1348</v>
      </c>
      <c r="CB263" s="220" t="s">
        <v>1348</v>
      </c>
      <c r="CC263" s="220" t="s">
        <v>73</v>
      </c>
      <c r="CD263" s="221" t="s">
        <v>73</v>
      </c>
    </row>
    <row r="264" spans="59:82" ht="9" customHeight="1">
      <c r="BG264" s="225" t="s">
        <v>73</v>
      </c>
      <c r="BH264" s="220" t="s">
        <v>73</v>
      </c>
      <c r="BI264" s="220"/>
      <c r="BJ264" s="220"/>
      <c r="BK264" s="220"/>
      <c r="BL264" s="220"/>
      <c r="BM264" s="220"/>
      <c r="BN264" s="220"/>
      <c r="BO264" s="220" t="s">
        <v>73</v>
      </c>
      <c r="BP264" s="220" t="s">
        <v>73</v>
      </c>
      <c r="BQ264" s="220"/>
      <c r="BR264" s="220"/>
      <c r="BS264" s="220"/>
      <c r="BT264" s="220"/>
      <c r="BU264" s="220"/>
      <c r="BV264" s="220"/>
      <c r="BW264" s="220"/>
      <c r="BX264" s="220"/>
      <c r="BY264" s="220"/>
      <c r="BZ264" s="220"/>
      <c r="CA264" s="220"/>
      <c r="CB264" s="220"/>
      <c r="CC264" s="220" t="s">
        <v>73</v>
      </c>
      <c r="CD264" s="221" t="s">
        <v>73</v>
      </c>
    </row>
    <row r="265" spans="59:82" ht="9" customHeight="1">
      <c r="BG265" s="225" t="s">
        <v>73</v>
      </c>
      <c r="BH265" s="220" t="s">
        <v>73</v>
      </c>
      <c r="BI265" s="220"/>
      <c r="BJ265" s="220"/>
      <c r="BK265" s="220"/>
      <c r="BL265" s="220"/>
      <c r="BM265" s="220"/>
      <c r="BN265" s="220"/>
      <c r="BO265" s="220"/>
      <c r="BP265" s="220"/>
      <c r="BQ265" s="220"/>
      <c r="BR265" s="220"/>
      <c r="BS265" s="220"/>
      <c r="BT265" s="220"/>
      <c r="BU265" s="220"/>
      <c r="BV265" s="220"/>
      <c r="BW265" s="220"/>
      <c r="BX265" s="220"/>
      <c r="BY265" s="220"/>
      <c r="BZ265" s="220"/>
      <c r="CA265" s="220"/>
      <c r="CB265" s="220"/>
      <c r="CC265" s="220" t="s">
        <v>73</v>
      </c>
      <c r="CD265" s="221" t="s">
        <v>73</v>
      </c>
    </row>
    <row r="266" spans="59:82" ht="9" customHeight="1">
      <c r="BG266" s="225" t="s">
        <v>73</v>
      </c>
      <c r="BH266" s="220" t="s">
        <v>73</v>
      </c>
      <c r="BI266" s="220"/>
      <c r="BJ266" s="220"/>
      <c r="BK266" s="220"/>
      <c r="BL266" s="220"/>
      <c r="BM266" s="220"/>
      <c r="BN266" s="220"/>
      <c r="BO266" s="220"/>
      <c r="BP266" s="220"/>
      <c r="BQ266" s="220"/>
      <c r="BR266" s="220"/>
      <c r="BS266" s="220"/>
      <c r="BT266" s="220"/>
      <c r="BU266" s="220"/>
      <c r="BV266" s="220"/>
      <c r="BW266" s="220" t="s">
        <v>1348</v>
      </c>
      <c r="BX266" s="220" t="s">
        <v>1348</v>
      </c>
      <c r="BY266" s="220" t="s">
        <v>1348</v>
      </c>
      <c r="BZ266" s="220" t="s">
        <v>1348</v>
      </c>
      <c r="CA266" s="220" t="s">
        <v>1348</v>
      </c>
      <c r="CB266" s="220" t="s">
        <v>1348</v>
      </c>
      <c r="CC266" s="220" t="s">
        <v>73</v>
      </c>
      <c r="CD266" s="221" t="s">
        <v>73</v>
      </c>
    </row>
    <row r="267" spans="59:82" ht="9" customHeight="1">
      <c r="BG267" s="225" t="s">
        <v>73</v>
      </c>
      <c r="BH267" s="220" t="s">
        <v>73</v>
      </c>
      <c r="BI267" s="220" t="s">
        <v>73</v>
      </c>
      <c r="BJ267" s="220" t="s">
        <v>73</v>
      </c>
      <c r="BK267" s="220"/>
      <c r="BL267" s="220"/>
      <c r="BM267" s="220"/>
      <c r="BN267" s="220"/>
      <c r="BO267" s="220"/>
      <c r="BP267" s="220"/>
      <c r="BQ267" s="220" t="s">
        <v>73</v>
      </c>
      <c r="BR267" s="220" t="s">
        <v>73</v>
      </c>
      <c r="BS267" s="220" t="s">
        <v>73</v>
      </c>
      <c r="BT267" s="220" t="s">
        <v>73</v>
      </c>
      <c r="BU267" s="220" t="s">
        <v>73</v>
      </c>
      <c r="BV267" s="220" t="s">
        <v>73</v>
      </c>
      <c r="BW267" s="220" t="s">
        <v>1348</v>
      </c>
      <c r="BX267" s="220" t="s">
        <v>1348</v>
      </c>
      <c r="BY267" s="220" t="s">
        <v>1348</v>
      </c>
      <c r="BZ267" s="220" t="s">
        <v>1348</v>
      </c>
      <c r="CA267" s="220" t="s">
        <v>1348</v>
      </c>
      <c r="CB267" s="220" t="s">
        <v>1348</v>
      </c>
      <c r="CC267" s="220" t="s">
        <v>73</v>
      </c>
      <c r="CD267" s="221" t="s">
        <v>73</v>
      </c>
    </row>
    <row r="268" spans="59:82" ht="9" customHeight="1">
      <c r="BG268" s="225" t="s">
        <v>73</v>
      </c>
      <c r="BH268" s="220" t="s">
        <v>73</v>
      </c>
      <c r="BI268" s="220" t="s">
        <v>73</v>
      </c>
      <c r="BJ268" s="220" t="s">
        <v>73</v>
      </c>
      <c r="BK268" s="220" t="s">
        <v>1320</v>
      </c>
      <c r="BL268" s="220" t="s">
        <v>1320</v>
      </c>
      <c r="BM268" s="220" t="s">
        <v>1320</v>
      </c>
      <c r="BN268" s="220" t="s">
        <v>1320</v>
      </c>
      <c r="BO268" s="220" t="s">
        <v>1320</v>
      </c>
      <c r="BP268" s="220" t="s">
        <v>1320</v>
      </c>
      <c r="BQ268" s="220" t="s">
        <v>73</v>
      </c>
      <c r="BR268" s="220" t="s">
        <v>73</v>
      </c>
      <c r="BS268" s="220" t="s">
        <v>73</v>
      </c>
      <c r="BT268" s="220" t="s">
        <v>73</v>
      </c>
      <c r="BU268" s="220" t="s">
        <v>73</v>
      </c>
      <c r="BV268" s="220" t="s">
        <v>73</v>
      </c>
      <c r="BW268" s="220" t="s">
        <v>1348</v>
      </c>
      <c r="BX268" s="220" t="s">
        <v>1348</v>
      </c>
      <c r="BY268" s="220" t="s">
        <v>1348</v>
      </c>
      <c r="BZ268" s="220" t="s">
        <v>1348</v>
      </c>
      <c r="CA268" s="220" t="s">
        <v>1348</v>
      </c>
      <c r="CB268" s="220" t="s">
        <v>1348</v>
      </c>
      <c r="CC268" s="220" t="s">
        <v>73</v>
      </c>
      <c r="CD268" s="221" t="s">
        <v>73</v>
      </c>
    </row>
    <row r="269" spans="59:82" ht="9" customHeight="1">
      <c r="BG269" s="225" t="s">
        <v>73</v>
      </c>
      <c r="BH269" s="220" t="s">
        <v>73</v>
      </c>
      <c r="BI269" s="220" t="s">
        <v>73</v>
      </c>
      <c r="BJ269" s="220" t="s">
        <v>73</v>
      </c>
      <c r="BK269" s="220"/>
      <c r="BL269" s="220"/>
      <c r="BM269" s="220"/>
      <c r="BN269" s="220"/>
      <c r="BO269" s="220"/>
      <c r="BP269" s="220"/>
      <c r="BQ269" s="220" t="s">
        <v>73</v>
      </c>
      <c r="BR269" s="220" t="s">
        <v>73</v>
      </c>
      <c r="BS269" s="220" t="s">
        <v>73</v>
      </c>
      <c r="BT269" s="220" t="s">
        <v>73</v>
      </c>
      <c r="BU269" s="220" t="s">
        <v>73</v>
      </c>
      <c r="BV269" s="220" t="s">
        <v>73</v>
      </c>
      <c r="BW269" s="220" t="s">
        <v>1348</v>
      </c>
      <c r="BX269" s="220" t="s">
        <v>1348</v>
      </c>
      <c r="BY269" s="220" t="s">
        <v>1348</v>
      </c>
      <c r="BZ269" s="220" t="s">
        <v>1348</v>
      </c>
      <c r="CA269" s="220" t="s">
        <v>1348</v>
      </c>
      <c r="CB269" s="220" t="s">
        <v>1348</v>
      </c>
      <c r="CC269" s="220" t="s">
        <v>73</v>
      </c>
      <c r="CD269" s="221" t="s">
        <v>73</v>
      </c>
    </row>
    <row r="270" spans="59:82" ht="9" customHeight="1">
      <c r="BG270" s="225" t="s">
        <v>73</v>
      </c>
      <c r="BH270" s="220" t="s">
        <v>73</v>
      </c>
      <c r="BI270" s="220"/>
      <c r="BJ270" s="220"/>
      <c r="BK270" s="220"/>
      <c r="BL270" s="220"/>
      <c r="BM270" s="220"/>
      <c r="BN270" s="220"/>
      <c r="BO270" s="220"/>
      <c r="BP270" s="220"/>
      <c r="BQ270" s="220"/>
      <c r="BR270" s="220"/>
      <c r="BS270" s="220"/>
      <c r="BT270" s="220"/>
      <c r="BU270" s="220"/>
      <c r="BV270" s="220"/>
      <c r="BW270" s="220" t="s">
        <v>1348</v>
      </c>
      <c r="BX270" s="220" t="s">
        <v>1348</v>
      </c>
      <c r="BY270" s="220" t="s">
        <v>1348</v>
      </c>
      <c r="BZ270" s="220" t="s">
        <v>1348</v>
      </c>
      <c r="CA270" s="220" t="s">
        <v>1348</v>
      </c>
      <c r="CB270" s="220" t="s">
        <v>1348</v>
      </c>
      <c r="CC270" s="220" t="s">
        <v>73</v>
      </c>
      <c r="CD270" s="221" t="s">
        <v>73</v>
      </c>
    </row>
    <row r="271" spans="59:82" ht="9" customHeight="1">
      <c r="BG271" s="225" t="s">
        <v>73</v>
      </c>
      <c r="BH271" s="220" t="s">
        <v>73</v>
      </c>
      <c r="BI271" s="220"/>
      <c r="BJ271" s="220"/>
      <c r="BK271" s="220"/>
      <c r="BL271" s="220"/>
      <c r="BM271" s="220"/>
      <c r="BN271" s="220"/>
      <c r="BO271" s="220"/>
      <c r="BP271" s="220"/>
      <c r="BQ271" s="220"/>
      <c r="BR271" s="220"/>
      <c r="BS271" s="220"/>
      <c r="BT271" s="220"/>
      <c r="BU271" s="220"/>
      <c r="BV271" s="220"/>
      <c r="BW271" s="220"/>
      <c r="BX271" s="220"/>
      <c r="BY271" s="220"/>
      <c r="BZ271" s="220"/>
      <c r="CA271" s="220"/>
      <c r="CB271" s="220"/>
      <c r="CC271" s="220" t="s">
        <v>73</v>
      </c>
      <c r="CD271" s="221" t="s">
        <v>73</v>
      </c>
    </row>
    <row r="272" spans="59:82" ht="9" customHeight="1">
      <c r="BG272" s="225" t="s">
        <v>73</v>
      </c>
      <c r="BH272" s="220" t="s">
        <v>73</v>
      </c>
      <c r="BI272" s="220"/>
      <c r="BJ272" s="220"/>
      <c r="BK272" s="220"/>
      <c r="BL272" s="220"/>
      <c r="BM272" s="220"/>
      <c r="BN272" s="220"/>
      <c r="BO272" s="220"/>
      <c r="BP272" s="220"/>
      <c r="BQ272" s="220"/>
      <c r="BR272" s="220"/>
      <c r="BS272" s="220"/>
      <c r="BT272" s="220"/>
      <c r="BU272" s="220"/>
      <c r="BV272" s="220"/>
      <c r="BW272" s="220"/>
      <c r="BX272" s="220"/>
      <c r="BY272" s="220"/>
      <c r="BZ272" s="220"/>
      <c r="CA272" s="220"/>
      <c r="CB272" s="220"/>
      <c r="CC272" s="220" t="s">
        <v>73</v>
      </c>
      <c r="CD272" s="221" t="s">
        <v>73</v>
      </c>
    </row>
    <row r="273" spans="59:82" ht="9" customHeight="1">
      <c r="BG273" s="225" t="s">
        <v>73</v>
      </c>
      <c r="BH273" s="220" t="s">
        <v>73</v>
      </c>
      <c r="BI273" s="220" t="s">
        <v>1320</v>
      </c>
      <c r="BJ273" s="220" t="s">
        <v>1320</v>
      </c>
      <c r="BK273" s="220"/>
      <c r="BL273" s="220" t="s">
        <v>1320</v>
      </c>
      <c r="BM273" s="220" t="s">
        <v>1320</v>
      </c>
      <c r="BN273" s="220" t="s">
        <v>1320</v>
      </c>
      <c r="BO273" s="220" t="s">
        <v>1320</v>
      </c>
      <c r="BP273" s="220"/>
      <c r="BQ273" s="220"/>
      <c r="BR273" s="220" t="s">
        <v>1320</v>
      </c>
      <c r="BS273" s="220" t="s">
        <v>1320</v>
      </c>
      <c r="BT273" s="220" t="s">
        <v>1320</v>
      </c>
      <c r="BU273" s="220" t="s">
        <v>1320</v>
      </c>
      <c r="BV273" s="220" t="s">
        <v>1320</v>
      </c>
      <c r="BW273" s="220" t="s">
        <v>1320</v>
      </c>
      <c r="BX273" s="220" t="s">
        <v>1320</v>
      </c>
      <c r="BY273" s="220" t="s">
        <v>1320</v>
      </c>
      <c r="BZ273" s="220" t="s">
        <v>1320</v>
      </c>
      <c r="CA273" s="220" t="s">
        <v>1320</v>
      </c>
      <c r="CB273" s="220" t="s">
        <v>1320</v>
      </c>
      <c r="CC273" s="220" t="s">
        <v>73</v>
      </c>
      <c r="CD273" s="221" t="s">
        <v>73</v>
      </c>
    </row>
    <row r="274" spans="59:82" ht="9" customHeight="1">
      <c r="BG274" s="225" t="s">
        <v>73</v>
      </c>
      <c r="BH274" s="220" t="s">
        <v>73</v>
      </c>
      <c r="BI274" s="220"/>
      <c r="BJ274" s="220"/>
      <c r="BK274" s="220"/>
      <c r="BL274" s="220"/>
      <c r="BM274" s="220"/>
      <c r="BN274" s="220"/>
      <c r="BO274" s="220"/>
      <c r="BP274" s="220"/>
      <c r="BQ274" s="220"/>
      <c r="BR274" s="220"/>
      <c r="BS274" s="220"/>
      <c r="BT274" s="220"/>
      <c r="BU274" s="220"/>
      <c r="BV274" s="220"/>
      <c r="BW274" s="220"/>
      <c r="BX274" s="220"/>
      <c r="BY274" s="220"/>
      <c r="BZ274" s="220"/>
      <c r="CA274" s="220"/>
      <c r="CB274" s="220"/>
      <c r="CC274" s="220" t="s">
        <v>73</v>
      </c>
      <c r="CD274" s="221" t="s">
        <v>73</v>
      </c>
    </row>
    <row r="275" spans="59:82" ht="9" customHeight="1">
      <c r="BG275" s="225" t="s">
        <v>73</v>
      </c>
      <c r="BH275" s="220" t="s">
        <v>73</v>
      </c>
      <c r="BI275" s="220"/>
      <c r="BJ275" s="220"/>
      <c r="BK275" s="220"/>
      <c r="BL275" s="220"/>
      <c r="BM275" s="220"/>
      <c r="BN275" s="220"/>
      <c r="BO275" s="220"/>
      <c r="BP275" s="220"/>
      <c r="BQ275" s="220"/>
      <c r="BR275" s="220"/>
      <c r="BS275" s="220"/>
      <c r="BT275" s="220"/>
      <c r="BU275" s="220"/>
      <c r="BV275" s="220"/>
      <c r="BW275" s="220"/>
      <c r="BX275" s="220"/>
      <c r="BY275" s="220"/>
      <c r="BZ275" s="220"/>
      <c r="CA275" s="220"/>
      <c r="CB275" s="220"/>
      <c r="CC275" s="220" t="s">
        <v>73</v>
      </c>
      <c r="CD275" s="221" t="s">
        <v>73</v>
      </c>
    </row>
    <row r="276" spans="59:82" ht="9" customHeight="1">
      <c r="BG276" s="225" t="s">
        <v>73</v>
      </c>
      <c r="BH276" s="220" t="s">
        <v>73</v>
      </c>
      <c r="BI276" s="220"/>
      <c r="BJ276" s="220"/>
      <c r="BK276" s="220"/>
      <c r="BL276" s="220"/>
      <c r="BM276" s="220"/>
      <c r="BN276" s="220"/>
      <c r="BO276" s="220"/>
      <c r="BP276" s="220"/>
      <c r="BQ276" s="220"/>
      <c r="BR276" s="220"/>
      <c r="BS276" s="220"/>
      <c r="BT276" s="220"/>
      <c r="BU276" s="220"/>
      <c r="BV276" s="220"/>
      <c r="BW276" s="220"/>
      <c r="BX276" s="220"/>
      <c r="BY276" s="220"/>
      <c r="BZ276" s="220"/>
      <c r="CA276" s="220"/>
      <c r="CB276" s="220"/>
      <c r="CC276" s="220" t="s">
        <v>73</v>
      </c>
      <c r="CD276" s="221" t="s">
        <v>73</v>
      </c>
    </row>
    <row r="277" spans="59:82" ht="9" customHeight="1">
      <c r="BG277" s="225" t="s">
        <v>73</v>
      </c>
      <c r="BH277" s="220" t="s">
        <v>73</v>
      </c>
      <c r="BI277" s="220" t="s">
        <v>73</v>
      </c>
      <c r="BJ277" s="220" t="s">
        <v>73</v>
      </c>
      <c r="BK277" s="220" t="s">
        <v>73</v>
      </c>
      <c r="BL277" s="220" t="s">
        <v>73</v>
      </c>
      <c r="BM277" s="220" t="s">
        <v>73</v>
      </c>
      <c r="BN277" s="220" t="s">
        <v>73</v>
      </c>
      <c r="BO277" s="220" t="s">
        <v>73</v>
      </c>
      <c r="BP277" s="220" t="s">
        <v>73</v>
      </c>
      <c r="BQ277" s="220" t="s">
        <v>73</v>
      </c>
      <c r="BR277" s="220" t="s">
        <v>73</v>
      </c>
      <c r="BS277" s="220" t="s">
        <v>1348</v>
      </c>
      <c r="BT277" s="220" t="s">
        <v>1348</v>
      </c>
      <c r="BU277" s="220" t="s">
        <v>1348</v>
      </c>
      <c r="BV277" s="220" t="s">
        <v>1348</v>
      </c>
      <c r="BW277" s="220" t="s">
        <v>1348</v>
      </c>
      <c r="BX277" s="220" t="s">
        <v>1348</v>
      </c>
      <c r="BY277" s="220"/>
      <c r="BZ277" s="220"/>
      <c r="CA277" s="220"/>
      <c r="CB277" s="220"/>
      <c r="CC277" s="220" t="s">
        <v>73</v>
      </c>
      <c r="CD277" s="221" t="s">
        <v>73</v>
      </c>
    </row>
    <row r="278" spans="59:82" ht="9" customHeight="1">
      <c r="BG278" s="225" t="s">
        <v>73</v>
      </c>
      <c r="BH278" s="220" t="s">
        <v>73</v>
      </c>
      <c r="BI278" s="220" t="s">
        <v>73</v>
      </c>
      <c r="BJ278" s="220" t="s">
        <v>73</v>
      </c>
      <c r="BK278" s="220" t="s">
        <v>73</v>
      </c>
      <c r="BL278" s="220" t="s">
        <v>73</v>
      </c>
      <c r="BM278" s="220" t="s">
        <v>73</v>
      </c>
      <c r="BN278" s="220" t="s">
        <v>73</v>
      </c>
      <c r="BO278" s="220" t="s">
        <v>73</v>
      </c>
      <c r="BP278" s="220" t="s">
        <v>73</v>
      </c>
      <c r="BQ278" s="220" t="s">
        <v>73</v>
      </c>
      <c r="BR278" s="220" t="s">
        <v>73</v>
      </c>
      <c r="BS278" s="220" t="s">
        <v>1348</v>
      </c>
      <c r="BT278" s="220" t="s">
        <v>1348</v>
      </c>
      <c r="BU278" s="220" t="s">
        <v>1348</v>
      </c>
      <c r="BV278" s="220" t="s">
        <v>1348</v>
      </c>
      <c r="BW278" s="220" t="s">
        <v>1348</v>
      </c>
      <c r="BX278" s="220" t="s">
        <v>1348</v>
      </c>
      <c r="BY278" s="220"/>
      <c r="BZ278" s="220"/>
      <c r="CA278" s="220"/>
      <c r="CB278" s="220"/>
      <c r="CC278" s="220" t="s">
        <v>73</v>
      </c>
      <c r="CD278" s="221" t="s">
        <v>73</v>
      </c>
    </row>
    <row r="279" spans="59:82" ht="9" customHeight="1">
      <c r="BG279" s="225" t="s">
        <v>73</v>
      </c>
      <c r="BH279" s="220" t="s">
        <v>73</v>
      </c>
      <c r="BI279" s="220" t="s">
        <v>73</v>
      </c>
      <c r="BJ279" s="220" t="s">
        <v>73</v>
      </c>
      <c r="BK279" s="220" t="s">
        <v>73</v>
      </c>
      <c r="BL279" s="220" t="s">
        <v>73</v>
      </c>
      <c r="BM279" s="220" t="s">
        <v>73</v>
      </c>
      <c r="BN279" s="220" t="s">
        <v>73</v>
      </c>
      <c r="BO279" s="220" t="s">
        <v>73</v>
      </c>
      <c r="BP279" s="220" t="s">
        <v>73</v>
      </c>
      <c r="BQ279" s="220" t="s">
        <v>73</v>
      </c>
      <c r="BR279" s="220" t="s">
        <v>73</v>
      </c>
      <c r="BS279" s="220" t="s">
        <v>1348</v>
      </c>
      <c r="BT279" s="220" t="s">
        <v>1348</v>
      </c>
      <c r="BU279" s="220" t="s">
        <v>1348</v>
      </c>
      <c r="BV279" s="220" t="s">
        <v>1348</v>
      </c>
      <c r="BW279" s="220" t="s">
        <v>1348</v>
      </c>
      <c r="BX279" s="220" t="s">
        <v>1348</v>
      </c>
      <c r="BY279" s="220" t="s">
        <v>1320</v>
      </c>
      <c r="BZ279" s="220" t="s">
        <v>1320</v>
      </c>
      <c r="CA279" s="220" t="s">
        <v>1320</v>
      </c>
      <c r="CB279" s="220" t="s">
        <v>1320</v>
      </c>
      <c r="CC279" s="220" t="s">
        <v>73</v>
      </c>
      <c r="CD279" s="221" t="s">
        <v>73</v>
      </c>
    </row>
    <row r="280" spans="59:82" ht="9" customHeight="1">
      <c r="BG280" s="225" t="s">
        <v>73</v>
      </c>
      <c r="BH280" s="220" t="s">
        <v>73</v>
      </c>
      <c r="BI280" s="220"/>
      <c r="BJ280" s="220"/>
      <c r="BK280" s="220"/>
      <c r="BL280" s="220"/>
      <c r="BM280" s="220"/>
      <c r="BN280" s="220"/>
      <c r="BO280" s="220"/>
      <c r="BP280" s="220"/>
      <c r="BQ280" s="220"/>
      <c r="BR280" s="220"/>
      <c r="BS280" s="220" t="s">
        <v>1348</v>
      </c>
      <c r="BT280" s="220" t="s">
        <v>1348</v>
      </c>
      <c r="BU280" s="220" t="s">
        <v>1348</v>
      </c>
      <c r="BV280" s="220" t="s">
        <v>1348</v>
      </c>
      <c r="BW280" s="220" t="s">
        <v>1348</v>
      </c>
      <c r="BX280" s="220" t="s">
        <v>1348</v>
      </c>
      <c r="BY280" s="220"/>
      <c r="BZ280" s="220"/>
      <c r="CA280" s="220"/>
      <c r="CB280" s="220"/>
      <c r="CC280" s="220" t="s">
        <v>73</v>
      </c>
      <c r="CD280" s="221" t="s">
        <v>73</v>
      </c>
    </row>
    <row r="281" spans="59:82" ht="9" customHeight="1">
      <c r="BG281" s="225" t="s">
        <v>73</v>
      </c>
      <c r="BH281" s="220" t="s">
        <v>73</v>
      </c>
      <c r="BI281" s="220"/>
      <c r="BJ281" s="220"/>
      <c r="BK281" s="220"/>
      <c r="BL281" s="220"/>
      <c r="BM281" s="220"/>
      <c r="BN281" s="220"/>
      <c r="BO281" s="220"/>
      <c r="BP281" s="220"/>
      <c r="BQ281" s="220"/>
      <c r="BR281" s="220"/>
      <c r="BS281" s="220" t="s">
        <v>1348</v>
      </c>
      <c r="BT281" s="220" t="s">
        <v>1348</v>
      </c>
      <c r="BU281" s="220" t="s">
        <v>1348</v>
      </c>
      <c r="BV281" s="220" t="s">
        <v>1348</v>
      </c>
      <c r="BW281" s="220" t="s">
        <v>1348</v>
      </c>
      <c r="BX281" s="220" t="s">
        <v>1348</v>
      </c>
      <c r="BY281" s="220"/>
      <c r="BZ281" s="220"/>
      <c r="CA281" s="220"/>
      <c r="CB281" s="220"/>
      <c r="CC281" s="220" t="s">
        <v>73</v>
      </c>
      <c r="CD281" s="221" t="s">
        <v>73</v>
      </c>
    </row>
    <row r="282" spans="59:82" ht="9" customHeight="1">
      <c r="BG282" s="225" t="s">
        <v>73</v>
      </c>
      <c r="BH282" s="220" t="s">
        <v>73</v>
      </c>
      <c r="BI282" s="220"/>
      <c r="BJ282" s="220"/>
      <c r="BK282" s="220"/>
      <c r="BL282" s="220"/>
      <c r="BM282" s="220"/>
      <c r="BN282" s="220"/>
      <c r="BO282" s="220"/>
      <c r="BP282" s="220"/>
      <c r="BQ282" s="220"/>
      <c r="BR282" s="220"/>
      <c r="BS282" s="220"/>
      <c r="BT282" s="220"/>
      <c r="BU282" s="220"/>
      <c r="BV282" s="220"/>
      <c r="BW282" s="220"/>
      <c r="BX282" s="220"/>
      <c r="BY282" s="220"/>
      <c r="BZ282" s="220"/>
      <c r="CA282" s="220"/>
      <c r="CB282" s="220"/>
      <c r="CC282" s="220" t="s">
        <v>73</v>
      </c>
      <c r="CD282" s="221" t="s">
        <v>73</v>
      </c>
    </row>
    <row r="283" spans="59:82" ht="9" customHeight="1">
      <c r="BG283" s="225" t="s">
        <v>73</v>
      </c>
      <c r="BH283" s="220" t="s">
        <v>73</v>
      </c>
      <c r="BI283" s="220"/>
      <c r="BJ283" s="220"/>
      <c r="BK283" s="220"/>
      <c r="BL283" s="220"/>
      <c r="BM283" s="220"/>
      <c r="BN283" s="220"/>
      <c r="BO283" s="220"/>
      <c r="BP283" s="220"/>
      <c r="BQ283" s="220"/>
      <c r="BR283" s="220"/>
      <c r="BS283" s="220"/>
      <c r="BT283" s="220"/>
      <c r="BU283" s="220"/>
      <c r="BV283" s="220"/>
      <c r="BW283" s="220"/>
      <c r="BX283" s="220"/>
      <c r="BY283" s="220"/>
      <c r="BZ283" s="220"/>
      <c r="CA283" s="220"/>
      <c r="CB283" s="220"/>
      <c r="CC283" s="220" t="s">
        <v>73</v>
      </c>
      <c r="CD283" s="221" t="s">
        <v>73</v>
      </c>
    </row>
    <row r="284" spans="59:82" ht="9" customHeight="1">
      <c r="BG284" s="225" t="s">
        <v>73</v>
      </c>
      <c r="BH284" s="220" t="s">
        <v>73</v>
      </c>
      <c r="BI284" s="220" t="s">
        <v>1320</v>
      </c>
      <c r="BJ284" s="220" t="s">
        <v>1320</v>
      </c>
      <c r="BK284" s="220" t="s">
        <v>1320</v>
      </c>
      <c r="BL284" s="220" t="s">
        <v>1320</v>
      </c>
      <c r="BM284" s="220"/>
      <c r="BN284" s="220"/>
      <c r="BO284" s="220"/>
      <c r="BP284" s="220" t="s">
        <v>73</v>
      </c>
      <c r="BQ284" s="220" t="s">
        <v>1320</v>
      </c>
      <c r="BR284" s="220" t="s">
        <v>1320</v>
      </c>
      <c r="BS284" s="220" t="s">
        <v>1320</v>
      </c>
      <c r="BT284" s="220" t="s">
        <v>1320</v>
      </c>
      <c r="BU284" s="220" t="s">
        <v>1320</v>
      </c>
      <c r="BV284" s="220" t="s">
        <v>1320</v>
      </c>
      <c r="BW284" s="220" t="s">
        <v>1320</v>
      </c>
      <c r="BX284" s="220" t="s">
        <v>1320</v>
      </c>
      <c r="BY284" s="220" t="s">
        <v>1320</v>
      </c>
      <c r="BZ284" s="220" t="s">
        <v>1320</v>
      </c>
      <c r="CA284" s="220" t="s">
        <v>1320</v>
      </c>
      <c r="CB284" s="220" t="s">
        <v>1320</v>
      </c>
      <c r="CC284" s="220" t="s">
        <v>73</v>
      </c>
      <c r="CD284" s="221" t="s">
        <v>73</v>
      </c>
    </row>
    <row r="285" spans="59:82" ht="9" customHeight="1">
      <c r="BG285" s="225" t="s">
        <v>73</v>
      </c>
      <c r="BH285" s="220" t="s">
        <v>73</v>
      </c>
      <c r="BI285" s="220"/>
      <c r="BJ285" s="220"/>
      <c r="BK285" s="220" t="s">
        <v>1348</v>
      </c>
      <c r="BL285" s="220" t="s">
        <v>1348</v>
      </c>
      <c r="BM285" s="220" t="s">
        <v>1348</v>
      </c>
      <c r="BN285" s="220" t="s">
        <v>1348</v>
      </c>
      <c r="BO285" s="220" t="s">
        <v>1348</v>
      </c>
      <c r="BP285" s="220" t="s">
        <v>1348</v>
      </c>
      <c r="BQ285" s="220" t="s">
        <v>1348</v>
      </c>
      <c r="BR285" s="220"/>
      <c r="BS285" s="220"/>
      <c r="BT285" s="220"/>
      <c r="BU285" s="220"/>
      <c r="BV285" s="220"/>
      <c r="BW285" s="220"/>
      <c r="BX285" s="220" t="s">
        <v>1348</v>
      </c>
      <c r="BY285" s="220" t="s">
        <v>1348</v>
      </c>
      <c r="BZ285" s="220" t="s">
        <v>1348</v>
      </c>
      <c r="CA285" s="220" t="s">
        <v>1348</v>
      </c>
      <c r="CB285" s="220" t="s">
        <v>1348</v>
      </c>
      <c r="CC285" s="220" t="s">
        <v>73</v>
      </c>
      <c r="CD285" s="221" t="s">
        <v>73</v>
      </c>
    </row>
    <row r="286" spans="59:82" ht="9" customHeight="1">
      <c r="BG286" s="225" t="s">
        <v>73</v>
      </c>
      <c r="BH286" s="220" t="s">
        <v>73</v>
      </c>
      <c r="BI286" s="220"/>
      <c r="BJ286" s="220"/>
      <c r="BK286" s="220" t="s">
        <v>1348</v>
      </c>
      <c r="BL286" s="220" t="s">
        <v>1348</v>
      </c>
      <c r="BM286" s="220" t="s">
        <v>1348</v>
      </c>
      <c r="BN286" s="220" t="s">
        <v>1348</v>
      </c>
      <c r="BO286" s="220" t="s">
        <v>1348</v>
      </c>
      <c r="BP286" s="220" t="s">
        <v>1348</v>
      </c>
      <c r="BQ286" s="220" t="s">
        <v>1348</v>
      </c>
      <c r="BR286" s="220"/>
      <c r="BS286" s="220"/>
      <c r="BT286" s="220"/>
      <c r="BU286" s="220"/>
      <c r="BV286" s="220"/>
      <c r="BW286" s="220"/>
      <c r="BX286" s="220" t="s">
        <v>1348</v>
      </c>
      <c r="BY286" s="220" t="s">
        <v>1348</v>
      </c>
      <c r="BZ286" s="220" t="s">
        <v>1348</v>
      </c>
      <c r="CA286" s="220" t="s">
        <v>1348</v>
      </c>
      <c r="CB286" s="220" t="s">
        <v>1348</v>
      </c>
      <c r="CC286" s="220" t="s">
        <v>73</v>
      </c>
      <c r="CD286" s="221" t="s">
        <v>73</v>
      </c>
    </row>
    <row r="287" spans="59:82" ht="9" customHeight="1">
      <c r="BG287" s="225" t="s">
        <v>73</v>
      </c>
      <c r="BH287" s="220" t="s">
        <v>73</v>
      </c>
      <c r="BI287" s="220" t="s">
        <v>1348</v>
      </c>
      <c r="BJ287" s="220" t="s">
        <v>1348</v>
      </c>
      <c r="BK287" s="220" t="s">
        <v>1348</v>
      </c>
      <c r="BL287" s="220" t="s">
        <v>1348</v>
      </c>
      <c r="BM287" s="220" t="s">
        <v>1348</v>
      </c>
      <c r="BN287" s="220" t="s">
        <v>1348</v>
      </c>
      <c r="BO287" s="220" t="s">
        <v>1348</v>
      </c>
      <c r="BP287" s="220"/>
      <c r="BQ287" s="220"/>
      <c r="BR287" s="220"/>
      <c r="BS287" s="220"/>
      <c r="BT287" s="220"/>
      <c r="BU287" s="220"/>
      <c r="BV287" s="220" t="s">
        <v>1348</v>
      </c>
      <c r="BW287" s="220" t="s">
        <v>1348</v>
      </c>
      <c r="BX287" s="220" t="s">
        <v>1348</v>
      </c>
      <c r="BY287" s="220" t="s">
        <v>1348</v>
      </c>
      <c r="BZ287" s="220" t="s">
        <v>1348</v>
      </c>
      <c r="CA287" s="220"/>
      <c r="CB287" s="220"/>
      <c r="CC287" s="220" t="s">
        <v>73</v>
      </c>
      <c r="CD287" s="221" t="s">
        <v>73</v>
      </c>
    </row>
    <row r="288" spans="59:82" ht="9" customHeight="1">
      <c r="BG288" s="225" t="s">
        <v>73</v>
      </c>
      <c r="BH288" s="220" t="s">
        <v>73</v>
      </c>
      <c r="BI288" s="220" t="s">
        <v>1348</v>
      </c>
      <c r="BJ288" s="220" t="s">
        <v>1348</v>
      </c>
      <c r="BK288" s="220" t="s">
        <v>1348</v>
      </c>
      <c r="BL288" s="220" t="s">
        <v>1348</v>
      </c>
      <c r="BM288" s="220" t="s">
        <v>1348</v>
      </c>
      <c r="BN288" s="220" t="s">
        <v>1348</v>
      </c>
      <c r="BO288" s="220" t="s">
        <v>1348</v>
      </c>
      <c r="BP288" s="220"/>
      <c r="BQ288" s="220"/>
      <c r="BR288" s="220"/>
      <c r="BS288" s="220" t="s">
        <v>1348</v>
      </c>
      <c r="BT288" s="220" t="s">
        <v>1348</v>
      </c>
      <c r="BU288" s="220"/>
      <c r="BV288" s="220" t="s">
        <v>1348</v>
      </c>
      <c r="BW288" s="220" t="s">
        <v>1348</v>
      </c>
      <c r="BX288" s="220" t="s">
        <v>1348</v>
      </c>
      <c r="BY288" s="220" t="s">
        <v>1348</v>
      </c>
      <c r="BZ288" s="220" t="s">
        <v>1348</v>
      </c>
      <c r="CA288" s="220"/>
      <c r="CB288" s="220"/>
      <c r="CC288" s="220" t="s">
        <v>73</v>
      </c>
      <c r="CD288" s="221" t="s">
        <v>73</v>
      </c>
    </row>
    <row r="289" spans="59:82" ht="9" customHeight="1">
      <c r="BG289" s="225" t="s">
        <v>73</v>
      </c>
      <c r="BH289" s="220" t="s">
        <v>73</v>
      </c>
      <c r="BI289" s="220" t="s">
        <v>73</v>
      </c>
      <c r="BJ289" s="220" t="s">
        <v>73</v>
      </c>
      <c r="BK289" s="220" t="s">
        <v>73</v>
      </c>
      <c r="BL289" s="220" t="s">
        <v>73</v>
      </c>
      <c r="BM289" s="220" t="s">
        <v>73</v>
      </c>
      <c r="BN289" s="220" t="s">
        <v>73</v>
      </c>
      <c r="BO289" s="220" t="s">
        <v>73</v>
      </c>
      <c r="BP289" s="220" t="s">
        <v>73</v>
      </c>
      <c r="BQ289" s="220" t="s">
        <v>73</v>
      </c>
      <c r="BR289" s="220" t="s">
        <v>73</v>
      </c>
      <c r="BS289" s="220" t="s">
        <v>1348</v>
      </c>
      <c r="BT289" s="220" t="s">
        <v>1348</v>
      </c>
      <c r="BU289" s="220" t="s">
        <v>73</v>
      </c>
      <c r="BV289" s="220" t="s">
        <v>73</v>
      </c>
      <c r="BW289" s="220" t="s">
        <v>73</v>
      </c>
      <c r="BX289" s="220" t="s">
        <v>73</v>
      </c>
      <c r="BY289" s="220" t="s">
        <v>73</v>
      </c>
      <c r="BZ289" s="220" t="s">
        <v>73</v>
      </c>
      <c r="CA289" s="220" t="s">
        <v>73</v>
      </c>
      <c r="CB289" s="220" t="s">
        <v>73</v>
      </c>
      <c r="CC289" s="220" t="s">
        <v>73</v>
      </c>
      <c r="CD289" s="221" t="s">
        <v>73</v>
      </c>
    </row>
    <row r="290" spans="59:82" ht="9" customHeight="1">
      <c r="BG290" s="225" t="s">
        <v>73</v>
      </c>
      <c r="BH290" s="220" t="s">
        <v>73</v>
      </c>
      <c r="BI290" s="220" t="s">
        <v>73</v>
      </c>
      <c r="BJ290" s="220" t="s">
        <v>73</v>
      </c>
      <c r="BK290" s="220" t="s">
        <v>73</v>
      </c>
      <c r="BL290" s="220" t="s">
        <v>73</v>
      </c>
      <c r="BM290" s="220" t="s">
        <v>73</v>
      </c>
      <c r="BN290" s="220" t="s">
        <v>73</v>
      </c>
      <c r="BO290" s="220" t="s">
        <v>73</v>
      </c>
      <c r="BP290" s="220" t="s">
        <v>73</v>
      </c>
      <c r="BQ290" s="220" t="s">
        <v>73</v>
      </c>
      <c r="BR290" s="220" t="s">
        <v>73</v>
      </c>
      <c r="BS290" s="220" t="s">
        <v>1348</v>
      </c>
      <c r="BT290" s="220" t="s">
        <v>1348</v>
      </c>
      <c r="BU290" s="220" t="s">
        <v>73</v>
      </c>
      <c r="BV290" s="220" t="s">
        <v>73</v>
      </c>
      <c r="BW290" s="220" t="s">
        <v>73</v>
      </c>
      <c r="BX290" s="220" t="s">
        <v>73</v>
      </c>
      <c r="BY290" s="220" t="s">
        <v>73</v>
      </c>
      <c r="BZ290" s="220" t="s">
        <v>73</v>
      </c>
      <c r="CA290" s="220" t="s">
        <v>73</v>
      </c>
      <c r="CB290" s="220" t="s">
        <v>73</v>
      </c>
      <c r="CC290" s="220" t="s">
        <v>73</v>
      </c>
      <c r="CD290" s="221" t="s">
        <v>73</v>
      </c>
    </row>
    <row r="291" spans="59:82" ht="9" customHeight="1">
      <c r="BG291" s="225" t="s">
        <v>73</v>
      </c>
      <c r="BH291" s="220" t="s">
        <v>73</v>
      </c>
      <c r="BI291" s="220" t="s">
        <v>73</v>
      </c>
      <c r="BJ291" s="220" t="s">
        <v>73</v>
      </c>
      <c r="BK291" s="220" t="s">
        <v>73</v>
      </c>
      <c r="BL291" s="220" t="s">
        <v>73</v>
      </c>
      <c r="BM291" s="220" t="s">
        <v>73</v>
      </c>
      <c r="BN291" s="220" t="s">
        <v>73</v>
      </c>
      <c r="BO291" s="220" t="s">
        <v>73</v>
      </c>
      <c r="BP291" s="220" t="s">
        <v>73</v>
      </c>
      <c r="BQ291" s="220" t="s">
        <v>73</v>
      </c>
      <c r="BR291" s="220" t="s">
        <v>73</v>
      </c>
      <c r="BS291" s="220" t="s">
        <v>1348</v>
      </c>
      <c r="BT291" s="220" t="s">
        <v>1348</v>
      </c>
      <c r="BU291" s="220" t="s">
        <v>73</v>
      </c>
      <c r="BV291" s="220" t="s">
        <v>73</v>
      </c>
      <c r="BW291" s="220" t="s">
        <v>73</v>
      </c>
      <c r="BX291" s="220" t="s">
        <v>73</v>
      </c>
      <c r="BY291" s="220" t="s">
        <v>73</v>
      </c>
      <c r="BZ291" s="220" t="s">
        <v>73</v>
      </c>
      <c r="CA291" s="220" t="s">
        <v>73</v>
      </c>
      <c r="CB291" s="220" t="s">
        <v>73</v>
      </c>
      <c r="CC291" s="220" t="s">
        <v>73</v>
      </c>
      <c r="CD291" s="221" t="s">
        <v>73</v>
      </c>
    </row>
    <row r="292" spans="59:82" ht="9" customHeight="1" thickBot="1">
      <c r="BG292" s="226" t="s">
        <v>73</v>
      </c>
      <c r="BH292" s="222" t="s">
        <v>73</v>
      </c>
      <c r="BI292" s="222" t="s">
        <v>73</v>
      </c>
      <c r="BJ292" s="222" t="s">
        <v>73</v>
      </c>
      <c r="BK292" s="222" t="s">
        <v>73</v>
      </c>
      <c r="BL292" s="222" t="s">
        <v>73</v>
      </c>
      <c r="BM292" s="222" t="s">
        <v>73</v>
      </c>
      <c r="BN292" s="222" t="s">
        <v>73</v>
      </c>
      <c r="BO292" s="222" t="s">
        <v>73</v>
      </c>
      <c r="BP292" s="222" t="s">
        <v>73</v>
      </c>
      <c r="BQ292" s="222" t="s">
        <v>73</v>
      </c>
      <c r="BR292" s="222" t="s">
        <v>73</v>
      </c>
      <c r="BS292" s="222" t="s">
        <v>1348</v>
      </c>
      <c r="BT292" s="222" t="s">
        <v>1348</v>
      </c>
      <c r="BU292" s="222" t="s">
        <v>73</v>
      </c>
      <c r="BV292" s="222" t="s">
        <v>73</v>
      </c>
      <c r="BW292" s="222" t="s">
        <v>73</v>
      </c>
      <c r="BX292" s="222" t="s">
        <v>73</v>
      </c>
      <c r="BY292" s="222" t="s">
        <v>73</v>
      </c>
      <c r="BZ292" s="222" t="s">
        <v>73</v>
      </c>
      <c r="CA292" s="222" t="s">
        <v>73</v>
      </c>
      <c r="CB292" s="222" t="s">
        <v>73</v>
      </c>
      <c r="CC292" s="222" t="s">
        <v>73</v>
      </c>
      <c r="CD292" s="223" t="s">
        <v>73</v>
      </c>
    </row>
    <row r="293" spans="59:82" ht="9" customHeight="1">
      <c r="BG293" s="224" t="s">
        <v>73</v>
      </c>
      <c r="BH293" s="218" t="s">
        <v>73</v>
      </c>
      <c r="BI293" s="218" t="s">
        <v>73</v>
      </c>
      <c r="BJ293" s="218" t="s">
        <v>73</v>
      </c>
      <c r="BK293" s="218" t="s">
        <v>73</v>
      </c>
      <c r="BL293" s="218" t="s">
        <v>73</v>
      </c>
      <c r="BM293" s="218" t="s">
        <v>73</v>
      </c>
      <c r="BN293" s="218" t="s">
        <v>73</v>
      </c>
      <c r="BO293" s="218" t="s">
        <v>73</v>
      </c>
      <c r="BP293" s="218" t="s">
        <v>73</v>
      </c>
      <c r="BQ293" s="218" t="s">
        <v>73</v>
      </c>
      <c r="BR293" s="218" t="s">
        <v>73</v>
      </c>
      <c r="BS293" s="218"/>
      <c r="BT293" s="218"/>
      <c r="BU293" s="218" t="s">
        <v>73</v>
      </c>
      <c r="BV293" s="218" t="s">
        <v>73</v>
      </c>
      <c r="BW293" s="218" t="s">
        <v>73</v>
      </c>
      <c r="BX293" s="218" t="s">
        <v>73</v>
      </c>
      <c r="BY293" s="218" t="s">
        <v>73</v>
      </c>
      <c r="BZ293" s="218" t="s">
        <v>73</v>
      </c>
      <c r="CA293" s="218" t="s">
        <v>73</v>
      </c>
      <c r="CB293" s="218" t="s">
        <v>73</v>
      </c>
      <c r="CC293" s="218" t="s">
        <v>73</v>
      </c>
      <c r="CD293" s="219" t="s">
        <v>73</v>
      </c>
    </row>
    <row r="294" spans="59:82" ht="9" customHeight="1">
      <c r="BG294" s="225" t="s">
        <v>73</v>
      </c>
      <c r="BH294" s="220" t="s">
        <v>73</v>
      </c>
      <c r="BI294" s="220" t="s">
        <v>73</v>
      </c>
      <c r="BJ294" s="220" t="s">
        <v>73</v>
      </c>
      <c r="BK294" s="220" t="s">
        <v>73</v>
      </c>
      <c r="BL294" s="220" t="s">
        <v>73</v>
      </c>
      <c r="BM294" s="220" t="s">
        <v>73</v>
      </c>
      <c r="BN294" s="220" t="s">
        <v>73</v>
      </c>
      <c r="BO294" s="220" t="s">
        <v>73</v>
      </c>
      <c r="BP294" s="220" t="s">
        <v>73</v>
      </c>
      <c r="BQ294" s="220" t="s">
        <v>73</v>
      </c>
      <c r="BR294" s="220" t="s">
        <v>73</v>
      </c>
      <c r="BS294" s="220"/>
      <c r="BT294" s="220"/>
      <c r="BU294" s="220" t="s">
        <v>73</v>
      </c>
      <c r="BV294" s="220" t="s">
        <v>73</v>
      </c>
      <c r="BW294" s="220" t="s">
        <v>73</v>
      </c>
      <c r="BX294" s="220" t="s">
        <v>73</v>
      </c>
      <c r="BY294" s="220" t="s">
        <v>73</v>
      </c>
      <c r="BZ294" s="220" t="s">
        <v>73</v>
      </c>
      <c r="CA294" s="220" t="s">
        <v>73</v>
      </c>
      <c r="CB294" s="220" t="s">
        <v>73</v>
      </c>
      <c r="CC294" s="220" t="s">
        <v>73</v>
      </c>
      <c r="CD294" s="221" t="s">
        <v>73</v>
      </c>
    </row>
    <row r="295" spans="59:82" ht="9" customHeight="1">
      <c r="BG295" s="225" t="s">
        <v>73</v>
      </c>
      <c r="BH295" s="220" t="s">
        <v>73</v>
      </c>
      <c r="BI295" s="220"/>
      <c r="BJ295" s="220"/>
      <c r="BK295" s="220"/>
      <c r="BL295" s="220"/>
      <c r="BM295" s="220"/>
      <c r="BN295" s="220"/>
      <c r="BO295" s="220"/>
      <c r="BP295" s="220"/>
      <c r="BQ295" s="220"/>
      <c r="BR295" s="220"/>
      <c r="BS295" s="220"/>
      <c r="BT295" s="220"/>
      <c r="BU295" s="220"/>
      <c r="BV295" s="220"/>
      <c r="BW295" s="220"/>
      <c r="BX295" s="220"/>
      <c r="BY295" s="220"/>
      <c r="BZ295" s="220"/>
      <c r="CA295" s="220"/>
      <c r="CB295" s="220"/>
      <c r="CC295" s="220" t="s">
        <v>73</v>
      </c>
      <c r="CD295" s="221" t="s">
        <v>73</v>
      </c>
    </row>
    <row r="296" spans="59:82" ht="9" customHeight="1">
      <c r="BG296" s="225" t="s">
        <v>73</v>
      </c>
      <c r="BH296" s="220" t="s">
        <v>73</v>
      </c>
      <c r="BI296" s="220"/>
      <c r="BJ296" s="220"/>
      <c r="BK296" s="220"/>
      <c r="BL296" s="220" t="s">
        <v>73</v>
      </c>
      <c r="BM296" s="220" t="s">
        <v>73</v>
      </c>
      <c r="BN296" s="220" t="s">
        <v>73</v>
      </c>
      <c r="BO296" s="220" t="s">
        <v>73</v>
      </c>
      <c r="BP296" s="220" t="s">
        <v>73</v>
      </c>
      <c r="BQ296" s="220"/>
      <c r="BR296" s="220"/>
      <c r="BS296" s="220"/>
      <c r="BT296" s="220"/>
      <c r="BU296" s="220" t="s">
        <v>73</v>
      </c>
      <c r="BV296" s="220" t="s">
        <v>73</v>
      </c>
      <c r="BW296" s="220" t="s">
        <v>73</v>
      </c>
      <c r="BX296" s="220" t="s">
        <v>73</v>
      </c>
      <c r="BY296" s="220" t="s">
        <v>73</v>
      </c>
      <c r="BZ296" s="220"/>
      <c r="CA296" s="220"/>
      <c r="CB296" s="220"/>
      <c r="CC296" s="220" t="s">
        <v>73</v>
      </c>
      <c r="CD296" s="221" t="s">
        <v>73</v>
      </c>
    </row>
    <row r="297" spans="59:82" ht="9" customHeight="1">
      <c r="BG297" s="225" t="s">
        <v>73</v>
      </c>
      <c r="BH297" s="220" t="s">
        <v>73</v>
      </c>
      <c r="BI297" s="220"/>
      <c r="BJ297" s="220"/>
      <c r="BK297" s="220"/>
      <c r="BL297" s="220" t="s">
        <v>73</v>
      </c>
      <c r="BM297" s="220" t="s">
        <v>73</v>
      </c>
      <c r="BN297" s="220" t="s">
        <v>73</v>
      </c>
      <c r="BO297" s="220" t="s">
        <v>73</v>
      </c>
      <c r="BP297" s="220" t="s">
        <v>73</v>
      </c>
      <c r="BQ297" s="220"/>
      <c r="BR297" s="220"/>
      <c r="BS297" s="220"/>
      <c r="BT297" s="220"/>
      <c r="BU297" s="220" t="s">
        <v>73</v>
      </c>
      <c r="BV297" s="220" t="s">
        <v>73</v>
      </c>
      <c r="BW297" s="220" t="s">
        <v>73</v>
      </c>
      <c r="BX297" s="220" t="s">
        <v>73</v>
      </c>
      <c r="BY297" s="220" t="s">
        <v>73</v>
      </c>
      <c r="BZ297" s="220"/>
      <c r="CA297" s="220"/>
      <c r="CB297" s="220"/>
      <c r="CC297" s="220" t="s">
        <v>73</v>
      </c>
      <c r="CD297" s="221" t="s">
        <v>73</v>
      </c>
    </row>
    <row r="298" spans="59:82" ht="9" customHeight="1">
      <c r="BG298" s="225" t="s">
        <v>73</v>
      </c>
      <c r="BH298" s="220" t="s">
        <v>73</v>
      </c>
      <c r="BI298" s="220"/>
      <c r="BJ298" s="220"/>
      <c r="BK298" s="220"/>
      <c r="BL298" s="220" t="s">
        <v>73</v>
      </c>
      <c r="BM298" s="220" t="s">
        <v>73</v>
      </c>
      <c r="BN298" s="220" t="s">
        <v>73</v>
      </c>
      <c r="BO298" s="220" t="s">
        <v>73</v>
      </c>
      <c r="BP298" s="220" t="s">
        <v>73</v>
      </c>
      <c r="BQ298" s="220"/>
      <c r="BR298" s="220"/>
      <c r="BS298" s="220"/>
      <c r="BT298" s="220"/>
      <c r="BU298" s="220" t="s">
        <v>73</v>
      </c>
      <c r="BV298" s="220" t="s">
        <v>73</v>
      </c>
      <c r="BW298" s="220" t="s">
        <v>73</v>
      </c>
      <c r="BX298" s="220" t="s">
        <v>73</v>
      </c>
      <c r="BY298" s="220" t="s">
        <v>73</v>
      </c>
      <c r="BZ298" s="220"/>
      <c r="CA298" s="220"/>
      <c r="CB298" s="220"/>
      <c r="CC298" s="220" t="s">
        <v>73</v>
      </c>
      <c r="CD298" s="221" t="s">
        <v>73</v>
      </c>
    </row>
    <row r="299" spans="59:82" ht="9" customHeight="1">
      <c r="BG299" s="225" t="s">
        <v>73</v>
      </c>
      <c r="BH299" s="220" t="s">
        <v>73</v>
      </c>
      <c r="BI299" s="220"/>
      <c r="BJ299" s="220"/>
      <c r="BK299" s="220" t="s">
        <v>73</v>
      </c>
      <c r="BL299" s="220" t="s">
        <v>73</v>
      </c>
      <c r="BM299" s="220" t="s">
        <v>73</v>
      </c>
      <c r="BN299" s="220" t="s">
        <v>73</v>
      </c>
      <c r="BO299" s="220" t="s">
        <v>73</v>
      </c>
      <c r="BP299" s="220" t="s">
        <v>73</v>
      </c>
      <c r="BQ299" s="220"/>
      <c r="BR299" s="220"/>
      <c r="BS299" s="220"/>
      <c r="BT299" s="220" t="s">
        <v>73</v>
      </c>
      <c r="BU299" s="220" t="s">
        <v>73</v>
      </c>
      <c r="BV299" s="220" t="s">
        <v>73</v>
      </c>
      <c r="BW299" s="220" t="s">
        <v>73</v>
      </c>
      <c r="BX299" s="220" t="s">
        <v>73</v>
      </c>
      <c r="BY299" s="220" t="s">
        <v>73</v>
      </c>
      <c r="BZ299" s="220"/>
      <c r="CA299" s="220"/>
      <c r="CB299" s="220"/>
      <c r="CC299" s="220" t="s">
        <v>73</v>
      </c>
      <c r="CD299" s="221" t="s">
        <v>73</v>
      </c>
    </row>
    <row r="300" spans="59:82" ht="9" customHeight="1">
      <c r="BG300" s="225" t="s">
        <v>73</v>
      </c>
      <c r="BH300" s="220" t="s">
        <v>73</v>
      </c>
      <c r="BI300" s="220"/>
      <c r="BJ300" s="220"/>
      <c r="BK300" s="220" t="s">
        <v>73</v>
      </c>
      <c r="BL300" s="220" t="s">
        <v>73</v>
      </c>
      <c r="BM300" s="220" t="s">
        <v>73</v>
      </c>
      <c r="BN300" s="220" t="s">
        <v>73</v>
      </c>
      <c r="BO300" s="220" t="s">
        <v>73</v>
      </c>
      <c r="BP300" s="220" t="s">
        <v>73</v>
      </c>
      <c r="BQ300" s="220"/>
      <c r="BR300" s="220"/>
      <c r="BS300" s="220"/>
      <c r="BT300" s="220" t="s">
        <v>73</v>
      </c>
      <c r="BU300" s="220" t="s">
        <v>73</v>
      </c>
      <c r="BV300" s="220" t="s">
        <v>73</v>
      </c>
      <c r="BW300" s="220" t="s">
        <v>73</v>
      </c>
      <c r="BX300" s="220" t="s">
        <v>73</v>
      </c>
      <c r="BY300" s="220" t="s">
        <v>73</v>
      </c>
      <c r="BZ300" s="220"/>
      <c r="CA300" s="220"/>
      <c r="CB300" s="220"/>
      <c r="CC300" s="220" t="s">
        <v>73</v>
      </c>
      <c r="CD300" s="221" t="s">
        <v>73</v>
      </c>
    </row>
    <row r="301" spans="59:82" ht="9" customHeight="1">
      <c r="BG301" s="225" t="s">
        <v>73</v>
      </c>
      <c r="BH301" s="220" t="s">
        <v>73</v>
      </c>
      <c r="BI301" s="220"/>
      <c r="BJ301" s="220"/>
      <c r="BK301" s="220"/>
      <c r="BL301" s="220"/>
      <c r="BM301" s="220"/>
      <c r="BN301" s="220"/>
      <c r="BO301" s="220"/>
      <c r="BP301" s="220"/>
      <c r="BQ301" s="220"/>
      <c r="BR301" s="220"/>
      <c r="BS301" s="220"/>
      <c r="BT301" s="220"/>
      <c r="BU301" s="220"/>
      <c r="BV301" s="220"/>
      <c r="BW301" s="220"/>
      <c r="BX301" s="220"/>
      <c r="BY301" s="220"/>
      <c r="BZ301" s="220"/>
      <c r="CA301" s="220"/>
      <c r="CB301" s="220"/>
      <c r="CC301" s="220" t="s">
        <v>73</v>
      </c>
      <c r="CD301" s="221" t="s">
        <v>73</v>
      </c>
    </row>
    <row r="302" spans="59:82" ht="9" customHeight="1">
      <c r="BG302" s="225" t="s">
        <v>73</v>
      </c>
      <c r="BH302" s="220" t="s">
        <v>73</v>
      </c>
      <c r="BI302" s="220"/>
      <c r="BJ302" s="220"/>
      <c r="BK302" s="220"/>
      <c r="BL302" s="220"/>
      <c r="BM302" s="220"/>
      <c r="BN302" s="220"/>
      <c r="BO302" s="220"/>
      <c r="BP302" s="220"/>
      <c r="BQ302" s="220"/>
      <c r="BR302" s="220"/>
      <c r="BS302" s="220"/>
      <c r="BT302" s="220" t="s">
        <v>73</v>
      </c>
      <c r="BU302" s="220" t="s">
        <v>73</v>
      </c>
      <c r="BV302" s="220" t="s">
        <v>73</v>
      </c>
      <c r="BW302" s="220" t="s">
        <v>73</v>
      </c>
      <c r="BX302" s="220" t="s">
        <v>73</v>
      </c>
      <c r="BY302" s="220" t="s">
        <v>73</v>
      </c>
      <c r="BZ302" s="220" t="s">
        <v>73</v>
      </c>
      <c r="CA302" s="220"/>
      <c r="CB302" s="220"/>
      <c r="CC302" s="220" t="s">
        <v>73</v>
      </c>
      <c r="CD302" s="221" t="s">
        <v>73</v>
      </c>
    </row>
    <row r="303" spans="59:82" ht="9" customHeight="1">
      <c r="BG303" s="225" t="s">
        <v>73</v>
      </c>
      <c r="BH303" s="220" t="s">
        <v>73</v>
      </c>
      <c r="BI303" s="220"/>
      <c r="BJ303" s="220"/>
      <c r="BK303" s="220"/>
      <c r="BL303" s="220"/>
      <c r="BM303" s="220"/>
      <c r="BN303" s="220"/>
      <c r="BO303" s="220"/>
      <c r="BP303" s="220"/>
      <c r="BQ303" s="220"/>
      <c r="BR303" s="220"/>
      <c r="BS303" s="220"/>
      <c r="BT303" s="220" t="s">
        <v>73</v>
      </c>
      <c r="BU303" s="220" t="s">
        <v>73</v>
      </c>
      <c r="BV303" s="220" t="s">
        <v>73</v>
      </c>
      <c r="BW303" s="220" t="s">
        <v>73</v>
      </c>
      <c r="BX303" s="220" t="s">
        <v>73</v>
      </c>
      <c r="BY303" s="220" t="s">
        <v>73</v>
      </c>
      <c r="BZ303" s="220" t="s">
        <v>73</v>
      </c>
      <c r="CA303" s="220"/>
      <c r="CB303" s="220"/>
      <c r="CC303" s="220" t="s">
        <v>73</v>
      </c>
      <c r="CD303" s="221" t="s">
        <v>73</v>
      </c>
    </row>
    <row r="304" spans="59:82" ht="9" customHeight="1">
      <c r="BG304" s="225" t="s">
        <v>73</v>
      </c>
      <c r="BH304" s="220" t="s">
        <v>73</v>
      </c>
      <c r="BI304" s="220"/>
      <c r="BJ304" s="220"/>
      <c r="BK304" s="220"/>
      <c r="BL304" s="220" t="s">
        <v>73</v>
      </c>
      <c r="BM304" s="220" t="s">
        <v>73</v>
      </c>
      <c r="BN304" s="220" t="s">
        <v>73</v>
      </c>
      <c r="BO304" s="220" t="s">
        <v>73</v>
      </c>
      <c r="BP304" s="220" t="s">
        <v>73</v>
      </c>
      <c r="BQ304" s="220"/>
      <c r="BR304" s="220"/>
      <c r="BS304" s="220"/>
      <c r="BT304" s="220" t="s">
        <v>73</v>
      </c>
      <c r="BU304" s="220" t="s">
        <v>73</v>
      </c>
      <c r="BV304" s="220" t="s">
        <v>73</v>
      </c>
      <c r="BW304" s="220" t="s">
        <v>73</v>
      </c>
      <c r="BX304" s="220" t="s">
        <v>73</v>
      </c>
      <c r="BY304" s="220" t="s">
        <v>73</v>
      </c>
      <c r="BZ304" s="220" t="s">
        <v>73</v>
      </c>
      <c r="CA304" s="220"/>
      <c r="CB304" s="220"/>
      <c r="CC304" s="220" t="s">
        <v>73</v>
      </c>
      <c r="CD304" s="221" t="s">
        <v>73</v>
      </c>
    </row>
    <row r="305" spans="59:82" ht="9" customHeight="1">
      <c r="BG305" s="225" t="s">
        <v>73</v>
      </c>
      <c r="BH305" s="220" t="s">
        <v>73</v>
      </c>
      <c r="BI305" s="220"/>
      <c r="BJ305" s="220"/>
      <c r="BK305" s="220"/>
      <c r="BL305" s="220"/>
      <c r="BM305" s="220"/>
      <c r="BN305" s="220"/>
      <c r="BO305" s="220"/>
      <c r="BP305" s="220"/>
      <c r="BQ305" s="220"/>
      <c r="BR305" s="220"/>
      <c r="BS305" s="220"/>
      <c r="BT305" s="220" t="s">
        <v>73</v>
      </c>
      <c r="BU305" s="220" t="s">
        <v>73</v>
      </c>
      <c r="BV305" s="220" t="s">
        <v>73</v>
      </c>
      <c r="BW305" s="220" t="s">
        <v>73</v>
      </c>
      <c r="BX305" s="220" t="s">
        <v>73</v>
      </c>
      <c r="BY305" s="220" t="s">
        <v>73</v>
      </c>
      <c r="BZ305" s="220" t="s">
        <v>73</v>
      </c>
      <c r="CA305" s="220"/>
      <c r="CB305" s="220"/>
      <c r="CC305" s="220" t="s">
        <v>73</v>
      </c>
      <c r="CD305" s="221" t="s">
        <v>73</v>
      </c>
    </row>
    <row r="306" spans="59:82" ht="9" customHeight="1">
      <c r="BG306" s="225" t="s">
        <v>73</v>
      </c>
      <c r="BH306" s="220" t="s">
        <v>73</v>
      </c>
      <c r="BI306" s="220"/>
      <c r="BJ306" s="220"/>
      <c r="BK306" s="220"/>
      <c r="BL306" s="220"/>
      <c r="BM306" s="220"/>
      <c r="BN306" s="220"/>
      <c r="BO306" s="220"/>
      <c r="BP306" s="220"/>
      <c r="BQ306" s="220"/>
      <c r="BR306" s="220"/>
      <c r="BS306" s="220"/>
      <c r="BT306" s="220" t="s">
        <v>73</v>
      </c>
      <c r="BU306" s="220" t="s">
        <v>73</v>
      </c>
      <c r="BV306" s="220" t="s">
        <v>73</v>
      </c>
      <c r="BW306" s="261" t="s">
        <v>1428</v>
      </c>
      <c r="BX306" s="220" t="s">
        <v>73</v>
      </c>
      <c r="BY306" s="220" t="s">
        <v>73</v>
      </c>
      <c r="BZ306" s="220" t="s">
        <v>73</v>
      </c>
      <c r="CA306" s="220"/>
      <c r="CB306" s="220"/>
      <c r="CC306" s="220" t="s">
        <v>73</v>
      </c>
      <c r="CD306" s="221" t="s">
        <v>73</v>
      </c>
    </row>
    <row r="307" spans="59:82" ht="9" customHeight="1">
      <c r="BG307" s="225" t="s">
        <v>73</v>
      </c>
      <c r="BH307" s="220" t="s">
        <v>73</v>
      </c>
      <c r="BI307" s="220"/>
      <c r="BJ307" s="220"/>
      <c r="BK307" s="220"/>
      <c r="BL307" s="220" t="s">
        <v>73</v>
      </c>
      <c r="BM307" s="220"/>
      <c r="BN307" s="220"/>
      <c r="BO307" s="220"/>
      <c r="BP307" s="220"/>
      <c r="BQ307" s="220"/>
      <c r="BR307" s="220"/>
      <c r="BS307" s="220"/>
      <c r="BT307" s="220"/>
      <c r="BU307" s="220"/>
      <c r="BV307" s="220"/>
      <c r="BW307" s="220"/>
      <c r="BX307" s="220"/>
      <c r="BY307" s="220"/>
      <c r="BZ307" s="220"/>
      <c r="CA307" s="220"/>
      <c r="CB307" s="220"/>
      <c r="CC307" s="220" t="s">
        <v>73</v>
      </c>
      <c r="CD307" s="221" t="s">
        <v>73</v>
      </c>
    </row>
    <row r="308" spans="59:82" ht="9" customHeight="1">
      <c r="BG308" s="225" t="s">
        <v>73</v>
      </c>
      <c r="BH308" s="220" t="s">
        <v>73</v>
      </c>
      <c r="BI308" s="220"/>
      <c r="BJ308" s="220"/>
      <c r="BK308" s="220"/>
      <c r="BL308" s="220"/>
      <c r="BM308" s="220"/>
      <c r="BN308" s="220"/>
      <c r="BO308" s="220"/>
      <c r="BP308" s="220"/>
      <c r="BQ308" s="220"/>
      <c r="BR308" s="220"/>
      <c r="BS308" s="220"/>
      <c r="BT308" s="220"/>
      <c r="BU308" s="220"/>
      <c r="BV308" s="220"/>
      <c r="BW308" s="220"/>
      <c r="BX308" s="220"/>
      <c r="BY308" s="220"/>
      <c r="BZ308" s="220"/>
      <c r="CA308" s="220"/>
      <c r="CB308" s="220"/>
      <c r="CC308" s="220" t="s">
        <v>73</v>
      </c>
      <c r="CD308" s="221" t="s">
        <v>73</v>
      </c>
    </row>
    <row r="309" spans="59:82" ht="9" customHeight="1">
      <c r="BG309" s="225" t="s">
        <v>73</v>
      </c>
      <c r="BH309" s="220" t="s">
        <v>73</v>
      </c>
      <c r="BI309" s="220"/>
      <c r="BJ309" s="220"/>
      <c r="BK309" s="220"/>
      <c r="BL309" s="220"/>
      <c r="BM309" s="220"/>
      <c r="BN309" s="220"/>
      <c r="BO309" s="220"/>
      <c r="BP309" s="220"/>
      <c r="BQ309" s="220"/>
      <c r="BR309" s="220"/>
      <c r="BS309" s="220"/>
      <c r="BT309" s="220" t="s">
        <v>73</v>
      </c>
      <c r="BU309" s="220" t="s">
        <v>73</v>
      </c>
      <c r="BV309" s="220" t="s">
        <v>73</v>
      </c>
      <c r="BW309" s="220" t="s">
        <v>73</v>
      </c>
      <c r="BX309" s="220" t="s">
        <v>73</v>
      </c>
      <c r="BY309" s="220" t="s">
        <v>73</v>
      </c>
      <c r="BZ309" s="220"/>
      <c r="CA309" s="220"/>
      <c r="CB309" s="220"/>
      <c r="CC309" s="220" t="s">
        <v>73</v>
      </c>
      <c r="CD309" s="221" t="s">
        <v>73</v>
      </c>
    </row>
    <row r="310" spans="59:82" ht="9" customHeight="1">
      <c r="BG310" s="225" t="s">
        <v>73</v>
      </c>
      <c r="BH310" s="220" t="s">
        <v>73</v>
      </c>
      <c r="BI310" s="220"/>
      <c r="BJ310" s="220"/>
      <c r="BK310" s="220"/>
      <c r="BL310" s="220"/>
      <c r="BM310" s="220"/>
      <c r="BN310" s="220" t="s">
        <v>1311</v>
      </c>
      <c r="BO310" s="220" t="s">
        <v>1311</v>
      </c>
      <c r="BP310" s="220" t="s">
        <v>1311</v>
      </c>
      <c r="BQ310" s="220" t="s">
        <v>1311</v>
      </c>
      <c r="BR310" s="220"/>
      <c r="BS310" s="220"/>
      <c r="BT310" s="220"/>
      <c r="BU310" s="220"/>
      <c r="BV310" s="220"/>
      <c r="BW310" s="220"/>
      <c r="BX310" s="220"/>
      <c r="BY310" s="220"/>
      <c r="BZ310" s="220"/>
      <c r="CA310" s="220"/>
      <c r="CB310" s="220"/>
      <c r="CC310" s="220" t="s">
        <v>73</v>
      </c>
      <c r="CD310" s="221" t="s">
        <v>73</v>
      </c>
    </row>
    <row r="311" spans="59:82" ht="9" customHeight="1">
      <c r="BG311" s="225" t="s">
        <v>73</v>
      </c>
      <c r="BH311" s="220" t="s">
        <v>73</v>
      </c>
      <c r="BI311" s="220"/>
      <c r="BJ311" s="220"/>
      <c r="BK311" s="220"/>
      <c r="BL311" s="220"/>
      <c r="BM311" s="220"/>
      <c r="BN311" s="220" t="s">
        <v>1311</v>
      </c>
      <c r="BO311" s="220" t="s">
        <v>1311</v>
      </c>
      <c r="BP311" s="220" t="s">
        <v>1311</v>
      </c>
      <c r="BQ311" s="220" t="s">
        <v>1311</v>
      </c>
      <c r="BR311" s="220"/>
      <c r="BS311" s="220"/>
      <c r="BT311" s="220"/>
      <c r="BU311" s="220"/>
      <c r="BV311" s="220"/>
      <c r="BW311" s="220"/>
      <c r="BX311" s="220"/>
      <c r="BY311" s="220"/>
      <c r="BZ311" s="220"/>
      <c r="CA311" s="220"/>
      <c r="CB311" s="220"/>
      <c r="CC311" s="220" t="s">
        <v>73</v>
      </c>
      <c r="CD311" s="221" t="s">
        <v>73</v>
      </c>
    </row>
    <row r="312" spans="59:82" ht="9" customHeight="1" thickBot="1">
      <c r="BG312" s="226" t="s">
        <v>73</v>
      </c>
      <c r="BH312" s="222" t="s">
        <v>73</v>
      </c>
      <c r="BI312" s="222" t="s">
        <v>73</v>
      </c>
      <c r="BJ312" s="222" t="s">
        <v>73</v>
      </c>
      <c r="BK312" s="222" t="s">
        <v>73</v>
      </c>
      <c r="BL312" s="222" t="s">
        <v>73</v>
      </c>
      <c r="BM312" s="222"/>
      <c r="BN312" s="222" t="s">
        <v>1311</v>
      </c>
      <c r="BO312" s="222" t="s">
        <v>1311</v>
      </c>
      <c r="BP312" s="222" t="s">
        <v>1311</v>
      </c>
      <c r="BQ312" s="222" t="s">
        <v>1311</v>
      </c>
      <c r="BR312" s="222"/>
      <c r="BS312" s="222"/>
      <c r="BT312" s="222"/>
      <c r="BU312" s="222"/>
      <c r="BV312" s="222"/>
      <c r="BW312" s="222"/>
      <c r="BX312" s="222"/>
      <c r="BY312" s="222" t="s">
        <v>73</v>
      </c>
      <c r="BZ312" s="222" t="s">
        <v>73</v>
      </c>
      <c r="CA312" s="222" t="s">
        <v>73</v>
      </c>
      <c r="CB312" s="222" t="s">
        <v>73</v>
      </c>
      <c r="CC312" s="222" t="s">
        <v>73</v>
      </c>
      <c r="CD312" s="223" t="s">
        <v>73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3E92-8134-4F4B-B14D-22F41D97F6FC}">
  <sheetPr codeName="Feuil16">
    <tabColor theme="9"/>
  </sheetPr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871CC7E-FAE0-4A1C-85E1-1828419D918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2A9293F-B91A-4210-9D09-DB710CF3E6C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d57275b1-5537-488f-bbcd-effe2c1db02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33</vt:i4>
      </vt:variant>
    </vt:vector>
  </HeadingPairs>
  <TitlesOfParts>
    <vt:vector size="49" baseType="lpstr">
      <vt:lpstr>Create Sprite</vt:lpstr>
      <vt:lpstr>BDD_Sprite</vt:lpstr>
      <vt:lpstr>Listes_Sprites</vt:lpstr>
      <vt:lpstr>Originel Sprites</vt:lpstr>
      <vt:lpstr>Dimension Sprite</vt:lpstr>
      <vt:lpstr>Taille Pixel</vt:lpstr>
      <vt:lpstr>Pause</vt:lpstr>
      <vt:lpstr>TODO LIST</vt:lpstr>
      <vt:lpstr>Testing</vt:lpstr>
      <vt:lpstr>Testing KeyState</vt:lpstr>
      <vt:lpstr>Credit</vt:lpstr>
      <vt:lpstr>Liste Déroulante</vt:lpstr>
      <vt:lpstr>Data Pokemon</vt:lpstr>
      <vt:lpstr>Data Game</vt:lpstr>
      <vt:lpstr>Map</vt:lpstr>
      <vt:lpstr>Map Creation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param_SPF</vt:lpstr>
      <vt:lpstr>ScrollH</vt:lpstr>
      <vt:lpstr>ScrollV</vt:lpstr>
      <vt:lpstr>Sp_Hero_B1</vt:lpstr>
      <vt:lpstr>Sp_Hero_Marche</vt:lpstr>
      <vt:lpstr>Sp_Mosaic</vt:lpstr>
      <vt:lpstr>Sp_Mosaic2</vt:lpstr>
      <vt:lpstr>Sp_of</vt:lpstr>
      <vt:lpstr>Sp_PikaRay_1</vt:lpstr>
      <vt:lpstr>Sp_PikaRay_2</vt:lpstr>
      <vt:lpstr>t_bp</vt:lpstr>
      <vt:lpstr>t_fdj_nord</vt:lpstr>
      <vt:lpstr>t_fdj_sud</vt:lpstr>
      <vt:lpstr>t_lc</vt:lpstr>
      <vt:lpstr>t_r02P_NO</vt:lpstr>
      <vt:lpstr>t_r02P_SO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2023-06-03T17:02:58Z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