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A6A43C6C-3927-41D1-9B3E-4126B71506D9}" xr6:coauthVersionLast="47" xr6:coauthVersionMax="47" xr10:uidLastSave="{00000000-0000-0000-0000-000000000000}"/>
  <bookViews>
    <workbookView xWindow="-108" yWindow="-108" windowWidth="23256" windowHeight="12456" tabRatio="748" firstSheet="7" activeTab="13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Pokemon'!$AW$3:$BB$19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5" i="29" l="1"/>
  <c r="AA86" i="29"/>
  <c r="AA87" i="29"/>
  <c r="AA88" i="29"/>
  <c r="AA82" i="29"/>
  <c r="AA83" i="29"/>
  <c r="AA84" i="29"/>
  <c r="BB3" i="29"/>
  <c r="BK3" i="29" a="1"/>
  <c r="BK3" i="29" s="1"/>
  <c r="BM3" i="29" a="1"/>
  <c r="BM3" i="29" s="1"/>
  <c r="BL3" i="29" a="1"/>
  <c r="BL3" i="29" s="1"/>
  <c r="BN3" i="29" s="1"/>
  <c r="BG3" i="29" a="1"/>
  <c r="BG3" i="29" s="1"/>
  <c r="BC3" i="29" a="1"/>
  <c r="BC3" i="29" s="1"/>
  <c r="CA3" i="29" s="1" a="1"/>
  <c r="CA3" i="29" s="1"/>
  <c r="BW3" i="29" s="1"/>
  <c r="BJ3" i="29" a="1"/>
  <c r="BI3" i="29" a="1"/>
  <c r="BJ3" i="29" l="1"/>
  <c r="BI3" i="29"/>
  <c r="I653" i="53"/>
  <c r="BO4" i="53" a="1"/>
  <c r="BO4" i="53" s="1"/>
  <c r="AK4" i="53" a="1"/>
  <c r="AK4" i="53" s="1"/>
  <c r="AA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J10" i="29" a="1"/>
  <c r="J5" i="29" a="1"/>
  <c r="J9" i="29" a="1"/>
  <c r="J13" i="29" a="1"/>
  <c r="G9" i="20" a="1"/>
  <c r="C33" i="20" a="1"/>
  <c r="F3" i="1" a="1"/>
  <c r="J12" i="29" a="1"/>
  <c r="C9" i="20" a="1"/>
  <c r="J7" i="29" a="1"/>
  <c r="G10" i="20" a="1"/>
  <c r="J8" i="29" a="1"/>
  <c r="C32" i="20" a="1"/>
  <c r="C10" i="20" a="1"/>
  <c r="J4" i="29" a="1"/>
  <c r="J11" i="29" a="1"/>
  <c r="J3" i="29" a="1"/>
  <c r="J6" i="29" a="1"/>
  <c r="J9" i="29" l="1"/>
  <c r="J8" i="29"/>
  <c r="J6" i="29"/>
  <c r="J5" i="29"/>
  <c r="J4" i="29"/>
  <c r="J10" i="29"/>
  <c r="J7" i="29"/>
  <c r="J3" i="29"/>
  <c r="J11" i="29"/>
  <c r="J12" i="29"/>
  <c r="J13" i="29"/>
  <c r="F3" i="1"/>
  <c r="C10" i="20"/>
  <c r="D13" i="20"/>
  <c r="C12" i="20"/>
  <c r="D12" i="20" s="1"/>
  <c r="C9" i="20"/>
  <c r="G10" i="20"/>
  <c r="G9" i="20"/>
  <c r="C32" i="20"/>
  <c r="C33" i="20"/>
  <c r="BZ3" i="29" l="1" a="1"/>
  <c r="BZ3" i="29" s="1"/>
  <c r="BU3" i="29" s="1"/>
  <c r="CB3" i="29" a="1"/>
  <c r="CB3" i="29" s="1"/>
  <c r="BV3" i="29" s="1"/>
  <c r="CD3" i="29" a="1"/>
  <c r="CD3" i="29" s="1"/>
  <c r="BY3" i="29" a="1"/>
  <c r="BY3" i="29" s="1"/>
  <c r="BT3" i="29" s="1"/>
  <c r="BX3" i="29" a="1"/>
  <c r="BX3" i="29" s="1"/>
  <c r="BS3" i="29" s="1"/>
  <c r="BR3" i="29" s="1"/>
  <c r="CC3" i="29" a="1"/>
  <c r="CC3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<sst xmlns="http://schemas.openxmlformats.org/spreadsheetml/2006/main" count="17333" uniqueCount="1913">
  <si>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</si>
  <si>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</si>
  <si>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</si>
  <si>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</si>
  <si>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</si>
  <si>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</si>
  <si>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</si>
  <si>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</si>
  <si>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</si>
  <si>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</si>
  <si>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</si>
  <si>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</si>
  <si>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</si>
  <si>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</si>
  <si>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</si>
  <si>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</si>
  <si>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</si>
  <si>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</si>
  <si>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</si>
  <si>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</si>
  <si>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</si>
  <si>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</si>
  <si>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</si>
  <si>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</si>
  <si>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</si>
  <si>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</si>
  <si>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</si>
  <si>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</si>
  <si>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</si>
  <si>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</si>
  <si>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</si>
  <si>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</si>
  <si>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</si>
  <si>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</si>
  <si>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</si>
  <si>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</si>
  <si>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</si>
  <si>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</si>
  <si>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</si>
  <si>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</si>
  <si>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</si>
  <si>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</si>
  <si>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</si>
  <si>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</si>
  <si>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</si>
  <si>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</si>
  <si>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</si>
  <si>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</si>
  <si>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</si>
  <si>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</si>
  <si>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</si>
  <si>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</si>
  <si>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</si>
  <si>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</si>
  <si>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</si>
  <si>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</si>
  <si>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</si>
  <si>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</si>
  <si>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</si>
  <si>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</si>
  <si>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</si>
  <si>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</si>
  <si>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</si>
  <si>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</si>
  <si>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</si>
  <si>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</si>
  <si>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</si>
  <si>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</si>
  <si>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</si>
  <si>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</si>
  <si>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</si>
  <si>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</si>
  <si>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</si>
  <si>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</si>
  <si>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</si>
  <si>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</si>
  <si>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</si>
  <si>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</si>
  <si>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</si>
  <si>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</si>
  <si>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</si>
  <si>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</si>
  <si>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</si>
  <si>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</si>
  <si>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</si>
  <si>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</si>
  <si>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</si>
  <si>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</si>
  <si>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</si>
  <si>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</si>
  <si>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</si>
  <si>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</si>
  <si>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</si>
  <si>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</si>
  <si>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</si>
  <si>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</si>
  <si>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</si>
  <si>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</si>
  <si>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</si>
  <si>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</si>
  <si>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</si>
  <si>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</si>
  <si>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</si>
  <si>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</si>
  <si>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</si>
  <si>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</si>
  <si>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</si>
  <si>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</si>
  <si>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</si>
  <si>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</si>
  <si>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</si>
  <si>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</si>
  <si>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</si>
  <si>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</si>
  <si>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</si>
  <si>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</si>
  <si>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</si>
  <si>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</si>
  <si>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</si>
  <si>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</si>
  <si>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</si>
  <si>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</si>
  <si>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</si>
  <si>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</si>
  <si>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</si>
  <si>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</si>
  <si>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</si>
  <si>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</si>
  <si>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</si>
  <si>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</si>
  <si>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</si>
  <si>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</si>
  <si>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</si>
  <si>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</si>
  <si>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</si>
  <si>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</si>
  <si>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</si>
  <si>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</si>
  <si>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</si>
  <si>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</si>
  <si>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</si>
  <si>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</si>
  <si>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</si>
  <si>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</si>
  <si>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</si>
  <si>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</si>
  <si>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</si>
  <si>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</si>
  <si>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</si>
  <si>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</si>
  <si>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</si>
  <si>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</si>
  <si>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</si>
  <si>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</si>
  <si>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</si>
  <si>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</si>
  <si>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</si>
  <si>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</si>
  <si>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</si>
  <si>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</si>
  <si>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</si>
  <si>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</si>
  <si>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</si>
  <si>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</si>
  <si>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</si>
  <si>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</si>
  <si>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</si>
  <si>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</si>
  <si>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</si>
  <si>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</si>
  <si>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</si>
  <si>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</si>
  <si>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</si>
  <si>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</si>
  <si>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</si>
  <si>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</si>
  <si>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</si>
  <si>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</si>
  <si>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</si>
  <si>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</si>
  <si>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</si>
  <si>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</si>
  <si>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</si>
  <si>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</si>
  <si>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</si>
  <si>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</si>
  <si>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</si>
  <si>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</si>
  <si>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</si>
  <si>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</si>
  <si>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</si>
  <si>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</si>
  <si>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</si>
  <si>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</si>
  <si>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</si>
  <si>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</si>
  <si>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</si>
  <si>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</si>
  <si>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</si>
  <si>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</si>
  <si>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</si>
  <si>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</si>
  <si>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</si>
  <si>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</si>
  <si>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</si>
  <si>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</si>
  <si>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</si>
  <si>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</si>
  <si>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</si>
  <si>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</si>
  <si>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</si>
  <si>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</si>
  <si>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</si>
  <si>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</si>
  <si>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</si>
  <si>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</si>
  <si>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</si>
  <si>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</si>
  <si>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</si>
  <si>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</si>
  <si>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</si>
  <si>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</si>
  <si>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</si>
  <si>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</si>
  <si>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</si>
  <si>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</si>
  <si>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</si>
  <si>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</si>
  <si>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</si>
  <si>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</si>
  <si>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</si>
  <si>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</si>
  <si>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</si>
  <si>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</si>
  <si>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</si>
  <si>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</si>
  <si>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</si>
  <si>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</si>
  <si>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</si>
  <si>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</si>
  <si>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</si>
  <si>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</si>
  <si>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</si>
  <si>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</si>
  <si>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</si>
  <si>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</si>
  <si>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</si>
  <si>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</si>
  <si>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</si>
  <si>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</si>
  <si>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</si>
  <si>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</si>
  <si>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</si>
  <si>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</si>
  <si>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</si>
  <si>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</si>
  <si>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</si>
  <si>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</si>
  <si>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</si>
  <si>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</si>
  <si>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</si>
  <si>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</si>
  <si>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</si>
  <si>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</si>
  <si>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</si>
  <si>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</si>
  <si>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</si>
  <si>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</si>
  <si>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</si>
  <si>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</si>
  <si>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</si>
  <si>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</si>
  <si>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</si>
  <si>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</si>
  <si>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</si>
  <si>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</si>
  <si>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</si>
  <si>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</si>
  <si>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</si>
  <si>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</si>
  <si>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</si>
  <si>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</si>
  <si>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</si>
  <si>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</si>
  <si>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</si>
  <si>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</si>
  <si>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</si>
  <si>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</si>
  <si>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</si>
  <si>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</si>
  <si>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</si>
  <si>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</si>
  <si>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</si>
  <si>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</si>
  <si>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</si>
  <si>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</si>
  <si>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</si>
  <si>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</si>
  <si>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</si>
  <si>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</si>
  <si>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</si>
  <si>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</si>
  <si>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</si>
  <si>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</si>
  <si>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</si>
  <si>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</si>
  <si>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</si>
  <si>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</si>
  <si>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</si>
  <si>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</si>
  <si>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</si>
  <si>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</si>
  <si>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</si>
  <si>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</si>
  <si>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</si>
  <si>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</si>
  <si>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</si>
  <si>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</si>
  <si>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</si>
  <si>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</si>
  <si>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</si>
  <si>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</si>
  <si>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</si>
  <si>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</si>
  <si>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</si>
  <si>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</si>
  <si>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</si>
  <si>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</si>
  <si>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</si>
  <si>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</si>
  <si>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</si>
  <si>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</si>
  <si>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</si>
  <si>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</si>
  <si>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</si>
  <si>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</si>
  <si>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</si>
  <si>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</si>
  <si>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</si>
  <si>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</si>
  <si>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</si>
  <si>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</si>
  <si>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</si>
  <si>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</si>
  <si>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</si>
  <si>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</si>
  <si>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</si>
  <si>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</si>
  <si>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</si>
  <si>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</si>
  <si>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</si>
  <si>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</si>
  <si>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</si>
  <si>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</si>
  <si>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</si>
  <si>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</si>
  <si>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</si>
  <si>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</si>
  <si>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</si>
  <si>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</si>
  <si>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</si>
  <si>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</si>
  <si>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</si>
  <si>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</si>
  <si>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</si>
  <si>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</si>
  <si>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</si>
  <si>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</si>
  <si>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</si>
  <si>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</si>
  <si>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</si>
  <si>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</si>
  <si>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</si>
  <si>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</si>
  <si>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</si>
  <si>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</si>
  <si>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</si>
  <si>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</si>
  <si>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</si>
  <si>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</si>
  <si>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</si>
  <si>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</si>
  <si>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</si>
  <si>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</si>
  <si>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</si>
  <si>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</si>
  <si>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</si>
  <si>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</si>
  <si>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</si>
  <si>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</si>
  <si>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</si>
  <si>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</si>
  <si>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</si>
  <si>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</si>
  <si>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</si>
  <si>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</si>
  <si>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</si>
  <si>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</si>
  <si>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</si>
  <si>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</si>
  <si>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</si>
  <si>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</si>
  <si>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</si>
  <si>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</si>
  <si>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</si>
  <si>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</si>
  <si>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</si>
  <si>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</si>
  <si>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</si>
  <si>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</si>
  <si>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</si>
  <si>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</si>
  <si>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</si>
  <si>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</si>
  <si>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</si>
  <si>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</si>
  <si>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</si>
  <si>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</si>
  <si>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</si>
  <si>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</si>
  <si>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</si>
  <si>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</si>
  <si>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</si>
  <si>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</si>
  <si>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</si>
  <si>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</si>
  <si>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</si>
  <si>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</si>
  <si>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</si>
  <si>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</si>
  <si>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</si>
  <si>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</si>
  <si>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</si>
  <si>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</si>
  <si>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</si>
  <si>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</si>
  <si>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</si>
  <si>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</si>
  <si>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</si>
  <si>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</si>
  <si>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</si>
  <si>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</si>
  <si>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</si>
  <si>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</si>
  <si>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</si>
  <si>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</si>
  <si>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</si>
  <si>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</si>
  <si>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</si>
  <si>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</si>
  <si>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</si>
  <si>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</si>
  <si>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</si>
  <si>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</si>
  <si>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</si>
  <si>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</si>
  <si>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</si>
  <si>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</si>
  <si>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</si>
  <si>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</si>
  <si>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</si>
  <si>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</si>
  <si>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</si>
  <si>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</si>
  <si>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</si>
  <si>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</si>
  <si>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</si>
  <si>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</si>
  <si>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</si>
  <si>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</si>
  <si>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</si>
  <si>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</si>
  <si>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</si>
  <si>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</si>
  <si>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</si>
  <si>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</si>
  <si>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</si>
  <si>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</si>
  <si>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</si>
  <si>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</si>
  <si>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</si>
  <si>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</si>
  <si>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</si>
  <si>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</si>
  <si>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</si>
  <si>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</si>
  <si>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</si>
  <si>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</si>
  <si>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</si>
  <si>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</si>
  <si>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</si>
  <si>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</si>
  <si>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</si>
  <si>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</si>
  <si>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</si>
  <si>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</si>
  <si>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</si>
  <si>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</si>
  <si>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</si>
  <si>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</si>
  <si>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</si>
  <si>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</si>
  <si>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</si>
  <si>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</si>
  <si>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</si>
  <si>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</si>
  <si>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</si>
  <si>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</si>
  <si>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</si>
  <si>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</si>
  <si>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</si>
  <si>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</si>
  <si>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</si>
  <si>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</si>
  <si>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</si>
  <si>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</si>
  <si>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</si>
  <si>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</si>
  <si>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</si>
  <si>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</si>
  <si>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</si>
  <si>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</si>
  <si>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</si>
  <si>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</si>
  <si>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</si>
  <si>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</si>
  <si>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</si>
  <si>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</si>
  <si>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</si>
  <si>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</si>
  <si>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</si>
  <si>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</si>
  <si>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</si>
  <si>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</si>
  <si>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</si>
  <si>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</si>
  <si>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</si>
  <si>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</si>
  <si>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</si>
  <si>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</si>
  <si>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</si>
  <si>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</si>
  <si>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</si>
  <si>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</si>
  <si>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</si>
  <si>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</si>
  <si>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</si>
  <si>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</si>
  <si>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</si>
  <si>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</si>
  <si>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</si>
  <si>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</si>
  <si>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</si>
  <si>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</si>
  <si>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</si>
  <si>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</si>
  <si>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</si>
  <si>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</si>
  <si>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</si>
  <si>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</si>
  <si>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</si>
  <si>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</si>
  <si>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</si>
  <si>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</si>
  <si>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</si>
  <si>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</si>
  <si>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</si>
  <si>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</si>
  <si>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</si>
  <si>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</si>
  <si>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</si>
  <si>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</si>
  <si>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</si>
  <si>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</si>
  <si>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</si>
  <si>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</si>
  <si>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</si>
  <si>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</si>
  <si>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</si>
  <si>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</si>
  <si>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</si>
  <si>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</si>
  <si>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</si>
  <si>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</si>
  <si>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</si>
  <si>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</si>
  <si>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</si>
  <si>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</si>
  <si>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</si>
  <si>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</si>
  <si>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</si>
  <si>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</si>
  <si>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</si>
  <si>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</si>
  <si>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</si>
  <si>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</si>
  <si>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</si>
  <si>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</si>
  <si>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</si>
  <si>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</si>
  <si>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</si>
  <si>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</si>
  <si>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</si>
  <si>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</si>
  <si>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</si>
  <si>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</si>
  <si>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</si>
  <si>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</si>
  <si>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</si>
  <si>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</si>
  <si>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</si>
  <si>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</si>
  <si>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</si>
  <si>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</si>
  <si>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</si>
  <si>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</si>
  <si>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</si>
  <si>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</si>
  <si>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</si>
  <si>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</si>
  <si>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</si>
  <si>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</si>
  <si>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</si>
  <si>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</si>
  <si>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</si>
  <si>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</si>
  <si>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</si>
  <si>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</si>
  <si>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</si>
  <si>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</si>
  <si>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</si>
  <si>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</si>
  <si>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</si>
  <si>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</si>
  <si>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</si>
  <si>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</si>
  <si>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</si>
  <si>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</si>
  <si>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</si>
  <si>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</si>
  <si>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</si>
  <si>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</si>
  <si>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</si>
  <si>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</si>
  <si>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</si>
  <si>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</si>
  <si>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</si>
  <si>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</si>
  <si>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</si>
  <si>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</si>
  <si>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</si>
  <si>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</si>
  <si>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</si>
  <si>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</si>
  <si>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</si>
  <si>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</si>
  <si>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</si>
  <si>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</si>
  <si>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</si>
  <si>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</si>
  <si>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</si>
  <si>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</si>
  <si>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</si>
  <si>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</si>
  <si>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</si>
  <si>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</si>
  <si>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</si>
  <si>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</si>
  <si>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</si>
  <si>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</si>
  <si>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</si>
  <si>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</si>
  <si>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</si>
  <si>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</si>
  <si>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</si>
  <si>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</si>
  <si>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</si>
  <si>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</si>
  <si>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</si>
  <si>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</si>
  <si>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</si>
  <si>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</si>
  <si>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</si>
  <si>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</si>
  <si>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</si>
  <si>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</si>
  <si>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</si>
  <si>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</si>
  <si>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</si>
  <si>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</si>
  <si>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</si>
  <si>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</si>
  <si>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</si>
  <si>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</si>
  <si>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</si>
  <si>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</si>
  <si>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</si>
  <si>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</si>
  <si>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</si>
  <si>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</si>
  <si>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</si>
  <si>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</si>
  <si>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</si>
  <si>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</si>
  <si>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</si>
  <si>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</si>
  <si>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</si>
  <si>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</si>
  <si>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</si>
  <si>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</si>
  <si>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</si>
  <si>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</si>
  <si>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</si>
  <si>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</si>
  <si>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</si>
  <si>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</si>
  <si>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</si>
  <si>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</si>
  <si>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</si>
  <si>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</si>
  <si>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</si>
  <si>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</si>
  <si>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</si>
  <si>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</si>
  <si>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</si>
  <si>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</si>
  <si>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</si>
  <si>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</si>
  <si>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</si>
  <si>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</si>
  <si>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</si>
  <si>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</si>
  <si>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</si>
  <si>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</si>
  <si>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</si>
  <si>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</si>
  <si>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</si>
  <si>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</si>
  <si>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</si>
  <si>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</si>
  <si>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</si>
  <si>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</si>
  <si>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</si>
  <si>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</si>
  <si>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</si>
  <si>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</si>
  <si>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</si>
  <si>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</si>
  <si>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</si>
  <si>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</si>
  <si>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</si>
  <si>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</si>
  <si>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</si>
  <si>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</si>
  <si>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</si>
  <si>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</si>
  <si>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</si>
  <si>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</si>
  <si>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</si>
  <si>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</si>
  <si>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</si>
  <si>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</si>
  <si>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</si>
  <si>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</si>
  <si>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</si>
  <si>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</si>
  <si>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</si>
  <si>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</si>
  <si>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</si>
  <si>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</si>
  <si>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</si>
  <si>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</si>
  <si>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</si>
  <si>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</si>
  <si>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</si>
  <si>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</si>
  <si>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</si>
  <si>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</si>
  <si>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</si>
  <si>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</si>
  <si>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</si>
  <si>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</si>
  <si>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</si>
  <si>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</si>
  <si>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</si>
  <si>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</si>
  <si>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</si>
  <si>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</si>
  <si>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</si>
  <si>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</si>
  <si>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</si>
  <si>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</si>
  <si>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</si>
  <si>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</si>
  <si>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</si>
  <si>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</si>
  <si>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</si>
  <si>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</si>
  <si>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</si>
  <si>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</si>
  <si>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</si>
  <si>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</si>
  <si>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</si>
  <si>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</si>
  <si>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</si>
  <si>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</si>
  <si>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</si>
  <si>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</si>
  <si>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</si>
  <si>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</si>
  <si>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</si>
  <si>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</si>
  <si>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</si>
  <si>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</si>
  <si>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</si>
  <si>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</si>
  <si>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</si>
  <si>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</si>
  <si>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</si>
  <si>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</si>
  <si>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</si>
  <si>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</si>
  <si>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</si>
  <si>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</si>
  <si>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</si>
  <si>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</si>
  <si>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</si>
  <si>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</si>
  <si>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</si>
  <si>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</si>
  <si>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</si>
  <si>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</si>
  <si>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</si>
  <si>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</si>
  <si>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</si>
  <si>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</si>
  <si>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</si>
  <si>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</si>
  <si>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</si>
  <si>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</si>
  <si>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</si>
  <si>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</si>
  <si>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</si>
  <si>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</si>
  <si>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</si>
  <si>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</si>
  <si>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</si>
  <si>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</si>
  <si>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</si>
  <si>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</si>
  <si>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</si>
  <si>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</si>
  <si>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</si>
  <si>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</si>
  <si>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</si>
  <si>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</si>
  <si>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</si>
  <si>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</si>
  <si>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</si>
  <si>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</si>
  <si>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</si>
  <si>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</si>
  <si>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</si>
  <si>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</si>
  <si>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</si>
  <si>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</si>
  <si>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</si>
  <si>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</si>
  <si>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</si>
  <si>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</si>
  <si>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</si>
  <si>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</si>
  <si>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</si>
  <si>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</si>
  <si>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</si>
  <si>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</si>
  <si>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</si>
  <si>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</si>
  <si>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</si>
  <si>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</si>
  <si>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</si>
  <si>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</si>
  <si>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</si>
  <si>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</si>
  <si>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</si>
  <si>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</si>
  <si>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</si>
  <si>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</si>
  <si>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</si>
  <si>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</si>
  <si>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</si>
  <si>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</si>
  <si>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</si>
  <si>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</si>
  <si>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</si>
  <si>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</si>
  <si>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</si>
  <si>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</si>
  <si>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</si>
  <si>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</si>
  <si>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</si>
  <si>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</si>
  <si>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</si>
  <si>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</si>
  <si>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</si>
  <si>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</si>
  <si>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</si>
  <si>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</si>
  <si>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</si>
  <si>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</si>
  <si>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</si>
  <si>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</si>
  <si>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</si>
  <si>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</si>
  <si>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</si>
  <si>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</si>
  <si>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</si>
  <si>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</si>
  <si>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</si>
  <si>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</si>
  <si>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</si>
  <si>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</si>
  <si>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</si>
  <si>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</si>
  <si>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</si>
  <si>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</si>
  <si>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</si>
  <si>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</si>
  <si>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</si>
  <si>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</si>
  <si>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</si>
  <si>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</si>
  <si>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</si>
  <si>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</si>
  <si>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</si>
  <si>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</si>
  <si>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</si>
  <si>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</si>
  <si>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</si>
  <si>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</si>
  <si>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</si>
  <si>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</si>
  <si>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</si>
  <si>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</si>
  <si>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</si>
  <si>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</si>
  <si>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</si>
  <si>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</si>
  <si>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</si>
  <si>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</si>
  <si>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</si>
  <si>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</si>
  <si>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</si>
  <si>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</si>
  <si>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</si>
  <si>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</si>
  <si>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</si>
  <si>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</si>
  <si>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</si>
  <si>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</si>
  <si>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</si>
  <si>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</si>
  <si>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</si>
  <si>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</si>
  <si>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</si>
  <si>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</si>
  <si>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</si>
  <si>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</si>
  <si>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</si>
  <si>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</si>
  <si>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</si>
  <si>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</si>
  <si>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</si>
  <si>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</si>
  <si>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</si>
  <si>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</si>
  <si>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</si>
  <si>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</si>
  <si>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</si>
  <si>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</si>
  <si>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</si>
  <si>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</si>
  <si>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</si>
  <si>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</si>
  <si>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</si>
  <si>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</si>
  <si>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</si>
  <si>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</si>
  <si>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</si>
  <si>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</si>
  <si>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</si>
  <si>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</si>
  <si>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</si>
  <si>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</si>
  <si>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</si>
  <si>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</si>
  <si>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</si>
  <si>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</si>
  <si>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</si>
  <si>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</si>
  <si>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</si>
  <si>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</si>
  <si>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</si>
  <si>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</si>
  <si>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</si>
  <si>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</si>
  <si>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</si>
  <si>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</si>
  <si>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</si>
  <si>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</si>
  <si>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</si>
  <si>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</si>
  <si>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</si>
  <si>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</si>
  <si>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</si>
  <si>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</si>
  <si>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</si>
  <si>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</si>
  <si>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</si>
  <si>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</si>
  <si>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</si>
  <si>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</si>
  <si>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</si>
  <si>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</si>
  <si>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</si>
  <si>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</si>
  <si>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</si>
  <si>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</si>
  <si>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</si>
  <si>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</si>
  <si>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</si>
  <si>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</si>
  <si>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</si>
  <si>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</si>
  <si>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</si>
  <si>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</si>
  <si>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</si>
  <si>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</si>
  <si>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</si>
  <si>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</si>
  <si>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</si>
  <si>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</si>
  <si>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</si>
  <si>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</si>
  <si>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</si>
  <si>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</si>
  <si>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</si>
  <si>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</si>
  <si>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</si>
  <si>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</si>
  <si>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</si>
  <si>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</si>
  <si>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</si>
  <si>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</si>
  <si>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</si>
  <si>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</si>
  <si>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</si>
  <si>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</si>
  <si>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</si>
  <si>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</si>
  <si>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</si>
  <si>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</si>
  <si>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</si>
  <si>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</si>
  <si>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</si>
  <si>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</si>
  <si>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</si>
  <si>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</si>
  <si>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</si>
  <si>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</si>
  <si>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</si>
  <si>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</si>
  <si>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</si>
  <si>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</si>
  <si>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</si>
  <si>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</si>
  <si>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</si>
  <si>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</si>
  <si>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</si>
  <si>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</si>
  <si>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</si>
  <si>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</si>
  <si>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</si>
  <si>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</si>
  <si>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</si>
  <si>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</si>
  <si>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</si>
  <si>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</si>
  <si>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</si>
  <si>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</si>
  <si>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</si>
  <si>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</si>
  <si>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</si>
  <si>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</si>
  <si>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</si>
  <si>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</si>
  <si>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</si>
  <si>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</si>
  <si>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</si>
  <si>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</si>
  <si>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</si>
  <si>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</si>
  <si>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</si>
  <si>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</si>
  <si>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</si>
  <si>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</si>
  <si>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</si>
  <si>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</si>
  <si>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</si>
  <si>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</si>
  <si>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</si>
  <si>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</si>
  <si>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</si>
  <si>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</si>
  <si>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</si>
  <si>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</si>
  <si>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</si>
  <si>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</si>
  <si>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</si>
  <si>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</si>
  <si>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</si>
  <si>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</si>
  <si>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</si>
  <si>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</si>
  <si>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</si>
  <si>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</si>
  <si>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</si>
  <si>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</si>
  <si>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</si>
  <si>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</si>
  <si>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</si>
  <si>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</si>
  <si>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</si>
  <si>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</si>
  <si>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</si>
  <si>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</si>
  <si>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</si>
  <si>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</si>
  <si>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</si>
  <si>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</si>
  <si>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</si>
  <si>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</si>
  <si>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</si>
  <si>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</si>
  <si>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</si>
  <si>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</si>
  <si>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</si>
  <si>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</si>
  <si>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</si>
  <si>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</si>
  <si>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</si>
  <si>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</si>
  <si>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</si>
  <si>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</si>
  <si>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</si>
  <si>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</si>
  <si>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</si>
  <si>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</si>
  <si>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</si>
  <si>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</si>
  <si>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</si>
  <si>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</si>
  <si>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</si>
  <si>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</si>
  <si>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</si>
  <si>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</si>
  <si>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</si>
  <si>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</si>
  <si>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</si>
  <si>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</si>
  <si>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</si>
  <si>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</si>
  <si>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</si>
  <si>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</si>
  <si>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</si>
  <si>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</si>
  <si>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</si>
  <si>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</si>
  <si>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</si>
  <si>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</si>
  <si>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</si>
  <si>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</si>
  <si>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</si>
  <si>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</si>
  <si>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</si>
  <si>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</si>
  <si>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</si>
  <si>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</si>
  <si>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</si>
  <si>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</si>
  <si>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</si>
  <si>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</si>
  <si>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</si>
  <si>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</si>
  <si>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</si>
  <si>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</si>
  <si>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</si>
  <si>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</si>
  <si>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</si>
  <si>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</si>
  <si>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</si>
  <si>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</si>
  <si>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</si>
  <si>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</si>
  <si>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</si>
  <si>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</si>
  <si>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</si>
  <si>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</si>
  <si>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</si>
  <si>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</si>
  <si>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</si>
  <si>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</si>
  <si>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</si>
  <si>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</si>
  <si>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</si>
  <si>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</si>
  <si>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</si>
  <si>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</si>
  <si>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</si>
  <si>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</si>
  <si>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</si>
  <si>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</si>
  <si>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</si>
  <si>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</si>
  <si>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</si>
  <si>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</si>
  <si>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</si>
  <si>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</si>
  <si>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</si>
  <si>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</si>
  <si>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</si>
  <si>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</si>
  <si>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</si>
  <si>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</si>
  <si>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</si>
  <si>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</si>
  <si>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</si>
  <si>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</si>
  <si>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</si>
  <si>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</si>
  <si>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</si>
  <si>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</si>
  <si>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</si>
  <si>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</si>
  <si>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</si>
  <si>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</si>
  <si>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</si>
  <si>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</si>
  <si>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</si>
  <si>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</si>
  <si>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</si>
  <si>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</si>
  <si>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</si>
  <si>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</si>
  <si>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</si>
  <si>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</si>
  <si>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</si>
  <si>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</si>
  <si>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</si>
  <si>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</si>
  <si>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</si>
  <si>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</si>
  <si>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</si>
  <si>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</si>
  <si>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</si>
  <si>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</si>
  <si>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</si>
  <si>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</si>
  <si>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</si>
  <si>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</si>
  <si>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</si>
  <si>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</si>
  <si>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</si>
  <si>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</si>
  <si>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</si>
  <si>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</si>
  <si>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</si>
  <si>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</si>
  <si>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</si>
  <si>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</si>
  <si>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</si>
  <si>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</si>
  <si>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</si>
  <si>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</si>
  <si>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</si>
  <si>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</si>
  <si>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</si>
  <si>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</si>
  <si>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</si>
  <si>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</si>
  <si>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</si>
  <si>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</si>
  <si>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</si>
  <si>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</si>
  <si>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</si>
  <si>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</si>
  <si>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</si>
  <si>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</si>
  <si>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</si>
  <si>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</si>
  <si>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</si>
  <si>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</si>
  <si>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</si>
  <si>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</si>
  <si>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</si>
  <si>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</si>
  <si>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</si>
  <si>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</si>
  <si>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</si>
  <si>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</si>
  <si>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</si>
  <si>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</si>
  <si>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</si>
  <si>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</si>
  <si>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</si>
  <si>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</si>
  <si>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</si>
  <si>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</si>
  <si>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</si>
  <si>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</si>
  <si>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</si>
  <si>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</si>
  <si>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</si>
  <si>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</si>
  <si>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</si>
  <si>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</si>
  <si>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</si>
  <si>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</si>
  <si>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</si>
  <si>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</si>
  <si>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</si>
  <si>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</si>
  <si>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</si>
  <si>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</si>
  <si>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</si>
  <si>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</si>
  <si>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</si>
  <si>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</si>
  <si>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</si>
  <si>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</si>
  <si>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</si>
  <si>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</si>
  <si>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</si>
  <si>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</si>
  <si>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</si>
  <si>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</si>
  <si>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</si>
  <si>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</si>
  <si>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</si>
  <si>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</si>
  <si>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</si>
  <si>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</si>
  <si>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</si>
  <si>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</si>
  <si>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</si>
  <si>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</si>
  <si>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</si>
  <si>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</si>
  <si>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</si>
  <si>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</si>
  <si>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</si>
  <si>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</si>
  <si>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</si>
  <si>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</si>
  <si>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</si>
  <si>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</si>
  <si>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</si>
  <si>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</si>
  <si>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</si>
  <si>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</si>
  <si>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</si>
  <si>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</si>
  <si>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</si>
  <si>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</si>
  <si>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</si>
  <si>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</si>
  <si>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</si>
  <si>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</si>
  <si>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</si>
  <si>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</si>
  <si>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</si>
  <si>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</si>
  <si>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</si>
  <si>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</si>
  <si>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</si>
  <si>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</si>
  <si>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</si>
  <si>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</si>
  <si>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</si>
  <si>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</si>
  <si>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</si>
  <si>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</si>
  <si>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</si>
  <si>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</si>
  <si>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</si>
  <si>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</si>
  <si>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</si>
  <si>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</si>
  <si>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</si>
  <si>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</si>
  <si>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</si>
  <si>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</si>
  <si>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</si>
  <si>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</si>
  <si>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</si>
  <si>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</si>
  <si>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</si>
  <si>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</si>
  <si>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</si>
  <si>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</si>
  <si>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</si>
  <si>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</si>
  <si>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</si>
  <si>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</si>
  <si>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</si>
  <si>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</si>
  <si>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</si>
  <si>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</si>
  <si>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</si>
  <si>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</si>
  <si>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</si>
  <si>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</si>
  <si>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</si>
  <si>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</si>
  <si>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</si>
  <si>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</si>
  <si>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</si>
  <si>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</si>
  <si>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</si>
  <si>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</si>
  <si>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</si>
  <si>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</si>
  <si>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</si>
  <si>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</si>
  <si>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</si>
  <si>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</si>
  <si>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</si>
  <si>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</si>
  <si>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</si>
  <si>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</si>
  <si>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</si>
  <si>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</si>
  <si>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</si>
  <si>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</si>
  <si>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</si>
  <si>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</si>
  <si>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</si>
  <si>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</si>
  <si>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</si>
  <si>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</si>
  <si>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</si>
  <si>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</si>
  <si>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</si>
  <si>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</si>
  <si>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</si>
  <si>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</si>
  <si>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</si>
  <si>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</si>
  <si>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</si>
  <si>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</si>
  <si>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</si>
  <si>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</si>
  <si>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</si>
  <si>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</si>
  <si>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</si>
  <si>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</si>
  <si>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</si>
  <si>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</si>
  <si>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</si>
  <si>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</si>
  <si>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</si>
  <si>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</si>
  <si>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</si>
  <si>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</si>
  <si>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</si>
  <si>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</si>
  <si>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</si>
  <si>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</si>
  <si>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</si>
  <si>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</si>
  <si>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</si>
  <si>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</si>
  <si>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</si>
  <si>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</si>
  <si>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</si>
  <si>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</si>
  <si>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</si>
  <si>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</si>
  <si>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</si>
  <si>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</si>
  <si>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</si>
  <si>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</si>
  <si>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</si>
  <si>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</si>
  <si>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</si>
  <si>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</si>
  <si>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</si>
  <si>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</si>
  <si>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</si>
  <si>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</si>
  <si>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</si>
  <si>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</si>
  <si>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</si>
  <si>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</si>
  <si>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</si>
  <si>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</si>
  <si>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</si>
  <si>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</si>
  <si>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</si>
  <si>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</si>
  <si>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</si>
  <si>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</si>
  <si>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</si>
  <si>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</si>
  <si>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</si>
  <si>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</si>
  <si>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</si>
  <si>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</si>
  <si>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</si>
  <si>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</si>
  <si>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</si>
  <si>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</si>
  <si>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</si>
  <si>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</si>
  <si>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</si>
  <si>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</si>
  <si>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</si>
  <si>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</si>
  <si>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</si>
  <si>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</si>
  <si>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</si>
  <si>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</si>
  <si>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</si>
  <si>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</si>
  <si>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</si>
  <si>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</si>
  <si>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</si>
  <si>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</si>
  <si>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</si>
  <si>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</si>
  <si>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</si>
  <si>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</si>
  <si>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</si>
  <si>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</si>
  <si>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</si>
  <si>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</si>
  <si>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</si>
  <si>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</si>
  <si>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</si>
  <si>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</si>
  <si>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</si>
  <si>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</si>
  <si>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</si>
  <si>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</si>
  <si>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</si>
  <si>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</si>
  <si>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</si>
  <si>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</si>
  <si>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</si>
  <si>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</si>
  <si>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</si>
  <si>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</si>
  <si>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</si>
  <si>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</si>
  <si>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</si>
  <si>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</si>
  <si>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</si>
  <si>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</si>
  <si>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</si>
  <si>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</si>
  <si>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</si>
  <si>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</si>
  <si>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</si>
  <si>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</si>
  <si>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</si>
  <si>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</si>
  <si>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</si>
  <si>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</si>
  <si>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</si>
  <si>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</si>
  <si>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</si>
  <si>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</si>
  <si>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</si>
  <si>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</si>
  <si>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</si>
  <si>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</si>
  <si>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</si>
  <si>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</si>
  <si>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</si>
  <si>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</si>
  <si>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</si>
  <si>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</si>
  <si>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</si>
  <si>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</si>
  <si>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</si>
  <si>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</si>
  <si>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</si>
  <si>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</si>
  <si>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</si>
  <si>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</si>
  <si>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</si>
  <si>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</si>
  <si>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</si>
  <si>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</si>
  <si>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</si>
  <si>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</si>
  <si>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</si>
  <si>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</si>
  <si>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</si>
  <si>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</si>
  <si>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</si>
  <si>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</si>
  <si>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</si>
  <si>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</si>
  <si>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</si>
  <si>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</si>
  <si>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</si>
  <si>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</si>
  <si>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</si>
  <si>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</si>
  <si>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</si>
  <si>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</si>
  <si>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</si>
  <si>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</si>
  <si>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</si>
  <si>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</si>
  <si>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</si>
  <si>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</si>
  <si>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</si>
  <si>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</si>
  <si>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</si>
  <si>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</si>
  <si>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</si>
  <si>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</si>
  <si>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</si>
  <si>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</si>
  <si>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</si>
  <si>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</si>
  <si>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</si>
  <si>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</si>
  <si>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</si>
  <si>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</si>
  <si>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</si>
  <si>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</si>
  <si>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</si>
  <si>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</si>
  <si>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</si>
  <si>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</si>
  <si>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</si>
  <si>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</si>
  <si>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</si>
  <si>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</si>
  <si>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</si>
  <si>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</si>
  <si>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</si>
  <si>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</si>
  <si>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</si>
  <si>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</si>
  <si>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</si>
  <si>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</si>
  <si>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</si>
  <si>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</si>
  <si>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</si>
  <si>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</si>
  <si>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</si>
  <si>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</si>
  <si>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</si>
  <si>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</si>
  <si>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</si>
  <si>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</si>
  <si>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</si>
  <si>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</si>
  <si>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</si>
  <si>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</si>
  <si>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</si>
  <si>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</si>
  <si>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</si>
  <si>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</si>
  <si>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</si>
  <si>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</si>
  <si>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</si>
  <si>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</si>
  <si>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</si>
  <si>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</si>
  <si>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</si>
  <si>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</si>
  <si>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</si>
  <si>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</si>
  <si>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</si>
  <si>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</si>
  <si>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</si>
  <si>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</si>
  <si>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</si>
  <si>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</si>
  <si>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</si>
  <si>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</si>
  <si>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</si>
  <si>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</si>
  <si>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</si>
  <si>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</si>
  <si>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</si>
  <si>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</si>
  <si>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</si>
  <si>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</si>
  <si>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</si>
  <si>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</si>
  <si>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</si>
  <si>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</si>
  <si>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</si>
  <si>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</si>
  <si>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</si>
  <si>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</si>
  <si>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</si>
  <si>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</si>
  <si>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</si>
  <si>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</si>
  <si>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</si>
  <si>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</si>
  <si>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</si>
  <si>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</si>
  <si>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</si>
  <si>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</si>
  <si>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</si>
  <si>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</si>
  <si>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</si>
  <si>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</si>
  <si>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</si>
  <si>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</si>
  <si>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</si>
  <si>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</si>
  <si>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</si>
  <si>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</si>
  <si>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</si>
  <si>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</si>
  <si>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</si>
  <si>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</si>
  <si>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</si>
  <si>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</si>
  <si>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</si>
  <si>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</si>
  <si>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</si>
  <si>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</si>
  <si>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</si>
  <si>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</si>
  <si>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</si>
  <si>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</si>
  <si>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</si>
  <si>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</si>
  <si>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</si>
  <si>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</si>
  <si>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</si>
  <si>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</si>
  <si>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</si>
  <si>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</si>
  <si>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</si>
  <si>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</si>
  <si>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</si>
  <si>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</si>
  <si>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</si>
  <si>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</si>
  <si>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</si>
  <si>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</si>
  <si>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</si>
  <si>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</si>
  <si>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</si>
  <si>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</si>
  <si>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</si>
  <si>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</si>
  <si>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</si>
  <si>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</si>
  <si>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</si>
  <si>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</si>
  <si>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</si>
  <si>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</si>
  <si>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</si>
  <si>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</si>
  <si>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</si>
  <si>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</si>
  <si>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</si>
  <si>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</si>
  <si>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</si>
  <si>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</si>
  <si>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</si>
  <si>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</si>
  <si>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Attack 1</t>
  </si>
  <si>
    <t>Attack 2</t>
  </si>
  <si>
    <t>Poing</t>
  </si>
  <si>
    <t>Attack 3</t>
  </si>
  <si>
    <t>Attack 4</t>
  </si>
  <si>
    <t>Close Combat</t>
  </si>
  <si>
    <t>Casse-Brique</t>
  </si>
  <si>
    <t>Eclate-Roc</t>
  </si>
  <si>
    <t>Cogne</t>
  </si>
  <si>
    <t xml:space="preserve">Combo-Griffe	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</si>
  <si>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</si>
  <si>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</si>
  <si>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</si>
  <si>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</si>
  <si>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</si>
  <si>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</si>
  <si>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</si>
  <si>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</si>
  <si>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</si>
  <si>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</si>
  <si>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</si>
  <si>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</si>
  <si>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</si>
  <si>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</si>
  <si>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</si>
  <si>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</si>
  <si>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</si>
  <si>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</si>
  <si>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</si>
  <si>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</si>
  <si>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</si>
  <si>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</si>
  <si>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</si>
  <si>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</si>
  <si>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</si>
  <si>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</si>
  <si>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</si>
  <si>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</si>
  <si>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</si>
  <si>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</si>
  <si>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</si>
  <si>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</si>
  <si>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</si>
  <si>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</si>
  <si>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</si>
  <si>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</si>
  <si>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</si>
  <si>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</si>
  <si>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</si>
  <si>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</si>
  <si>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</si>
  <si>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</si>
  <si>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</si>
  <si>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</si>
  <si>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</si>
  <si>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</si>
  <si>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</si>
  <si>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</si>
  <si>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</si>
  <si>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</si>
  <si>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</si>
  <si>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</si>
  <si>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</si>
  <si>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</si>
  <si>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</si>
  <si>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</si>
  <si>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</si>
  <si>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</si>
  <si>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</si>
  <si>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</si>
  <si>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</si>
  <si>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</si>
  <si>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</si>
  <si>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</si>
  <si>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</si>
  <si>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</si>
  <si>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</si>
  <si>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</si>
  <si>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</si>
  <si>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</si>
  <si>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</si>
  <si>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</si>
  <si>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</si>
  <si>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</si>
  <si>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</si>
  <si>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</si>
  <si>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</si>
  <si>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</si>
  <si>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</si>
  <si>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</si>
  <si>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</si>
  <si>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</si>
  <si>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</si>
  <si>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</si>
  <si>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</si>
  <si>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</si>
  <si>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</si>
  <si>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</si>
  <si>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</si>
  <si>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</si>
  <si>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</si>
  <si>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</si>
  <si>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</si>
  <si>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</si>
  <si>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</si>
  <si>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</si>
  <si>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</si>
  <si>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</si>
  <si>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</si>
  <si>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</si>
  <si>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</si>
  <si>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</si>
  <si>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</si>
  <si>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</si>
  <si>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</si>
  <si>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</si>
  <si>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</si>
  <si>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</si>
  <si>
    <t>Sprite</t>
  </si>
  <si>
    <t>Etat Sprite Initial</t>
  </si>
  <si>
    <t>s_Starter_1;s_Starter_4;s_Starter_7</t>
  </si>
  <si>
    <t>TRUE;TRUE;TRUE</t>
  </si>
  <si>
    <t>Dresseur_</t>
  </si>
  <si>
    <t>Order</t>
  </si>
  <si>
    <t>Base Experience</t>
  </si>
  <si>
    <t>4_10_06_2023_08_40_2887</t>
  </si>
  <si>
    <t>atk1</t>
  </si>
  <si>
    <t>atk2</t>
  </si>
  <si>
    <t>atk3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</si>
</sst>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5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  <fill>
      <patternFill patternType="solid">
        <fgColor theme="7"/>
      </patternFill>
    </fill>
  </fills>
  <borders count="9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9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5" fillId="80" borderId="72" applyNumberFormat="0" applyAlignment="0" applyProtection="0"/>
    <xf numFmtId="0" fontId="2" fillId="99" borderId="0" applyNumberFormat="0" applyBorder="0" applyAlignment="0" applyProtection="0"/>
  </cellStyleXfs>
  <cellXfs count="369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3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7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28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31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2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3" fillId="82" borderId="28" xfId="0" applyFont="1" applyFill="1" applyBorder="1" applyAlignment="1">
      <alignment horizontal="center"/>
    </xf>
    <xf numFmtId="0" fontId="34" fillId="82" borderId="28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49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49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49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49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49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49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49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49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49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49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49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49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49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49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49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49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/>
    <xf numFmtId="0" fontId="2" fillId="99" borderId="62" xfId="18" applyBorder="1" applyAlignment="1">
      <alignment horizontal="center"/>
    </xf>
    <xf numFmtId="0" fontId="2" fillId="99" borderId="76" xfId="18" applyBorder="1" applyAlignment="1">
      <alignment horizontal="center"/>
    </xf>
    <xf numFmtId="0" fontId="2" fillId="99" borderId="75" xfId="18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1" fillId="60" borderId="41" xfId="7" applyFont="1" applyBorder="1" applyAlignment="1">
      <alignment horizontal="center" vertical="center"/>
    </xf>
    <xf numFmtId="0" fontId="21" fillId="60" borderId="42" xfId="7" applyFont="1" applyBorder="1" applyAlignment="1">
      <alignment horizontal="center" vertical="center"/>
    </xf>
    <xf numFmtId="0" fontId="26" fillId="80" borderId="37" xfId="17" applyFont="1" applyBorder="1" applyAlignment="1">
      <alignment horizontal="center"/>
    </xf>
    <xf numFmtId="0" fontId="26" fillId="80" borderId="62" xfId="17" applyFont="1" applyBorder="1" applyAlignment="1">
      <alignment horizontal="center"/>
    </xf>
    <xf numFmtId="0" fontId="26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21" xfId="0" applyNumberFormat="1" applyBorder="1" applyAlignment="1">
      <alignment horizontal="center"/>
    </xf>
  </cellXfs>
  <cellStyles count="19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4" xfId="18" builtinId="41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94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'Data Game'!$C$6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'Data Game'!$C$6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8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8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74" name="Bouton 22" hidden="1">
                    <a:extLst>
                      <a:ext uri="{63B3BB69-23CF-44E3-9099-C40C66FF867C}">
                        <a14:compatExt spid="_x0000_s23574"/>
                      </a:ext>
                      <a:ext uri="{FF2B5EF4-FFF2-40B4-BE49-F238E27FC236}">
                        <a16:creationId xmlns:a16="http://schemas.microsoft.com/office/drawing/2014/main" id="{00000000-0008-0000-0900-0000165C0000}"/>
                      </a:ext>
                    </a:extLst>
                  </xdr:cNvPr>
                  <xdr:cNvSpPr/>
                </xdr:nvSpPr>
                <xdr:spPr bwMode="auto">
                  <a:xfrm>
                    <a:off x="9191625" y="7524750"/>
                    <a:ext cx="400051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ê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75" name="Bouton 23" hidden="1">
                    <a:extLst>
                      <a:ext uri="{63B3BB69-23CF-44E3-9099-C40C66FF867C}">
                        <a14:compatExt spid="_x0000_s23575"/>
                      </a:ext>
                      <a:ext uri="{FF2B5EF4-FFF2-40B4-BE49-F238E27FC236}">
                        <a16:creationId xmlns:a16="http://schemas.microsoft.com/office/drawing/2014/main" id="{00000000-0008-0000-0900-0000175C0000}"/>
                      </a:ext>
                    </a:extLst>
                  </xdr:cNvPr>
                  <xdr:cNvSpPr/>
                </xdr:nvSpPr>
                <xdr:spPr bwMode="auto">
                  <a:xfrm>
                    <a:off x="9686925" y="7029449"/>
                    <a:ext cx="400051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è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76" name="Bouton 24" hidden="1">
                    <a:extLst>
                      <a:ext uri="{63B3BB69-23CF-44E3-9099-C40C66FF867C}">
                        <a14:compatExt spid="_x0000_s23576"/>
                      </a:ext>
                      <a:ext uri="{FF2B5EF4-FFF2-40B4-BE49-F238E27FC236}">
                        <a16:creationId xmlns:a16="http://schemas.microsoft.com/office/drawing/2014/main" id="{00000000-0008-0000-0900-0000185C0000}"/>
                      </a:ext>
                    </a:extLst>
                  </xdr:cNvPr>
                  <xdr:cNvSpPr/>
                </xdr:nvSpPr>
                <xdr:spPr bwMode="auto">
                  <a:xfrm>
                    <a:off x="8715375" y="7029449"/>
                    <a:ext cx="400051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ç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3577" name="Bouton 25" hidden="1">
                    <a:extLst>
                      <a:ext uri="{63B3BB69-23CF-44E3-9099-C40C66FF867C}">
                        <a14:compatExt spid="_x0000_s23577"/>
                      </a:ext>
                      <a:ext uri="{FF2B5EF4-FFF2-40B4-BE49-F238E27FC236}">
                        <a16:creationId xmlns:a16="http://schemas.microsoft.com/office/drawing/2014/main" id="{00000000-0008-0000-0900-0000195C0000}"/>
                      </a:ext>
                    </a:extLst>
                  </xdr:cNvPr>
                  <xdr:cNvSpPr/>
                </xdr:nvSpPr>
                <xdr:spPr bwMode="auto">
                  <a:xfrm>
                    <a:off x="9210676" y="6553201"/>
                    <a:ext cx="400051" cy="4095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100584" tIns="36576" rIns="100584" bIns="36576" anchor="ctr" upright="1"/>
                  <a:lstStyle/>
                  <a:p>
                    <a:pPr algn="ctr" rtl="0">
                      <a:defRPr sz="1000"/>
                    </a:pPr>
                    <a:r>
                      <a:rPr lang="fr-FR" sz="1600" b="1" i="0" u="none" strike="noStrike" baseline="0">
                        <a:solidFill>
                          <a:srgbClr val="000000"/>
                        </a:solidFill>
                        <a:latin typeface="Wingdings"/>
                      </a:rPr>
                      <a:t>é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485438</xdr:colOff>
      <xdr:row>10</xdr:row>
      <xdr:rowOff>0</xdr:rowOff>
    </xdr:from>
    <xdr:to>
      <xdr:col>13</xdr:col>
      <xdr:colOff>920829</xdr:colOff>
      <xdr:row>19</xdr:row>
      <xdr:rowOff>42130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9532" y="1819835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9</xdr:col>
      <xdr:colOff>528917</xdr:colOff>
      <xdr:row>23</xdr:row>
      <xdr:rowOff>137011</xdr:rowOff>
    </xdr:from>
    <xdr:to>
      <xdr:col>14</xdr:col>
      <xdr:colOff>518073</xdr:colOff>
      <xdr:row>32</xdr:row>
      <xdr:rowOff>66283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3011" y="430559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30480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4</xdr:row>
          <xdr:rowOff>129540</xdr:rowOff>
        </xdr:from>
        <xdr:to>
          <xdr:col>17</xdr:col>
          <xdr:colOff>198120</xdr:colOff>
          <xdr:row>7</xdr:row>
          <xdr:rowOff>7620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E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Event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68</xdr:col>
      <xdr:colOff>562707</xdr:colOff>
      <xdr:row>7</xdr:row>
      <xdr:rowOff>152400</xdr:rowOff>
    </xdr:from>
    <xdr:to>
      <xdr:col>73</xdr:col>
      <xdr:colOff>365740</xdr:colOff>
      <xdr:row>16</xdr:row>
      <xdr:rowOff>158327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29322" y="1500554"/>
          <a:ext cx="4738450" cy="166474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 hidden="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 hidden="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 hidden="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 hidden="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 hidden="1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 hidden="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 hidden="1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 hidden="1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91</xdr:col>
      <xdr:colOff>6178</xdr:colOff>
      <xdr:row>293</xdr:row>
      <xdr:rowOff>59724</xdr:rowOff>
    </xdr:from>
    <xdr:to>
      <xdr:col>94</xdr:col>
      <xdr:colOff>35011</xdr:colOff>
      <xdr:row>296</xdr:row>
      <xdr:rowOff>98594</xdr:rowOff>
    </xdr:to>
    <xdr:pic>
      <xdr:nvPicPr>
        <xdr:cNvPr id="12" name="Hero_Marche">
          <a:extLst>
            <a:ext uri="{FF2B5EF4-FFF2-40B4-BE49-F238E27FC236}">
              <a16:creationId xmlns:a16="http://schemas.microsoft.com/office/drawing/2014/main" id="{D166FF46-3608-41EC-83F2-2FDB09EC3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-1981" t="2620" r="69149" b="73751"/>
        <a:stretch/>
      </xdr:blipFill>
      <xdr:spPr>
        <a:xfrm>
          <a:off x="10501183" y="33851335"/>
          <a:ext cx="374823" cy="38485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93" dataDxfId="191" headerRowBorderDxfId="192" tableBorderDxfId="190">
  <autoFilter ref="B2:H9" xr:uid="{C414A4D2-C5F5-497D-A639-4A8EE161BF63}"/>
  <tableColumns count="7">
    <tableColumn id="1" xr3:uid="{5C8CCE40-5324-422D-B4E2-BC0EEB2637A4}" name="Feuille" dataDxfId="189"/>
    <tableColumn id="2" xr3:uid="{61C62033-3951-47B9-990B-4D95CF52FB3A}" name="Nom" dataDxfId="188"/>
    <tableColumn id="8" xr3:uid="{9AF53E84-20C5-47E1-BE53-91DA8C60394E}" name="Range" dataDxfId="187">
      <calculatedColumnFormula>"Sp_"&amp;Tab_BBD_Sprite[[#This Row],[Nom]]</calculatedColumnFormula>
    </tableColumn>
    <tableColumn id="3" xr3:uid="{2DD65BEA-6105-4F6A-99A3-90A40F660094}" name="L_Cases" dataDxfId="186"/>
    <tableColumn id="4" xr3:uid="{B69F256D-D223-4894-8098-673D3FEEBACD}" name="C_Cases" dataDxfId="185"/>
    <tableColumn id="5" xr3:uid="{14C26A1E-B632-4793-A1C4-D941E44B8850}" name="L_Pixel" dataDxfId="184"/>
    <tableColumn id="6" xr3:uid="{94869BFF-BBFC-4D2C-8ABE-1B6F9DFF9BC6}" name="C_Pixel" dataDxfId="18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82" dataDxfId="180" headerRowBorderDxfId="181" tableBorderDxfId="179">
  <autoFilter ref="B3:S653" xr:uid="{40DB8EA0-220F-4CB7-BF07-158D56AA4DD3}"/>
  <tableColumns count="18">
    <tableColumn id="1" xr3:uid="{CA2A5C8F-8FB8-429D-8128-390DF2680C70}" name="PokeIndex" dataDxfId="178"/>
    <tableColumn id="2" xr3:uid="{D98B6AAA-99C4-4207-8FC8-41136EFB7409}" name="Nom" dataDxfId="177"/>
    <tableColumn id="3" xr3:uid="{F21D91F8-3F31-449E-B68E-5F084049E442}" name="Name" dataDxfId="176"/>
    <tableColumn id="4" xr3:uid="{766B5CCB-0B89-4D62-AAC4-4F54E04851D6}" name="Type 1" dataDxfId="175"/>
    <tableColumn id="5" xr3:uid="{5D91B0FE-1FBF-45EC-A4A3-45B48BA528B6}" name="Type 2" dataDxfId="174"/>
    <tableColumn id="18" xr3:uid="{B3340896-F6D9-4483-B485-C2FD408F5ECF}" name="catch_rate" dataDxfId="173"/>
    <tableColumn id="15" xr3:uid="{CA07C7EF-CE58-4532-A4FF-C8A4E0F31096}" name="base_experience" dataDxfId="172"/>
    <tableColumn id="6" xr3:uid="{6E89A1EF-A6D3-4F63-AC36-6A2099523127}" name="Total" dataDxfId="171"/>
    <tableColumn id="7" xr3:uid="{25243ED3-39F9-4C61-872D-6EC825B0E874}" name="HP" dataDxfId="170"/>
    <tableColumn id="8" xr3:uid="{5694C014-3661-45C0-BD27-7A77E1804C61}" name="Attack" dataDxfId="169"/>
    <tableColumn id="9" xr3:uid="{ED5E165D-DE9E-4C26-91DF-5AE15CEDFAA7}" name="Defense" dataDxfId="168"/>
    <tableColumn id="10" xr3:uid="{519A0CC6-64B4-42D3-A485-7BAD0CB6F390}" name="Sp. Atk" dataDxfId="167"/>
    <tableColumn id="11" xr3:uid="{01A526EF-BFA0-4917-BE2B-BC96464994AC}" name="Sp. Def" dataDxfId="166"/>
    <tableColumn id="12" xr3:uid="{EA69A7FE-03BF-434A-A3A3-7ED63E04D158}" name="Speed" dataDxfId="165"/>
    <tableColumn id="13" xr3:uid="{88689659-D538-434E-91AF-6D40D8075D69}" name="Level Evolution" dataDxfId="164"/>
    <tableColumn id="17" xr3:uid="{17A81A7F-EAA7-424A-99CE-499C91E07F65}" name="PokeIndex Evolution" dataDxfId="163"/>
    <tableColumn id="14" xr3:uid="{09144047-E2FD-4A42-8CDA-206A2A181479}" name="Evolution" dataDxfId="162"/>
    <tableColumn id="16" xr3:uid="{1E710ABF-0EDC-4E59-9A24-4788C1F51C01}" name="Switch Evolution" dataDxfId="16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60" dataDxfId="159">
  <autoFilter ref="U3:Y27" xr:uid="{9D36E05C-CBD6-4C4D-818A-B72F0DE9E719}"/>
  <tableColumns count="5">
    <tableColumn id="1" xr3:uid="{334C6D80-A7F4-4945-8467-60C0A96C6207}" name="Zone" dataDxfId="158"/>
    <tableColumn id="2" xr3:uid="{BFE72A0D-155C-49DA-B278-C0008E024DD6}" name="Lieu" dataDxfId="157"/>
    <tableColumn id="3" xr3:uid="{D6894A61-2E28-4BFC-B8FF-3C0C531D35DF}" name="Liste Pokemon" dataDxfId="156"/>
    <tableColumn id="4" xr3:uid="{61F94F8C-A064-46B1-B70F-674CEA0DB72B}" name="Min Level" dataDxfId="155"/>
    <tableColumn id="5" xr3:uid="{7B3F1382-9355-4915-8F3C-5DF6A9F11DD8}" name="Max Level" dataDxfId="15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53">
  <autoFilter ref="BE3:BK113" xr:uid="{C5DD2E1C-AF95-442E-935A-104CAB98AE41}"/>
  <tableColumns count="7">
    <tableColumn id="1" xr3:uid="{AF1CBF79-B231-4E0D-A074-BB83F6005994}" name="AttackID" dataDxfId="152"/>
    <tableColumn id="2" xr3:uid="{921BE68A-9D81-41BB-AE89-4FE0860E99F3}" name="Nom" dataDxfId="151"/>
    <tableColumn id="3" xr3:uid="{5170C2C6-3489-4975-AC6F-43B246B4C276}" name="Name" dataDxfId="150"/>
    <tableColumn id="4" xr3:uid="{005C63CD-27AC-4841-8ED7-A27A6854D368}" name="Forme" dataDxfId="149"/>
    <tableColumn id="5" xr3:uid="{BD39DD60-1795-4E7E-AA40-5C4B5BC159C6}" name="Puissance" dataDxfId="148"/>
    <tableColumn id="6" xr3:uid="{F975EF8E-49D6-4126-BAD9-EA9BC568E52E}" name="Type" dataDxfId="147"/>
    <tableColumn id="7" xr3:uid="{26807ACC-3BD6-4C18-98B8-8C91BC832CFC}" name="TypeV2" dataDxfId="146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45" dataDxfId="143" headerRowBorderDxfId="144" tableBorderDxfId="142" headerRowCellStyle="Accent3" dataCellStyle="20 % - Accent3">
  <autoFilter ref="B4:B11" xr:uid="{CEC92FAF-08A5-42A2-85BD-FCA20B6A1A8A}"/>
  <tableColumns count="1">
    <tableColumn id="1" xr3:uid="{659C19E4-C18A-4A47-AB0C-978C08D192E5}" name="Thèmes" dataDxfId="141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5" totalsRowShown="0">
  <autoFilter ref="B2:D15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40" dataDxfId="139">
  <autoFilter ref="B3:B5" xr:uid="{3ACAD448-844F-4317-9C6F-A42976444BF8}"/>
  <tableColumns count="1">
    <tableColumn id="1" xr3:uid="{AE9DD387-1B55-4865-8EFF-3E27627BF7E9}" name="Formes CS" dataDxfId="1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37" dataDxfId="136">
  <autoFilter ref="D3:D5" xr:uid="{9AF66C32-E2C8-42BC-9CB8-3878D864E583}"/>
  <tableColumns count="1">
    <tableColumn id="1" xr3:uid="{A7309C0C-3012-4B04-B839-BC3619F1A53F}" name="Boolean" dataDxfId="13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34" dataDxfId="133">
  <autoFilter ref="F3:F6" xr:uid="{0AA5763A-D94E-4741-B266-111CE18ABB0E}"/>
  <tableColumns count="1">
    <tableColumn id="1" xr3:uid="{55AC2EA7-5240-4385-87F7-07EAA2D8ED7A}" name="Event" dataDxfId="1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31" dataDxfId="129" headerRowBorderDxfId="130" tableBorderDxfId="128">
  <tableColumns count="16">
    <tableColumn id="1" xr3:uid="{6F05B942-F82A-4C4F-973B-10F3EEB34CE7}" name="PokeIndex" dataDxfId="127"/>
    <tableColumn id="2" xr3:uid="{8198F26E-CA2A-40A9-B4F2-9BC01041197C}" name="Nom" dataDxfId="126"/>
    <tableColumn id="3" xr3:uid="{C6528F29-D072-4D92-BD3B-843D77DF64DE}" name="Name" dataDxfId="125"/>
    <tableColumn id="4" xr3:uid="{F57398D0-3F6B-4771-ABC5-324E3161A781}" name="Type 1" dataDxfId="124"/>
    <tableColumn id="5" xr3:uid="{D172934B-9645-4AB9-9CA8-E474D9FF91C8}" name="Type 2" dataDxfId="123"/>
    <tableColumn id="18" xr3:uid="{DCAB2490-7EA0-4969-8F0E-CB36D91CAF1A}" name="Catch Rate" dataDxfId="122"/>
    <tableColumn id="15" xr3:uid="{233DD64E-F6DB-4EBE-90BA-993C155127F8}" name="Base Experience" dataDxfId="121"/>
    <tableColumn id="7" xr3:uid="{7AAEBAC1-F5F7-4642-AF55-DACCC5591B99}" name="BASE HP" dataDxfId="120"/>
    <tableColumn id="8" xr3:uid="{CCD4D8B4-321F-4D6F-9C4E-B47813F9D778}" name="BASE Attack" dataDxfId="119"/>
    <tableColumn id="9" xr3:uid="{83DDE8F1-B5A9-4442-AA26-73B3D7B1064C}" name="BASE Defense" dataDxfId="118"/>
    <tableColumn id="6" xr3:uid="{79247B69-630D-442F-BD85-B454239C3E60}" name="BASE Special" dataDxfId="117"/>
    <tableColumn id="10" xr3:uid="{35D1037F-6EA2-47A3-9EC4-8810F6C2F969}" name="BASE Speed" dataDxfId="116"/>
    <tableColumn id="13" xr3:uid="{49562A33-15F3-4D35-BA5F-8F756627ECB4}" name="Level Evolution" dataDxfId="115"/>
    <tableColumn id="17" xr3:uid="{18568CAF-68F1-45DC-BC66-7D7E227E8E85}" name="PokeIndex Evolution" dataDxfId="114"/>
    <tableColumn id="14" xr3:uid="{33452EFC-5D65-45D7-902E-EFC0C4263EDA}" name="Evolution Level" dataDxfId="113"/>
    <tableColumn id="16" xr3:uid="{9D1BE629-FB05-4050-AC2A-B22F774C6B62}" name="Evolution PokeIndex" dataDxfId="11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11" dataDxfId="110">
  <autoFilter ref="S3:W27" xr:uid="{9D36E05C-CBD6-4C4D-818A-B72F0DE9E719}"/>
  <tableColumns count="5">
    <tableColumn id="1" xr3:uid="{9F97CAA6-6ECC-4085-B90B-F43CE30CCA18}" name="Zone" dataDxfId="109"/>
    <tableColumn id="2" xr3:uid="{875D4D4B-E792-4947-AAF9-D5B93160E26B}" name="Lieu" dataDxfId="108"/>
    <tableColumn id="3" xr3:uid="{8933544A-6B43-4CBF-8629-6F9FD4FF265C}" name="Liste Pokemon" dataDxfId="107"/>
    <tableColumn id="4" xr3:uid="{BC31071E-6451-4EBF-8346-5C5EA02BEFD2}" name="Min Level" dataDxfId="106"/>
    <tableColumn id="5" xr3:uid="{5AC3F6C4-80F6-478B-955A-36DF4487F2B2}" name="Max Level" dataDxfId="10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104" dataDxfId="102" headerRowBorderDxfId="103" tableBorderDxfId="101">
  <autoFilter ref="E2:J13" xr:uid="{A95334D6-037E-4A78-A7D5-A749406219AE}"/>
  <tableColumns count="6">
    <tableColumn id="1" xr3:uid="{AD48A5AE-56DD-46B8-866A-BB5676C72DC2}" name="Nom" dataDxfId="100"/>
    <tableColumn id="2" xr3:uid="{52582B58-B451-4335-A782-412CBD207F5C}" name="Element" dataDxfId="99"/>
    <tableColumn id="5" xr3:uid="{1C0F55B8-4CD4-4595-9949-4CDC1F006620}" name="Eventable" dataDxfId="98"/>
    <tableColumn id="3" xr3:uid="{B1B5EF4A-6F28-4F23-81F8-4E755B995A46}" name="Emplacement" dataDxfId="97"/>
    <tableColumn id="6" xr3:uid="{FCAAA251-F461-47F2-9EEC-43B6AD3A0983}" name="Etat Base" dataDxfId="96"/>
    <tableColumn id="4" xr3:uid="{CD8CCC5D-7799-4F94-BD6C-E675235E42EC}" name="Etat" dataDxfId="95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V3" totalsRowShown="0" headerRowDxfId="94" dataDxfId="92" headerRowBorderDxfId="93" tableBorderDxfId="91">
  <autoFilter ref="Q2:V3" xr:uid="{6C1BF0DF-F271-4508-B34E-CBD528A6B7B7}"/>
  <tableColumns count="6">
    <tableColumn id="1" xr3:uid="{CB6DD27D-7524-44D0-83C4-DF9F3DC5A7BD}" name="Evenement" dataDxfId="90"/>
    <tableColumn id="3" xr3:uid="{DF0BBCCB-D10C-449B-8B8C-F96E4FB74824}" name="Etat" dataDxfId="89"/>
    <tableColumn id="4" xr3:uid="{F618E9D3-6D19-41FA-BD2C-942A5E806278}" name="Etat Initial" dataDxfId="88"/>
    <tableColumn id="6" xr3:uid="{18678DF8-2B28-4C6F-8B5F-7DC2CC5A9901}" name="Sprite" dataDxfId="87"/>
    <tableColumn id="5" xr3:uid="{19F50921-B908-4C3F-898E-5EFB8E70E3C9}" name="Etat Sprite Initial" dataDxfId="86"/>
    <tableColumn id="2" xr3:uid="{9B769683-04B7-4186-A4BA-D4953EB217C3}" name="Description" dataDxfId="8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84" dataDxfId="82" headerRowBorderDxfId="83" tableBorderDxfId="81">
  <autoFilter ref="L2:O6" xr:uid="{6ADE75AE-A4E2-41CE-A824-5282159F6DFE}"/>
  <tableColumns count="4">
    <tableColumn id="1" xr3:uid="{F2E93ED3-FB2D-4190-8F2A-ABFA7C36FC88}" name="Lien 1" dataDxfId="80"/>
    <tableColumn id="2" xr3:uid="{090C7970-E2EF-4444-ADC2-D3F8B9085941}" name="Lien 2" dataDxfId="79"/>
    <tableColumn id="3" xr3:uid="{B2E2DB43-85C3-4EBA-9884-8C2408D4544D}" name="Endroit 1" dataDxfId="78"/>
    <tableColumn id="4" xr3:uid="{54219FF0-B593-4F12-8C48-EB2E05BED9D4}" name="Endroit 2" dataDxfId="77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X2:AZ89" totalsRowShown="0" headerRowDxfId="76" dataDxfId="74" headerRowBorderDxfId="75" tableBorderDxfId="73">
  <tableColumns count="29">
    <tableColumn id="1" xr3:uid="{AF4CFBF3-2C6A-4CE8-BAB1-D014E66AD45D}" name="PokeID" dataDxfId="72"/>
    <tableColumn id="2" xr3:uid="{5A136216-7C4B-4BD7-B317-85CEACC29E03}" name="PokeIndex" dataDxfId="71"/>
    <tableColumn id="31" xr3:uid="{F373F89D-2864-4B99-A0B7-826C9A8D6845}" name="Slot" dataDxfId="70"/>
    <tableColumn id="32" xr3:uid="{893B14BA-171C-433B-A9A1-977864058373}" name="Used" dataDxfId="69">
      <calculatedColumnFormula>ISBLANK(TableauPokemonCapturé[[#This Row],[PokeID]])=FALSE</calculatedColumnFormula>
    </tableColumn>
    <tableColumn id="3" xr3:uid="{7455A18A-37F0-4547-A011-6A4387F73BC6}" name="Nom" dataDxfId="68"/>
    <tableColumn id="4" xr3:uid="{CCC51B62-6095-4A99-BED4-FF5413CFC6AA}" name="Name" dataDxfId="67"/>
    <tableColumn id="6" xr3:uid="{4D54B4BD-C1FE-455C-850D-96F14E8CEAA2}" name="Level" dataDxfId="66"/>
    <tableColumn id="7" xr3:uid="{113442BC-4F52-428C-A42F-242B333BE5D7}" name="Experience" dataDxfId="65"/>
    <tableColumn id="8" xr3:uid="{83EA7EE7-ED22-43A6-930C-B66CF6C0204A}" name="Experience Left" dataDxfId="64"/>
    <tableColumn id="9" xr3:uid="{15EBC14E-D878-4303-B594-EC5C129A55F8}" name="Catch Rate" dataDxfId="63"/>
    <tableColumn id="34" xr3:uid="{3047DAD5-2AF2-4F3F-BC8C-71603ECCE26B}" name="Type 1" dataDxfId="62"/>
    <tableColumn id="35" xr3:uid="{1E1F7715-46C8-4F66-87B3-7D9D8E21D1CB}" name="Type 2" dataDxfId="61"/>
    <tableColumn id="10" xr3:uid="{7E92B2FD-7B39-4400-89EF-AFBD9915A0B0}" name="Attack Type 1" dataDxfId="60"/>
    <tableColumn id="33" xr3:uid="{7D9A56B6-069C-4886-AF86-396C8661C295}" name="Attack Type 2" dataDxfId="59"/>
    <tableColumn id="5" xr3:uid="{35C9789A-38B1-4EC7-8204-363121C97474}" name="Attack Type 3" dataDxfId="58"/>
    <tableColumn id="11" xr3:uid="{97739C82-78D0-47B1-AD79-88CA8E43F281}" name="Attack Type 4" dataDxfId="57"/>
    <tableColumn id="16" xr3:uid="{E8FAA84E-AD59-40AE-9048-7E318C24C83C}" name="STAT HP LEFT" dataDxfId="56"/>
    <tableColumn id="17" xr3:uid="{6DAA8DA6-DBF6-45CC-853B-3FE533F8EDC6}" name="STAT HP" dataDxfId="55"/>
    <tableColumn id="18" xr3:uid="{650B56D1-631C-4914-BAFA-2F72D36BDA27}" name="STAT Attack" dataDxfId="54"/>
    <tableColumn id="19" xr3:uid="{CAD980DF-3E5A-4CD3-B4D7-A9ED71A320C8}" name="STAT Defense" dataDxfId="53"/>
    <tableColumn id="20" xr3:uid="{94F47295-BC6D-4522-9801-39636251FC5E}" name="STAT Speed" dataDxfId="52"/>
    <tableColumn id="21" xr3:uid="{8D3E4449-3B41-475E-AF30-BF9F0BE143AD}" name="STAT Special" dataDxfId="51"/>
    <tableColumn id="23" xr3:uid="{6D2EDCC9-E3D5-4F1F-A5E0-F8DDAA1A6C4B}" name="BASE HP" dataDxfId="50"/>
    <tableColumn id="24" xr3:uid="{35F07894-E632-4864-B833-24B476F80720}" name="BASE Attack" dataDxfId="49"/>
    <tableColumn id="25" xr3:uid="{9284A84E-7B1F-4B92-9BAA-A4F3403C5835}" name="BASE Defense" dataDxfId="48"/>
    <tableColumn id="26" xr3:uid="{38C9221F-92C6-4212-994B-33351FAED34E}" name="BASE Special" dataDxfId="47"/>
    <tableColumn id="28" xr3:uid="{DC535B71-C43B-4A97-B57F-E9BFC31735F3}" name="BASE Speed" dataDxfId="46"/>
    <tableColumn id="29" xr3:uid="{5AFCF796-6476-4F62-B285-453CF6E33089}" name="Evolution Level" dataDxfId="45"/>
    <tableColumn id="30" xr3:uid="{49816711-18BD-4962-A898-1F533EF12905}" name="Evolution PokeIndex" dataDxfId="44"/>
  </tableColumns>
  <tableStyleInfo name="TableStyleMedium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68A0EF-E955-4169-9A21-EEB1125D5ACB}" name="TableauPokemonCapturé18" displayName="TableauPokemonCapturé18" ref="BB2:CD3" totalsRowShown="0" headerRowDxfId="43" dataDxfId="41" headerRowBorderDxfId="42" tableBorderDxfId="40">
  <tableColumns count="29">
    <tableColumn id="1" xr3:uid="{3BC7ACA9-1CED-4B81-9D79-AF17A0EADE86}" name="PokeID" dataDxfId="39">
      <calculatedColumnFormula>TableauPokemonCapturé18[[#This Row],[Slot]]&amp;TableauPokemonCapturé18[[#This Row],[Order]]</calculatedColumnFormula>
    </tableColumn>
    <tableColumn id="2" xr3:uid="{67AB22E0-F947-472E-BE4E-CFC84D9C8EF3}" name="PokeIndex" dataDxfId="38">
      <calculatedColumnFormula array="1">_xlfn.XLOOKUP(BC$2,'Data Pokemon'!$B$3:$Q$3,_xlfn.XLOOKUP($BF3,'Data Pokemon'!$C:$C,'Data Pokemon'!$B:$Q))</calculatedColumnFormula>
    </tableColumn>
    <tableColumn id="31" xr3:uid="{6BBBA6C5-226F-4101-A1F0-5211D773478F}" name="Slot" dataDxfId="37"/>
    <tableColumn id="32" xr3:uid="{BE12A8E9-89A4-4B6A-AD6A-6669156B9C40}" name="Order" dataDxfId="36"/>
    <tableColumn id="3" xr3:uid="{E01B028F-DAE6-46F2-873F-8CEA99A0809C}" name="Nom" dataDxfId="35"/>
    <tableColumn id="4" xr3:uid="{16BF1C3F-FD24-4D37-AA8F-4A54A116D229}" name="Name" dataDxfId="34">
      <calculatedColumnFormula array="1">_xlfn.XLOOKUP(BG$2,'Data Pokemon'!$B$3:$Q$3,_xlfn.XLOOKUP($BF3,'Data Pokemon'!$C:$C,'Data Pokemon'!$B:$Q))</calculatedColumnFormula>
    </tableColumn>
    <tableColumn id="6" xr3:uid="{79CC169D-71C7-447B-9A74-480B2AF54E06}" name="Level" dataDxfId="33"/>
    <tableColumn id="7" xr3:uid="{D5030233-59FE-499F-B65D-9DADDF719839}" name="Experience" dataDxfId="32">
      <calculatedColumnFormula array="1">GetNeededExperience(TableauPokemonCapturé18[[#This Row],[Level]])</calculatedColumnFormula>
    </tableColumn>
    <tableColumn id="8" xr3:uid="{DACDBF89-694E-46A8-864E-8587163D844F}" name="Experience Left" dataDxfId="31">
      <calculatedColumnFormula array="1">GetNeededExperience(TableauPokemonCapturé18[[#This Row],[Level]]+1)-GetNeededExperience(TableauPokemonCapturé18[[#This Row],[Level]])</calculatedColumnFormula>
    </tableColumn>
    <tableColumn id="9" xr3:uid="{833CE11C-B4F5-42A7-BBE9-5A2B684F0A0D}" name="Catch Rate" dataDxfId="30">
      <calculatedColumnFormula array="1">_xlfn.XLOOKUP(BK$2,'Data Pokemon'!$B$3:$Q$3,_xlfn.XLOOKUP($BF3,'Data Pokemon'!$C:$C,'Data Pokemon'!$B:$Q))</calculatedColumnFormula>
    </tableColumn>
    <tableColumn id="34" xr3:uid="{7D657323-F1EB-40E5-AB3F-F5039BFE6D95}" name="Type 1" dataDxfId="29">
      <calculatedColumnFormula array="1">_xlfn.XLOOKUP(BL$2,'Data Pokemon'!$B$3:$Q$3,_xlfn.XLOOKUP($BF3,'Data Pokemon'!$C:$C,'Data Pokemon'!$B:$Q))</calculatedColumnFormula>
    </tableColumn>
    <tableColumn id="35" xr3:uid="{AE5F404F-4600-4948-A563-61C48CDB378D}" name="Type 2" dataDxfId="28">
      <calculatedColumnFormula array="1">_xlfn.XLOOKUP(BM$2,'Data Pokemon'!$B$3:$Q$3,_xlfn.XLOOKUP($BF3,'Data Pokemon'!$C:$C,'Data Pokemon'!$B:$Q))</calculatedColumnFormula>
    </tableColumn>
    <tableColumn id="10" xr3:uid="{9675B68D-E5D8-4F2E-824E-43E8636E946A}" name="Attack Type 1" dataDxfId="27">
      <calculatedColumnFormula>TableauPokemonCapturé18[[#This Row],[Type 1]]</calculatedColumnFormula>
    </tableColumn>
    <tableColumn id="33" xr3:uid="{C5052EE3-3B90-4728-B776-EBDB32842F4E}" name="Attack Type 2" dataDxfId="26"/>
    <tableColumn id="5" xr3:uid="{FD7AB3B2-1F74-494E-985E-9AAE670164BC}" name="Attack Type 3" dataDxfId="25"/>
    <tableColumn id="11" xr3:uid="{10C2DC37-8B83-43B3-91DF-E6CBA8031589}" name="Attack Type 4" dataDxfId="24"/>
    <tableColumn id="16" xr3:uid="{F490A340-A259-4292-A730-1D7011DDE7AA}" name="STAT HP LEFT" dataDxfId="23">
      <calculatedColumnFormula>TableauPokemonCapturé18[[#This Row],[STAT HP]]</calculatedColumnFormula>
    </tableColumn>
    <tableColumn id="17" xr3:uid="{3489120D-DAEC-4DDE-9CC5-869CEB09AACD}" name="STAT HP" dataDxfId="22">
      <calculatedColumnFormula>INT((15+TableauPokemonCapturé18[[#This Row],[BASE HP]]+50+SQRT(42)/8)*TableauPokemonCapturé18[[#This Row],[Level]]/50)+10</calculatedColumnFormula>
    </tableColumn>
    <tableColumn id="18" xr3:uid="{4D33F388-F56A-4559-8874-CE3040124732}" name="STAT Attack" dataDxfId="21">
      <calculatedColumnFormula>INT((15+TableauPokemonCapturé18[[#This Row],[BASE Attack]]+SQRT(42)/8)*TableauPokemonCapturé18[[#This Row],[Level]]/50)+5</calculatedColumnFormula>
    </tableColumn>
    <tableColumn id="19" xr3:uid="{5695C9B6-B734-4C6D-83E1-35B86770424A}" name="STAT Defense" dataDxfId="20">
      <calculatedColumnFormula>INT((15+TableauPokemonCapturé18[[#This Row],[BASE Defense]]+SQRT(42)/8)*TableauPokemonCapturé18[[#This Row],[Level]]/50)+5</calculatedColumnFormula>
    </tableColumn>
    <tableColumn id="20" xr3:uid="{3F59E2B5-190A-485F-86EB-865B03714483}" name="STAT Speed" dataDxfId="19">
      <calculatedColumnFormula>INT((15+TableauPokemonCapturé18[[#This Row],[BASE Speed]]+SQRT(42)/8)*TableauPokemonCapturé18[[#This Row],[Level]]/50)+5</calculatedColumnFormula>
    </tableColumn>
    <tableColumn id="21" xr3:uid="{8B81E4F1-2268-4786-9F68-85F8DF810AC2}" name="STAT Special" dataDxfId="18">
      <calculatedColumnFormula>INT((15+TableauPokemonCapturé18[[#This Row],[BASE Special]]+SQRT(42)/8)*TableauPokemonCapturé18[[#This Row],[Level]]/50)+5</calculatedColumnFormula>
    </tableColumn>
    <tableColumn id="23" xr3:uid="{FBFE84C2-D0B9-4B59-886B-DCC98E4874B6}" name="BASE HP" dataDxfId="17">
      <calculatedColumnFormula array="1">_xlfn.XLOOKUP(BX$2,'Data Pokemon'!$C$3:$Q$3,_xlfn.XLOOKUP($BC3,'Data Pokemon'!$B:$B,'Data Pokemon'!$C:$Q))</calculatedColumnFormula>
    </tableColumn>
    <tableColumn id="24" xr3:uid="{F05FCDB7-F8B0-496D-A96A-97A3D62741DE}" name="BASE Attack" dataDxfId="16">
      <calculatedColumnFormula array="1">_xlfn.XLOOKUP(BY$2,'Data Pokemon'!$C$3:$Q$3,_xlfn.XLOOKUP($BC3,'Data Pokemon'!$B:$B,'Data Pokemon'!$C:$Q))</calculatedColumnFormula>
    </tableColumn>
    <tableColumn id="25" xr3:uid="{2BB2CBF9-D300-4576-9671-313C6CE8AD56}" name="BASE Defense" dataDxfId="15">
      <calculatedColumnFormula array="1">_xlfn.XLOOKUP(BZ$2,'Data Pokemon'!$C$3:$Q$3,_xlfn.XLOOKUP($BC3,'Data Pokemon'!$B:$B,'Data Pokemon'!$C:$Q))</calculatedColumnFormula>
    </tableColumn>
    <tableColumn id="12" xr3:uid="{392C3842-7407-4391-884E-BD65ABCBB7C1}" name="BASE Special" dataDxfId="14">
      <calculatedColumnFormula array="1">_xlfn.XLOOKUP(CA$2,'Data Pokemon'!$C$3:$Q$3,_xlfn.XLOOKUP($BC3,'Data Pokemon'!$B:$B,'Data Pokemon'!$C:$Q))</calculatedColumnFormula>
    </tableColumn>
    <tableColumn id="26" xr3:uid="{7783A39A-5182-4A5E-ABF8-BB043794F150}" name="BASE Speed" dataDxfId="13">
      <calculatedColumnFormula array="1">_xlfn.XLOOKUP(CB$2,'Data Pokemon'!$C$3:$Q$3,_xlfn.XLOOKUP($BC3,'Data Pokemon'!$B:$B,'Data Pokemon'!$C:$Q))</calculatedColumnFormula>
    </tableColumn>
    <tableColumn id="29" xr3:uid="{CD11E3C2-FF5B-4AC7-BD6D-50F4B3C2F1D0}" name="Evolution Level" dataDxfId="12">
      <calculatedColumnFormula array="1">_xlfn.XLOOKUP(CC$2,'Data Pokemon'!$C$3:$Q$3,_xlfn.XLOOKUP($BC3,'Data Pokemon'!$B:$B,'Data Pokemon'!$C:$Q))</calculatedColumnFormula>
    </tableColumn>
    <tableColumn id="30" xr3:uid="{16E1E8C7-FAA3-4EA1-AE37-6099378C5881}" name="Evolution PokeIndex" dataDxfId="11">
      <calculatedColumnFormula array="1">_xlfn.XLOOKUP(CD$2,'Data Pokemon'!$C$3:$Q$3,_xlfn.XLOOKUP($BC3,'Data Pokemon'!$B:$B,'Data Pokemon'!$C:$Q))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13" Type="http://schemas.openxmlformats.org/officeDocument/2006/relationships/hyperlink" Target="https://www.pokebip.com/page/jeuxvideo/rbvj/liste_attaques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12" Type="http://schemas.openxmlformats.org/officeDocument/2006/relationships/hyperlink" Target="https://www.pokebip.com/pokedex/liste_des_attaques_4g_1.html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hyperlink" Target="https://www.pokebip.com/pokedex/ecarlate-violet/attaques?types=7&amp;classes=1%2C2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Relationship Id="rId1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pokebip.com/pokedex/4eme_generation_attaque326__Tranche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table" Target="../tables/table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6.xml"/><Relationship Id="rId11" Type="http://schemas.openxmlformats.org/officeDocument/2006/relationships/table" Target="../tables/table15.xml"/><Relationship Id="rId5" Type="http://schemas.openxmlformats.org/officeDocument/2006/relationships/ctrlProp" Target="../ctrlProps/ctrlProp25.xml"/><Relationship Id="rId10" Type="http://schemas.openxmlformats.org/officeDocument/2006/relationships/table" Target="../tables/table14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48" t="s">
        <v>12</v>
      </c>
      <c r="E13" s="349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1412</v>
      </c>
    </row>
    <row r="3" spans="2:71" ht="15" thickBot="1">
      <c r="B3" s="45" t="s">
        <v>1289</v>
      </c>
      <c r="C3" s="45" t="s">
        <v>31</v>
      </c>
      <c r="D3" s="45" t="s">
        <v>730</v>
      </c>
      <c r="E3" s="45" t="s">
        <v>731</v>
      </c>
      <c r="F3" s="45" t="s">
        <v>732</v>
      </c>
      <c r="G3" s="45" t="s">
        <v>1344</v>
      </c>
      <c r="H3" s="45" t="s">
        <v>1345</v>
      </c>
      <c r="I3" s="45" t="s">
        <v>733</v>
      </c>
      <c r="J3" s="45" t="s">
        <v>734</v>
      </c>
      <c r="K3" s="45" t="s">
        <v>735</v>
      </c>
      <c r="L3" s="45" t="s">
        <v>736</v>
      </c>
      <c r="M3" s="45" t="s">
        <v>737</v>
      </c>
      <c r="N3" s="45" t="s">
        <v>738</v>
      </c>
      <c r="O3" s="45" t="s">
        <v>739</v>
      </c>
      <c r="P3" s="45" t="s">
        <v>1433</v>
      </c>
      <c r="Q3" s="45" t="s">
        <v>1290</v>
      </c>
      <c r="R3" s="45" t="s">
        <v>1285</v>
      </c>
      <c r="S3" s="45" t="s">
        <v>1288</v>
      </c>
      <c r="T3" s="1"/>
      <c r="U3" s="1" t="s">
        <v>1349</v>
      </c>
      <c r="V3" s="1" t="s">
        <v>1414</v>
      </c>
      <c r="W3" s="1" t="s">
        <v>1350</v>
      </c>
      <c r="X3" s="1" t="s">
        <v>1351</v>
      </c>
      <c r="Y3" s="1" t="s">
        <v>1352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79" t="s">
        <v>1282</v>
      </c>
      <c r="AK3" s="177" t="s">
        <v>821</v>
      </c>
      <c r="AL3" s="350" t="s">
        <v>1283</v>
      </c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/>
      <c r="BB3" s="350"/>
      <c r="BC3" s="351"/>
      <c r="BE3" t="s">
        <v>1667</v>
      </c>
      <c r="BF3" t="s">
        <v>31</v>
      </c>
      <c r="BG3" t="s">
        <v>730</v>
      </c>
      <c r="BH3" t="s">
        <v>16</v>
      </c>
      <c r="BI3" t="s">
        <v>1586</v>
      </c>
      <c r="BJ3" t="s">
        <v>1443</v>
      </c>
      <c r="BK3" t="s">
        <v>1668</v>
      </c>
      <c r="BP3" t="s">
        <v>1784</v>
      </c>
      <c r="BQ3" t="s">
        <v>1785</v>
      </c>
      <c r="BR3" t="s">
        <v>1787</v>
      </c>
      <c r="BS3" t="s">
        <v>1788</v>
      </c>
    </row>
    <row r="4" spans="2:71" ht="15" thickBot="1">
      <c r="B4" s="1">
        <v>1</v>
      </c>
      <c r="C4" s="1" t="s">
        <v>729</v>
      </c>
      <c r="D4" s="1" t="s">
        <v>740</v>
      </c>
      <c r="E4" s="1" t="s">
        <v>741</v>
      </c>
      <c r="F4" s="1" t="s">
        <v>742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743</v>
      </c>
      <c r="S4" s="1"/>
      <c r="T4" s="1"/>
      <c r="U4" s="1" t="s">
        <v>1398</v>
      </c>
      <c r="V4" s="1" t="s">
        <v>1328</v>
      </c>
      <c r="W4" s="1" t="s">
        <v>1387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78" t="s">
        <v>750</v>
      </c>
      <c r="AK4" s="180" cm="1">
        <f t="array" ref="AK4">_xlfn.XLOOKUP(AJ4,AK5:AK22,_xlfn.XLOOKUP(AK3,AL4:BC4,AL5:BC22))</f>
        <v>1</v>
      </c>
      <c r="AL4" s="183" t="s">
        <v>763</v>
      </c>
      <c r="AM4" s="183" t="s">
        <v>746</v>
      </c>
      <c r="AN4" s="183" t="s">
        <v>752</v>
      </c>
      <c r="AO4" s="183" t="s">
        <v>770</v>
      </c>
      <c r="AP4" s="183" t="s">
        <v>741</v>
      </c>
      <c r="AQ4" s="183" t="s">
        <v>821</v>
      </c>
      <c r="AR4" s="183" t="s">
        <v>794</v>
      </c>
      <c r="AS4" s="183" t="s">
        <v>742</v>
      </c>
      <c r="AT4" s="183" t="s">
        <v>772</v>
      </c>
      <c r="AU4" s="183" t="s">
        <v>749</v>
      </c>
      <c r="AV4" s="183" t="s">
        <v>801</v>
      </c>
      <c r="AW4" s="183" t="s">
        <v>756</v>
      </c>
      <c r="AX4" s="183" t="s">
        <v>809</v>
      </c>
      <c r="AY4" s="183" t="s">
        <v>827</v>
      </c>
      <c r="AZ4" s="183" t="s">
        <v>750</v>
      </c>
      <c r="BA4" s="183" t="s">
        <v>862</v>
      </c>
      <c r="BB4" s="183" t="s">
        <v>816</v>
      </c>
      <c r="BC4" s="184" t="s">
        <v>775</v>
      </c>
      <c r="BE4" s="1">
        <v>1</v>
      </c>
      <c r="BF4" s="1" t="s">
        <v>1631</v>
      </c>
      <c r="BG4" s="1" t="s">
        <v>1512</v>
      </c>
      <c r="BH4" s="1" t="s">
        <v>1445</v>
      </c>
      <c r="BI4" s="1">
        <v>40</v>
      </c>
      <c r="BJ4" s="1" t="s">
        <v>763</v>
      </c>
      <c r="BK4" s="1" t="s">
        <v>1655</v>
      </c>
      <c r="BO4" s="1" t="str" cm="1">
        <f t="array" ref="BO4:BO19">_xlfn.UNIQUE(TableauListeAttaques15[Type])</f>
        <v>Normal</v>
      </c>
      <c r="BP4" t="s">
        <v>1475</v>
      </c>
    </row>
    <row r="5" spans="2:71">
      <c r="B5" s="1">
        <v>2</v>
      </c>
      <c r="C5" s="1" t="s">
        <v>728</v>
      </c>
      <c r="D5" s="1" t="s">
        <v>743</v>
      </c>
      <c r="E5" s="1" t="s">
        <v>741</v>
      </c>
      <c r="F5" s="1" t="s">
        <v>742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744</v>
      </c>
      <c r="S5" s="1"/>
      <c r="T5" s="1"/>
      <c r="U5" s="1" t="s">
        <v>1399</v>
      </c>
      <c r="V5" s="1" t="s">
        <v>1327</v>
      </c>
      <c r="W5" s="1" t="s">
        <v>1388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2" t="s">
        <v>1281</v>
      </c>
      <c r="AK5" s="181" t="s">
        <v>763</v>
      </c>
      <c r="AL5" s="186">
        <v>1</v>
      </c>
      <c r="AM5" s="187">
        <v>1</v>
      </c>
      <c r="AN5" s="187">
        <v>1</v>
      </c>
      <c r="AO5" s="187">
        <v>1</v>
      </c>
      <c r="AP5" s="187">
        <v>1</v>
      </c>
      <c r="AQ5" s="187">
        <v>1</v>
      </c>
      <c r="AR5" s="187">
        <v>1</v>
      </c>
      <c r="AS5" s="187">
        <v>1</v>
      </c>
      <c r="AT5" s="187">
        <v>1</v>
      </c>
      <c r="AU5" s="187">
        <v>1</v>
      </c>
      <c r="AV5" s="187">
        <v>1</v>
      </c>
      <c r="AW5" s="187">
        <v>1</v>
      </c>
      <c r="AX5" s="187">
        <v>0.5</v>
      </c>
      <c r="AY5" s="187">
        <v>0</v>
      </c>
      <c r="AZ5" s="187">
        <v>1</v>
      </c>
      <c r="BA5" s="187">
        <v>1</v>
      </c>
      <c r="BB5" s="187">
        <v>0.5</v>
      </c>
      <c r="BC5" s="188">
        <v>1</v>
      </c>
      <c r="BE5" s="1">
        <v>2</v>
      </c>
      <c r="BF5" s="1" t="s">
        <v>1644</v>
      </c>
      <c r="BG5" s="1" t="s">
        <v>1686</v>
      </c>
      <c r="BH5" s="1" t="s">
        <v>1445</v>
      </c>
      <c r="BI5" s="1">
        <v>50</v>
      </c>
      <c r="BJ5" s="1" t="s">
        <v>1459</v>
      </c>
      <c r="BK5" s="1" t="s">
        <v>1653</v>
      </c>
      <c r="BO5" s="1" t="str">
        <v>Combat</v>
      </c>
      <c r="BP5" t="s">
        <v>1786</v>
      </c>
    </row>
    <row r="6" spans="2:71">
      <c r="B6" s="1">
        <v>3</v>
      </c>
      <c r="C6" s="1" t="s">
        <v>727</v>
      </c>
      <c r="D6" s="1" t="s">
        <v>744</v>
      </c>
      <c r="E6" s="1" t="s">
        <v>741</v>
      </c>
      <c r="F6" s="1" t="s">
        <v>742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80</v>
      </c>
      <c r="Q6" s="1" t="s">
        <v>80</v>
      </c>
      <c r="R6" s="1" t="s">
        <v>80</v>
      </c>
      <c r="S6" s="1"/>
      <c r="T6" s="1"/>
      <c r="U6" s="1" t="s">
        <v>1400</v>
      </c>
      <c r="V6" s="1" t="s">
        <v>1326</v>
      </c>
      <c r="W6" s="1" t="s">
        <v>1391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2"/>
      <c r="AK6" s="181" t="s">
        <v>746</v>
      </c>
      <c r="AL6" s="189">
        <v>1</v>
      </c>
      <c r="AM6" s="185">
        <v>0.5</v>
      </c>
      <c r="AN6" s="185">
        <v>0.5</v>
      </c>
      <c r="AO6" s="185">
        <v>1</v>
      </c>
      <c r="AP6" s="185">
        <v>2</v>
      </c>
      <c r="AQ6" s="185">
        <v>2</v>
      </c>
      <c r="AR6" s="185">
        <v>1</v>
      </c>
      <c r="AS6" s="185">
        <v>1</v>
      </c>
      <c r="AT6" s="185">
        <v>1</v>
      </c>
      <c r="AU6" s="185">
        <v>1</v>
      </c>
      <c r="AV6" s="185">
        <v>1</v>
      </c>
      <c r="AW6" s="185">
        <v>2</v>
      </c>
      <c r="AX6" s="185">
        <v>0.5</v>
      </c>
      <c r="AY6" s="185">
        <v>1</v>
      </c>
      <c r="AZ6" s="185">
        <v>0.5</v>
      </c>
      <c r="BA6" s="185">
        <v>1</v>
      </c>
      <c r="BB6" s="185">
        <v>2</v>
      </c>
      <c r="BC6" s="190">
        <v>1</v>
      </c>
      <c r="BE6" s="1">
        <v>3</v>
      </c>
      <c r="BF6" s="1" t="s">
        <v>1647</v>
      </c>
      <c r="BG6" s="1" t="s">
        <v>1688</v>
      </c>
      <c r="BH6" s="1" t="s">
        <v>1445</v>
      </c>
      <c r="BI6" s="1">
        <v>35</v>
      </c>
      <c r="BJ6" s="1" t="s">
        <v>763</v>
      </c>
      <c r="BK6" s="1" t="s">
        <v>1655</v>
      </c>
      <c r="BO6" s="1" t="str">
        <v>Feu</v>
      </c>
    </row>
    <row r="7" spans="2:71">
      <c r="B7" s="1">
        <v>4</v>
      </c>
      <c r="C7" s="1" t="s">
        <v>726</v>
      </c>
      <c r="D7" s="1" t="s">
        <v>745</v>
      </c>
      <c r="E7" s="1" t="s">
        <v>746</v>
      </c>
      <c r="F7" s="1" t="s">
        <v>80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747</v>
      </c>
      <c r="S7" s="1"/>
      <c r="T7" s="1"/>
      <c r="U7" s="1" t="s">
        <v>1401</v>
      </c>
      <c r="V7" s="1" t="s">
        <v>1353</v>
      </c>
      <c r="W7" s="1" t="s">
        <v>1392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2"/>
      <c r="AK7" s="181" t="s">
        <v>752</v>
      </c>
      <c r="AL7" s="189">
        <v>1</v>
      </c>
      <c r="AM7" s="185">
        <v>2</v>
      </c>
      <c r="AN7" s="185">
        <v>0.5</v>
      </c>
      <c r="AO7" s="185">
        <v>1</v>
      </c>
      <c r="AP7" s="185">
        <v>0.5</v>
      </c>
      <c r="AQ7" s="185">
        <v>1</v>
      </c>
      <c r="AR7" s="185">
        <v>1</v>
      </c>
      <c r="AS7" s="185">
        <v>1</v>
      </c>
      <c r="AT7" s="185">
        <v>2</v>
      </c>
      <c r="AU7" s="185">
        <v>1</v>
      </c>
      <c r="AV7" s="185">
        <v>1</v>
      </c>
      <c r="AW7" s="185">
        <v>1</v>
      </c>
      <c r="AX7" s="185">
        <v>2</v>
      </c>
      <c r="AY7" s="185">
        <v>1</v>
      </c>
      <c r="AZ7" s="185">
        <v>0.5</v>
      </c>
      <c r="BA7" s="185">
        <v>1</v>
      </c>
      <c r="BB7" s="185">
        <v>1</v>
      </c>
      <c r="BC7" s="190">
        <v>1</v>
      </c>
      <c r="BE7" s="1">
        <v>4</v>
      </c>
      <c r="BF7" s="1" t="s">
        <v>1643</v>
      </c>
      <c r="BG7" s="1" t="s">
        <v>1685</v>
      </c>
      <c r="BH7" s="1" t="s">
        <v>1445</v>
      </c>
      <c r="BI7" s="1">
        <v>40</v>
      </c>
      <c r="BJ7" s="1" t="s">
        <v>1459</v>
      </c>
      <c r="BK7" s="1" t="s">
        <v>1655</v>
      </c>
      <c r="BO7" s="1" t="str">
        <v>Glace</v>
      </c>
    </row>
    <row r="8" spans="2:71">
      <c r="B8" s="1">
        <v>5</v>
      </c>
      <c r="C8" s="1" t="s">
        <v>725</v>
      </c>
      <c r="D8" s="1" t="s">
        <v>747</v>
      </c>
      <c r="E8" s="1" t="s">
        <v>746</v>
      </c>
      <c r="F8" s="1" t="s">
        <v>80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748</v>
      </c>
      <c r="S8" s="1"/>
      <c r="T8" s="1"/>
      <c r="U8" s="1" t="s">
        <v>1402</v>
      </c>
      <c r="V8" s="1" t="s">
        <v>1354</v>
      </c>
      <c r="W8" s="1" t="s">
        <v>1393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2"/>
      <c r="AK8" s="181" t="s">
        <v>770</v>
      </c>
      <c r="AL8" s="189">
        <v>1</v>
      </c>
      <c r="AM8" s="185">
        <v>1</v>
      </c>
      <c r="AN8" s="185">
        <v>2</v>
      </c>
      <c r="AO8" s="185">
        <v>0.5</v>
      </c>
      <c r="AP8" s="185">
        <v>0.5</v>
      </c>
      <c r="AQ8" s="185">
        <v>1</v>
      </c>
      <c r="AR8" s="185">
        <v>1</v>
      </c>
      <c r="AS8" s="185">
        <v>1</v>
      </c>
      <c r="AT8" s="185">
        <v>0</v>
      </c>
      <c r="AU8" s="185">
        <v>2</v>
      </c>
      <c r="AV8" s="185">
        <v>1</v>
      </c>
      <c r="AW8" s="185">
        <v>1</v>
      </c>
      <c r="AX8" s="185">
        <v>1</v>
      </c>
      <c r="AY8" s="185">
        <v>1</v>
      </c>
      <c r="AZ8" s="185">
        <v>0.5</v>
      </c>
      <c r="BA8" s="185">
        <v>1</v>
      </c>
      <c r="BB8" s="185">
        <v>1</v>
      </c>
      <c r="BC8" s="190">
        <v>1</v>
      </c>
      <c r="BE8" s="1">
        <v>5</v>
      </c>
      <c r="BF8" s="1" t="s">
        <v>1609</v>
      </c>
      <c r="BG8" s="1" t="s">
        <v>1610</v>
      </c>
      <c r="BH8" s="1" t="s">
        <v>1445</v>
      </c>
      <c r="BI8" s="1">
        <v>80</v>
      </c>
      <c r="BJ8" s="1" t="s">
        <v>763</v>
      </c>
      <c r="BK8" s="1" t="s">
        <v>1655</v>
      </c>
      <c r="BO8" s="1" t="str">
        <v>Électrik</v>
      </c>
    </row>
    <row r="9" spans="2:71">
      <c r="B9" s="1">
        <v>6</v>
      </c>
      <c r="C9" s="1" t="s">
        <v>724</v>
      </c>
      <c r="D9" s="1" t="s">
        <v>748</v>
      </c>
      <c r="E9" s="1" t="s">
        <v>746</v>
      </c>
      <c r="F9" s="1" t="s">
        <v>749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80</v>
      </c>
      <c r="Q9" s="1" t="s">
        <v>80</v>
      </c>
      <c r="R9" s="1" t="s">
        <v>80</v>
      </c>
      <c r="S9" s="1"/>
      <c r="T9" s="1"/>
      <c r="U9" s="1" t="s">
        <v>1403</v>
      </c>
      <c r="V9" s="1" t="s">
        <v>1355</v>
      </c>
      <c r="W9" s="1" t="s">
        <v>1394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2"/>
      <c r="AK9" s="181" t="s">
        <v>741</v>
      </c>
      <c r="AL9" s="189">
        <v>1</v>
      </c>
      <c r="AM9" s="185">
        <v>0.5</v>
      </c>
      <c r="AN9" s="185">
        <v>2</v>
      </c>
      <c r="AO9" s="185">
        <v>1</v>
      </c>
      <c r="AP9" s="185">
        <v>0.5</v>
      </c>
      <c r="AQ9" s="185">
        <v>1</v>
      </c>
      <c r="AR9" s="185">
        <v>1</v>
      </c>
      <c r="AS9" s="185">
        <v>0.5</v>
      </c>
      <c r="AT9" s="185">
        <v>2</v>
      </c>
      <c r="AU9" s="185">
        <v>0.5</v>
      </c>
      <c r="AV9" s="185">
        <v>1</v>
      </c>
      <c r="AW9" s="185">
        <v>0.5</v>
      </c>
      <c r="AX9" s="185">
        <v>2</v>
      </c>
      <c r="AY9" s="185">
        <v>1</v>
      </c>
      <c r="AZ9" s="185">
        <v>0.5</v>
      </c>
      <c r="BA9" s="185">
        <v>1</v>
      </c>
      <c r="BB9" s="185">
        <v>0.5</v>
      </c>
      <c r="BC9" s="190">
        <v>1</v>
      </c>
      <c r="BE9" s="1">
        <v>6</v>
      </c>
      <c r="BF9" s="1" t="s">
        <v>1538</v>
      </c>
      <c r="BG9" s="1" t="s">
        <v>1539</v>
      </c>
      <c r="BH9" s="1" t="s">
        <v>1445</v>
      </c>
      <c r="BI9" s="1">
        <v>40</v>
      </c>
      <c r="BJ9" s="1" t="s">
        <v>763</v>
      </c>
      <c r="BK9" s="1" t="s">
        <v>1655</v>
      </c>
      <c r="BO9" s="1" t="str">
        <v>Vol</v>
      </c>
    </row>
    <row r="10" spans="2:71">
      <c r="B10" s="1">
        <v>7</v>
      </c>
      <c r="C10" s="1" t="s">
        <v>723</v>
      </c>
      <c r="D10" s="1" t="s">
        <v>751</v>
      </c>
      <c r="E10" s="1" t="s">
        <v>752</v>
      </c>
      <c r="F10" s="1" t="s">
        <v>80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753</v>
      </c>
      <c r="S10" s="1"/>
      <c r="T10" s="1"/>
      <c r="U10" s="1" t="s">
        <v>1404</v>
      </c>
      <c r="V10" s="1" t="s">
        <v>1356</v>
      </c>
      <c r="W10" s="1" t="s">
        <v>1395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2"/>
      <c r="AK10" s="181" t="s">
        <v>821</v>
      </c>
      <c r="AL10" s="189">
        <v>1</v>
      </c>
      <c r="AM10" s="185">
        <v>0.5</v>
      </c>
      <c r="AN10" s="185">
        <v>0.5</v>
      </c>
      <c r="AO10" s="185">
        <v>1</v>
      </c>
      <c r="AP10" s="185">
        <v>2</v>
      </c>
      <c r="AQ10" s="185">
        <v>0.5</v>
      </c>
      <c r="AR10" s="185">
        <v>1</v>
      </c>
      <c r="AS10" s="185">
        <v>1</v>
      </c>
      <c r="AT10" s="185">
        <v>2</v>
      </c>
      <c r="AU10" s="185">
        <v>2</v>
      </c>
      <c r="AV10" s="185">
        <v>1</v>
      </c>
      <c r="AW10" s="185">
        <v>1</v>
      </c>
      <c r="AX10" s="185">
        <v>1</v>
      </c>
      <c r="AY10" s="185">
        <v>1</v>
      </c>
      <c r="AZ10" s="185">
        <v>2</v>
      </c>
      <c r="BA10" s="185">
        <v>1</v>
      </c>
      <c r="BB10" s="185">
        <v>0.5</v>
      </c>
      <c r="BC10" s="190">
        <v>1</v>
      </c>
      <c r="BE10" s="1">
        <v>7</v>
      </c>
      <c r="BF10" s="1" t="s">
        <v>1581</v>
      </c>
      <c r="BG10" s="1" t="s">
        <v>1582</v>
      </c>
      <c r="BH10" s="1" t="s">
        <v>1445</v>
      </c>
      <c r="BI10" s="1">
        <v>75</v>
      </c>
      <c r="BJ10" s="1" t="s">
        <v>1456</v>
      </c>
      <c r="BK10" s="1" t="s">
        <v>1659</v>
      </c>
      <c r="BO10" s="1" t="str">
        <v>Plante</v>
      </c>
    </row>
    <row r="11" spans="2:71">
      <c r="B11" s="1">
        <v>8</v>
      </c>
      <c r="C11" s="1" t="s">
        <v>722</v>
      </c>
      <c r="D11" s="1" t="s">
        <v>753</v>
      </c>
      <c r="E11" s="1" t="s">
        <v>752</v>
      </c>
      <c r="F11" s="1" t="s">
        <v>80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754</v>
      </c>
      <c r="S11" s="1"/>
      <c r="T11" s="1"/>
      <c r="U11" s="1" t="s">
        <v>1405</v>
      </c>
      <c r="V11" s="1" t="s">
        <v>1357</v>
      </c>
      <c r="W11" s="1" t="s">
        <v>1396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2"/>
      <c r="AK11" s="181" t="s">
        <v>794</v>
      </c>
      <c r="AL11" s="189">
        <v>2</v>
      </c>
      <c r="AM11" s="185">
        <v>1</v>
      </c>
      <c r="AN11" s="185">
        <v>1</v>
      </c>
      <c r="AO11" s="185">
        <v>1</v>
      </c>
      <c r="AP11" s="185">
        <v>1</v>
      </c>
      <c r="AQ11" s="185">
        <v>2</v>
      </c>
      <c r="AR11" s="185">
        <v>1</v>
      </c>
      <c r="AS11" s="185">
        <v>0.5</v>
      </c>
      <c r="AT11" s="185">
        <v>1</v>
      </c>
      <c r="AU11" s="185">
        <v>0.5</v>
      </c>
      <c r="AV11" s="185">
        <v>0.5</v>
      </c>
      <c r="AW11" s="185">
        <v>0.5</v>
      </c>
      <c r="AX11" s="185">
        <v>2</v>
      </c>
      <c r="AY11" s="185">
        <v>0</v>
      </c>
      <c r="AZ11" s="185">
        <v>1</v>
      </c>
      <c r="BA11" s="185">
        <v>2</v>
      </c>
      <c r="BB11" s="185">
        <v>2</v>
      </c>
      <c r="BC11" s="190">
        <v>0.5</v>
      </c>
      <c r="BE11" s="1">
        <v>8</v>
      </c>
      <c r="BF11" s="1" t="s">
        <v>1583</v>
      </c>
      <c r="BG11" s="1" t="s">
        <v>1584</v>
      </c>
      <c r="BH11" s="1" t="s">
        <v>1445</v>
      </c>
      <c r="BI11" s="1">
        <v>75</v>
      </c>
      <c r="BJ11" s="1" t="s">
        <v>1460</v>
      </c>
      <c r="BK11" s="1" t="s">
        <v>1656</v>
      </c>
      <c r="BO11" s="1" t="str">
        <v>Poison</v>
      </c>
    </row>
    <row r="12" spans="2:71">
      <c r="B12" s="1">
        <v>9</v>
      </c>
      <c r="C12" s="1" t="s">
        <v>721</v>
      </c>
      <c r="D12" s="1" t="s">
        <v>754</v>
      </c>
      <c r="E12" s="1" t="s">
        <v>752</v>
      </c>
      <c r="F12" s="1" t="s">
        <v>80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80</v>
      </c>
      <c r="Q12" s="1" t="s">
        <v>80</v>
      </c>
      <c r="R12" s="1" t="s">
        <v>80</v>
      </c>
      <c r="S12" s="1"/>
      <c r="T12" s="1"/>
      <c r="U12" s="1" t="s">
        <v>1406</v>
      </c>
      <c r="V12" s="1" t="s">
        <v>1358</v>
      </c>
      <c r="W12" s="1" t="s">
        <v>1397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2"/>
      <c r="AK12" s="181" t="s">
        <v>742</v>
      </c>
      <c r="AL12" s="189">
        <v>1</v>
      </c>
      <c r="AM12" s="185">
        <v>1</v>
      </c>
      <c r="AN12" s="185">
        <v>1</v>
      </c>
      <c r="AO12" s="185">
        <v>1</v>
      </c>
      <c r="AP12" s="185">
        <v>2</v>
      </c>
      <c r="AQ12" s="185">
        <v>1</v>
      </c>
      <c r="AR12" s="185">
        <v>1</v>
      </c>
      <c r="AS12" s="185">
        <v>0.5</v>
      </c>
      <c r="AT12" s="185">
        <v>0.5</v>
      </c>
      <c r="AU12" s="185">
        <v>1</v>
      </c>
      <c r="AV12" s="185">
        <v>1</v>
      </c>
      <c r="AW12" s="185">
        <v>1</v>
      </c>
      <c r="AX12" s="185">
        <v>0.5</v>
      </c>
      <c r="AY12" s="185">
        <v>0.5</v>
      </c>
      <c r="AZ12" s="185">
        <v>1</v>
      </c>
      <c r="BA12" s="185">
        <v>1</v>
      </c>
      <c r="BB12" s="185">
        <v>0</v>
      </c>
      <c r="BC12" s="190">
        <v>2</v>
      </c>
      <c r="BE12" s="1">
        <v>9</v>
      </c>
      <c r="BF12" s="1" t="s">
        <v>1579</v>
      </c>
      <c r="BG12" s="1" t="s">
        <v>1580</v>
      </c>
      <c r="BH12" s="1" t="s">
        <v>1445</v>
      </c>
      <c r="BI12" s="1">
        <v>75</v>
      </c>
      <c r="BJ12" s="1" t="s">
        <v>1470</v>
      </c>
      <c r="BK12" s="1" t="s">
        <v>1664</v>
      </c>
      <c r="BO12" s="1" t="str">
        <v>Insecte</v>
      </c>
    </row>
    <row r="13" spans="2:71">
      <c r="B13" s="1">
        <v>10</v>
      </c>
      <c r="C13" s="1" t="s">
        <v>720</v>
      </c>
      <c r="D13" s="1" t="s">
        <v>755</v>
      </c>
      <c r="E13" s="1" t="s">
        <v>756</v>
      </c>
      <c r="F13" s="1" t="s">
        <v>80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757</v>
      </c>
      <c r="S13" s="1"/>
      <c r="T13" s="1"/>
      <c r="U13" s="1" t="s">
        <v>1359</v>
      </c>
      <c r="V13" s="1" t="s">
        <v>1360</v>
      </c>
      <c r="W13" s="1" t="s">
        <v>1407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2"/>
      <c r="AK13" s="181" t="s">
        <v>772</v>
      </c>
      <c r="AL13" s="189">
        <v>1</v>
      </c>
      <c r="AM13" s="185">
        <v>2</v>
      </c>
      <c r="AN13" s="185">
        <v>1</v>
      </c>
      <c r="AO13" s="185">
        <v>2</v>
      </c>
      <c r="AP13" s="185">
        <v>0.5</v>
      </c>
      <c r="AQ13" s="185">
        <v>1</v>
      </c>
      <c r="AR13" s="185">
        <v>1</v>
      </c>
      <c r="AS13" s="185">
        <v>2</v>
      </c>
      <c r="AT13" s="185">
        <v>1</v>
      </c>
      <c r="AU13" s="185">
        <v>0</v>
      </c>
      <c r="AV13" s="185">
        <v>1</v>
      </c>
      <c r="AW13" s="185">
        <v>0.5</v>
      </c>
      <c r="AX13" s="185">
        <v>2</v>
      </c>
      <c r="AY13" s="185">
        <v>1</v>
      </c>
      <c r="AZ13" s="185">
        <v>1</v>
      </c>
      <c r="BA13" s="185">
        <v>1</v>
      </c>
      <c r="BB13" s="185">
        <v>2</v>
      </c>
      <c r="BC13" s="190">
        <v>1</v>
      </c>
      <c r="BE13" s="1">
        <v>10</v>
      </c>
      <c r="BF13" s="1" t="s">
        <v>1533</v>
      </c>
      <c r="BG13" s="1" t="s">
        <v>1534</v>
      </c>
      <c r="BH13" s="1" t="s">
        <v>1445</v>
      </c>
      <c r="BI13" s="1">
        <v>40</v>
      </c>
      <c r="BJ13" s="1" t="s">
        <v>763</v>
      </c>
      <c r="BK13" s="1" t="s">
        <v>1655</v>
      </c>
      <c r="BO13" s="1" t="str">
        <v>Ténèbres</v>
      </c>
    </row>
    <row r="14" spans="2:71">
      <c r="B14" s="1">
        <v>11</v>
      </c>
      <c r="C14" s="1" t="s">
        <v>719</v>
      </c>
      <c r="D14" s="1" t="s">
        <v>757</v>
      </c>
      <c r="E14" s="1" t="s">
        <v>756</v>
      </c>
      <c r="F14" s="1" t="s">
        <v>80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758</v>
      </c>
      <c r="S14" s="1"/>
      <c r="T14" s="1"/>
      <c r="U14" s="1" t="s">
        <v>1361</v>
      </c>
      <c r="V14" s="1" t="s">
        <v>1362</v>
      </c>
      <c r="W14" s="1" t="s">
        <v>1408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2"/>
      <c r="AK14" s="181" t="s">
        <v>749</v>
      </c>
      <c r="AL14" s="189">
        <v>1</v>
      </c>
      <c r="AM14" s="185">
        <v>1</v>
      </c>
      <c r="AN14" s="185">
        <v>1</v>
      </c>
      <c r="AO14" s="185">
        <v>0.5</v>
      </c>
      <c r="AP14" s="185">
        <v>2</v>
      </c>
      <c r="AQ14" s="185">
        <v>1</v>
      </c>
      <c r="AR14" s="185">
        <v>2</v>
      </c>
      <c r="AS14" s="185">
        <v>1</v>
      </c>
      <c r="AT14" s="185">
        <v>1</v>
      </c>
      <c r="AU14" s="185">
        <v>1</v>
      </c>
      <c r="AV14" s="185">
        <v>1</v>
      </c>
      <c r="AW14" s="185">
        <v>2</v>
      </c>
      <c r="AX14" s="185">
        <v>0.5</v>
      </c>
      <c r="AY14" s="185">
        <v>1</v>
      </c>
      <c r="AZ14" s="185">
        <v>1</v>
      </c>
      <c r="BA14" s="185">
        <v>1</v>
      </c>
      <c r="BB14" s="185">
        <v>0.5</v>
      </c>
      <c r="BC14" s="190">
        <v>1</v>
      </c>
      <c r="BE14" s="1">
        <v>11</v>
      </c>
      <c r="BF14" s="1" t="s">
        <v>1525</v>
      </c>
      <c r="BG14" s="1" t="s">
        <v>1526</v>
      </c>
      <c r="BH14" s="1" t="s">
        <v>1445</v>
      </c>
      <c r="BI14" s="1">
        <v>55</v>
      </c>
      <c r="BJ14" s="1" t="s">
        <v>763</v>
      </c>
      <c r="BK14" s="1" t="s">
        <v>1655</v>
      </c>
      <c r="BO14" s="1" t="str">
        <v>Eau</v>
      </c>
    </row>
    <row r="15" spans="2:71">
      <c r="B15" s="1">
        <v>12</v>
      </c>
      <c r="C15" s="1" t="s">
        <v>718</v>
      </c>
      <c r="D15" s="1" t="s">
        <v>758</v>
      </c>
      <c r="E15" s="1" t="s">
        <v>756</v>
      </c>
      <c r="F15" s="1" t="s">
        <v>749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80</v>
      </c>
      <c r="Q15" s="1" t="s">
        <v>80</v>
      </c>
      <c r="R15" s="1" t="s">
        <v>80</v>
      </c>
      <c r="S15" s="1"/>
      <c r="T15" s="1"/>
      <c r="U15" s="1" t="s">
        <v>1363</v>
      </c>
      <c r="V15" s="1" t="s">
        <v>1364</v>
      </c>
      <c r="W15" s="1" t="s">
        <v>1409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2"/>
      <c r="AK15" s="181" t="s">
        <v>801</v>
      </c>
      <c r="AL15" s="189">
        <v>1</v>
      </c>
      <c r="AM15" s="185">
        <v>1</v>
      </c>
      <c r="AN15" s="185">
        <v>1</v>
      </c>
      <c r="AO15" s="185">
        <v>1</v>
      </c>
      <c r="AP15" s="185">
        <v>1</v>
      </c>
      <c r="AQ15" s="185">
        <v>1</v>
      </c>
      <c r="AR15" s="185">
        <v>2</v>
      </c>
      <c r="AS15" s="185">
        <v>2</v>
      </c>
      <c r="AT15" s="185">
        <v>1</v>
      </c>
      <c r="AU15" s="185">
        <v>1</v>
      </c>
      <c r="AV15" s="185">
        <v>0.5</v>
      </c>
      <c r="AW15" s="185">
        <v>1</v>
      </c>
      <c r="AX15" s="185">
        <v>1</v>
      </c>
      <c r="AY15" s="185">
        <v>1</v>
      </c>
      <c r="AZ15" s="185">
        <v>1</v>
      </c>
      <c r="BA15" s="185">
        <v>0</v>
      </c>
      <c r="BB15" s="185">
        <v>0.5</v>
      </c>
      <c r="BC15" s="190">
        <v>1</v>
      </c>
      <c r="BE15" s="1">
        <v>12</v>
      </c>
      <c r="BF15" s="1" t="s">
        <v>1535</v>
      </c>
      <c r="BG15" s="1" t="s">
        <v>1535</v>
      </c>
      <c r="BH15" s="1" t="s">
        <v>1445</v>
      </c>
      <c r="BI15" s="1">
        <v>80</v>
      </c>
      <c r="BJ15" s="1" t="s">
        <v>763</v>
      </c>
      <c r="BK15" s="1" t="s">
        <v>1655</v>
      </c>
      <c r="BO15" s="1" t="str">
        <v>Psy</v>
      </c>
    </row>
    <row r="16" spans="2:71">
      <c r="B16" s="1">
        <v>13</v>
      </c>
      <c r="C16" s="1" t="s">
        <v>717</v>
      </c>
      <c r="D16" s="1" t="s">
        <v>759</v>
      </c>
      <c r="E16" s="1" t="s">
        <v>756</v>
      </c>
      <c r="F16" s="1" t="s">
        <v>742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760</v>
      </c>
      <c r="S16" s="1"/>
      <c r="T16" s="1"/>
      <c r="U16" s="1" t="s">
        <v>1365</v>
      </c>
      <c r="V16" s="1" t="s">
        <v>1366</v>
      </c>
      <c r="W16" s="1" t="s">
        <v>1410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2"/>
      <c r="AK16" s="181" t="s">
        <v>756</v>
      </c>
      <c r="AL16" s="189">
        <v>1</v>
      </c>
      <c r="AM16" s="185">
        <v>0.5</v>
      </c>
      <c r="AN16" s="185">
        <v>1</v>
      </c>
      <c r="AO16" s="185">
        <v>1</v>
      </c>
      <c r="AP16" s="185">
        <v>2</v>
      </c>
      <c r="AQ16" s="185">
        <v>1</v>
      </c>
      <c r="AR16" s="185">
        <v>0.5</v>
      </c>
      <c r="AS16" s="185">
        <v>0.5</v>
      </c>
      <c r="AT16" s="185">
        <v>1</v>
      </c>
      <c r="AU16" s="185">
        <v>0.5</v>
      </c>
      <c r="AV16" s="185">
        <v>2</v>
      </c>
      <c r="AW16" s="185">
        <v>1</v>
      </c>
      <c r="AX16" s="185">
        <v>1</v>
      </c>
      <c r="AY16" s="185">
        <v>0.5</v>
      </c>
      <c r="AZ16" s="185">
        <v>1</v>
      </c>
      <c r="BA16" s="185">
        <v>2</v>
      </c>
      <c r="BB16" s="185">
        <v>0.5</v>
      </c>
      <c r="BC16" s="190">
        <v>0.5</v>
      </c>
      <c r="BE16" s="1">
        <v>13</v>
      </c>
      <c r="BF16" s="1" t="s">
        <v>1627</v>
      </c>
      <c r="BG16" s="1" t="s">
        <v>1673</v>
      </c>
      <c r="BH16" s="1" t="s">
        <v>1449</v>
      </c>
      <c r="BI16" s="1">
        <v>80</v>
      </c>
      <c r="BJ16" s="1" t="s">
        <v>1453</v>
      </c>
      <c r="BK16" s="1" t="s">
        <v>1654</v>
      </c>
      <c r="BO16" s="1" t="str">
        <v>Dragon</v>
      </c>
    </row>
    <row r="17" spans="2:67">
      <c r="B17" s="1">
        <v>14</v>
      </c>
      <c r="C17" s="1" t="s">
        <v>716</v>
      </c>
      <c r="D17" s="1" t="s">
        <v>760</v>
      </c>
      <c r="E17" s="1" t="s">
        <v>756</v>
      </c>
      <c r="F17" s="1" t="s">
        <v>742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761</v>
      </c>
      <c r="S17" s="1"/>
      <c r="T17" s="1"/>
      <c r="U17" s="1" t="s">
        <v>1367</v>
      </c>
      <c r="V17" s="1" t="s">
        <v>1368</v>
      </c>
      <c r="W17" s="1" t="s">
        <v>1411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2"/>
      <c r="AK17" s="181" t="s">
        <v>809</v>
      </c>
      <c r="AL17" s="189">
        <v>1</v>
      </c>
      <c r="AM17" s="185">
        <v>2</v>
      </c>
      <c r="AN17" s="185">
        <v>1</v>
      </c>
      <c r="AO17" s="185">
        <v>1</v>
      </c>
      <c r="AP17" s="185">
        <v>1</v>
      </c>
      <c r="AQ17" s="185">
        <v>2</v>
      </c>
      <c r="AR17" s="185">
        <v>0.5</v>
      </c>
      <c r="AS17" s="185">
        <v>1</v>
      </c>
      <c r="AT17" s="185">
        <v>0.5</v>
      </c>
      <c r="AU17" s="185">
        <v>2</v>
      </c>
      <c r="AV17" s="185">
        <v>1</v>
      </c>
      <c r="AW17" s="185">
        <v>2</v>
      </c>
      <c r="AX17" s="185">
        <v>1</v>
      </c>
      <c r="AY17" s="185">
        <v>1</v>
      </c>
      <c r="AZ17" s="185">
        <v>1</v>
      </c>
      <c r="BA17" s="185">
        <v>1</v>
      </c>
      <c r="BB17" s="185">
        <v>0.5</v>
      </c>
      <c r="BC17" s="190">
        <v>1</v>
      </c>
      <c r="BE17" s="1">
        <v>15</v>
      </c>
      <c r="BF17" s="1" t="s">
        <v>1482</v>
      </c>
      <c r="BG17" s="1" t="s">
        <v>1483</v>
      </c>
      <c r="BH17" s="1" t="s">
        <v>1445</v>
      </c>
      <c r="BI17" s="1">
        <v>50</v>
      </c>
      <c r="BJ17" s="1" t="s">
        <v>763</v>
      </c>
      <c r="BK17" s="1" t="s">
        <v>1655</v>
      </c>
      <c r="BO17" s="1" t="str">
        <v>Roche</v>
      </c>
    </row>
    <row r="18" spans="2:67">
      <c r="B18" s="1">
        <v>15</v>
      </c>
      <c r="C18" s="1" t="s">
        <v>715</v>
      </c>
      <c r="D18" s="1" t="s">
        <v>761</v>
      </c>
      <c r="E18" s="1" t="s">
        <v>756</v>
      </c>
      <c r="F18" s="1" t="s">
        <v>742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80</v>
      </c>
      <c r="Q18" s="1" t="s">
        <v>80</v>
      </c>
      <c r="R18" s="1" t="s">
        <v>80</v>
      </c>
      <c r="S18" s="1"/>
      <c r="T18" s="1"/>
      <c r="U18" s="1" t="s">
        <v>1369</v>
      </c>
      <c r="V18" s="1" t="s">
        <v>1370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2"/>
      <c r="AK18" s="181" t="s">
        <v>827</v>
      </c>
      <c r="AL18" s="189">
        <v>0</v>
      </c>
      <c r="AM18" s="185">
        <v>1</v>
      </c>
      <c r="AN18" s="185">
        <v>1</v>
      </c>
      <c r="AO18" s="185">
        <v>1</v>
      </c>
      <c r="AP18" s="185">
        <v>1</v>
      </c>
      <c r="AQ18" s="185">
        <v>1</v>
      </c>
      <c r="AR18" s="185">
        <v>1</v>
      </c>
      <c r="AS18" s="185">
        <v>1</v>
      </c>
      <c r="AT18" s="185">
        <v>1</v>
      </c>
      <c r="AU18" s="185">
        <v>1</v>
      </c>
      <c r="AV18" s="185">
        <v>2</v>
      </c>
      <c r="AW18" s="185">
        <v>1</v>
      </c>
      <c r="AX18" s="185">
        <v>1</v>
      </c>
      <c r="AY18" s="185">
        <v>2</v>
      </c>
      <c r="AZ18" s="185">
        <v>1</v>
      </c>
      <c r="BA18" s="185">
        <v>0.5</v>
      </c>
      <c r="BB18" s="185">
        <v>1</v>
      </c>
      <c r="BC18" s="190">
        <v>1</v>
      </c>
      <c r="BE18" s="1">
        <v>16</v>
      </c>
      <c r="BF18" s="1" t="s">
        <v>1600</v>
      </c>
      <c r="BG18" s="1" t="s">
        <v>1601</v>
      </c>
      <c r="BH18" s="1" t="s">
        <v>1449</v>
      </c>
      <c r="BI18" s="1">
        <v>40</v>
      </c>
      <c r="BJ18" s="1" t="s">
        <v>1453</v>
      </c>
      <c r="BK18" s="1" t="s">
        <v>1654</v>
      </c>
      <c r="BO18" s="1" t="str">
        <v>Sol</v>
      </c>
    </row>
    <row r="19" spans="2:67">
      <c r="B19" s="1">
        <v>16</v>
      </c>
      <c r="C19" s="1" t="s">
        <v>714</v>
      </c>
      <c r="D19" s="1" t="s">
        <v>762</v>
      </c>
      <c r="E19" s="1" t="s">
        <v>763</v>
      </c>
      <c r="F19" s="1" t="s">
        <v>749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764</v>
      </c>
      <c r="S19" s="1"/>
      <c r="T19" s="1"/>
      <c r="U19" s="1" t="s">
        <v>1371</v>
      </c>
      <c r="V19" s="1" t="s">
        <v>1372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2"/>
      <c r="AK19" s="181" t="s">
        <v>750</v>
      </c>
      <c r="AL19" s="189">
        <v>1</v>
      </c>
      <c r="AM19" s="185">
        <v>1</v>
      </c>
      <c r="AN19" s="185">
        <v>1</v>
      </c>
      <c r="AO19" s="185">
        <v>1</v>
      </c>
      <c r="AP19" s="185">
        <v>1</v>
      </c>
      <c r="AQ19" s="185">
        <v>1</v>
      </c>
      <c r="AR19" s="185">
        <v>1</v>
      </c>
      <c r="AS19" s="185">
        <v>1</v>
      </c>
      <c r="AT19" s="185">
        <v>1</v>
      </c>
      <c r="AU19" s="185">
        <v>1</v>
      </c>
      <c r="AV19" s="185">
        <v>1</v>
      </c>
      <c r="AW19" s="185">
        <v>1</v>
      </c>
      <c r="AX19" s="185">
        <v>1</v>
      </c>
      <c r="AY19" s="185">
        <v>1</v>
      </c>
      <c r="AZ19" s="185">
        <v>2</v>
      </c>
      <c r="BA19" s="185">
        <v>1</v>
      </c>
      <c r="BB19" s="185">
        <v>0.5</v>
      </c>
      <c r="BC19" s="190">
        <v>0</v>
      </c>
      <c r="BE19" s="1">
        <v>17</v>
      </c>
      <c r="BF19" s="1" t="s">
        <v>1486</v>
      </c>
      <c r="BG19" s="1" t="s">
        <v>1487</v>
      </c>
      <c r="BH19" s="1" t="s">
        <v>1445</v>
      </c>
      <c r="BI19" s="1">
        <v>60</v>
      </c>
      <c r="BJ19" s="1" t="s">
        <v>1453</v>
      </c>
      <c r="BK19" s="1" t="s">
        <v>1654</v>
      </c>
      <c r="BO19" s="1" t="str">
        <v>Spectre</v>
      </c>
    </row>
    <row r="20" spans="2:67">
      <c r="B20" s="1">
        <v>17</v>
      </c>
      <c r="C20" s="1" t="s">
        <v>713</v>
      </c>
      <c r="D20" s="1" t="s">
        <v>764</v>
      </c>
      <c r="E20" s="1" t="s">
        <v>763</v>
      </c>
      <c r="F20" s="1" t="s">
        <v>749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765</v>
      </c>
      <c r="S20" s="1"/>
      <c r="T20" s="1"/>
      <c r="U20" s="1" t="s">
        <v>1373</v>
      </c>
      <c r="V20" s="1" t="s">
        <v>1374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2"/>
      <c r="AK20" s="181" t="s">
        <v>862</v>
      </c>
      <c r="AL20" s="189">
        <v>1</v>
      </c>
      <c r="AM20" s="185">
        <v>1</v>
      </c>
      <c r="AN20" s="185">
        <v>1</v>
      </c>
      <c r="AO20" s="185">
        <v>1</v>
      </c>
      <c r="AP20" s="185">
        <v>1</v>
      </c>
      <c r="AQ20" s="185">
        <v>1</v>
      </c>
      <c r="AR20" s="185">
        <v>0.5</v>
      </c>
      <c r="AS20" s="185">
        <v>1</v>
      </c>
      <c r="AT20" s="185">
        <v>1</v>
      </c>
      <c r="AU20" s="185">
        <v>1</v>
      </c>
      <c r="AV20" s="185">
        <v>2</v>
      </c>
      <c r="AW20" s="185">
        <v>1</v>
      </c>
      <c r="AX20" s="185">
        <v>1</v>
      </c>
      <c r="AY20" s="185">
        <v>2</v>
      </c>
      <c r="AZ20" s="185">
        <v>1</v>
      </c>
      <c r="BA20" s="185">
        <v>0.5</v>
      </c>
      <c r="BB20" s="185">
        <v>1</v>
      </c>
      <c r="BC20" s="190">
        <v>0.5</v>
      </c>
      <c r="BE20" s="1">
        <v>19</v>
      </c>
      <c r="BF20" s="1" t="s">
        <v>1453</v>
      </c>
      <c r="BG20" s="1" t="s">
        <v>1619</v>
      </c>
      <c r="BH20" s="1" t="s">
        <v>1445</v>
      </c>
      <c r="BI20" s="1">
        <v>90</v>
      </c>
      <c r="BJ20" s="1" t="s">
        <v>1453</v>
      </c>
      <c r="BK20" s="1" t="s">
        <v>1654</v>
      </c>
    </row>
    <row r="21" spans="2:67">
      <c r="B21" s="1">
        <v>18</v>
      </c>
      <c r="C21" s="1" t="s">
        <v>712</v>
      </c>
      <c r="D21" s="1" t="s">
        <v>765</v>
      </c>
      <c r="E21" s="1" t="s">
        <v>763</v>
      </c>
      <c r="F21" s="1" t="s">
        <v>749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80</v>
      </c>
      <c r="Q21" s="1" t="s">
        <v>80</v>
      </c>
      <c r="R21" s="1" t="s">
        <v>80</v>
      </c>
      <c r="S21" s="1"/>
      <c r="T21" s="1"/>
      <c r="U21" s="1" t="s">
        <v>1375</v>
      </c>
      <c r="V21" s="1" t="s">
        <v>1376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2"/>
      <c r="AK21" s="181" t="s">
        <v>816</v>
      </c>
      <c r="AL21" s="189">
        <v>1</v>
      </c>
      <c r="AM21" s="185">
        <v>0.5</v>
      </c>
      <c r="AN21" s="185">
        <v>0.5</v>
      </c>
      <c r="AO21" s="185">
        <v>0.5</v>
      </c>
      <c r="AP21" s="185">
        <v>1</v>
      </c>
      <c r="AQ21" s="185">
        <v>2</v>
      </c>
      <c r="AR21" s="185">
        <v>1</v>
      </c>
      <c r="AS21" s="185">
        <v>1</v>
      </c>
      <c r="AT21" s="185">
        <v>1</v>
      </c>
      <c r="AU21" s="185">
        <v>1</v>
      </c>
      <c r="AV21" s="185">
        <v>1</v>
      </c>
      <c r="AW21" s="185">
        <v>1</v>
      </c>
      <c r="AX21" s="185">
        <v>2</v>
      </c>
      <c r="AY21" s="185">
        <v>1</v>
      </c>
      <c r="AZ21" s="185">
        <v>1</v>
      </c>
      <c r="BA21" s="185">
        <v>1</v>
      </c>
      <c r="BB21" s="185">
        <v>0.5</v>
      </c>
      <c r="BC21" s="190">
        <v>2</v>
      </c>
      <c r="BE21" s="1">
        <v>20</v>
      </c>
      <c r="BF21" s="1" t="s">
        <v>1516</v>
      </c>
      <c r="BG21" s="1" t="s">
        <v>1517</v>
      </c>
      <c r="BH21" s="1" t="s">
        <v>1445</v>
      </c>
      <c r="BI21" s="1">
        <v>15</v>
      </c>
      <c r="BJ21" s="1" t="s">
        <v>763</v>
      </c>
      <c r="BK21" s="1" t="s">
        <v>1655</v>
      </c>
    </row>
    <row r="22" spans="2:67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766</v>
      </c>
      <c r="S22" s="1"/>
      <c r="T22" s="1"/>
      <c r="U22" s="1" t="s">
        <v>1377</v>
      </c>
      <c r="V22" s="1" t="s">
        <v>1378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3"/>
      <c r="AK22" s="182" t="s">
        <v>775</v>
      </c>
      <c r="AL22" s="191">
        <v>1</v>
      </c>
      <c r="AM22" s="192">
        <v>0.5</v>
      </c>
      <c r="AN22" s="192">
        <v>1</v>
      </c>
      <c r="AO22" s="192">
        <v>1</v>
      </c>
      <c r="AP22" s="192">
        <v>1</v>
      </c>
      <c r="AQ22" s="192">
        <v>1</v>
      </c>
      <c r="AR22" s="192">
        <v>2</v>
      </c>
      <c r="AS22" s="192">
        <v>0.5</v>
      </c>
      <c r="AT22" s="192">
        <v>1</v>
      </c>
      <c r="AU22" s="192">
        <v>1</v>
      </c>
      <c r="AV22" s="192">
        <v>1</v>
      </c>
      <c r="AW22" s="192">
        <v>1</v>
      </c>
      <c r="AX22" s="192">
        <v>1</v>
      </c>
      <c r="AY22" s="192">
        <v>1</v>
      </c>
      <c r="AZ22" s="192">
        <v>2</v>
      </c>
      <c r="BA22" s="192">
        <v>2</v>
      </c>
      <c r="BB22" s="192">
        <v>0.5</v>
      </c>
      <c r="BC22" s="193">
        <v>1</v>
      </c>
      <c r="BE22" s="1">
        <v>21</v>
      </c>
      <c r="BF22" s="1" t="s">
        <v>1595</v>
      </c>
      <c r="BG22" s="1" t="s">
        <v>1596</v>
      </c>
      <c r="BH22" s="1" t="s">
        <v>1445</v>
      </c>
      <c r="BI22" s="1">
        <v>80</v>
      </c>
      <c r="BJ22" s="1" t="s">
        <v>763</v>
      </c>
      <c r="BK22" s="1" t="s">
        <v>1655</v>
      </c>
    </row>
    <row r="23" spans="2:67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80</v>
      </c>
      <c r="Q23" s="1" t="s">
        <v>80</v>
      </c>
      <c r="R23" s="1"/>
      <c r="S23" s="1"/>
      <c r="T23" s="1"/>
      <c r="U23" s="1" t="s">
        <v>1379</v>
      </c>
      <c r="V23" s="1" t="s">
        <v>1380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1527</v>
      </c>
      <c r="BG23" s="1" t="s">
        <v>1528</v>
      </c>
      <c r="BH23" s="1" t="s">
        <v>1445</v>
      </c>
      <c r="BI23" s="1">
        <v>45</v>
      </c>
      <c r="BJ23" s="1" t="s">
        <v>1452</v>
      </c>
      <c r="BK23" s="1" t="s">
        <v>1660</v>
      </c>
    </row>
    <row r="24" spans="2:67">
      <c r="B24" s="1">
        <v>21</v>
      </c>
      <c r="C24" s="1" t="s">
        <v>709</v>
      </c>
      <c r="D24" s="1" t="s">
        <v>767</v>
      </c>
      <c r="E24" s="1" t="s">
        <v>763</v>
      </c>
      <c r="F24" s="1" t="s">
        <v>749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768</v>
      </c>
      <c r="S24" s="1"/>
      <c r="T24" s="1"/>
      <c r="U24" s="1" t="s">
        <v>1381</v>
      </c>
      <c r="V24" s="1" t="s">
        <v>1382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76"/>
      <c r="BE24" s="1">
        <v>23</v>
      </c>
      <c r="BF24" s="1" t="s">
        <v>1513</v>
      </c>
      <c r="BG24" s="1" t="s">
        <v>1514</v>
      </c>
      <c r="BH24" s="1" t="s">
        <v>1445</v>
      </c>
      <c r="BI24" s="1">
        <v>65</v>
      </c>
      <c r="BJ24" s="1" t="s">
        <v>763</v>
      </c>
      <c r="BK24" s="1" t="s">
        <v>1655</v>
      </c>
    </row>
    <row r="25" spans="2:67">
      <c r="B25" s="1">
        <v>22</v>
      </c>
      <c r="C25" s="1" t="s">
        <v>708</v>
      </c>
      <c r="D25" s="1" t="s">
        <v>768</v>
      </c>
      <c r="E25" s="1" t="s">
        <v>763</v>
      </c>
      <c r="F25" s="1" t="s">
        <v>749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80</v>
      </c>
      <c r="Q25" s="1" t="s">
        <v>80</v>
      </c>
      <c r="R25" s="1"/>
      <c r="S25" s="1"/>
      <c r="T25" s="1"/>
      <c r="U25" s="1" t="s">
        <v>1383</v>
      </c>
      <c r="V25" s="1" t="s">
        <v>1384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76"/>
      <c r="BE25" s="1">
        <v>24</v>
      </c>
      <c r="BF25" s="1" t="s">
        <v>1506</v>
      </c>
      <c r="BG25" s="1" t="s">
        <v>1507</v>
      </c>
      <c r="BH25" s="1" t="s">
        <v>1445</v>
      </c>
      <c r="BI25" s="1">
        <v>30</v>
      </c>
      <c r="BJ25" s="1" t="s">
        <v>1459</v>
      </c>
      <c r="BK25" s="1" t="s">
        <v>1653</v>
      </c>
    </row>
    <row r="26" spans="2:67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706</v>
      </c>
      <c r="S26" s="1"/>
      <c r="T26" s="1"/>
      <c r="U26" s="1" t="s">
        <v>1385</v>
      </c>
      <c r="V26" s="1" t="s">
        <v>1386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1611</v>
      </c>
      <c r="BG26" s="1" t="s">
        <v>1612</v>
      </c>
      <c r="BH26" s="1" t="s">
        <v>1445</v>
      </c>
      <c r="BI26" s="1">
        <v>120</v>
      </c>
      <c r="BJ26" s="1" t="s">
        <v>763</v>
      </c>
      <c r="BK26" s="1" t="s">
        <v>1655</v>
      </c>
    </row>
    <row r="27" spans="2:67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80</v>
      </c>
      <c r="Q27" s="1" t="s">
        <v>80</v>
      </c>
      <c r="R27" s="1"/>
      <c r="S27" s="1"/>
      <c r="T27" s="1"/>
      <c r="U27" s="1" t="s">
        <v>1413</v>
      </c>
      <c r="V27" s="1" t="s">
        <v>1324</v>
      </c>
      <c r="W27" s="1" t="s">
        <v>1415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1641</v>
      </c>
      <c r="BG27" s="1" t="s">
        <v>1684</v>
      </c>
      <c r="BH27" s="1" t="s">
        <v>1445</v>
      </c>
      <c r="BI27" s="1">
        <v>70</v>
      </c>
      <c r="BJ27" s="1" t="s">
        <v>1459</v>
      </c>
      <c r="BK27" s="1" t="s">
        <v>1653</v>
      </c>
    </row>
    <row r="28" spans="2:67">
      <c r="B28" s="1">
        <v>25</v>
      </c>
      <c r="C28" s="1" t="s">
        <v>705</v>
      </c>
      <c r="D28" s="1" t="s">
        <v>705</v>
      </c>
      <c r="E28" s="1" t="s">
        <v>770</v>
      </c>
      <c r="F28" s="1" t="s">
        <v>80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704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76"/>
      <c r="BE28" s="1">
        <v>27</v>
      </c>
      <c r="BF28" s="1" t="s">
        <v>1637</v>
      </c>
      <c r="BG28" s="1" t="s">
        <v>1680</v>
      </c>
      <c r="BH28" s="1" t="s">
        <v>1445</v>
      </c>
      <c r="BI28" s="1">
        <v>60</v>
      </c>
      <c r="BJ28" s="1" t="s">
        <v>1459</v>
      </c>
      <c r="BK28" s="1" t="s">
        <v>1653</v>
      </c>
    </row>
    <row r="29" spans="2:67">
      <c r="B29" s="1">
        <v>26</v>
      </c>
      <c r="C29" s="1" t="s">
        <v>704</v>
      </c>
      <c r="D29" s="1" t="s">
        <v>704</v>
      </c>
      <c r="E29" s="1" t="s">
        <v>770</v>
      </c>
      <c r="F29" s="1" t="s">
        <v>80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80</v>
      </c>
      <c r="Q29" s="1" t="s">
        <v>80</v>
      </c>
      <c r="R29" s="1" t="s">
        <v>80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76"/>
      <c r="BE29" s="1">
        <v>29</v>
      </c>
      <c r="BF29" s="1" t="s">
        <v>1626</v>
      </c>
      <c r="BG29" s="1" t="s">
        <v>1481</v>
      </c>
      <c r="BH29" s="1" t="s">
        <v>1445</v>
      </c>
      <c r="BI29" s="1">
        <v>70</v>
      </c>
      <c r="BJ29" s="1" t="s">
        <v>763</v>
      </c>
      <c r="BK29" s="1" t="s">
        <v>1655</v>
      </c>
    </row>
    <row r="30" spans="2:67">
      <c r="B30" s="1">
        <v>27</v>
      </c>
      <c r="C30" s="1" t="s">
        <v>703</v>
      </c>
      <c r="D30" s="1" t="s">
        <v>771</v>
      </c>
      <c r="E30" s="1" t="s">
        <v>772</v>
      </c>
      <c r="F30" s="1" t="s">
        <v>80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773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76"/>
      <c r="BE30" s="1">
        <v>30</v>
      </c>
      <c r="BF30" s="1" t="s">
        <v>1635</v>
      </c>
      <c r="BG30" s="1" t="s">
        <v>1542</v>
      </c>
      <c r="BH30" s="1" t="s">
        <v>1445</v>
      </c>
      <c r="BI30" s="1">
        <v>65</v>
      </c>
      <c r="BJ30" s="1" t="s">
        <v>763</v>
      </c>
      <c r="BK30" s="1" t="s">
        <v>1655</v>
      </c>
    </row>
    <row r="31" spans="2:67">
      <c r="B31" s="1">
        <v>28</v>
      </c>
      <c r="C31" s="1" t="s">
        <v>702</v>
      </c>
      <c r="D31" s="1" t="s">
        <v>773</v>
      </c>
      <c r="E31" s="1" t="s">
        <v>772</v>
      </c>
      <c r="F31" s="1" t="s">
        <v>80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80</v>
      </c>
      <c r="Q31" s="1" t="s">
        <v>80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76"/>
      <c r="BE31" s="1">
        <v>31</v>
      </c>
      <c r="BF31" s="1" t="s">
        <v>1531</v>
      </c>
      <c r="BG31" s="1" t="s">
        <v>1532</v>
      </c>
      <c r="BH31" s="1" t="s">
        <v>1445</v>
      </c>
      <c r="BI31" s="1">
        <v>15</v>
      </c>
      <c r="BJ31" s="1" t="s">
        <v>763</v>
      </c>
      <c r="BK31" s="1" t="s">
        <v>1655</v>
      </c>
    </row>
    <row r="32" spans="2:67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80</v>
      </c>
      <c r="R32" s="1" t="s">
        <v>80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76"/>
      <c r="BE32" s="1">
        <v>32</v>
      </c>
      <c r="BF32" s="1" t="s">
        <v>1633</v>
      </c>
      <c r="BG32" s="1" t="s">
        <v>1515</v>
      </c>
      <c r="BH32" s="1" t="s">
        <v>1445</v>
      </c>
      <c r="BI32" s="1">
        <v>100</v>
      </c>
      <c r="BJ32" s="1" t="s">
        <v>763</v>
      </c>
      <c r="BK32" s="1" t="s">
        <v>1655</v>
      </c>
    </row>
    <row r="33" spans="2:63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699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76"/>
      <c r="BE33" s="1">
        <v>33</v>
      </c>
      <c r="BF33" s="1" t="s">
        <v>1475</v>
      </c>
      <c r="BG33" s="1" t="s">
        <v>1476</v>
      </c>
      <c r="BH33" s="1" t="s">
        <v>1445</v>
      </c>
      <c r="BI33" s="1">
        <v>40</v>
      </c>
      <c r="BJ33" s="1" t="s">
        <v>763</v>
      </c>
      <c r="BK33" s="1" t="s">
        <v>1655</v>
      </c>
    </row>
    <row r="34" spans="2:63">
      <c r="B34" s="1">
        <v>31</v>
      </c>
      <c r="C34" s="1" t="s">
        <v>699</v>
      </c>
      <c r="D34" s="1" t="s">
        <v>699</v>
      </c>
      <c r="E34" s="1" t="s">
        <v>742</v>
      </c>
      <c r="F34" s="1" t="s">
        <v>772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80</v>
      </c>
      <c r="Q34" s="1" t="s">
        <v>80</v>
      </c>
      <c r="R34" s="1" t="s">
        <v>80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76"/>
      <c r="BE34" s="1">
        <v>34</v>
      </c>
      <c r="BF34" s="1" t="s">
        <v>1577</v>
      </c>
      <c r="BG34" s="1" t="s">
        <v>1578</v>
      </c>
      <c r="BH34" s="1" t="s">
        <v>1445</v>
      </c>
      <c r="BI34" s="1">
        <v>85</v>
      </c>
      <c r="BJ34" s="1" t="s">
        <v>763</v>
      </c>
      <c r="BK34" s="1" t="s">
        <v>1655</v>
      </c>
    </row>
    <row r="35" spans="2:63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80</v>
      </c>
      <c r="R35" s="1" t="s">
        <v>80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76"/>
      <c r="BE35" s="1">
        <v>35</v>
      </c>
      <c r="BF35" s="1" t="s">
        <v>1551</v>
      </c>
      <c r="BG35" s="1" t="s">
        <v>1552</v>
      </c>
      <c r="BH35" s="1" t="s">
        <v>1445</v>
      </c>
      <c r="BI35" s="1">
        <v>15</v>
      </c>
      <c r="BJ35" s="1" t="s">
        <v>763</v>
      </c>
      <c r="BK35" s="1" t="s">
        <v>1655</v>
      </c>
    </row>
    <row r="36" spans="2:63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696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76"/>
      <c r="BE36" s="1">
        <v>36</v>
      </c>
      <c r="BF36" s="1" t="s">
        <v>1467</v>
      </c>
      <c r="BG36" s="1" t="s">
        <v>1468</v>
      </c>
      <c r="BH36" s="1" t="s">
        <v>1445</v>
      </c>
      <c r="BI36" s="1">
        <v>90</v>
      </c>
      <c r="BJ36" s="1" t="s">
        <v>763</v>
      </c>
      <c r="BK36" s="1" t="s">
        <v>1655</v>
      </c>
    </row>
    <row r="37" spans="2:63">
      <c r="B37" s="1">
        <v>34</v>
      </c>
      <c r="C37" s="1" t="s">
        <v>696</v>
      </c>
      <c r="D37" s="1" t="s">
        <v>696</v>
      </c>
      <c r="E37" s="1" t="s">
        <v>742</v>
      </c>
      <c r="F37" s="1" t="s">
        <v>772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80</v>
      </c>
      <c r="Q37" s="1" t="s">
        <v>80</v>
      </c>
      <c r="R37" s="1" t="s">
        <v>80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76"/>
      <c r="BE37" s="1">
        <v>37</v>
      </c>
      <c r="BF37" s="1" t="s">
        <v>1555</v>
      </c>
      <c r="BG37" s="1" t="s">
        <v>1556</v>
      </c>
      <c r="BH37" s="1" t="s">
        <v>1445</v>
      </c>
      <c r="BI37" s="1">
        <v>120</v>
      </c>
      <c r="BJ37" s="1" t="s">
        <v>763</v>
      </c>
      <c r="BK37" s="1" t="s">
        <v>1655</v>
      </c>
    </row>
    <row r="38" spans="2:63">
      <c r="B38" s="1">
        <v>35</v>
      </c>
      <c r="C38" s="1" t="s">
        <v>695</v>
      </c>
      <c r="D38" s="1" t="s">
        <v>774</v>
      </c>
      <c r="E38" s="1" t="s">
        <v>775</v>
      </c>
      <c r="F38" s="1" t="s">
        <v>80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776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76"/>
      <c r="BE38" s="1">
        <v>38</v>
      </c>
      <c r="BF38" s="1" t="s">
        <v>1488</v>
      </c>
      <c r="BG38" s="1" t="s">
        <v>1489</v>
      </c>
      <c r="BH38" s="1" t="s">
        <v>1445</v>
      </c>
      <c r="BI38" s="1">
        <v>120</v>
      </c>
      <c r="BJ38" s="1" t="s">
        <v>763</v>
      </c>
      <c r="BK38" s="1" t="s">
        <v>1655</v>
      </c>
    </row>
    <row r="39" spans="2:63">
      <c r="B39" s="1">
        <v>36</v>
      </c>
      <c r="C39" s="1" t="s">
        <v>694</v>
      </c>
      <c r="D39" s="1" t="s">
        <v>776</v>
      </c>
      <c r="E39" s="1" t="s">
        <v>775</v>
      </c>
      <c r="F39" s="1" t="s">
        <v>80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80</v>
      </c>
      <c r="Q39" s="1" t="s">
        <v>80</v>
      </c>
      <c r="R39" s="1" t="s">
        <v>80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76"/>
      <c r="BE39" s="1">
        <v>40</v>
      </c>
      <c r="BF39" s="1" t="s">
        <v>1496</v>
      </c>
      <c r="BG39" s="1" t="s">
        <v>1497</v>
      </c>
      <c r="BH39" s="1" t="s">
        <v>1445</v>
      </c>
      <c r="BI39" s="1">
        <v>15</v>
      </c>
      <c r="BJ39" s="1" t="s">
        <v>742</v>
      </c>
      <c r="BK39" s="1" t="s">
        <v>1652</v>
      </c>
    </row>
    <row r="40" spans="2:63">
      <c r="B40" s="1">
        <v>37</v>
      </c>
      <c r="C40" s="1" t="s">
        <v>693</v>
      </c>
      <c r="D40" s="1" t="s">
        <v>777</v>
      </c>
      <c r="E40" s="1" t="s">
        <v>746</v>
      </c>
      <c r="F40" s="1" t="s">
        <v>80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778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76"/>
      <c r="BE40" s="1">
        <v>41</v>
      </c>
      <c r="BF40" s="1" t="s">
        <v>1629</v>
      </c>
      <c r="BG40" s="1" t="s">
        <v>1675</v>
      </c>
      <c r="BH40" s="1" t="s">
        <v>1445</v>
      </c>
      <c r="BI40" s="1">
        <v>25</v>
      </c>
      <c r="BJ40" s="1" t="s">
        <v>1458</v>
      </c>
      <c r="BK40" s="1" t="s">
        <v>1661</v>
      </c>
    </row>
    <row r="41" spans="2:63">
      <c r="B41" s="1">
        <v>38</v>
      </c>
      <c r="C41" s="1" t="s">
        <v>692</v>
      </c>
      <c r="D41" s="1" t="s">
        <v>778</v>
      </c>
      <c r="E41" s="1" t="s">
        <v>746</v>
      </c>
      <c r="F41" s="1" t="s">
        <v>80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80</v>
      </c>
      <c r="Q41" s="1" t="s">
        <v>80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76"/>
      <c r="BE41" s="1">
        <v>42</v>
      </c>
      <c r="BF41" s="1" t="s">
        <v>1494</v>
      </c>
      <c r="BG41" s="1" t="s">
        <v>1495</v>
      </c>
      <c r="BH41" s="1" t="s">
        <v>1445</v>
      </c>
      <c r="BI41" s="1">
        <v>25</v>
      </c>
      <c r="BJ41" s="1" t="s">
        <v>1458</v>
      </c>
      <c r="BK41" s="1" t="s">
        <v>1661</v>
      </c>
    </row>
    <row r="42" spans="2:63">
      <c r="B42" s="1">
        <v>39</v>
      </c>
      <c r="C42" s="1" t="s">
        <v>691</v>
      </c>
      <c r="D42" s="1" t="s">
        <v>779</v>
      </c>
      <c r="E42" s="1" t="s">
        <v>763</v>
      </c>
      <c r="F42" s="1" t="s">
        <v>775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780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76"/>
      <c r="BE42" s="1">
        <v>44</v>
      </c>
      <c r="BF42" s="1" t="s">
        <v>1561</v>
      </c>
      <c r="BG42" s="1" t="s">
        <v>1562</v>
      </c>
      <c r="BH42" s="1" t="s">
        <v>1445</v>
      </c>
      <c r="BI42" s="1">
        <v>60</v>
      </c>
      <c r="BJ42" s="1" t="s">
        <v>1444</v>
      </c>
      <c r="BK42" s="1" t="s">
        <v>1666</v>
      </c>
    </row>
    <row r="43" spans="2:63">
      <c r="B43" s="1">
        <v>40</v>
      </c>
      <c r="C43" s="1" t="s">
        <v>690</v>
      </c>
      <c r="D43" s="1" t="s">
        <v>780</v>
      </c>
      <c r="E43" s="1" t="s">
        <v>763</v>
      </c>
      <c r="F43" s="1" t="s">
        <v>775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80</v>
      </c>
      <c r="Q43" s="1" t="s">
        <v>80</v>
      </c>
      <c r="R43" s="1" t="s">
        <v>80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76"/>
      <c r="BE43" s="1">
        <v>49</v>
      </c>
      <c r="BF43" s="1" t="s">
        <v>1646</v>
      </c>
      <c r="BG43" s="1" t="s">
        <v>1646</v>
      </c>
      <c r="BH43" s="1" t="s">
        <v>1449</v>
      </c>
      <c r="BI43" s="1">
        <v>30</v>
      </c>
      <c r="BJ43" s="1" t="s">
        <v>763</v>
      </c>
      <c r="BK43" s="1" t="s">
        <v>1655</v>
      </c>
    </row>
    <row r="44" spans="2:63">
      <c r="B44" s="1">
        <v>41</v>
      </c>
      <c r="C44" s="1" t="s">
        <v>689</v>
      </c>
      <c r="D44" s="1" t="s">
        <v>781</v>
      </c>
      <c r="E44" s="1" t="s">
        <v>742</v>
      </c>
      <c r="F44" s="1" t="s">
        <v>749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782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76"/>
      <c r="BE44" s="1">
        <v>51</v>
      </c>
      <c r="BF44" s="1" t="s">
        <v>1450</v>
      </c>
      <c r="BG44" s="1" t="s">
        <v>1451</v>
      </c>
      <c r="BH44" s="1" t="s">
        <v>1449</v>
      </c>
      <c r="BI44" s="1">
        <v>40</v>
      </c>
      <c r="BJ44" s="1" t="s">
        <v>742</v>
      </c>
      <c r="BK44" s="1" t="s">
        <v>1652</v>
      </c>
    </row>
    <row r="45" spans="2:63">
      <c r="B45" s="1">
        <v>42</v>
      </c>
      <c r="C45" s="1" t="s">
        <v>688</v>
      </c>
      <c r="D45" s="1" t="s">
        <v>782</v>
      </c>
      <c r="E45" s="1" t="s">
        <v>742</v>
      </c>
      <c r="F45" s="1" t="s">
        <v>749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894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76"/>
      <c r="BE45" s="1">
        <v>52</v>
      </c>
      <c r="BF45" s="1" t="s">
        <v>1521</v>
      </c>
      <c r="BG45" s="1" t="s">
        <v>1522</v>
      </c>
      <c r="BH45" s="1" t="s">
        <v>1449</v>
      </c>
      <c r="BI45" s="1">
        <v>40</v>
      </c>
      <c r="BJ45" s="1" t="s">
        <v>1456</v>
      </c>
      <c r="BK45" s="1" t="s">
        <v>1659</v>
      </c>
    </row>
    <row r="46" spans="2:63">
      <c r="B46" s="1">
        <v>43</v>
      </c>
      <c r="C46" s="1" t="s">
        <v>687</v>
      </c>
      <c r="D46" s="1" t="s">
        <v>783</v>
      </c>
      <c r="E46" s="1" t="s">
        <v>741</v>
      </c>
      <c r="F46" s="1" t="s">
        <v>742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784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76"/>
      <c r="BE46" s="1">
        <v>53</v>
      </c>
      <c r="BF46" s="1" t="s">
        <v>1543</v>
      </c>
      <c r="BG46" s="1" t="s">
        <v>1544</v>
      </c>
      <c r="BH46" s="1" t="s">
        <v>1449</v>
      </c>
      <c r="BI46" s="1">
        <v>90</v>
      </c>
      <c r="BJ46" s="1" t="s">
        <v>1456</v>
      </c>
      <c r="BK46" s="1" t="s">
        <v>1659</v>
      </c>
    </row>
    <row r="47" spans="2:63">
      <c r="B47" s="1">
        <v>44</v>
      </c>
      <c r="C47" s="1" t="s">
        <v>686</v>
      </c>
      <c r="D47" s="1" t="s">
        <v>784</v>
      </c>
      <c r="E47" s="1" t="s">
        <v>741</v>
      </c>
      <c r="F47" s="1" t="s">
        <v>742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0" t="s">
        <v>785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76"/>
      <c r="BE47" s="1">
        <v>55</v>
      </c>
      <c r="BF47" s="1" t="s">
        <v>1575</v>
      </c>
      <c r="BG47" s="1" t="s">
        <v>1576</v>
      </c>
      <c r="BH47" s="1" t="s">
        <v>1449</v>
      </c>
      <c r="BI47" s="1">
        <v>40</v>
      </c>
      <c r="BJ47" s="1" t="s">
        <v>1455</v>
      </c>
      <c r="BK47" s="1" t="s">
        <v>1657</v>
      </c>
    </row>
    <row r="48" spans="2:63">
      <c r="B48" s="1">
        <v>45</v>
      </c>
      <c r="C48" s="1" t="s">
        <v>685</v>
      </c>
      <c r="D48" s="1" t="s">
        <v>785</v>
      </c>
      <c r="E48" s="1" t="s">
        <v>741</v>
      </c>
      <c r="F48" s="1" t="s">
        <v>742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80</v>
      </c>
      <c r="Q48" s="1" t="s">
        <v>80</v>
      </c>
      <c r="R48" s="1" t="s">
        <v>80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76"/>
      <c r="BE48" s="1">
        <v>56</v>
      </c>
      <c r="BF48" s="1" t="s">
        <v>1536</v>
      </c>
      <c r="BG48" s="1" t="s">
        <v>1537</v>
      </c>
      <c r="BH48" s="1" t="s">
        <v>1449</v>
      </c>
      <c r="BI48" s="1">
        <v>110</v>
      </c>
      <c r="BJ48" s="1" t="s">
        <v>1455</v>
      </c>
      <c r="BK48" s="1" t="s">
        <v>1657</v>
      </c>
    </row>
    <row r="49" spans="2:63">
      <c r="B49" s="1">
        <v>46</v>
      </c>
      <c r="C49" s="1" t="s">
        <v>684</v>
      </c>
      <c r="D49" s="1" t="s">
        <v>684</v>
      </c>
      <c r="E49" s="1" t="s">
        <v>756</v>
      </c>
      <c r="F49" s="1" t="s">
        <v>741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683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76"/>
      <c r="BE49" s="1">
        <v>57</v>
      </c>
      <c r="BF49" s="1" t="s">
        <v>1597</v>
      </c>
      <c r="BG49" s="1" t="s">
        <v>1597</v>
      </c>
      <c r="BH49" s="1" t="s">
        <v>1449</v>
      </c>
      <c r="BI49" s="1">
        <v>90</v>
      </c>
      <c r="BJ49" s="1" t="s">
        <v>1455</v>
      </c>
      <c r="BK49" s="1" t="s">
        <v>1657</v>
      </c>
    </row>
    <row r="50" spans="2:63">
      <c r="B50" s="1">
        <v>47</v>
      </c>
      <c r="C50" s="1" t="s">
        <v>683</v>
      </c>
      <c r="D50" s="1" t="s">
        <v>683</v>
      </c>
      <c r="E50" s="1" t="s">
        <v>756</v>
      </c>
      <c r="F50" s="1" t="s">
        <v>741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80</v>
      </c>
      <c r="Q50" s="1" t="s">
        <v>80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76"/>
      <c r="BE50" s="1">
        <v>58</v>
      </c>
      <c r="BF50" s="1" t="s">
        <v>1547</v>
      </c>
      <c r="BG50" s="1" t="s">
        <v>1548</v>
      </c>
      <c r="BH50" s="1" t="s">
        <v>1449</v>
      </c>
      <c r="BI50" s="1">
        <v>90</v>
      </c>
      <c r="BJ50" s="1" t="s">
        <v>1460</v>
      </c>
      <c r="BK50" s="1" t="s">
        <v>1656</v>
      </c>
    </row>
    <row r="51" spans="2:63">
      <c r="B51" s="1">
        <v>48</v>
      </c>
      <c r="C51" s="1" t="s">
        <v>682</v>
      </c>
      <c r="D51" s="1" t="s">
        <v>786</v>
      </c>
      <c r="E51" s="1" t="s">
        <v>756</v>
      </c>
      <c r="F51" s="1" t="s">
        <v>742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787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76"/>
      <c r="BE51" s="1">
        <v>59</v>
      </c>
      <c r="BF51" s="1" t="s">
        <v>1469</v>
      </c>
      <c r="BG51" s="1" t="s">
        <v>1469</v>
      </c>
      <c r="BH51" s="1" t="s">
        <v>1449</v>
      </c>
      <c r="BI51" s="1">
        <v>110</v>
      </c>
      <c r="BJ51" s="1" t="s">
        <v>1460</v>
      </c>
      <c r="BK51" s="1" t="s">
        <v>1656</v>
      </c>
    </row>
    <row r="52" spans="2:63">
      <c r="B52" s="1">
        <v>49</v>
      </c>
      <c r="C52" s="1" t="s">
        <v>681</v>
      </c>
      <c r="D52" s="1" t="s">
        <v>787</v>
      </c>
      <c r="E52" s="1" t="s">
        <v>756</v>
      </c>
      <c r="F52" s="1" t="s">
        <v>742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80</v>
      </c>
      <c r="Q52" s="1" t="s">
        <v>80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76"/>
      <c r="BE52" s="1">
        <v>60</v>
      </c>
      <c r="BF52" s="1" t="s">
        <v>1589</v>
      </c>
      <c r="BG52" s="1" t="s">
        <v>1590</v>
      </c>
      <c r="BH52" s="1" t="s">
        <v>1449</v>
      </c>
      <c r="BI52" s="1">
        <v>65</v>
      </c>
      <c r="BJ52" s="1" t="s">
        <v>1454</v>
      </c>
      <c r="BK52" s="1" t="s">
        <v>1658</v>
      </c>
    </row>
    <row r="53" spans="2:63">
      <c r="B53" s="1">
        <v>50</v>
      </c>
      <c r="C53" s="1" t="s">
        <v>680</v>
      </c>
      <c r="D53" s="1" t="s">
        <v>788</v>
      </c>
      <c r="E53" s="1" t="s">
        <v>772</v>
      </c>
      <c r="F53" s="1" t="s">
        <v>80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789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76"/>
      <c r="BE53" s="1">
        <v>61</v>
      </c>
      <c r="BF53" s="1" t="s">
        <v>1471</v>
      </c>
      <c r="BG53" s="1" t="s">
        <v>1472</v>
      </c>
      <c r="BH53" s="1" t="s">
        <v>1449</v>
      </c>
      <c r="BI53" s="1">
        <v>65</v>
      </c>
      <c r="BJ53" s="1" t="s">
        <v>1455</v>
      </c>
      <c r="BK53" s="1" t="s">
        <v>1657</v>
      </c>
    </row>
    <row r="54" spans="2:63">
      <c r="B54" s="1">
        <v>51</v>
      </c>
      <c r="C54" s="1" t="s">
        <v>679</v>
      </c>
      <c r="D54" s="1" t="s">
        <v>789</v>
      </c>
      <c r="E54" s="1" t="s">
        <v>772</v>
      </c>
      <c r="F54" s="1" t="s">
        <v>80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80</v>
      </c>
      <c r="Q54" s="1" t="s">
        <v>80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76"/>
      <c r="BE54" s="1">
        <v>62</v>
      </c>
      <c r="BF54" s="1" t="s">
        <v>1565</v>
      </c>
      <c r="BG54" s="1" t="s">
        <v>1566</v>
      </c>
      <c r="BH54" s="1" t="s">
        <v>1449</v>
      </c>
      <c r="BI54" s="1">
        <v>65</v>
      </c>
      <c r="BJ54" s="1" t="s">
        <v>1460</v>
      </c>
      <c r="BK54" s="1" t="s">
        <v>1656</v>
      </c>
    </row>
    <row r="55" spans="2:63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677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76"/>
      <c r="BE55" s="1">
        <v>63</v>
      </c>
      <c r="BF55" s="1" t="s">
        <v>1613</v>
      </c>
      <c r="BG55" s="1" t="s">
        <v>1614</v>
      </c>
      <c r="BH55" s="1" t="s">
        <v>1449</v>
      </c>
      <c r="BI55" s="1">
        <v>150</v>
      </c>
      <c r="BJ55" s="1" t="s">
        <v>763</v>
      </c>
      <c r="BK55" s="1" t="s">
        <v>1655</v>
      </c>
    </row>
    <row r="56" spans="2:63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80</v>
      </c>
      <c r="Q56" s="1" t="s">
        <v>80</v>
      </c>
      <c r="R56" s="1" t="s">
        <v>80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76"/>
      <c r="BE56" s="1">
        <v>64</v>
      </c>
      <c r="BF56" s="1" t="s">
        <v>1567</v>
      </c>
      <c r="BG56" s="1" t="s">
        <v>1568</v>
      </c>
      <c r="BH56" s="1" t="s">
        <v>1445</v>
      </c>
      <c r="BI56" s="1">
        <v>35</v>
      </c>
      <c r="BJ56" s="1" t="s">
        <v>1453</v>
      </c>
      <c r="BK56" s="1" t="s">
        <v>1654</v>
      </c>
    </row>
    <row r="57" spans="2:63">
      <c r="B57" s="1">
        <v>54</v>
      </c>
      <c r="C57" s="1" t="s">
        <v>676</v>
      </c>
      <c r="D57" s="1" t="s">
        <v>791</v>
      </c>
      <c r="E57" s="1" t="s">
        <v>752</v>
      </c>
      <c r="F57" s="1" t="s">
        <v>80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792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76"/>
      <c r="BE57" s="1">
        <v>65</v>
      </c>
      <c r="BF57" s="1" t="s">
        <v>1465</v>
      </c>
      <c r="BG57" s="1" t="s">
        <v>1466</v>
      </c>
      <c r="BH57" s="1" t="s">
        <v>1445</v>
      </c>
      <c r="BI57" s="1">
        <v>80</v>
      </c>
      <c r="BJ57" s="1" t="s">
        <v>1453</v>
      </c>
      <c r="BK57" s="1" t="s">
        <v>1654</v>
      </c>
    </row>
    <row r="58" spans="2:63">
      <c r="B58" s="1">
        <v>55</v>
      </c>
      <c r="C58" s="1" t="s">
        <v>675</v>
      </c>
      <c r="D58" s="1" t="s">
        <v>792</v>
      </c>
      <c r="E58" s="1" t="s">
        <v>752</v>
      </c>
      <c r="F58" s="1" t="s">
        <v>80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80</v>
      </c>
      <c r="Q58" s="1" t="s">
        <v>80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76"/>
      <c r="BE58" s="1">
        <v>66</v>
      </c>
      <c r="BF58" s="1" t="s">
        <v>1645</v>
      </c>
      <c r="BG58" s="1" t="s">
        <v>1687</v>
      </c>
      <c r="BH58" s="1" t="s">
        <v>1445</v>
      </c>
      <c r="BI58" s="1">
        <v>75</v>
      </c>
      <c r="BJ58" s="1" t="s">
        <v>1459</v>
      </c>
      <c r="BK58" s="1" t="s">
        <v>1653</v>
      </c>
    </row>
    <row r="59" spans="2:63">
      <c r="B59" s="1">
        <v>56</v>
      </c>
      <c r="C59" s="1" t="s">
        <v>674</v>
      </c>
      <c r="D59" s="1" t="s">
        <v>793</v>
      </c>
      <c r="E59" s="1" t="s">
        <v>794</v>
      </c>
      <c r="F59" s="1" t="s">
        <v>80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795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76"/>
      <c r="BE59" s="1">
        <v>67</v>
      </c>
      <c r="BF59" s="1" t="s">
        <v>1461</v>
      </c>
      <c r="BG59" s="1" t="s">
        <v>1462</v>
      </c>
      <c r="BH59" s="1" t="s">
        <v>1445</v>
      </c>
      <c r="BI59" s="1">
        <v>60</v>
      </c>
      <c r="BJ59" s="1" t="s">
        <v>1459</v>
      </c>
      <c r="BK59" s="1" t="s">
        <v>1653</v>
      </c>
    </row>
    <row r="60" spans="2:63">
      <c r="B60" s="1">
        <v>57</v>
      </c>
      <c r="C60" s="1" t="s">
        <v>673</v>
      </c>
      <c r="D60" s="1" t="s">
        <v>795</v>
      </c>
      <c r="E60" s="1" t="s">
        <v>794</v>
      </c>
      <c r="F60" s="1" t="s">
        <v>80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80</v>
      </c>
      <c r="Q60" s="1" t="s">
        <v>80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76"/>
      <c r="BE60" s="1">
        <v>68</v>
      </c>
      <c r="BF60" s="1" t="s">
        <v>1591</v>
      </c>
      <c r="BG60" s="1" t="s">
        <v>1592</v>
      </c>
      <c r="BH60" s="1" t="s">
        <v>1445</v>
      </c>
      <c r="BI60" s="1">
        <v>45</v>
      </c>
      <c r="BJ60" s="1" t="s">
        <v>1459</v>
      </c>
      <c r="BK60" s="1" t="s">
        <v>1653</v>
      </c>
    </row>
    <row r="61" spans="2:63">
      <c r="B61" s="1">
        <v>58</v>
      </c>
      <c r="C61" s="1" t="s">
        <v>672</v>
      </c>
      <c r="D61" s="1" t="s">
        <v>796</v>
      </c>
      <c r="E61" s="1" t="s">
        <v>746</v>
      </c>
      <c r="F61" s="1" t="s">
        <v>80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797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76"/>
      <c r="BE61" s="1">
        <v>69</v>
      </c>
      <c r="BF61" s="1" t="s">
        <v>1529</v>
      </c>
      <c r="BG61" s="1" t="s">
        <v>1530</v>
      </c>
      <c r="BH61" s="1" t="s">
        <v>1445</v>
      </c>
      <c r="BI61" s="1">
        <v>60</v>
      </c>
      <c r="BJ61" s="1" t="s">
        <v>1459</v>
      </c>
      <c r="BK61" s="1" t="s">
        <v>1653</v>
      </c>
    </row>
    <row r="62" spans="2:63">
      <c r="B62" s="1">
        <v>59</v>
      </c>
      <c r="C62" s="1" t="s">
        <v>671</v>
      </c>
      <c r="D62" s="1" t="s">
        <v>797</v>
      </c>
      <c r="E62" s="1" t="s">
        <v>746</v>
      </c>
      <c r="F62" s="1" t="s">
        <v>80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80</v>
      </c>
      <c r="Q62" s="1" t="s">
        <v>80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76"/>
      <c r="BE62" s="1">
        <v>70</v>
      </c>
      <c r="BF62" s="1" t="s">
        <v>1523</v>
      </c>
      <c r="BG62" s="1" t="s">
        <v>1524</v>
      </c>
      <c r="BH62" s="1" t="s">
        <v>1445</v>
      </c>
      <c r="BI62" s="1">
        <v>80</v>
      </c>
      <c r="BJ62" s="1" t="s">
        <v>763</v>
      </c>
      <c r="BK62" s="1" t="s">
        <v>1655</v>
      </c>
    </row>
    <row r="63" spans="2:63">
      <c r="B63" s="1">
        <v>60</v>
      </c>
      <c r="C63" s="1" t="s">
        <v>670</v>
      </c>
      <c r="D63" s="1" t="s">
        <v>798</v>
      </c>
      <c r="E63" s="1" t="s">
        <v>752</v>
      </c>
      <c r="F63" s="1" t="s">
        <v>80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799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76"/>
      <c r="BE63" s="1">
        <v>71</v>
      </c>
      <c r="BF63" s="1" t="s">
        <v>1620</v>
      </c>
      <c r="BG63" s="1" t="s">
        <v>1621</v>
      </c>
      <c r="BH63" s="1" t="s">
        <v>1449</v>
      </c>
      <c r="BI63" s="1">
        <v>20</v>
      </c>
      <c r="BJ63" s="1" t="s">
        <v>1452</v>
      </c>
      <c r="BK63" s="1" t="s">
        <v>1660</v>
      </c>
    </row>
    <row r="64" spans="2:63">
      <c r="B64" s="1">
        <v>61</v>
      </c>
      <c r="C64" s="1" t="s">
        <v>669</v>
      </c>
      <c r="D64" s="1" t="s">
        <v>799</v>
      </c>
      <c r="E64" s="1" t="s">
        <v>752</v>
      </c>
      <c r="F64" s="1" t="s">
        <v>80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800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76"/>
      <c r="BE64" s="1">
        <v>72</v>
      </c>
      <c r="BF64" s="1" t="s">
        <v>1557</v>
      </c>
      <c r="BG64" s="1" t="s">
        <v>1558</v>
      </c>
      <c r="BH64" s="1" t="s">
        <v>1449</v>
      </c>
      <c r="BI64" s="1">
        <v>40</v>
      </c>
      <c r="BJ64" s="1" t="s">
        <v>1452</v>
      </c>
      <c r="BK64" s="1" t="s">
        <v>1660</v>
      </c>
    </row>
    <row r="65" spans="2:63">
      <c r="B65" s="1">
        <v>62</v>
      </c>
      <c r="C65" s="1" t="s">
        <v>668</v>
      </c>
      <c r="D65" s="1" t="s">
        <v>800</v>
      </c>
      <c r="E65" s="1" t="s">
        <v>752</v>
      </c>
      <c r="F65" s="1" t="s">
        <v>794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80</v>
      </c>
      <c r="Q65" s="1" t="s">
        <v>80</v>
      </c>
      <c r="R65" s="1" t="s">
        <v>80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76"/>
      <c r="BE65" s="1">
        <v>75</v>
      </c>
      <c r="BF65" s="1" t="s">
        <v>1648</v>
      </c>
      <c r="BG65" s="1" t="s">
        <v>1602</v>
      </c>
      <c r="BH65" s="1" t="s">
        <v>1449</v>
      </c>
      <c r="BI65" s="1">
        <v>55</v>
      </c>
      <c r="BJ65" s="1" t="s">
        <v>1452</v>
      </c>
      <c r="BK65" s="1" t="s">
        <v>1660</v>
      </c>
    </row>
    <row r="66" spans="2:63">
      <c r="B66" s="1">
        <v>63</v>
      </c>
      <c r="C66" s="1" t="s">
        <v>667</v>
      </c>
      <c r="D66" s="1" t="s">
        <v>667</v>
      </c>
      <c r="E66" s="1" t="s">
        <v>801</v>
      </c>
      <c r="F66" s="1" t="s">
        <v>80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666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76"/>
      <c r="BE66" s="1">
        <v>76</v>
      </c>
      <c r="BF66" s="1" t="s">
        <v>1545</v>
      </c>
      <c r="BG66" s="1" t="s">
        <v>1546</v>
      </c>
      <c r="BH66" s="1" t="s">
        <v>1449</v>
      </c>
      <c r="BI66" s="1">
        <v>120</v>
      </c>
      <c r="BJ66" s="1" t="s">
        <v>1452</v>
      </c>
      <c r="BK66" s="1" t="s">
        <v>1660</v>
      </c>
    </row>
    <row r="67" spans="2:63">
      <c r="B67" s="1">
        <v>64</v>
      </c>
      <c r="C67" s="1" t="s">
        <v>666</v>
      </c>
      <c r="D67" s="1" t="s">
        <v>666</v>
      </c>
      <c r="E67" s="1" t="s">
        <v>801</v>
      </c>
      <c r="F67" s="1" t="s">
        <v>80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665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76"/>
      <c r="BE67" s="1">
        <v>80</v>
      </c>
      <c r="BF67" s="1" t="s">
        <v>1492</v>
      </c>
      <c r="BG67" s="1" t="s">
        <v>1493</v>
      </c>
      <c r="BH67" s="1" t="s">
        <v>1449</v>
      </c>
      <c r="BI67" s="1">
        <v>120</v>
      </c>
      <c r="BJ67" s="1" t="s">
        <v>1452</v>
      </c>
      <c r="BK67" s="1" t="s">
        <v>1660</v>
      </c>
    </row>
    <row r="68" spans="2:63">
      <c r="B68" s="1">
        <v>65</v>
      </c>
      <c r="C68" s="1" t="s">
        <v>665</v>
      </c>
      <c r="D68" s="1" t="s">
        <v>665</v>
      </c>
      <c r="E68" s="1" t="s">
        <v>801</v>
      </c>
      <c r="F68" s="1" t="s">
        <v>80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80</v>
      </c>
      <c r="Q68" s="1" t="s">
        <v>80</v>
      </c>
      <c r="R68" s="1" t="s">
        <v>80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76"/>
      <c r="BE68" s="1">
        <v>82</v>
      </c>
      <c r="BF68" s="1" t="s">
        <v>1630</v>
      </c>
      <c r="BG68" s="1" t="s">
        <v>1676</v>
      </c>
      <c r="BH68" s="1" t="s">
        <v>1449</v>
      </c>
      <c r="BI68" s="1">
        <v>40</v>
      </c>
      <c r="BJ68" s="1" t="s">
        <v>750</v>
      </c>
      <c r="BK68" s="1" t="s">
        <v>1662</v>
      </c>
    </row>
    <row r="69" spans="2:63">
      <c r="B69" s="1">
        <v>66</v>
      </c>
      <c r="C69" s="1" t="s">
        <v>664</v>
      </c>
      <c r="D69" s="1" t="s">
        <v>802</v>
      </c>
      <c r="E69" s="1" t="s">
        <v>794</v>
      </c>
      <c r="F69" s="1" t="s">
        <v>80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803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76"/>
      <c r="BE69" s="1">
        <v>83</v>
      </c>
      <c r="BF69" s="1" t="s">
        <v>1490</v>
      </c>
      <c r="BG69" s="1" t="s">
        <v>1491</v>
      </c>
      <c r="BH69" s="1" t="s">
        <v>1449</v>
      </c>
      <c r="BI69" s="1">
        <v>35</v>
      </c>
      <c r="BJ69" s="1" t="s">
        <v>1456</v>
      </c>
      <c r="BK69" s="1" t="s">
        <v>1659</v>
      </c>
    </row>
    <row r="70" spans="2:63">
      <c r="B70" s="1">
        <v>67</v>
      </c>
      <c r="C70" s="1" t="s">
        <v>663</v>
      </c>
      <c r="D70" s="1" t="s">
        <v>803</v>
      </c>
      <c r="E70" s="1" t="s">
        <v>794</v>
      </c>
      <c r="F70" s="1" t="s">
        <v>80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804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76"/>
      <c r="BE70" s="1">
        <v>84</v>
      </c>
      <c r="BF70" s="1" t="s">
        <v>1510</v>
      </c>
      <c r="BG70" s="1" t="s">
        <v>1511</v>
      </c>
      <c r="BH70" s="1" t="s">
        <v>1449</v>
      </c>
      <c r="BI70" s="1">
        <v>40</v>
      </c>
      <c r="BJ70" s="1" t="s">
        <v>1470</v>
      </c>
      <c r="BK70" s="1" t="s">
        <v>1664</v>
      </c>
    </row>
    <row r="71" spans="2:63">
      <c r="B71" s="1">
        <v>68</v>
      </c>
      <c r="C71" s="1" t="s">
        <v>662</v>
      </c>
      <c r="D71" s="1" t="s">
        <v>804</v>
      </c>
      <c r="E71" s="1" t="s">
        <v>794</v>
      </c>
      <c r="F71" s="1" t="s">
        <v>80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80</v>
      </c>
      <c r="Q71" s="1" t="s">
        <v>80</v>
      </c>
      <c r="R71" s="1" t="s">
        <v>80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76"/>
      <c r="BE71" s="1">
        <v>85</v>
      </c>
      <c r="BF71" s="1" t="s">
        <v>1598</v>
      </c>
      <c r="BG71" s="1" t="s">
        <v>1599</v>
      </c>
      <c r="BH71" s="1" t="s">
        <v>1449</v>
      </c>
      <c r="BI71" s="1">
        <v>90</v>
      </c>
      <c r="BJ71" s="1" t="s">
        <v>1470</v>
      </c>
      <c r="BK71" s="1" t="s">
        <v>1664</v>
      </c>
    </row>
    <row r="72" spans="2:63">
      <c r="B72" s="1">
        <v>69</v>
      </c>
      <c r="C72" s="1" t="s">
        <v>661</v>
      </c>
      <c r="D72" s="1" t="s">
        <v>805</v>
      </c>
      <c r="E72" s="1" t="s">
        <v>741</v>
      </c>
      <c r="F72" s="1" t="s">
        <v>742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806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76"/>
      <c r="BE72" s="1">
        <v>87</v>
      </c>
      <c r="BF72" s="1" t="s">
        <v>1519</v>
      </c>
      <c r="BG72" s="1" t="s">
        <v>1520</v>
      </c>
      <c r="BH72" s="1" t="s">
        <v>1449</v>
      </c>
      <c r="BI72" s="1">
        <v>110</v>
      </c>
      <c r="BJ72" s="1" t="s">
        <v>1470</v>
      </c>
      <c r="BK72" s="1" t="s">
        <v>1664</v>
      </c>
    </row>
    <row r="73" spans="2:63">
      <c r="B73" s="1">
        <v>70</v>
      </c>
      <c r="C73" s="1" t="s">
        <v>660</v>
      </c>
      <c r="D73" s="1" t="s">
        <v>806</v>
      </c>
      <c r="E73" s="1" t="s">
        <v>741</v>
      </c>
      <c r="F73" s="1" t="s">
        <v>742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807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76"/>
      <c r="BE73" s="1">
        <v>88</v>
      </c>
      <c r="BF73" s="1" t="s">
        <v>1540</v>
      </c>
      <c r="BG73" s="1" t="s">
        <v>1541</v>
      </c>
      <c r="BH73" s="1" t="s">
        <v>1445</v>
      </c>
      <c r="BI73" s="1">
        <v>50</v>
      </c>
      <c r="BJ73" s="1" t="s">
        <v>1457</v>
      </c>
      <c r="BK73" s="1" t="s">
        <v>1663</v>
      </c>
    </row>
    <row r="74" spans="2:63">
      <c r="B74" s="1">
        <v>71</v>
      </c>
      <c r="C74" s="1" t="s">
        <v>659</v>
      </c>
      <c r="D74" s="1" t="s">
        <v>807</v>
      </c>
      <c r="E74" s="1" t="s">
        <v>741</v>
      </c>
      <c r="F74" s="1" t="s">
        <v>742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80</v>
      </c>
      <c r="Q74" s="1" t="s">
        <v>80</v>
      </c>
      <c r="R74" s="1" t="s">
        <v>80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76"/>
      <c r="BE74" s="1">
        <v>89</v>
      </c>
      <c r="BF74" s="1" t="s">
        <v>1593</v>
      </c>
      <c r="BG74" s="1" t="s">
        <v>1594</v>
      </c>
      <c r="BH74" s="1" t="s">
        <v>1445</v>
      </c>
      <c r="BI74" s="1">
        <v>100</v>
      </c>
      <c r="BJ74" s="1" t="s">
        <v>1448</v>
      </c>
      <c r="BK74" s="1" t="s">
        <v>1651</v>
      </c>
    </row>
    <row r="75" spans="2:63">
      <c r="B75" s="1">
        <v>72</v>
      </c>
      <c r="C75" s="1" t="s">
        <v>658</v>
      </c>
      <c r="D75" s="1" t="s">
        <v>658</v>
      </c>
      <c r="E75" s="1" t="s">
        <v>752</v>
      </c>
      <c r="F75" s="1" t="s">
        <v>742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657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76"/>
      <c r="BE75" s="1">
        <v>90</v>
      </c>
      <c r="BF75" s="1" t="s">
        <v>1446</v>
      </c>
      <c r="BG75" s="1" t="s">
        <v>1447</v>
      </c>
      <c r="BH75" s="1" t="s">
        <v>1445</v>
      </c>
      <c r="BI75" s="1">
        <v>80</v>
      </c>
      <c r="BJ75" s="1" t="s">
        <v>1448</v>
      </c>
      <c r="BK75" s="1" t="s">
        <v>1651</v>
      </c>
    </row>
    <row r="76" spans="2:63">
      <c r="B76" s="1">
        <v>73</v>
      </c>
      <c r="C76" s="1" t="s">
        <v>657</v>
      </c>
      <c r="D76" s="1" t="s">
        <v>657</v>
      </c>
      <c r="E76" s="1" t="s">
        <v>752</v>
      </c>
      <c r="F76" s="1" t="s">
        <v>742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80</v>
      </c>
      <c r="Q76" s="1" t="s">
        <v>80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76"/>
      <c r="BE76" s="1">
        <v>91</v>
      </c>
      <c r="BF76" s="1" t="s">
        <v>1607</v>
      </c>
      <c r="BG76" s="1" t="s">
        <v>1608</v>
      </c>
      <c r="BH76" s="1" t="s">
        <v>1445</v>
      </c>
      <c r="BI76" s="1">
        <v>80</v>
      </c>
      <c r="BJ76" s="1" t="s">
        <v>1448</v>
      </c>
      <c r="BK76" s="1" t="s">
        <v>1651</v>
      </c>
    </row>
    <row r="77" spans="2:63">
      <c r="B77" s="1">
        <v>74</v>
      </c>
      <c r="C77" s="1" t="s">
        <v>656</v>
      </c>
      <c r="D77" s="1" t="s">
        <v>808</v>
      </c>
      <c r="E77" s="1" t="s">
        <v>809</v>
      </c>
      <c r="F77" s="1" t="s">
        <v>772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810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76"/>
      <c r="BE77" s="1">
        <v>93</v>
      </c>
      <c r="BF77" s="1" t="s">
        <v>1477</v>
      </c>
      <c r="BG77" s="1" t="s">
        <v>1478</v>
      </c>
      <c r="BH77" s="1" t="s">
        <v>1449</v>
      </c>
      <c r="BI77" s="1">
        <v>50</v>
      </c>
      <c r="BJ77" s="1" t="s">
        <v>1454</v>
      </c>
      <c r="BK77" s="1" t="s">
        <v>1658</v>
      </c>
    </row>
    <row r="78" spans="2:63">
      <c r="B78" s="1">
        <v>75</v>
      </c>
      <c r="C78" s="1" t="s">
        <v>655</v>
      </c>
      <c r="D78" s="1" t="s">
        <v>810</v>
      </c>
      <c r="E78" s="1" t="s">
        <v>809</v>
      </c>
      <c r="F78" s="1" t="s">
        <v>772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811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76"/>
      <c r="BE78" s="1">
        <v>94</v>
      </c>
      <c r="BF78" s="1" t="s">
        <v>1585</v>
      </c>
      <c r="BG78" s="1" t="s">
        <v>801</v>
      </c>
      <c r="BH78" s="1" t="s">
        <v>1449</v>
      </c>
      <c r="BI78" s="1">
        <v>90</v>
      </c>
      <c r="BJ78" s="1" t="s">
        <v>1454</v>
      </c>
      <c r="BK78" s="1" t="s">
        <v>1658</v>
      </c>
    </row>
    <row r="79" spans="2:63">
      <c r="B79" s="1">
        <v>76</v>
      </c>
      <c r="C79" s="1" t="s">
        <v>654</v>
      </c>
      <c r="D79" s="1" t="s">
        <v>811</v>
      </c>
      <c r="E79" s="1" t="s">
        <v>809</v>
      </c>
      <c r="F79" s="1" t="s">
        <v>772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80</v>
      </c>
      <c r="Q79" s="1" t="s">
        <v>80</v>
      </c>
      <c r="R79" s="1" t="s">
        <v>80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76"/>
      <c r="BE79" s="1">
        <v>98</v>
      </c>
      <c r="BF79" s="1" t="s">
        <v>1617</v>
      </c>
      <c r="BG79" s="1" t="s">
        <v>1618</v>
      </c>
      <c r="BH79" s="1" t="s">
        <v>1445</v>
      </c>
      <c r="BI79" s="1">
        <v>40</v>
      </c>
      <c r="BJ79" s="1" t="s">
        <v>763</v>
      </c>
      <c r="BK79" s="1" t="s">
        <v>1655</v>
      </c>
    </row>
    <row r="80" spans="2:63">
      <c r="B80" s="1">
        <v>77</v>
      </c>
      <c r="C80" s="1" t="s">
        <v>653</v>
      </c>
      <c r="D80" s="1" t="s">
        <v>653</v>
      </c>
      <c r="E80" s="1" t="s">
        <v>746</v>
      </c>
      <c r="F80" s="1" t="s">
        <v>80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812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76"/>
      <c r="BE80" s="1">
        <v>99</v>
      </c>
      <c r="BF80" s="1" t="s">
        <v>1634</v>
      </c>
      <c r="BG80" s="1" t="s">
        <v>1678</v>
      </c>
      <c r="BH80" s="1" t="s">
        <v>1445</v>
      </c>
      <c r="BI80" s="1">
        <v>20</v>
      </c>
      <c r="BJ80" s="1" t="s">
        <v>763</v>
      </c>
      <c r="BK80" s="1" t="s">
        <v>1655</v>
      </c>
    </row>
    <row r="81" spans="2:63">
      <c r="B81" s="1">
        <v>78</v>
      </c>
      <c r="C81" s="1" t="s">
        <v>652</v>
      </c>
      <c r="D81" s="1" t="s">
        <v>812</v>
      </c>
      <c r="E81" s="1" t="s">
        <v>746</v>
      </c>
      <c r="F81" s="1" t="s">
        <v>80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80</v>
      </c>
      <c r="Q81" s="1" t="s">
        <v>80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76"/>
      <c r="BE81" s="1">
        <v>101</v>
      </c>
      <c r="BF81" s="1" t="s">
        <v>1563</v>
      </c>
      <c r="BG81" s="1" t="s">
        <v>1564</v>
      </c>
      <c r="BH81" s="1" t="s">
        <v>1449</v>
      </c>
      <c r="BI81" s="1">
        <v>45</v>
      </c>
      <c r="BJ81" s="1" t="s">
        <v>1463</v>
      </c>
      <c r="BK81" s="1" t="s">
        <v>1665</v>
      </c>
    </row>
    <row r="82" spans="2:63">
      <c r="B82" s="1">
        <v>79</v>
      </c>
      <c r="C82" s="1" t="s">
        <v>651</v>
      </c>
      <c r="D82" s="1" t="s">
        <v>813</v>
      </c>
      <c r="E82" s="1" t="s">
        <v>752</v>
      </c>
      <c r="F82" s="1" t="s">
        <v>801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0" t="s">
        <v>814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76"/>
      <c r="BE82" s="1">
        <v>117</v>
      </c>
      <c r="BF82" s="1" t="s">
        <v>1639</v>
      </c>
      <c r="BG82" s="1" t="s">
        <v>1681</v>
      </c>
      <c r="BH82" s="1" t="s">
        <v>1445</v>
      </c>
      <c r="BI82" s="1">
        <v>35</v>
      </c>
      <c r="BJ82" s="1" t="s">
        <v>763</v>
      </c>
      <c r="BK82" s="1" t="s">
        <v>1655</v>
      </c>
    </row>
    <row r="83" spans="2:63">
      <c r="B83" s="1">
        <v>80</v>
      </c>
      <c r="C83" s="1" t="s">
        <v>650</v>
      </c>
      <c r="D83" s="1" t="s">
        <v>814</v>
      </c>
      <c r="E83" s="1" t="s">
        <v>752</v>
      </c>
      <c r="F83" s="1" t="s">
        <v>801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80</v>
      </c>
      <c r="Q83" s="1" t="s">
        <v>80</v>
      </c>
      <c r="R83" s="1" t="s">
        <v>80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76"/>
      <c r="BE83" s="1">
        <v>120</v>
      </c>
      <c r="BF83" s="1" t="s">
        <v>1500</v>
      </c>
      <c r="BG83" s="1" t="s">
        <v>1501</v>
      </c>
      <c r="BH83" s="1" t="s">
        <v>1445</v>
      </c>
      <c r="BI83" s="1">
        <v>200</v>
      </c>
      <c r="BJ83" s="1" t="s">
        <v>763</v>
      </c>
      <c r="BK83" s="1" t="s">
        <v>1655</v>
      </c>
    </row>
    <row r="84" spans="2:63">
      <c r="B84" s="1">
        <v>81</v>
      </c>
      <c r="C84" s="1" t="s">
        <v>649</v>
      </c>
      <c r="D84" s="1" t="s">
        <v>815</v>
      </c>
      <c r="E84" s="1" t="s">
        <v>770</v>
      </c>
      <c r="F84" s="1" t="s">
        <v>816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817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76"/>
      <c r="BE84" s="1">
        <v>121</v>
      </c>
      <c r="BF84" s="1" t="s">
        <v>1622</v>
      </c>
      <c r="BG84" s="1" t="s">
        <v>1669</v>
      </c>
      <c r="BH84" s="1" t="s">
        <v>1445</v>
      </c>
      <c r="BI84" s="1">
        <v>100</v>
      </c>
      <c r="BJ84" s="1" t="s">
        <v>763</v>
      </c>
      <c r="BK84" s="1" t="s">
        <v>1655</v>
      </c>
    </row>
    <row r="85" spans="2:63">
      <c r="B85" s="1">
        <v>82</v>
      </c>
      <c r="C85" s="1" t="s">
        <v>648</v>
      </c>
      <c r="D85" s="1" t="s">
        <v>817</v>
      </c>
      <c r="E85" s="1" t="s">
        <v>770</v>
      </c>
      <c r="F85" s="1" t="s">
        <v>816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1114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76"/>
      <c r="BE85" s="1">
        <v>122</v>
      </c>
      <c r="BF85" s="1" t="s">
        <v>1549</v>
      </c>
      <c r="BG85" s="1" t="s">
        <v>1550</v>
      </c>
      <c r="BH85" s="1" t="s">
        <v>1445</v>
      </c>
      <c r="BI85" s="1">
        <v>30</v>
      </c>
      <c r="BJ85" s="1" t="s">
        <v>1463</v>
      </c>
      <c r="BK85" s="1" t="s">
        <v>1665</v>
      </c>
    </row>
    <row r="86" spans="2:63">
      <c r="B86" s="1">
        <v>83</v>
      </c>
      <c r="C86" s="1" t="s">
        <v>647</v>
      </c>
      <c r="D86" s="1" t="s">
        <v>818</v>
      </c>
      <c r="E86" s="1" t="s">
        <v>763</v>
      </c>
      <c r="F86" s="1" t="s">
        <v>749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80</v>
      </c>
      <c r="Q86" s="1" t="s">
        <v>80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76"/>
      <c r="BE86" s="1">
        <v>123</v>
      </c>
      <c r="BF86" s="1" t="s">
        <v>1587</v>
      </c>
      <c r="BG86" s="1" t="s">
        <v>1588</v>
      </c>
      <c r="BH86" s="1" t="s">
        <v>1449</v>
      </c>
      <c r="BI86" s="1">
        <v>30</v>
      </c>
      <c r="BJ86" s="1" t="s">
        <v>742</v>
      </c>
      <c r="BK86" s="1" t="s">
        <v>1652</v>
      </c>
    </row>
    <row r="87" spans="2:63">
      <c r="B87" s="1">
        <v>84</v>
      </c>
      <c r="C87" s="1" t="s">
        <v>646</v>
      </c>
      <c r="D87" s="1" t="s">
        <v>646</v>
      </c>
      <c r="E87" s="1" t="s">
        <v>763</v>
      </c>
      <c r="F87" s="1" t="s">
        <v>749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645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76"/>
      <c r="BE87" s="1">
        <v>124</v>
      </c>
      <c r="BF87" s="1" t="s">
        <v>1502</v>
      </c>
      <c r="BG87" s="1" t="s">
        <v>1503</v>
      </c>
      <c r="BH87" s="1" t="s">
        <v>1449</v>
      </c>
      <c r="BI87" s="1">
        <v>65</v>
      </c>
      <c r="BJ87" s="1" t="s">
        <v>742</v>
      </c>
      <c r="BK87" s="1" t="s">
        <v>1652</v>
      </c>
    </row>
    <row r="88" spans="2:63">
      <c r="B88" s="1">
        <v>85</v>
      </c>
      <c r="C88" s="1" t="s">
        <v>645</v>
      </c>
      <c r="D88" s="1" t="s">
        <v>645</v>
      </c>
      <c r="E88" s="1" t="s">
        <v>763</v>
      </c>
      <c r="F88" s="1" t="s">
        <v>749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80</v>
      </c>
      <c r="Q88" s="1" t="s">
        <v>80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76"/>
      <c r="BE88" s="1">
        <v>125</v>
      </c>
      <c r="BF88" s="1" t="s">
        <v>1636</v>
      </c>
      <c r="BG88" s="1" t="s">
        <v>1679</v>
      </c>
      <c r="BH88" s="1" t="s">
        <v>1445</v>
      </c>
      <c r="BI88" s="1">
        <v>65</v>
      </c>
      <c r="BJ88" s="1" t="s">
        <v>1448</v>
      </c>
      <c r="BK88" s="1" t="s">
        <v>1651</v>
      </c>
    </row>
    <row r="89" spans="2:63">
      <c r="B89" s="1">
        <v>86</v>
      </c>
      <c r="C89" s="1" t="s">
        <v>644</v>
      </c>
      <c r="D89" s="1" t="s">
        <v>819</v>
      </c>
      <c r="E89" s="1" t="s">
        <v>752</v>
      </c>
      <c r="F89" s="1" t="s">
        <v>80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820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76"/>
      <c r="BE89" s="1">
        <v>126</v>
      </c>
      <c r="BF89" s="1" t="s">
        <v>1498</v>
      </c>
      <c r="BG89" s="1" t="s">
        <v>1499</v>
      </c>
      <c r="BH89" s="1" t="s">
        <v>1449</v>
      </c>
      <c r="BI89" s="1">
        <v>110</v>
      </c>
      <c r="BJ89" s="1" t="s">
        <v>1456</v>
      </c>
      <c r="BK89" s="1" t="s">
        <v>1659</v>
      </c>
    </row>
    <row r="90" spans="2:63">
      <c r="B90" s="1">
        <v>87</v>
      </c>
      <c r="C90" s="1" t="s">
        <v>643</v>
      </c>
      <c r="D90" s="1" t="s">
        <v>820</v>
      </c>
      <c r="E90" s="1" t="s">
        <v>752</v>
      </c>
      <c r="F90" s="1" t="s">
        <v>821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80</v>
      </c>
      <c r="Q90" s="1" t="s">
        <v>80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76"/>
      <c r="BE90" s="1">
        <v>127</v>
      </c>
      <c r="BF90" s="1" t="s">
        <v>1473</v>
      </c>
      <c r="BG90" s="1" t="s">
        <v>1474</v>
      </c>
      <c r="BH90" s="1" t="s">
        <v>1445</v>
      </c>
      <c r="BI90" s="1">
        <v>80</v>
      </c>
      <c r="BJ90" s="1" t="s">
        <v>1455</v>
      </c>
      <c r="BK90" s="1" t="s">
        <v>1657</v>
      </c>
    </row>
    <row r="91" spans="2:63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823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76"/>
      <c r="BE91" s="1">
        <v>128</v>
      </c>
      <c r="BF91" s="1" t="s">
        <v>1623</v>
      </c>
      <c r="BG91" s="1" t="s">
        <v>1670</v>
      </c>
      <c r="BH91" s="1" t="s">
        <v>1445</v>
      </c>
      <c r="BI91" s="1">
        <v>35</v>
      </c>
      <c r="BJ91" s="1" t="s">
        <v>1455</v>
      </c>
      <c r="BK91" s="1" t="s">
        <v>1657</v>
      </c>
    </row>
    <row r="92" spans="2:63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80</v>
      </c>
      <c r="Q92" s="1" t="s">
        <v>80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76"/>
      <c r="BE92" s="1">
        <v>129</v>
      </c>
      <c r="BF92" s="1" t="s">
        <v>1559</v>
      </c>
      <c r="BG92" s="1" t="s">
        <v>1560</v>
      </c>
      <c r="BH92" s="1" t="s">
        <v>1449</v>
      </c>
      <c r="BI92" s="1">
        <v>60</v>
      </c>
      <c r="BJ92" s="1" t="s">
        <v>763</v>
      </c>
      <c r="BK92" s="1" t="s">
        <v>1655</v>
      </c>
    </row>
    <row r="93" spans="2:63">
      <c r="B93" s="1">
        <v>90</v>
      </c>
      <c r="C93" s="1" t="s">
        <v>640</v>
      </c>
      <c r="D93" s="1" t="s">
        <v>824</v>
      </c>
      <c r="E93" s="1" t="s">
        <v>752</v>
      </c>
      <c r="F93" s="1" t="s">
        <v>80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825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76"/>
      <c r="BE93" s="1">
        <v>130</v>
      </c>
      <c r="BF93" s="1" t="s">
        <v>1625</v>
      </c>
      <c r="BG93" s="1" t="s">
        <v>1672</v>
      </c>
      <c r="BH93" s="1" t="s">
        <v>1445</v>
      </c>
      <c r="BI93" s="1">
        <v>130</v>
      </c>
      <c r="BJ93" s="1" t="s">
        <v>763</v>
      </c>
      <c r="BK93" s="1" t="s">
        <v>1655</v>
      </c>
    </row>
    <row r="94" spans="2:63">
      <c r="B94" s="1">
        <v>91</v>
      </c>
      <c r="C94" s="1" t="s">
        <v>639</v>
      </c>
      <c r="D94" s="1" t="s">
        <v>825</v>
      </c>
      <c r="E94" s="1" t="s">
        <v>752</v>
      </c>
      <c r="F94" s="1" t="s">
        <v>821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80</v>
      </c>
      <c r="Q94" s="1" t="s">
        <v>80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76"/>
      <c r="BE94" s="1">
        <v>131</v>
      </c>
      <c r="BF94" s="1" t="s">
        <v>1640</v>
      </c>
      <c r="BG94" s="1" t="s">
        <v>1683</v>
      </c>
      <c r="BH94" s="1" t="s">
        <v>1445</v>
      </c>
      <c r="BI94" s="1">
        <v>45</v>
      </c>
      <c r="BJ94" s="1" t="s">
        <v>763</v>
      </c>
      <c r="BK94" s="1" t="s">
        <v>1655</v>
      </c>
    </row>
    <row r="95" spans="2:63">
      <c r="B95" s="1">
        <v>92</v>
      </c>
      <c r="C95" s="1" t="s">
        <v>638</v>
      </c>
      <c r="D95" s="1" t="s">
        <v>826</v>
      </c>
      <c r="E95" s="1" t="s">
        <v>827</v>
      </c>
      <c r="F95" s="1" t="s">
        <v>742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828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76"/>
      <c r="BE95" s="1">
        <v>132</v>
      </c>
      <c r="BF95" s="1" t="s">
        <v>1624</v>
      </c>
      <c r="BG95" s="1" t="s">
        <v>1671</v>
      </c>
      <c r="BH95" s="1" t="s">
        <v>1445</v>
      </c>
      <c r="BI95" s="1">
        <v>10</v>
      </c>
      <c r="BJ95" s="1" t="s">
        <v>763</v>
      </c>
      <c r="BK95" s="1" t="s">
        <v>1655</v>
      </c>
    </row>
    <row r="96" spans="2:63">
      <c r="B96" s="1">
        <v>93</v>
      </c>
      <c r="C96" s="1" t="s">
        <v>637</v>
      </c>
      <c r="D96" s="1" t="s">
        <v>828</v>
      </c>
      <c r="E96" s="1" t="s">
        <v>827</v>
      </c>
      <c r="F96" s="1" t="s">
        <v>742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829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76"/>
      <c r="BE96" s="1">
        <v>136</v>
      </c>
      <c r="BF96" s="1" t="s">
        <v>1569</v>
      </c>
      <c r="BG96" s="1" t="s">
        <v>1570</v>
      </c>
      <c r="BH96" s="1" t="s">
        <v>1445</v>
      </c>
      <c r="BI96" s="1">
        <v>130</v>
      </c>
      <c r="BJ96" s="1" t="s">
        <v>1459</v>
      </c>
      <c r="BK96" s="1" t="s">
        <v>1653</v>
      </c>
    </row>
    <row r="97" spans="2:63">
      <c r="B97" s="1">
        <v>94</v>
      </c>
      <c r="C97" s="1" t="s">
        <v>636</v>
      </c>
      <c r="D97" s="1" t="s">
        <v>829</v>
      </c>
      <c r="E97" s="1" t="s">
        <v>827</v>
      </c>
      <c r="F97" s="1" t="s">
        <v>742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80</v>
      </c>
      <c r="Q97" s="1" t="s">
        <v>80</v>
      </c>
      <c r="R97" s="1" t="s">
        <v>80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76"/>
      <c r="BE97" s="1">
        <v>138</v>
      </c>
      <c r="BF97" s="1" t="s">
        <v>1504</v>
      </c>
      <c r="BG97" s="1" t="s">
        <v>1505</v>
      </c>
      <c r="BH97" s="1" t="s">
        <v>1449</v>
      </c>
      <c r="BI97" s="1">
        <v>100</v>
      </c>
      <c r="BJ97" s="1" t="s">
        <v>1454</v>
      </c>
      <c r="BK97" s="1" t="s">
        <v>1658</v>
      </c>
    </row>
    <row r="98" spans="2:63">
      <c r="B98" s="1">
        <v>95</v>
      </c>
      <c r="C98" s="1" t="s">
        <v>635</v>
      </c>
      <c r="D98" s="1" t="s">
        <v>635</v>
      </c>
      <c r="E98" s="1" t="s">
        <v>809</v>
      </c>
      <c r="F98" s="1" t="s">
        <v>772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522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76"/>
      <c r="BE98" s="1">
        <v>140</v>
      </c>
      <c r="BF98" s="1" t="s">
        <v>1642</v>
      </c>
      <c r="BG98" s="1" t="s">
        <v>1464</v>
      </c>
      <c r="BH98" s="1" t="s">
        <v>1445</v>
      </c>
      <c r="BI98" s="1">
        <v>20</v>
      </c>
      <c r="BJ98" s="1" t="s">
        <v>763</v>
      </c>
      <c r="BK98" s="1" t="s">
        <v>1655</v>
      </c>
    </row>
    <row r="99" spans="2:63">
      <c r="B99" s="1">
        <v>96</v>
      </c>
      <c r="C99" s="1" t="s">
        <v>634</v>
      </c>
      <c r="D99" s="1" t="s">
        <v>830</v>
      </c>
      <c r="E99" s="1" t="s">
        <v>801</v>
      </c>
      <c r="F99" s="1" t="s">
        <v>80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831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76"/>
      <c r="BE99" s="1">
        <v>141</v>
      </c>
      <c r="BF99" s="1" t="s">
        <v>1615</v>
      </c>
      <c r="BG99" s="1" t="s">
        <v>1616</v>
      </c>
      <c r="BH99" s="1" t="s">
        <v>1445</v>
      </c>
      <c r="BI99" s="1">
        <v>80</v>
      </c>
      <c r="BJ99" s="1" t="s">
        <v>1458</v>
      </c>
      <c r="BK99" s="1" t="s">
        <v>1661</v>
      </c>
    </row>
    <row r="100" spans="2:63">
      <c r="B100" s="1">
        <v>97</v>
      </c>
      <c r="C100" s="1" t="s">
        <v>633</v>
      </c>
      <c r="D100" s="1" t="s">
        <v>831</v>
      </c>
      <c r="E100" s="1" t="s">
        <v>801</v>
      </c>
      <c r="F100" s="1" t="s">
        <v>80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80</v>
      </c>
      <c r="Q100" s="1" t="s">
        <v>80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76"/>
      <c r="BE100" s="1">
        <v>143</v>
      </c>
      <c r="BF100" s="1" t="s">
        <v>1573</v>
      </c>
      <c r="BG100" s="1" t="s">
        <v>1574</v>
      </c>
      <c r="BH100" s="1" t="s">
        <v>1445</v>
      </c>
      <c r="BI100" s="1">
        <v>140</v>
      </c>
      <c r="BJ100" s="1" t="s">
        <v>1453</v>
      </c>
      <c r="BK100" s="1" t="s">
        <v>1654</v>
      </c>
    </row>
    <row r="101" spans="2:63">
      <c r="B101" s="1">
        <v>98</v>
      </c>
      <c r="C101" s="1" t="s">
        <v>632</v>
      </c>
      <c r="D101" s="1" t="s">
        <v>632</v>
      </c>
      <c r="E101" s="1" t="s">
        <v>752</v>
      </c>
      <c r="F101" s="1" t="s">
        <v>80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832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76"/>
      <c r="BE101" s="1">
        <v>145</v>
      </c>
      <c r="BF101" s="1" t="s">
        <v>1632</v>
      </c>
      <c r="BG101" s="1" t="s">
        <v>1677</v>
      </c>
      <c r="BH101" s="1" t="s">
        <v>1449</v>
      </c>
      <c r="BI101" s="1">
        <v>40</v>
      </c>
      <c r="BJ101" s="1" t="s">
        <v>1455</v>
      </c>
      <c r="BK101" s="1" t="s">
        <v>1657</v>
      </c>
    </row>
    <row r="102" spans="2:63">
      <c r="B102" s="1">
        <v>99</v>
      </c>
      <c r="C102" s="1" t="s">
        <v>631</v>
      </c>
      <c r="D102" s="1" t="s">
        <v>832</v>
      </c>
      <c r="E102" s="1" t="s">
        <v>752</v>
      </c>
      <c r="F102" s="1" t="s">
        <v>80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80</v>
      </c>
      <c r="Q102" s="1" t="s">
        <v>80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76"/>
      <c r="BE102" s="1">
        <v>146</v>
      </c>
      <c r="BF102" s="1" t="s">
        <v>1649</v>
      </c>
      <c r="BG102" s="1" t="s">
        <v>1690</v>
      </c>
      <c r="BH102" s="1" t="s">
        <v>1445</v>
      </c>
      <c r="BI102" s="1">
        <v>70</v>
      </c>
      <c r="BJ102" s="1" t="s">
        <v>763</v>
      </c>
      <c r="BK102" s="1" t="s">
        <v>1655</v>
      </c>
    </row>
    <row r="103" spans="2:63">
      <c r="B103" s="1">
        <v>100</v>
      </c>
      <c r="C103" s="1" t="s">
        <v>630</v>
      </c>
      <c r="D103" s="1" t="s">
        <v>833</v>
      </c>
      <c r="E103" s="1" t="s">
        <v>770</v>
      </c>
      <c r="F103" s="1" t="s">
        <v>80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834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76"/>
      <c r="BE103" s="1">
        <v>149</v>
      </c>
      <c r="BF103" s="1" t="s">
        <v>1650</v>
      </c>
      <c r="BG103" s="1" t="s">
        <v>1689</v>
      </c>
      <c r="BH103" s="1" t="s">
        <v>1449</v>
      </c>
      <c r="BI103" s="1">
        <v>60</v>
      </c>
      <c r="BJ103" s="1" t="s">
        <v>1454</v>
      </c>
      <c r="BK103" s="1" t="s">
        <v>1658</v>
      </c>
    </row>
    <row r="104" spans="2:63">
      <c r="B104" s="1">
        <v>101</v>
      </c>
      <c r="C104" s="1" t="s">
        <v>629</v>
      </c>
      <c r="D104" s="1" t="s">
        <v>834</v>
      </c>
      <c r="E104" s="1" t="s">
        <v>770</v>
      </c>
      <c r="F104" s="1" t="s">
        <v>80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80</v>
      </c>
      <c r="Q104" s="1" t="s">
        <v>80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76"/>
      <c r="BE104" s="1">
        <v>152</v>
      </c>
      <c r="BF104" s="1" t="s">
        <v>1571</v>
      </c>
      <c r="BG104" s="1" t="s">
        <v>1572</v>
      </c>
      <c r="BH104" s="1" t="s">
        <v>1445</v>
      </c>
      <c r="BI104" s="1">
        <v>100</v>
      </c>
      <c r="BJ104" s="1" t="s">
        <v>1455</v>
      </c>
      <c r="BK104" s="1" t="s">
        <v>1657</v>
      </c>
    </row>
    <row r="105" spans="2:63">
      <c r="B105" s="1">
        <v>102</v>
      </c>
      <c r="C105" s="1" t="s">
        <v>628</v>
      </c>
      <c r="D105" s="1" t="s">
        <v>835</v>
      </c>
      <c r="E105" s="1" t="s">
        <v>741</v>
      </c>
      <c r="F105" s="1" t="s">
        <v>801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836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76"/>
      <c r="BE105" s="1">
        <v>153</v>
      </c>
      <c r="BF105" s="1" t="s">
        <v>1518</v>
      </c>
      <c r="BG105" s="1" t="s">
        <v>1518</v>
      </c>
      <c r="BH105" s="1" t="s">
        <v>1445</v>
      </c>
      <c r="BI105" s="1">
        <v>250</v>
      </c>
      <c r="BJ105" s="1" t="s">
        <v>763</v>
      </c>
      <c r="BK105" s="1" t="s">
        <v>1655</v>
      </c>
    </row>
    <row r="106" spans="2:63">
      <c r="B106" s="1">
        <v>103</v>
      </c>
      <c r="C106" s="1" t="s">
        <v>627</v>
      </c>
      <c r="D106" s="1" t="s">
        <v>836</v>
      </c>
      <c r="E106" s="1" t="s">
        <v>741</v>
      </c>
      <c r="F106" s="1" t="s">
        <v>801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80</v>
      </c>
      <c r="Q106" s="1" t="s">
        <v>80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76"/>
      <c r="BE106" s="1">
        <v>154</v>
      </c>
      <c r="BF106" s="1" t="s">
        <v>1479</v>
      </c>
      <c r="BG106" s="1" t="s">
        <v>1480</v>
      </c>
      <c r="BH106" s="1" t="s">
        <v>1445</v>
      </c>
      <c r="BI106" s="1">
        <v>18</v>
      </c>
      <c r="BJ106" s="1" t="s">
        <v>763</v>
      </c>
      <c r="BK106" s="1" t="s">
        <v>1655</v>
      </c>
    </row>
    <row r="107" spans="2:63">
      <c r="B107" s="1">
        <v>104</v>
      </c>
      <c r="C107" s="1" t="s">
        <v>626</v>
      </c>
      <c r="D107" s="1" t="s">
        <v>837</v>
      </c>
      <c r="E107" s="1" t="s">
        <v>772</v>
      </c>
      <c r="F107" s="1" t="s">
        <v>80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838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76"/>
      <c r="BE107" s="1">
        <v>155</v>
      </c>
      <c r="BF107" s="1" t="s">
        <v>1638</v>
      </c>
      <c r="BG107" s="1" t="s">
        <v>1682</v>
      </c>
      <c r="BH107" s="1" t="s">
        <v>1445</v>
      </c>
      <c r="BI107" s="1">
        <v>50</v>
      </c>
      <c r="BJ107" s="1" t="s">
        <v>1448</v>
      </c>
      <c r="BK107" s="1" t="s">
        <v>1651</v>
      </c>
    </row>
    <row r="108" spans="2:63">
      <c r="B108" s="1">
        <v>105</v>
      </c>
      <c r="C108" s="1" t="s">
        <v>625</v>
      </c>
      <c r="D108" s="1" t="s">
        <v>838</v>
      </c>
      <c r="E108" s="1" t="s">
        <v>772</v>
      </c>
      <c r="F108" s="1" t="s">
        <v>80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80</v>
      </c>
      <c r="Q108" s="1" t="s">
        <v>80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76"/>
      <c r="BE108" s="1">
        <v>157</v>
      </c>
      <c r="BF108" s="1" t="s">
        <v>1508</v>
      </c>
      <c r="BG108" s="1" t="s">
        <v>1509</v>
      </c>
      <c r="BH108" s="1" t="s">
        <v>1445</v>
      </c>
      <c r="BI108" s="1">
        <v>75</v>
      </c>
      <c r="BJ108" s="1" t="s">
        <v>1457</v>
      </c>
      <c r="BK108" s="1" t="s">
        <v>1663</v>
      </c>
    </row>
    <row r="109" spans="2:63">
      <c r="B109" s="1">
        <v>106</v>
      </c>
      <c r="C109" s="1" t="s">
        <v>624</v>
      </c>
      <c r="D109" s="1" t="s">
        <v>839</v>
      </c>
      <c r="E109" s="1" t="s">
        <v>794</v>
      </c>
      <c r="F109" s="1" t="s">
        <v>80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80</v>
      </c>
      <c r="Q109" s="1" t="s">
        <v>80</v>
      </c>
      <c r="R109" s="1" t="s">
        <v>80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76"/>
      <c r="BE109" s="1">
        <v>158</v>
      </c>
      <c r="BF109" s="1" t="s">
        <v>1628</v>
      </c>
      <c r="BG109" s="1" t="s">
        <v>1674</v>
      </c>
      <c r="BH109" s="1" t="s">
        <v>1445</v>
      </c>
      <c r="BI109" s="1">
        <v>80</v>
      </c>
      <c r="BJ109" s="1" t="s">
        <v>763</v>
      </c>
      <c r="BK109" s="1" t="s">
        <v>1655</v>
      </c>
    </row>
    <row r="110" spans="2:63">
      <c r="B110" s="1">
        <v>107</v>
      </c>
      <c r="C110" s="1" t="s">
        <v>623</v>
      </c>
      <c r="D110" s="1" t="s">
        <v>840</v>
      </c>
      <c r="E110" s="1" t="s">
        <v>794</v>
      </c>
      <c r="F110" s="1" t="s">
        <v>80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80</v>
      </c>
      <c r="Q110" s="1" t="s">
        <v>80</v>
      </c>
      <c r="R110" s="1" t="s">
        <v>80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76"/>
      <c r="BE110" s="1">
        <v>161</v>
      </c>
      <c r="BF110" s="1" t="s">
        <v>1605</v>
      </c>
      <c r="BG110" s="1" t="s">
        <v>1606</v>
      </c>
      <c r="BH110" s="1" t="s">
        <v>1449</v>
      </c>
      <c r="BI110" s="1">
        <v>80</v>
      </c>
      <c r="BJ110" s="1" t="s">
        <v>763</v>
      </c>
      <c r="BK110" s="1" t="s">
        <v>1655</v>
      </c>
    </row>
    <row r="111" spans="2:63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1115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76"/>
      <c r="BE111" s="1">
        <v>162</v>
      </c>
      <c r="BF111" s="1" t="s">
        <v>1484</v>
      </c>
      <c r="BG111" s="1" t="s">
        <v>1485</v>
      </c>
      <c r="BH111" s="1" t="s">
        <v>1445</v>
      </c>
      <c r="BI111" s="1">
        <v>60</v>
      </c>
      <c r="BJ111" s="1" t="s">
        <v>763</v>
      </c>
      <c r="BK111" s="1" t="s">
        <v>1655</v>
      </c>
    </row>
    <row r="112" spans="2:63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843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76"/>
      <c r="BE112" s="1">
        <v>163</v>
      </c>
      <c r="BF112" s="1" t="s">
        <v>1603</v>
      </c>
      <c r="BG112" s="1" t="s">
        <v>1604</v>
      </c>
      <c r="BH112" s="1" t="s">
        <v>1445</v>
      </c>
      <c r="BI112" s="1">
        <v>70</v>
      </c>
      <c r="BJ112" s="1" t="s">
        <v>763</v>
      </c>
      <c r="BK112" s="1" t="s">
        <v>1655</v>
      </c>
    </row>
    <row r="113" spans="2:63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80</v>
      </c>
      <c r="Q113" s="1" t="s">
        <v>80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76"/>
      <c r="BE113" s="1">
        <v>165</v>
      </c>
      <c r="BF113" s="1" t="s">
        <v>1553</v>
      </c>
      <c r="BG113" s="1" t="s">
        <v>1554</v>
      </c>
      <c r="BH113" s="1" t="s">
        <v>1445</v>
      </c>
      <c r="BI113" s="1">
        <v>50</v>
      </c>
      <c r="BJ113" s="1" t="s">
        <v>763</v>
      </c>
      <c r="BK113" s="1" t="s">
        <v>1655</v>
      </c>
    </row>
    <row r="114" spans="2:63">
      <c r="B114" s="1">
        <v>111</v>
      </c>
      <c r="C114" s="1" t="s">
        <v>619</v>
      </c>
      <c r="D114" s="1" t="s">
        <v>844</v>
      </c>
      <c r="E114" s="1" t="s">
        <v>772</v>
      </c>
      <c r="F114" s="1" t="s">
        <v>809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845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76"/>
    </row>
    <row r="115" spans="2:63">
      <c r="B115" s="1">
        <v>112</v>
      </c>
      <c r="C115" s="1" t="s">
        <v>618</v>
      </c>
      <c r="D115" s="1" t="s">
        <v>845</v>
      </c>
      <c r="E115" s="1" t="s">
        <v>772</v>
      </c>
      <c r="F115" s="1" t="s">
        <v>809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1116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76"/>
    </row>
    <row r="116" spans="2:63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946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76"/>
    </row>
    <row r="117" spans="2:63">
      <c r="B117" s="1">
        <v>114</v>
      </c>
      <c r="C117" s="1" t="s">
        <v>616</v>
      </c>
      <c r="D117" s="1" t="s">
        <v>847</v>
      </c>
      <c r="E117" s="1" t="s">
        <v>741</v>
      </c>
      <c r="F117" s="1" t="s">
        <v>80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1117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76"/>
    </row>
    <row r="118" spans="2:63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80</v>
      </c>
      <c r="Q118" s="1" t="s">
        <v>80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76"/>
    </row>
    <row r="119" spans="2:63">
      <c r="B119" s="1">
        <v>116</v>
      </c>
      <c r="C119" s="1" t="s">
        <v>614</v>
      </c>
      <c r="D119" s="1" t="s">
        <v>849</v>
      </c>
      <c r="E119" s="1" t="s">
        <v>752</v>
      </c>
      <c r="F119" s="1" t="s">
        <v>80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850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76"/>
    </row>
    <row r="120" spans="2:63">
      <c r="B120" s="1">
        <v>117</v>
      </c>
      <c r="C120" s="1" t="s">
        <v>613</v>
      </c>
      <c r="D120" s="1" t="s">
        <v>850</v>
      </c>
      <c r="E120" s="1" t="s">
        <v>752</v>
      </c>
      <c r="F120" s="1" t="s">
        <v>80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938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76"/>
    </row>
    <row r="121" spans="2:63">
      <c r="B121" s="1">
        <v>118</v>
      </c>
      <c r="C121" s="1" t="s">
        <v>612</v>
      </c>
      <c r="D121" s="1" t="s">
        <v>851</v>
      </c>
      <c r="E121" s="1" t="s">
        <v>752</v>
      </c>
      <c r="F121" s="1" t="s">
        <v>80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852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76"/>
    </row>
    <row r="122" spans="2:63">
      <c r="B122" s="1">
        <v>119</v>
      </c>
      <c r="C122" s="1" t="s">
        <v>611</v>
      </c>
      <c r="D122" s="1" t="s">
        <v>852</v>
      </c>
      <c r="E122" s="1" t="s">
        <v>752</v>
      </c>
      <c r="F122" s="1" t="s">
        <v>80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80</v>
      </c>
      <c r="Q122" s="1" t="s">
        <v>80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76"/>
    </row>
    <row r="123" spans="2:63">
      <c r="B123" s="1">
        <v>120</v>
      </c>
      <c r="C123" s="1" t="s">
        <v>610</v>
      </c>
      <c r="D123" s="1" t="s">
        <v>853</v>
      </c>
      <c r="E123" s="1" t="s">
        <v>752</v>
      </c>
      <c r="F123" s="1" t="s">
        <v>80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854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76"/>
    </row>
    <row r="124" spans="2:63">
      <c r="B124" s="1">
        <v>121</v>
      </c>
      <c r="C124" s="1" t="s">
        <v>609</v>
      </c>
      <c r="D124" s="1" t="s">
        <v>854</v>
      </c>
      <c r="E124" s="1" t="s">
        <v>752</v>
      </c>
      <c r="F124" s="1" t="s">
        <v>801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80</v>
      </c>
      <c r="Q124" s="1" t="s">
        <v>80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76"/>
    </row>
    <row r="125" spans="2:63">
      <c r="B125" s="1">
        <v>122</v>
      </c>
      <c r="C125" s="1" t="s">
        <v>608</v>
      </c>
      <c r="D125" s="1" t="s">
        <v>855</v>
      </c>
      <c r="E125" s="1" t="s">
        <v>801</v>
      </c>
      <c r="F125" s="1" t="s">
        <v>775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80</v>
      </c>
      <c r="Q125" s="1" t="s">
        <v>80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76"/>
    </row>
    <row r="126" spans="2:63">
      <c r="B126" s="1">
        <v>123</v>
      </c>
      <c r="C126" s="1" t="s">
        <v>607</v>
      </c>
      <c r="D126" s="1" t="s">
        <v>856</v>
      </c>
      <c r="E126" s="1" t="s">
        <v>756</v>
      </c>
      <c r="F126" s="1" t="s">
        <v>749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80</v>
      </c>
      <c r="Q126" s="1" t="s">
        <v>80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76"/>
    </row>
    <row r="127" spans="2:63">
      <c r="B127" s="1">
        <v>124</v>
      </c>
      <c r="C127" s="1" t="s">
        <v>606</v>
      </c>
      <c r="D127" s="1" t="s">
        <v>857</v>
      </c>
      <c r="E127" s="1" t="s">
        <v>821</v>
      </c>
      <c r="F127" s="1" t="s">
        <v>801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80</v>
      </c>
      <c r="Q127" s="1" t="s">
        <v>80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76"/>
    </row>
    <row r="128" spans="2:63">
      <c r="B128" s="1">
        <v>125</v>
      </c>
      <c r="C128" s="1" t="s">
        <v>605</v>
      </c>
      <c r="D128" s="1" t="s">
        <v>858</v>
      </c>
      <c r="E128" s="1" t="s">
        <v>770</v>
      </c>
      <c r="F128" s="1" t="s">
        <v>80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1118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76"/>
    </row>
    <row r="129" spans="2:42">
      <c r="B129" s="1">
        <v>126</v>
      </c>
      <c r="C129" s="1" t="s">
        <v>604</v>
      </c>
      <c r="D129" s="1" t="s">
        <v>604</v>
      </c>
      <c r="E129" s="1" t="s">
        <v>746</v>
      </c>
      <c r="F129" s="1" t="s">
        <v>80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1119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76"/>
    </row>
    <row r="130" spans="2:42">
      <c r="B130" s="1">
        <v>127</v>
      </c>
      <c r="C130" s="1" t="s">
        <v>603</v>
      </c>
      <c r="D130" s="1" t="s">
        <v>859</v>
      </c>
      <c r="E130" s="1" t="s">
        <v>756</v>
      </c>
      <c r="F130" s="1" t="s">
        <v>80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80</v>
      </c>
      <c r="Q130" s="1" t="s">
        <v>80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76"/>
    </row>
    <row r="131" spans="2:42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80</v>
      </c>
      <c r="Q131" s="1" t="s">
        <v>80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76"/>
    </row>
    <row r="132" spans="2:42">
      <c r="B132" s="1">
        <v>129</v>
      </c>
      <c r="C132" s="1" t="s">
        <v>601</v>
      </c>
      <c r="D132" s="1" t="s">
        <v>860</v>
      </c>
      <c r="E132" s="1" t="s">
        <v>752</v>
      </c>
      <c r="F132" s="1" t="s">
        <v>80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861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76"/>
    </row>
    <row r="133" spans="2:42">
      <c r="B133" s="1">
        <v>130</v>
      </c>
      <c r="C133" s="1" t="s">
        <v>600</v>
      </c>
      <c r="D133" s="1" t="s">
        <v>861</v>
      </c>
      <c r="E133" s="1" t="s">
        <v>752</v>
      </c>
      <c r="F133" s="1" t="s">
        <v>749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80</v>
      </c>
      <c r="Q133" s="1" t="s">
        <v>80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76"/>
    </row>
    <row r="134" spans="2:42">
      <c r="B134" s="1">
        <v>131</v>
      </c>
      <c r="C134" s="1" t="s">
        <v>599</v>
      </c>
      <c r="D134" s="1" t="s">
        <v>863</v>
      </c>
      <c r="E134" s="1" t="s">
        <v>752</v>
      </c>
      <c r="F134" s="1" t="s">
        <v>821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80</v>
      </c>
      <c r="Q134" s="1" t="s">
        <v>80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76"/>
    </row>
    <row r="135" spans="2:42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80</v>
      </c>
      <c r="Q135" s="1" t="s">
        <v>80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76"/>
    </row>
    <row r="136" spans="2:42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0" t="s">
        <v>867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76"/>
    </row>
    <row r="137" spans="2:42">
      <c r="B137" s="1">
        <v>134</v>
      </c>
      <c r="C137" s="1" t="s">
        <v>596</v>
      </c>
      <c r="D137" s="1" t="s">
        <v>866</v>
      </c>
      <c r="E137" s="1" t="s">
        <v>752</v>
      </c>
      <c r="F137" s="1" t="s">
        <v>80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80</v>
      </c>
      <c r="Q137" s="1" t="s">
        <v>80</v>
      </c>
      <c r="R137" s="1" t="s">
        <v>80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76"/>
    </row>
    <row r="138" spans="2:42">
      <c r="B138" s="1">
        <v>135</v>
      </c>
      <c r="C138" s="1" t="s">
        <v>595</v>
      </c>
      <c r="D138" s="1" t="s">
        <v>867</v>
      </c>
      <c r="E138" s="1" t="s">
        <v>770</v>
      </c>
      <c r="F138" s="1" t="s">
        <v>80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80</v>
      </c>
      <c r="Q138" s="1" t="s">
        <v>80</v>
      </c>
      <c r="R138" s="1" t="s">
        <v>80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76"/>
    </row>
    <row r="139" spans="2:42">
      <c r="B139" s="1">
        <v>136</v>
      </c>
      <c r="C139" s="1" t="s">
        <v>594</v>
      </c>
      <c r="D139" s="1" t="s">
        <v>868</v>
      </c>
      <c r="E139" s="1" t="s">
        <v>746</v>
      </c>
      <c r="F139" s="1" t="s">
        <v>80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80</v>
      </c>
      <c r="Q139" s="1" t="s">
        <v>80</v>
      </c>
      <c r="R139" s="1" t="s">
        <v>80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76"/>
    </row>
    <row r="140" spans="2:42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497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76"/>
    </row>
    <row r="141" spans="2:42">
      <c r="B141" s="1">
        <v>138</v>
      </c>
      <c r="C141" s="1" t="s">
        <v>592</v>
      </c>
      <c r="D141" s="1" t="s">
        <v>869</v>
      </c>
      <c r="E141" s="1" t="s">
        <v>809</v>
      </c>
      <c r="F141" s="1" t="s">
        <v>752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870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76"/>
    </row>
    <row r="142" spans="2:42">
      <c r="B142" s="1">
        <v>139</v>
      </c>
      <c r="C142" s="1" t="s">
        <v>591</v>
      </c>
      <c r="D142" s="1" t="s">
        <v>870</v>
      </c>
      <c r="E142" s="1" t="s">
        <v>809</v>
      </c>
      <c r="F142" s="1" t="s">
        <v>752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80</v>
      </c>
      <c r="Q142" s="1" t="s">
        <v>80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76"/>
    </row>
    <row r="143" spans="2:42">
      <c r="B143" s="1">
        <v>140</v>
      </c>
      <c r="C143" s="1" t="s">
        <v>590</v>
      </c>
      <c r="D143" s="1" t="s">
        <v>590</v>
      </c>
      <c r="E143" s="1" t="s">
        <v>809</v>
      </c>
      <c r="F143" s="1" t="s">
        <v>752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589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76"/>
    </row>
    <row r="144" spans="2:42">
      <c r="B144" s="1">
        <v>141</v>
      </c>
      <c r="C144" s="1" t="s">
        <v>589</v>
      </c>
      <c r="D144" s="1" t="s">
        <v>589</v>
      </c>
      <c r="E144" s="1" t="s">
        <v>809</v>
      </c>
      <c r="F144" s="1" t="s">
        <v>752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80</v>
      </c>
      <c r="Q144" s="1" t="s">
        <v>80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76"/>
    </row>
    <row r="145" spans="2:42">
      <c r="B145" s="1">
        <v>142</v>
      </c>
      <c r="C145" s="1" t="s">
        <v>588</v>
      </c>
      <c r="D145" s="1" t="s">
        <v>871</v>
      </c>
      <c r="E145" s="1" t="s">
        <v>809</v>
      </c>
      <c r="F145" s="1" t="s">
        <v>749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80</v>
      </c>
      <c r="Q145" s="1" t="s">
        <v>80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76"/>
    </row>
    <row r="146" spans="2:42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80</v>
      </c>
      <c r="Q146" s="1" t="s">
        <v>80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76"/>
    </row>
    <row r="147" spans="2:42">
      <c r="B147" s="1">
        <v>144</v>
      </c>
      <c r="C147" s="1" t="s">
        <v>586</v>
      </c>
      <c r="D147" s="1" t="s">
        <v>873</v>
      </c>
      <c r="E147" s="1" t="s">
        <v>821</v>
      </c>
      <c r="F147" s="1" t="s">
        <v>749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80</v>
      </c>
      <c r="Q147" s="1" t="s">
        <v>80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76"/>
    </row>
    <row r="148" spans="2:42">
      <c r="B148" s="1">
        <v>145</v>
      </c>
      <c r="C148" s="1" t="s">
        <v>585</v>
      </c>
      <c r="D148" s="1" t="s">
        <v>874</v>
      </c>
      <c r="E148" s="1" t="s">
        <v>770</v>
      </c>
      <c r="F148" s="1" t="s">
        <v>749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80</v>
      </c>
      <c r="Q148" s="1" t="s">
        <v>80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76"/>
    </row>
    <row r="149" spans="2:42">
      <c r="B149" s="1">
        <v>146</v>
      </c>
      <c r="C149" s="1" t="s">
        <v>584</v>
      </c>
      <c r="D149" s="1" t="s">
        <v>875</v>
      </c>
      <c r="E149" s="1" t="s">
        <v>746</v>
      </c>
      <c r="F149" s="1" t="s">
        <v>749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80</v>
      </c>
      <c r="Q149" s="1" t="s">
        <v>80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76"/>
    </row>
    <row r="150" spans="2:42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877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76"/>
    </row>
    <row r="151" spans="2:42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878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76"/>
    </row>
    <row r="152" spans="2:42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749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80</v>
      </c>
      <c r="Q152" s="1" t="s">
        <v>80</v>
      </c>
      <c r="R152" s="1" t="s">
        <v>80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76"/>
    </row>
    <row r="153" spans="2:42">
      <c r="B153" s="1">
        <v>150</v>
      </c>
      <c r="C153" s="1" t="s">
        <v>580</v>
      </c>
      <c r="D153" s="1" t="s">
        <v>580</v>
      </c>
      <c r="E153" s="1" t="s">
        <v>801</v>
      </c>
      <c r="F153" s="1" t="s">
        <v>80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80</v>
      </c>
      <c r="Q153" s="1" t="s">
        <v>80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76"/>
    </row>
    <row r="154" spans="2:42">
      <c r="B154" s="1">
        <v>151</v>
      </c>
      <c r="C154" s="1" t="s">
        <v>579</v>
      </c>
      <c r="D154" s="1" t="s">
        <v>579</v>
      </c>
      <c r="E154" s="1" t="s">
        <v>801</v>
      </c>
      <c r="F154" s="1" t="s">
        <v>80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80</v>
      </c>
      <c r="Q154" s="1" t="s">
        <v>80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76"/>
    </row>
    <row r="155" spans="2:42">
      <c r="B155" s="1">
        <v>152</v>
      </c>
      <c r="C155" s="1" t="s">
        <v>578</v>
      </c>
      <c r="D155" s="1" t="s">
        <v>879</v>
      </c>
      <c r="E155" s="1" t="s">
        <v>741</v>
      </c>
      <c r="F155" s="1" t="s">
        <v>80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880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76"/>
    </row>
    <row r="156" spans="2:42">
      <c r="B156" s="1">
        <v>153</v>
      </c>
      <c r="C156" s="1" t="s">
        <v>577</v>
      </c>
      <c r="D156" s="1" t="s">
        <v>880</v>
      </c>
      <c r="E156" s="1" t="s">
        <v>741</v>
      </c>
      <c r="F156" s="1" t="s">
        <v>80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881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76"/>
    </row>
    <row r="157" spans="2:42">
      <c r="B157" s="1">
        <v>154</v>
      </c>
      <c r="C157" s="1" t="s">
        <v>576</v>
      </c>
      <c r="D157" s="1" t="s">
        <v>881</v>
      </c>
      <c r="E157" s="1" t="s">
        <v>741</v>
      </c>
      <c r="F157" s="1" t="s">
        <v>80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80</v>
      </c>
      <c r="Q157" s="1" t="s">
        <v>80</v>
      </c>
      <c r="R157" s="1" t="s">
        <v>80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76"/>
    </row>
    <row r="158" spans="2:42">
      <c r="B158" s="1">
        <v>155</v>
      </c>
      <c r="C158" s="1" t="s">
        <v>575</v>
      </c>
      <c r="D158" s="1" t="s">
        <v>882</v>
      </c>
      <c r="E158" s="1" t="s">
        <v>746</v>
      </c>
      <c r="F158" s="1" t="s">
        <v>80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883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76"/>
    </row>
    <row r="159" spans="2:42">
      <c r="B159" s="1">
        <v>156</v>
      </c>
      <c r="C159" s="1" t="s">
        <v>574</v>
      </c>
      <c r="D159" s="1" t="s">
        <v>883</v>
      </c>
      <c r="E159" s="1" t="s">
        <v>746</v>
      </c>
      <c r="F159" s="1" t="s">
        <v>80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573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76"/>
    </row>
    <row r="160" spans="2:42">
      <c r="B160" s="1">
        <v>157</v>
      </c>
      <c r="C160" s="1" t="s">
        <v>573</v>
      </c>
      <c r="D160" s="1" t="s">
        <v>573</v>
      </c>
      <c r="E160" s="1" t="s">
        <v>746</v>
      </c>
      <c r="F160" s="1" t="s">
        <v>80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80</v>
      </c>
      <c r="Q160" s="1" t="s">
        <v>80</v>
      </c>
      <c r="R160" s="1" t="s">
        <v>80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76"/>
    </row>
    <row r="161" spans="2:42">
      <c r="B161" s="1">
        <v>158</v>
      </c>
      <c r="C161" s="1" t="s">
        <v>572</v>
      </c>
      <c r="D161" s="1" t="s">
        <v>884</v>
      </c>
      <c r="E161" s="1" t="s">
        <v>752</v>
      </c>
      <c r="F161" s="1" t="s">
        <v>80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885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76"/>
    </row>
    <row r="162" spans="2:42">
      <c r="B162" s="1">
        <v>159</v>
      </c>
      <c r="C162" s="1" t="s">
        <v>571</v>
      </c>
      <c r="D162" s="1" t="s">
        <v>885</v>
      </c>
      <c r="E162" s="1" t="s">
        <v>752</v>
      </c>
      <c r="F162" s="1" t="s">
        <v>80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886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76"/>
    </row>
    <row r="163" spans="2:42">
      <c r="B163" s="1">
        <v>160</v>
      </c>
      <c r="C163" s="1" t="s">
        <v>570</v>
      </c>
      <c r="D163" s="1" t="s">
        <v>886</v>
      </c>
      <c r="E163" s="1" t="s">
        <v>752</v>
      </c>
      <c r="F163" s="1" t="s">
        <v>80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80</v>
      </c>
      <c r="Q163" s="1" t="s">
        <v>80</v>
      </c>
      <c r="R163" s="1" t="s">
        <v>80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76"/>
    </row>
    <row r="164" spans="2:42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888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76"/>
    </row>
    <row r="165" spans="2:42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80</v>
      </c>
      <c r="Q165" s="1" t="s">
        <v>80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76"/>
    </row>
    <row r="166" spans="2:42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749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889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76"/>
    </row>
    <row r="167" spans="2:42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749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80</v>
      </c>
      <c r="Q167" s="1" t="s">
        <v>80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76"/>
    </row>
    <row r="168" spans="2:42">
      <c r="B168" s="1">
        <v>165</v>
      </c>
      <c r="C168" s="1" t="s">
        <v>565</v>
      </c>
      <c r="D168" s="1" t="s">
        <v>890</v>
      </c>
      <c r="E168" s="1" t="s">
        <v>756</v>
      </c>
      <c r="F168" s="1" t="s">
        <v>749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891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76"/>
    </row>
    <row r="169" spans="2:42">
      <c r="B169" s="1">
        <v>166</v>
      </c>
      <c r="C169" s="1" t="s">
        <v>564</v>
      </c>
      <c r="D169" s="1" t="s">
        <v>891</v>
      </c>
      <c r="E169" s="1" t="s">
        <v>756</v>
      </c>
      <c r="F169" s="1" t="s">
        <v>749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80</v>
      </c>
      <c r="Q169" s="1" t="s">
        <v>80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76"/>
    </row>
    <row r="170" spans="2:42">
      <c r="B170" s="1">
        <v>167</v>
      </c>
      <c r="C170" s="1" t="s">
        <v>563</v>
      </c>
      <c r="D170" s="1" t="s">
        <v>892</v>
      </c>
      <c r="E170" s="1" t="s">
        <v>756</v>
      </c>
      <c r="F170" s="1" t="s">
        <v>742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893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76"/>
    </row>
    <row r="171" spans="2:42">
      <c r="B171" s="1">
        <v>168</v>
      </c>
      <c r="C171" s="1" t="s">
        <v>562</v>
      </c>
      <c r="D171" s="1" t="s">
        <v>893</v>
      </c>
      <c r="E171" s="1" t="s">
        <v>756</v>
      </c>
      <c r="F171" s="1" t="s">
        <v>742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80</v>
      </c>
      <c r="Q171" s="1" t="s">
        <v>80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76"/>
    </row>
    <row r="172" spans="2:42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749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80</v>
      </c>
      <c r="Q172" s="1" t="s">
        <v>80</v>
      </c>
      <c r="R172" s="1" t="s">
        <v>80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76"/>
    </row>
    <row r="173" spans="2:42">
      <c r="B173" s="1">
        <v>170</v>
      </c>
      <c r="C173" s="1" t="s">
        <v>560</v>
      </c>
      <c r="D173" s="1" t="s">
        <v>895</v>
      </c>
      <c r="E173" s="1" t="s">
        <v>752</v>
      </c>
      <c r="F173" s="1" t="s">
        <v>770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559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76"/>
    </row>
    <row r="174" spans="2:42">
      <c r="B174" s="1">
        <v>171</v>
      </c>
      <c r="C174" s="1" t="s">
        <v>559</v>
      </c>
      <c r="D174" s="1" t="s">
        <v>559</v>
      </c>
      <c r="E174" s="1" t="s">
        <v>752</v>
      </c>
      <c r="F174" s="1" t="s">
        <v>770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80</v>
      </c>
      <c r="Q174" s="1" t="s">
        <v>80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76"/>
    </row>
    <row r="175" spans="2:42">
      <c r="B175" s="1">
        <v>172</v>
      </c>
      <c r="C175" s="1" t="s">
        <v>558</v>
      </c>
      <c r="D175" s="1" t="s">
        <v>558</v>
      </c>
      <c r="E175" s="1" t="s">
        <v>770</v>
      </c>
      <c r="F175" s="1" t="s">
        <v>80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705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76"/>
    </row>
    <row r="176" spans="2:42">
      <c r="B176" s="1">
        <v>173</v>
      </c>
      <c r="C176" s="1" t="s">
        <v>557</v>
      </c>
      <c r="D176" s="1" t="s">
        <v>896</v>
      </c>
      <c r="E176" s="1" t="s">
        <v>775</v>
      </c>
      <c r="F176" s="1" t="s">
        <v>80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774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76"/>
    </row>
    <row r="177" spans="2:42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775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779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76"/>
    </row>
    <row r="178" spans="2:42">
      <c r="B178" s="1">
        <v>175</v>
      </c>
      <c r="C178" s="1" t="s">
        <v>555</v>
      </c>
      <c r="D178" s="1" t="s">
        <v>555</v>
      </c>
      <c r="E178" s="1" t="s">
        <v>775</v>
      </c>
      <c r="F178" s="1" t="s">
        <v>80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554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76"/>
    </row>
    <row r="179" spans="2:42">
      <c r="B179" s="1">
        <v>176</v>
      </c>
      <c r="C179" s="1" t="s">
        <v>554</v>
      </c>
      <c r="D179" s="1" t="s">
        <v>554</v>
      </c>
      <c r="E179" s="1" t="s">
        <v>775</v>
      </c>
      <c r="F179" s="1" t="s">
        <v>749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262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76"/>
    </row>
    <row r="180" spans="2:42">
      <c r="B180" s="1">
        <v>177</v>
      </c>
      <c r="C180" s="1" t="s">
        <v>553</v>
      </c>
      <c r="D180" s="1" t="s">
        <v>553</v>
      </c>
      <c r="E180" s="1" t="s">
        <v>801</v>
      </c>
      <c r="F180" s="1" t="s">
        <v>749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552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76"/>
    </row>
    <row r="181" spans="2:42">
      <c r="B181" s="1">
        <v>178</v>
      </c>
      <c r="C181" s="1" t="s">
        <v>552</v>
      </c>
      <c r="D181" s="1" t="s">
        <v>552</v>
      </c>
      <c r="E181" s="1" t="s">
        <v>801</v>
      </c>
      <c r="F181" s="1" t="s">
        <v>749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80</v>
      </c>
      <c r="Q181" s="1" t="s">
        <v>80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76"/>
    </row>
    <row r="182" spans="2:42">
      <c r="B182" s="1">
        <v>179</v>
      </c>
      <c r="C182" s="1" t="s">
        <v>551</v>
      </c>
      <c r="D182" s="1" t="s">
        <v>898</v>
      </c>
      <c r="E182" s="1" t="s">
        <v>770</v>
      </c>
      <c r="F182" s="1" t="s">
        <v>80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899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76"/>
    </row>
    <row r="183" spans="2:42">
      <c r="B183" s="1">
        <v>180</v>
      </c>
      <c r="C183" s="1" t="s">
        <v>550</v>
      </c>
      <c r="D183" s="1" t="s">
        <v>899</v>
      </c>
      <c r="E183" s="1" t="s">
        <v>770</v>
      </c>
      <c r="F183" s="1" t="s">
        <v>80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900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76"/>
    </row>
    <row r="184" spans="2:42">
      <c r="B184" s="1">
        <v>181</v>
      </c>
      <c r="C184" s="1" t="s">
        <v>549</v>
      </c>
      <c r="D184" s="1" t="s">
        <v>900</v>
      </c>
      <c r="E184" s="1" t="s">
        <v>770</v>
      </c>
      <c r="F184" s="1" t="s">
        <v>80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80</v>
      </c>
      <c r="Q184" s="1" t="s">
        <v>80</v>
      </c>
      <c r="R184" s="1" t="s">
        <v>80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76"/>
    </row>
    <row r="185" spans="2:42">
      <c r="B185" s="1">
        <v>182</v>
      </c>
      <c r="C185" s="1" t="s">
        <v>548</v>
      </c>
      <c r="D185" s="1" t="s">
        <v>901</v>
      </c>
      <c r="E185" s="1" t="s">
        <v>741</v>
      </c>
      <c r="F185" s="1" t="s">
        <v>80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80</v>
      </c>
      <c r="Q185" s="1" t="s">
        <v>80</v>
      </c>
      <c r="R185" s="1" t="s">
        <v>80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76"/>
    </row>
    <row r="186" spans="2:42">
      <c r="B186" s="1">
        <v>183</v>
      </c>
      <c r="C186" s="1" t="s">
        <v>547</v>
      </c>
      <c r="D186" s="1" t="s">
        <v>547</v>
      </c>
      <c r="E186" s="1" t="s">
        <v>752</v>
      </c>
      <c r="F186" s="1" t="s">
        <v>775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546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76"/>
    </row>
    <row r="187" spans="2:42">
      <c r="B187" s="1">
        <v>184</v>
      </c>
      <c r="C187" s="1" t="s">
        <v>546</v>
      </c>
      <c r="D187" s="1" t="s">
        <v>546</v>
      </c>
      <c r="E187" s="1" t="s">
        <v>752</v>
      </c>
      <c r="F187" s="1" t="s">
        <v>775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80</v>
      </c>
      <c r="Q187" s="1" t="s">
        <v>80</v>
      </c>
      <c r="R187" s="1" t="s">
        <v>80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76"/>
    </row>
    <row r="188" spans="2:42">
      <c r="B188" s="1">
        <v>185</v>
      </c>
      <c r="C188" s="1" t="s">
        <v>545</v>
      </c>
      <c r="D188" s="1" t="s">
        <v>902</v>
      </c>
      <c r="E188" s="1" t="s">
        <v>809</v>
      </c>
      <c r="F188" s="1" t="s">
        <v>80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80</v>
      </c>
      <c r="Q188" s="1" t="s">
        <v>80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76"/>
    </row>
    <row r="189" spans="2:42">
      <c r="B189" s="1">
        <v>186</v>
      </c>
      <c r="C189" s="1" t="s">
        <v>544</v>
      </c>
      <c r="D189" s="1" t="s">
        <v>903</v>
      </c>
      <c r="E189" s="1" t="s">
        <v>752</v>
      </c>
      <c r="F189" s="1" t="s">
        <v>80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80</v>
      </c>
      <c r="Q189" s="1" t="s">
        <v>80</v>
      </c>
      <c r="R189" s="1" t="s">
        <v>80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76"/>
    </row>
    <row r="190" spans="2:42">
      <c r="B190" s="1">
        <v>187</v>
      </c>
      <c r="C190" s="1" t="s">
        <v>543</v>
      </c>
      <c r="D190" s="1" t="s">
        <v>904</v>
      </c>
      <c r="E190" s="1" t="s">
        <v>741</v>
      </c>
      <c r="F190" s="1" t="s">
        <v>749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905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76"/>
    </row>
    <row r="191" spans="2:42">
      <c r="B191" s="1">
        <v>188</v>
      </c>
      <c r="C191" s="1" t="s">
        <v>542</v>
      </c>
      <c r="D191" s="1" t="s">
        <v>905</v>
      </c>
      <c r="E191" s="1" t="s">
        <v>741</v>
      </c>
      <c r="F191" s="1" t="s">
        <v>749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906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76"/>
    </row>
    <row r="192" spans="2:42">
      <c r="B192" s="1">
        <v>189</v>
      </c>
      <c r="C192" s="1" t="s">
        <v>541</v>
      </c>
      <c r="D192" s="1" t="s">
        <v>906</v>
      </c>
      <c r="E192" s="1" t="s">
        <v>741</v>
      </c>
      <c r="F192" s="1" t="s">
        <v>749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80</v>
      </c>
      <c r="Q192" s="1" t="s">
        <v>80</v>
      </c>
      <c r="R192" s="1" t="s">
        <v>80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76"/>
    </row>
    <row r="193" spans="2:42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1081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76"/>
    </row>
    <row r="194" spans="2:42">
      <c r="B194" s="1">
        <v>191</v>
      </c>
      <c r="C194" s="1" t="s">
        <v>539</v>
      </c>
      <c r="D194" s="1" t="s">
        <v>908</v>
      </c>
      <c r="E194" s="1" t="s">
        <v>741</v>
      </c>
      <c r="F194" s="1" t="s">
        <v>80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909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76"/>
    </row>
    <row r="195" spans="2:42">
      <c r="B195" s="1">
        <v>192</v>
      </c>
      <c r="C195" s="1" t="s">
        <v>538</v>
      </c>
      <c r="D195" s="1" t="s">
        <v>909</v>
      </c>
      <c r="E195" s="1" t="s">
        <v>741</v>
      </c>
      <c r="F195" s="1" t="s">
        <v>80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80</v>
      </c>
      <c r="Q195" s="1" t="s">
        <v>80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76"/>
    </row>
    <row r="196" spans="2:42">
      <c r="B196" s="1">
        <v>193</v>
      </c>
      <c r="C196" s="1" t="s">
        <v>537</v>
      </c>
      <c r="D196" s="1" t="s">
        <v>537</v>
      </c>
      <c r="E196" s="1" t="s">
        <v>756</v>
      </c>
      <c r="F196" s="1" t="s">
        <v>749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261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76"/>
    </row>
    <row r="197" spans="2:42">
      <c r="B197" s="1">
        <v>194</v>
      </c>
      <c r="C197" s="1" t="s">
        <v>536</v>
      </c>
      <c r="D197" s="1" t="s">
        <v>910</v>
      </c>
      <c r="E197" s="1" t="s">
        <v>752</v>
      </c>
      <c r="F197" s="1" t="s">
        <v>772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911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76"/>
    </row>
    <row r="198" spans="2:42">
      <c r="B198" s="1">
        <v>195</v>
      </c>
      <c r="C198" s="1" t="s">
        <v>535</v>
      </c>
      <c r="D198" s="1" t="s">
        <v>911</v>
      </c>
      <c r="E198" s="1" t="s">
        <v>752</v>
      </c>
      <c r="F198" s="1" t="s">
        <v>772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80</v>
      </c>
      <c r="Q198" s="1" t="s">
        <v>80</v>
      </c>
      <c r="R198" s="1" t="s">
        <v>80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76"/>
    </row>
    <row r="199" spans="2:42">
      <c r="B199" s="1">
        <v>196</v>
      </c>
      <c r="C199" s="1" t="s">
        <v>534</v>
      </c>
      <c r="D199" s="1" t="s">
        <v>912</v>
      </c>
      <c r="E199" s="1" t="s">
        <v>801</v>
      </c>
      <c r="F199" s="1" t="s">
        <v>80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80</v>
      </c>
      <c r="Q199" s="1" t="s">
        <v>80</v>
      </c>
      <c r="R199" s="1" t="s">
        <v>80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76"/>
    </row>
    <row r="200" spans="2:42">
      <c r="B200" s="1">
        <v>197</v>
      </c>
      <c r="C200" s="1" t="s">
        <v>533</v>
      </c>
      <c r="D200" s="1" t="s">
        <v>913</v>
      </c>
      <c r="E200" s="1" t="s">
        <v>862</v>
      </c>
      <c r="F200" s="1" t="s">
        <v>80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80</v>
      </c>
      <c r="Q200" s="1" t="s">
        <v>80</v>
      </c>
      <c r="R200" s="1" t="s">
        <v>80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76"/>
    </row>
    <row r="201" spans="2:42">
      <c r="B201" s="1">
        <v>198</v>
      </c>
      <c r="C201" s="1" t="s">
        <v>532</v>
      </c>
      <c r="D201" s="1" t="s">
        <v>914</v>
      </c>
      <c r="E201" s="1" t="s">
        <v>862</v>
      </c>
      <c r="F201" s="1" t="s">
        <v>749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1087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76"/>
    </row>
    <row r="202" spans="2:42">
      <c r="B202" s="1">
        <v>199</v>
      </c>
      <c r="C202" s="1" t="s">
        <v>531</v>
      </c>
      <c r="D202" s="1" t="s">
        <v>915</v>
      </c>
      <c r="E202" s="1" t="s">
        <v>752</v>
      </c>
      <c r="F202" s="1" t="s">
        <v>801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80</v>
      </c>
      <c r="Q202" s="1" t="s">
        <v>80</v>
      </c>
      <c r="R202" s="1" t="s">
        <v>80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76"/>
    </row>
    <row r="203" spans="2:42">
      <c r="B203" s="1">
        <v>200</v>
      </c>
      <c r="C203" s="1" t="s">
        <v>530</v>
      </c>
      <c r="D203" s="1" t="s">
        <v>916</v>
      </c>
      <c r="E203" s="1" t="s">
        <v>827</v>
      </c>
      <c r="F203" s="1" t="s">
        <v>80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1086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76"/>
    </row>
    <row r="204" spans="2:42">
      <c r="B204" s="1">
        <v>201</v>
      </c>
      <c r="C204" s="1" t="s">
        <v>529</v>
      </c>
      <c r="D204" s="1" t="s">
        <v>917</v>
      </c>
      <c r="E204" s="1" t="s">
        <v>801</v>
      </c>
      <c r="F204" s="1" t="s">
        <v>80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80</v>
      </c>
      <c r="Q204" s="1" t="s">
        <v>80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76"/>
    </row>
    <row r="205" spans="2:42">
      <c r="B205" s="1">
        <v>202</v>
      </c>
      <c r="C205" s="1" t="s">
        <v>528</v>
      </c>
      <c r="D205" s="1" t="s">
        <v>918</v>
      </c>
      <c r="E205" s="1" t="s">
        <v>801</v>
      </c>
      <c r="F205" s="1" t="s">
        <v>80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80</v>
      </c>
      <c r="Q205" s="1" t="s">
        <v>80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76"/>
    </row>
    <row r="206" spans="2:42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801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80</v>
      </c>
      <c r="Q206" s="1" t="s">
        <v>80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76"/>
    </row>
    <row r="207" spans="2:42">
      <c r="B207" s="1">
        <v>204</v>
      </c>
      <c r="C207" s="1" t="s">
        <v>526</v>
      </c>
      <c r="D207" s="1" t="s">
        <v>919</v>
      </c>
      <c r="E207" s="1" t="s">
        <v>756</v>
      </c>
      <c r="F207" s="1" t="s">
        <v>80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920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76"/>
    </row>
    <row r="208" spans="2:42">
      <c r="B208" s="1">
        <v>205</v>
      </c>
      <c r="C208" s="1" t="s">
        <v>525</v>
      </c>
      <c r="D208" s="1" t="s">
        <v>920</v>
      </c>
      <c r="E208" s="1" t="s">
        <v>756</v>
      </c>
      <c r="F208" s="1" t="s">
        <v>816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80</v>
      </c>
      <c r="Q208" s="1" t="s">
        <v>80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76"/>
    </row>
    <row r="209" spans="2:42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80</v>
      </c>
      <c r="Q209" s="1" t="s">
        <v>80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76"/>
    </row>
    <row r="210" spans="2:42">
      <c r="B210" s="1">
        <v>207</v>
      </c>
      <c r="C210" s="1" t="s">
        <v>523</v>
      </c>
      <c r="D210" s="1" t="s">
        <v>922</v>
      </c>
      <c r="E210" s="1" t="s">
        <v>772</v>
      </c>
      <c r="F210" s="1" t="s">
        <v>749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1122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76"/>
    </row>
    <row r="211" spans="2:42">
      <c r="B211" s="1">
        <v>208</v>
      </c>
      <c r="C211" s="1" t="s">
        <v>522</v>
      </c>
      <c r="D211" s="1" t="s">
        <v>522</v>
      </c>
      <c r="E211" s="1" t="s">
        <v>816</v>
      </c>
      <c r="F211" s="1" t="s">
        <v>772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80</v>
      </c>
      <c r="Q211" s="1" t="s">
        <v>80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76"/>
    </row>
    <row r="212" spans="2:42">
      <c r="B212" s="1">
        <v>209</v>
      </c>
      <c r="C212" s="1" t="s">
        <v>521</v>
      </c>
      <c r="D212" s="1" t="s">
        <v>521</v>
      </c>
      <c r="E212" s="1" t="s">
        <v>775</v>
      </c>
      <c r="F212" s="1" t="s">
        <v>80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520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76"/>
    </row>
    <row r="213" spans="2:42">
      <c r="B213" s="1">
        <v>210</v>
      </c>
      <c r="C213" s="1" t="s">
        <v>520</v>
      </c>
      <c r="D213" s="1" t="s">
        <v>520</v>
      </c>
      <c r="E213" s="1" t="s">
        <v>775</v>
      </c>
      <c r="F213" s="1" t="s">
        <v>80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80</v>
      </c>
      <c r="Q213" s="1" t="s">
        <v>80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76"/>
    </row>
    <row r="214" spans="2:42">
      <c r="B214" s="1">
        <v>211</v>
      </c>
      <c r="C214" s="1" t="s">
        <v>519</v>
      </c>
      <c r="D214" s="1" t="s">
        <v>519</v>
      </c>
      <c r="E214" s="1" t="s">
        <v>752</v>
      </c>
      <c r="F214" s="1" t="s">
        <v>742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80</v>
      </c>
      <c r="Q214" s="1" t="s">
        <v>80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76"/>
    </row>
    <row r="215" spans="2:42">
      <c r="B215" s="1">
        <v>212</v>
      </c>
      <c r="C215" s="1" t="s">
        <v>518</v>
      </c>
      <c r="D215" s="1" t="s">
        <v>923</v>
      </c>
      <c r="E215" s="1" t="s">
        <v>756</v>
      </c>
      <c r="F215" s="1" t="s">
        <v>816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80</v>
      </c>
      <c r="Q215" s="1" t="s">
        <v>80</v>
      </c>
      <c r="R215" s="1" t="s">
        <v>80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76"/>
    </row>
    <row r="216" spans="2:42">
      <c r="B216" s="1">
        <v>213</v>
      </c>
      <c r="C216" s="1" t="s">
        <v>517</v>
      </c>
      <c r="D216" s="1" t="s">
        <v>924</v>
      </c>
      <c r="E216" s="1" t="s">
        <v>756</v>
      </c>
      <c r="F216" s="1" t="s">
        <v>809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80</v>
      </c>
      <c r="Q216" s="1" t="s">
        <v>80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76"/>
    </row>
    <row r="217" spans="2:42">
      <c r="B217" s="1">
        <v>214</v>
      </c>
      <c r="C217" s="1" t="s">
        <v>516</v>
      </c>
      <c r="D217" s="1" t="s">
        <v>925</v>
      </c>
      <c r="E217" s="1" t="s">
        <v>756</v>
      </c>
      <c r="F217" s="1" t="s">
        <v>794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80</v>
      </c>
      <c r="Q217" s="1" t="s">
        <v>80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76"/>
    </row>
    <row r="218" spans="2:42">
      <c r="B218" s="1">
        <v>215</v>
      </c>
      <c r="C218" s="1" t="s">
        <v>515</v>
      </c>
      <c r="D218" s="1" t="s">
        <v>926</v>
      </c>
      <c r="E218" s="1" t="s">
        <v>862</v>
      </c>
      <c r="F218" s="1" t="s">
        <v>821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0" t="s">
        <v>1113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76"/>
    </row>
    <row r="219" spans="2:42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513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76"/>
    </row>
    <row r="220" spans="2:42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80</v>
      </c>
      <c r="Q220" s="1" t="s">
        <v>80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76"/>
    </row>
    <row r="221" spans="2:42">
      <c r="B221" s="1">
        <v>218</v>
      </c>
      <c r="C221" s="1" t="s">
        <v>512</v>
      </c>
      <c r="D221" s="1" t="s">
        <v>927</v>
      </c>
      <c r="E221" s="1" t="s">
        <v>746</v>
      </c>
      <c r="F221" s="1" t="s">
        <v>80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928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76"/>
    </row>
    <row r="222" spans="2:42">
      <c r="B222" s="1">
        <v>219</v>
      </c>
      <c r="C222" s="1" t="s">
        <v>511</v>
      </c>
      <c r="D222" s="1" t="s">
        <v>928</v>
      </c>
      <c r="E222" s="1" t="s">
        <v>746</v>
      </c>
      <c r="F222" s="1" t="s">
        <v>809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80</v>
      </c>
      <c r="Q222" s="1" t="s">
        <v>80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76"/>
    </row>
    <row r="223" spans="2:42">
      <c r="B223" s="1">
        <v>220</v>
      </c>
      <c r="C223" s="1" t="s">
        <v>510</v>
      </c>
      <c r="D223" s="1" t="s">
        <v>929</v>
      </c>
      <c r="E223" s="1" t="s">
        <v>821</v>
      </c>
      <c r="F223" s="1" t="s">
        <v>772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930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76"/>
    </row>
    <row r="224" spans="2:42">
      <c r="B224" s="1">
        <v>221</v>
      </c>
      <c r="C224" s="1" t="s">
        <v>509</v>
      </c>
      <c r="D224" s="1" t="s">
        <v>930</v>
      </c>
      <c r="E224" s="1" t="s">
        <v>821</v>
      </c>
      <c r="F224" s="1" t="s">
        <v>772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1123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76"/>
    </row>
    <row r="225" spans="2:42">
      <c r="B225" s="1">
        <v>222</v>
      </c>
      <c r="C225" s="1" t="s">
        <v>508</v>
      </c>
      <c r="D225" s="1" t="s">
        <v>931</v>
      </c>
      <c r="E225" s="1" t="s">
        <v>752</v>
      </c>
      <c r="F225" s="1" t="s">
        <v>809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80</v>
      </c>
      <c r="Q225" s="1" t="s">
        <v>80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76"/>
    </row>
    <row r="226" spans="2:42">
      <c r="B226" s="1">
        <v>223</v>
      </c>
      <c r="C226" s="1" t="s">
        <v>507</v>
      </c>
      <c r="D226" s="1" t="s">
        <v>932</v>
      </c>
      <c r="E226" s="1" t="s">
        <v>752</v>
      </c>
      <c r="F226" s="1" t="s">
        <v>80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506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76"/>
    </row>
    <row r="227" spans="2:42">
      <c r="B227" s="1">
        <v>224</v>
      </c>
      <c r="C227" s="1" t="s">
        <v>506</v>
      </c>
      <c r="D227" s="1" t="s">
        <v>506</v>
      </c>
      <c r="E227" s="1" t="s">
        <v>752</v>
      </c>
      <c r="F227" s="1" t="s">
        <v>80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80</v>
      </c>
      <c r="Q227" s="1" t="s">
        <v>80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76"/>
    </row>
    <row r="228" spans="2:42">
      <c r="B228" s="1">
        <v>225</v>
      </c>
      <c r="C228" s="1" t="s">
        <v>505</v>
      </c>
      <c r="D228" s="1" t="s">
        <v>933</v>
      </c>
      <c r="E228" s="1" t="s">
        <v>821</v>
      </c>
      <c r="F228" s="1" t="s">
        <v>749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80</v>
      </c>
      <c r="Q228" s="1" t="s">
        <v>80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76"/>
    </row>
    <row r="229" spans="2:42">
      <c r="B229" s="1">
        <v>226</v>
      </c>
      <c r="C229" s="1" t="s">
        <v>504</v>
      </c>
      <c r="D229" s="1" t="s">
        <v>934</v>
      </c>
      <c r="E229" s="1" t="s">
        <v>752</v>
      </c>
      <c r="F229" s="1" t="s">
        <v>749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80</v>
      </c>
      <c r="Q229" s="1" t="s">
        <v>80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76"/>
    </row>
    <row r="230" spans="2:42">
      <c r="B230" s="1">
        <v>227</v>
      </c>
      <c r="C230" s="1" t="s">
        <v>503</v>
      </c>
      <c r="D230" s="1" t="s">
        <v>935</v>
      </c>
      <c r="E230" s="1" t="s">
        <v>816</v>
      </c>
      <c r="F230" s="1" t="s">
        <v>749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80</v>
      </c>
      <c r="Q230" s="1" t="s">
        <v>80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76"/>
    </row>
    <row r="231" spans="2:42">
      <c r="B231" s="1">
        <v>228</v>
      </c>
      <c r="C231" s="1" t="s">
        <v>502</v>
      </c>
      <c r="D231" s="1" t="s">
        <v>936</v>
      </c>
      <c r="E231" s="1" t="s">
        <v>862</v>
      </c>
      <c r="F231" s="1" t="s">
        <v>746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937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76"/>
    </row>
    <row r="232" spans="2:42">
      <c r="B232" s="1">
        <v>229</v>
      </c>
      <c r="C232" s="1" t="s">
        <v>501</v>
      </c>
      <c r="D232" s="1" t="s">
        <v>937</v>
      </c>
      <c r="E232" s="1" t="s">
        <v>862</v>
      </c>
      <c r="F232" s="1" t="s">
        <v>746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80</v>
      </c>
      <c r="Q232" s="1" t="s">
        <v>80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76"/>
    </row>
    <row r="233" spans="2:42">
      <c r="B233" s="1">
        <v>230</v>
      </c>
      <c r="C233" s="1" t="s">
        <v>500</v>
      </c>
      <c r="D233" s="1" t="s">
        <v>938</v>
      </c>
      <c r="E233" s="1" t="s">
        <v>752</v>
      </c>
      <c r="F233" s="1" t="s">
        <v>750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80</v>
      </c>
      <c r="Q233" s="1" t="s">
        <v>80</v>
      </c>
      <c r="R233" s="1" t="s">
        <v>80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76"/>
    </row>
    <row r="234" spans="2:42">
      <c r="B234" s="1">
        <v>231</v>
      </c>
      <c r="C234" s="1" t="s">
        <v>499</v>
      </c>
      <c r="D234" s="1" t="s">
        <v>499</v>
      </c>
      <c r="E234" s="1" t="s">
        <v>772</v>
      </c>
      <c r="F234" s="1" t="s">
        <v>80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498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76"/>
    </row>
    <row r="235" spans="2:42">
      <c r="B235" s="1">
        <v>232</v>
      </c>
      <c r="C235" s="1" t="s">
        <v>498</v>
      </c>
      <c r="D235" s="1" t="s">
        <v>498</v>
      </c>
      <c r="E235" s="1" t="s">
        <v>772</v>
      </c>
      <c r="F235" s="1" t="s">
        <v>80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80</v>
      </c>
      <c r="Q235" s="1" t="s">
        <v>80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76"/>
    </row>
    <row r="236" spans="2:42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256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76"/>
    </row>
    <row r="237" spans="2:42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80</v>
      </c>
      <c r="Q237" s="1" t="s">
        <v>80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76"/>
    </row>
    <row r="238" spans="2:42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80</v>
      </c>
      <c r="Q238" s="1" t="s">
        <v>80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76"/>
    </row>
    <row r="239" spans="2:42">
      <c r="B239" s="1">
        <v>236</v>
      </c>
      <c r="C239" s="1" t="s">
        <v>494</v>
      </c>
      <c r="D239" s="1" t="s">
        <v>941</v>
      </c>
      <c r="E239" s="1" t="s">
        <v>794</v>
      </c>
      <c r="F239" s="1" t="s">
        <v>80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839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76"/>
    </row>
    <row r="240" spans="2:42">
      <c r="B240" s="1">
        <v>237</v>
      </c>
      <c r="C240" s="1" t="s">
        <v>493</v>
      </c>
      <c r="D240" s="1" t="s">
        <v>942</v>
      </c>
      <c r="E240" s="1" t="s">
        <v>794</v>
      </c>
      <c r="F240" s="1" t="s">
        <v>80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80</v>
      </c>
      <c r="Q240" s="1" t="s">
        <v>80</v>
      </c>
      <c r="R240" s="1" t="s">
        <v>80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76"/>
    </row>
    <row r="241" spans="2:42">
      <c r="B241" s="1">
        <v>238</v>
      </c>
      <c r="C241" s="1" t="s">
        <v>492</v>
      </c>
      <c r="D241" s="1" t="s">
        <v>943</v>
      </c>
      <c r="E241" s="1" t="s">
        <v>821</v>
      </c>
      <c r="F241" s="1" t="s">
        <v>801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857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76"/>
    </row>
    <row r="242" spans="2:42">
      <c r="B242" s="1">
        <v>239</v>
      </c>
      <c r="C242" s="1" t="s">
        <v>491</v>
      </c>
      <c r="D242" s="1" t="s">
        <v>944</v>
      </c>
      <c r="E242" s="1" t="s">
        <v>770</v>
      </c>
      <c r="F242" s="1" t="s">
        <v>80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858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76"/>
    </row>
    <row r="243" spans="2:42">
      <c r="B243" s="1">
        <v>240</v>
      </c>
      <c r="C243" s="1" t="s">
        <v>490</v>
      </c>
      <c r="D243" s="1" t="s">
        <v>490</v>
      </c>
      <c r="E243" s="1" t="s">
        <v>746</v>
      </c>
      <c r="F243" s="1" t="s">
        <v>80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604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76"/>
    </row>
    <row r="244" spans="2:42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80</v>
      </c>
      <c r="Q244" s="1" t="s">
        <v>80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76"/>
    </row>
    <row r="245" spans="2:42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80</v>
      </c>
      <c r="Q245" s="1" t="s">
        <v>80</v>
      </c>
      <c r="R245" s="1" t="s">
        <v>80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76"/>
    </row>
    <row r="246" spans="2:42">
      <c r="B246" s="1">
        <v>243</v>
      </c>
      <c r="C246" s="1" t="s">
        <v>487</v>
      </c>
      <c r="D246" s="1" t="s">
        <v>487</v>
      </c>
      <c r="E246" s="1" t="s">
        <v>770</v>
      </c>
      <c r="F246" s="1" t="s">
        <v>80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80</v>
      </c>
      <c r="Q246" s="1" t="s">
        <v>80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76"/>
    </row>
    <row r="247" spans="2:42">
      <c r="B247" s="1">
        <v>244</v>
      </c>
      <c r="C247" s="1" t="s">
        <v>486</v>
      </c>
      <c r="D247" s="1" t="s">
        <v>486</v>
      </c>
      <c r="E247" s="1" t="s">
        <v>746</v>
      </c>
      <c r="F247" s="1" t="s">
        <v>80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80</v>
      </c>
      <c r="Q247" s="1" t="s">
        <v>80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76"/>
    </row>
    <row r="248" spans="2:42">
      <c r="B248" s="1">
        <v>245</v>
      </c>
      <c r="C248" s="1" t="s">
        <v>485</v>
      </c>
      <c r="D248" s="1" t="s">
        <v>485</v>
      </c>
      <c r="E248" s="1" t="s">
        <v>752</v>
      </c>
      <c r="F248" s="1" t="s">
        <v>80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80</v>
      </c>
      <c r="Q248" s="1" t="s">
        <v>80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76"/>
    </row>
    <row r="249" spans="2:42">
      <c r="B249" s="1">
        <v>246</v>
      </c>
      <c r="C249" s="1" t="s">
        <v>484</v>
      </c>
      <c r="D249" s="1" t="s">
        <v>947</v>
      </c>
      <c r="E249" s="1" t="s">
        <v>809</v>
      </c>
      <c r="F249" s="1" t="s">
        <v>772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948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76"/>
    </row>
    <row r="250" spans="2:42">
      <c r="B250" s="1">
        <v>247</v>
      </c>
      <c r="C250" s="1" t="s">
        <v>483</v>
      </c>
      <c r="D250" s="1" t="s">
        <v>948</v>
      </c>
      <c r="E250" s="1" t="s">
        <v>809</v>
      </c>
      <c r="F250" s="1" t="s">
        <v>772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949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76"/>
    </row>
    <row r="251" spans="2:42">
      <c r="B251" s="1">
        <v>248</v>
      </c>
      <c r="C251" s="1" t="s">
        <v>482</v>
      </c>
      <c r="D251" s="1" t="s">
        <v>949</v>
      </c>
      <c r="E251" s="1" t="s">
        <v>809</v>
      </c>
      <c r="F251" s="1" t="s">
        <v>862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80</v>
      </c>
      <c r="Q251" s="1" t="s">
        <v>80</v>
      </c>
      <c r="R251" s="1" t="s">
        <v>80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76"/>
    </row>
    <row r="252" spans="2:42">
      <c r="B252" s="1">
        <v>249</v>
      </c>
      <c r="C252" s="1" t="s">
        <v>481</v>
      </c>
      <c r="D252" s="1" t="s">
        <v>481</v>
      </c>
      <c r="E252" s="1" t="s">
        <v>801</v>
      </c>
      <c r="F252" s="1" t="s">
        <v>749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80</v>
      </c>
      <c r="Q252" s="1" t="s">
        <v>80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76"/>
    </row>
    <row r="253" spans="2:42">
      <c r="B253" s="1">
        <v>250</v>
      </c>
      <c r="C253" s="1" t="s">
        <v>480</v>
      </c>
      <c r="D253" s="1" t="s">
        <v>950</v>
      </c>
      <c r="E253" s="1" t="s">
        <v>746</v>
      </c>
      <c r="F253" s="1" t="s">
        <v>749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80</v>
      </c>
      <c r="Q253" s="1" t="s">
        <v>80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76"/>
    </row>
    <row r="254" spans="2:42">
      <c r="B254" s="1">
        <v>251</v>
      </c>
      <c r="C254" s="1" t="s">
        <v>479</v>
      </c>
      <c r="D254" s="1" t="s">
        <v>479</v>
      </c>
      <c r="E254" s="1" t="s">
        <v>801</v>
      </c>
      <c r="F254" s="1" t="s">
        <v>741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80</v>
      </c>
      <c r="Q254" s="1" t="s">
        <v>80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76"/>
    </row>
    <row r="255" spans="2:42">
      <c r="B255" s="1">
        <v>252</v>
      </c>
      <c r="C255" s="1" t="s">
        <v>478</v>
      </c>
      <c r="D255" s="1" t="s">
        <v>951</v>
      </c>
      <c r="E255" s="1" t="s">
        <v>741</v>
      </c>
      <c r="F255" s="1" t="s">
        <v>80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952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76"/>
    </row>
    <row r="256" spans="2:42">
      <c r="B256" s="1">
        <v>253</v>
      </c>
      <c r="C256" s="1" t="s">
        <v>477</v>
      </c>
      <c r="D256" s="1" t="s">
        <v>952</v>
      </c>
      <c r="E256" s="1" t="s">
        <v>741</v>
      </c>
      <c r="F256" s="1" t="s">
        <v>80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953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76"/>
    </row>
    <row r="257" spans="2:42">
      <c r="B257" s="1">
        <v>254</v>
      </c>
      <c r="C257" s="1" t="s">
        <v>476</v>
      </c>
      <c r="D257" s="1" t="s">
        <v>953</v>
      </c>
      <c r="E257" s="1" t="s">
        <v>741</v>
      </c>
      <c r="F257" s="1" t="s">
        <v>80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80</v>
      </c>
      <c r="Q257" s="1" t="s">
        <v>80</v>
      </c>
      <c r="R257" s="1" t="s">
        <v>80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76"/>
    </row>
    <row r="258" spans="2:42">
      <c r="B258" s="1">
        <v>255</v>
      </c>
      <c r="C258" s="1" t="s">
        <v>475</v>
      </c>
      <c r="D258" s="1" t="s">
        <v>954</v>
      </c>
      <c r="E258" s="1" t="s">
        <v>746</v>
      </c>
      <c r="F258" s="1" t="s">
        <v>80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955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76"/>
    </row>
    <row r="259" spans="2:42">
      <c r="B259" s="1">
        <v>256</v>
      </c>
      <c r="C259" s="1" t="s">
        <v>474</v>
      </c>
      <c r="D259" s="1" t="s">
        <v>955</v>
      </c>
      <c r="E259" s="1" t="s">
        <v>746</v>
      </c>
      <c r="F259" s="1" t="s">
        <v>794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956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76"/>
    </row>
    <row r="260" spans="2:42">
      <c r="B260" s="1">
        <v>257</v>
      </c>
      <c r="C260" s="1" t="s">
        <v>473</v>
      </c>
      <c r="D260" s="1" t="s">
        <v>956</v>
      </c>
      <c r="E260" s="1" t="s">
        <v>746</v>
      </c>
      <c r="F260" s="1" t="s">
        <v>794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80</v>
      </c>
      <c r="Q260" s="1" t="s">
        <v>80</v>
      </c>
      <c r="R260" s="1" t="s">
        <v>80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76"/>
    </row>
    <row r="261" spans="2:42">
      <c r="B261" s="1">
        <v>258</v>
      </c>
      <c r="C261" s="1" t="s">
        <v>472</v>
      </c>
      <c r="D261" s="1" t="s">
        <v>957</v>
      </c>
      <c r="E261" s="1" t="s">
        <v>752</v>
      </c>
      <c r="F261" s="1" t="s">
        <v>80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958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76"/>
    </row>
    <row r="262" spans="2:42">
      <c r="B262" s="1">
        <v>259</v>
      </c>
      <c r="C262" s="1" t="s">
        <v>471</v>
      </c>
      <c r="D262" s="1" t="s">
        <v>958</v>
      </c>
      <c r="E262" s="1" t="s">
        <v>752</v>
      </c>
      <c r="F262" s="1" t="s">
        <v>772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959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76"/>
    </row>
    <row r="263" spans="2:42">
      <c r="B263" s="1">
        <v>260</v>
      </c>
      <c r="C263" s="1" t="s">
        <v>470</v>
      </c>
      <c r="D263" s="1" t="s">
        <v>959</v>
      </c>
      <c r="E263" s="1" t="s">
        <v>752</v>
      </c>
      <c r="F263" s="1" t="s">
        <v>772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80</v>
      </c>
      <c r="Q263" s="1" t="s">
        <v>80</v>
      </c>
      <c r="R263" s="1" t="s">
        <v>80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76"/>
    </row>
    <row r="264" spans="2:42">
      <c r="B264" s="1">
        <v>261</v>
      </c>
      <c r="C264" s="1" t="s">
        <v>469</v>
      </c>
      <c r="D264" s="1" t="s">
        <v>960</v>
      </c>
      <c r="E264" s="1" t="s">
        <v>862</v>
      </c>
      <c r="F264" s="1" t="s">
        <v>80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961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76"/>
    </row>
    <row r="265" spans="2:42">
      <c r="B265" s="1">
        <v>262</v>
      </c>
      <c r="C265" s="1" t="s">
        <v>468</v>
      </c>
      <c r="D265" s="1" t="s">
        <v>961</v>
      </c>
      <c r="E265" s="1" t="s">
        <v>862</v>
      </c>
      <c r="F265" s="1" t="s">
        <v>80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80</v>
      </c>
      <c r="Q265" s="1" t="s">
        <v>80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76"/>
    </row>
    <row r="266" spans="2:42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963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76"/>
    </row>
    <row r="267" spans="2:42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80</v>
      </c>
      <c r="Q267" s="1" t="s">
        <v>80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76"/>
    </row>
    <row r="268" spans="2:42">
      <c r="B268" s="1">
        <v>265</v>
      </c>
      <c r="C268" s="1" t="s">
        <v>465</v>
      </c>
      <c r="D268" s="1" t="s">
        <v>964</v>
      </c>
      <c r="E268" s="1" t="s">
        <v>756</v>
      </c>
      <c r="F268" s="1" t="s">
        <v>80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965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76"/>
    </row>
    <row r="269" spans="2:42">
      <c r="B269" s="1">
        <v>266</v>
      </c>
      <c r="C269" s="1" t="s">
        <v>464</v>
      </c>
      <c r="D269" s="1" t="s">
        <v>965</v>
      </c>
      <c r="E269" s="1" t="s">
        <v>756</v>
      </c>
      <c r="F269" s="1" t="s">
        <v>80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80</v>
      </c>
      <c r="R269" s="1" t="s">
        <v>80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76"/>
    </row>
    <row r="270" spans="2:42">
      <c r="B270" s="1">
        <v>267</v>
      </c>
      <c r="C270" s="1" t="s">
        <v>463</v>
      </c>
      <c r="D270" s="1" t="s">
        <v>966</v>
      </c>
      <c r="E270" s="1" t="s">
        <v>756</v>
      </c>
      <c r="F270" s="1" t="s">
        <v>749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80</v>
      </c>
      <c r="Q270" s="1" t="s">
        <v>80</v>
      </c>
      <c r="R270" s="1" t="s">
        <v>80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76"/>
    </row>
    <row r="271" spans="2:42">
      <c r="B271" s="1">
        <v>268</v>
      </c>
      <c r="C271" s="1" t="s">
        <v>462</v>
      </c>
      <c r="D271" s="1" t="s">
        <v>967</v>
      </c>
      <c r="E271" s="1" t="s">
        <v>756</v>
      </c>
      <c r="F271" s="1" t="s">
        <v>80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80</v>
      </c>
      <c r="R271" s="1" t="s">
        <v>80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76"/>
    </row>
    <row r="272" spans="2:42">
      <c r="B272" s="1">
        <v>269</v>
      </c>
      <c r="C272" s="1" t="s">
        <v>461</v>
      </c>
      <c r="D272" s="1" t="s">
        <v>968</v>
      </c>
      <c r="E272" s="1" t="s">
        <v>756</v>
      </c>
      <c r="F272" s="1" t="s">
        <v>742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80</v>
      </c>
      <c r="Q272" s="1" t="s">
        <v>80</v>
      </c>
      <c r="R272" s="1" t="s">
        <v>80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76"/>
    </row>
    <row r="273" spans="2:42">
      <c r="B273" s="1">
        <v>270</v>
      </c>
      <c r="C273" s="1" t="s">
        <v>460</v>
      </c>
      <c r="D273" s="1" t="s">
        <v>969</v>
      </c>
      <c r="E273" s="1" t="s">
        <v>752</v>
      </c>
      <c r="F273" s="1" t="s">
        <v>741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459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76"/>
    </row>
    <row r="274" spans="2:42">
      <c r="B274" s="1">
        <v>271</v>
      </c>
      <c r="C274" s="1" t="s">
        <v>459</v>
      </c>
      <c r="D274" s="1" t="s">
        <v>459</v>
      </c>
      <c r="E274" s="1" t="s">
        <v>752</v>
      </c>
      <c r="F274" s="1" t="s">
        <v>741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458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76"/>
    </row>
    <row r="275" spans="2:42">
      <c r="B275" s="1">
        <v>272</v>
      </c>
      <c r="C275" s="1" t="s">
        <v>458</v>
      </c>
      <c r="D275" s="1" t="s">
        <v>458</v>
      </c>
      <c r="E275" s="1" t="s">
        <v>752</v>
      </c>
      <c r="F275" s="1" t="s">
        <v>741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80</v>
      </c>
      <c r="Q275" s="1" t="s">
        <v>80</v>
      </c>
      <c r="R275" s="1" t="s">
        <v>80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76"/>
    </row>
    <row r="276" spans="2:42">
      <c r="B276" s="1">
        <v>273</v>
      </c>
      <c r="C276" s="1" t="s">
        <v>457</v>
      </c>
      <c r="D276" s="1" t="s">
        <v>970</v>
      </c>
      <c r="E276" s="1" t="s">
        <v>741</v>
      </c>
      <c r="F276" s="1" t="s">
        <v>80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971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76"/>
    </row>
    <row r="277" spans="2:42">
      <c r="B277" s="1">
        <v>274</v>
      </c>
      <c r="C277" s="1" t="s">
        <v>456</v>
      </c>
      <c r="D277" s="1" t="s">
        <v>971</v>
      </c>
      <c r="E277" s="1" t="s">
        <v>741</v>
      </c>
      <c r="F277" s="1" t="s">
        <v>862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972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76"/>
    </row>
    <row r="278" spans="2:42">
      <c r="B278" s="1">
        <v>275</v>
      </c>
      <c r="C278" s="1" t="s">
        <v>455</v>
      </c>
      <c r="D278" s="1" t="s">
        <v>972</v>
      </c>
      <c r="E278" s="1" t="s">
        <v>741</v>
      </c>
      <c r="F278" s="1" t="s">
        <v>862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80</v>
      </c>
      <c r="Q278" s="1" t="s">
        <v>80</v>
      </c>
      <c r="R278" s="1" t="s">
        <v>80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76"/>
    </row>
    <row r="279" spans="2:42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749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974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76"/>
    </row>
    <row r="280" spans="2:42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749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80</v>
      </c>
      <c r="Q280" s="1" t="s">
        <v>80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76"/>
    </row>
    <row r="281" spans="2:42">
      <c r="B281" s="1">
        <v>278</v>
      </c>
      <c r="C281" s="1" t="s">
        <v>452</v>
      </c>
      <c r="D281" s="1" t="s">
        <v>975</v>
      </c>
      <c r="E281" s="1" t="s">
        <v>752</v>
      </c>
      <c r="F281" s="1" t="s">
        <v>749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976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76"/>
    </row>
    <row r="282" spans="2:42">
      <c r="B282" s="1">
        <v>279</v>
      </c>
      <c r="C282" s="1" t="s">
        <v>451</v>
      </c>
      <c r="D282" s="1" t="s">
        <v>976</v>
      </c>
      <c r="E282" s="1" t="s">
        <v>752</v>
      </c>
      <c r="F282" s="1" t="s">
        <v>749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80</v>
      </c>
      <c r="Q282" s="1" t="s">
        <v>80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76"/>
    </row>
    <row r="283" spans="2:42">
      <c r="B283" s="1">
        <v>280</v>
      </c>
      <c r="C283" s="1" t="s">
        <v>450</v>
      </c>
      <c r="D283" s="1" t="s">
        <v>977</v>
      </c>
      <c r="E283" s="1" t="s">
        <v>801</v>
      </c>
      <c r="F283" s="1" t="s">
        <v>775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449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76"/>
    </row>
    <row r="284" spans="2:42">
      <c r="B284" s="1">
        <v>281</v>
      </c>
      <c r="C284" s="1" t="s">
        <v>449</v>
      </c>
      <c r="D284" s="1" t="s">
        <v>449</v>
      </c>
      <c r="E284" s="1" t="s">
        <v>801</v>
      </c>
      <c r="F284" s="1" t="s">
        <v>775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448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76"/>
    </row>
    <row r="285" spans="2:42">
      <c r="B285" s="1">
        <v>282</v>
      </c>
      <c r="C285" s="1" t="s">
        <v>448</v>
      </c>
      <c r="D285" s="1" t="s">
        <v>448</v>
      </c>
      <c r="E285" s="1" t="s">
        <v>801</v>
      </c>
      <c r="F285" s="1" t="s">
        <v>775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80</v>
      </c>
      <c r="Q285" s="1" t="s">
        <v>80</v>
      </c>
      <c r="R285" s="1" t="s">
        <v>80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76"/>
    </row>
    <row r="286" spans="2:42">
      <c r="B286" s="1">
        <v>283</v>
      </c>
      <c r="C286" s="1" t="s">
        <v>447</v>
      </c>
      <c r="D286" s="1" t="s">
        <v>978</v>
      </c>
      <c r="E286" s="1" t="s">
        <v>756</v>
      </c>
      <c r="F286" s="1" t="s">
        <v>752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979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76"/>
    </row>
    <row r="287" spans="2:42">
      <c r="B287" s="1">
        <v>284</v>
      </c>
      <c r="C287" s="1" t="s">
        <v>446</v>
      </c>
      <c r="D287" s="1" t="s">
        <v>979</v>
      </c>
      <c r="E287" s="1" t="s">
        <v>756</v>
      </c>
      <c r="F287" s="1" t="s">
        <v>749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80</v>
      </c>
      <c r="Q287" s="1" t="s">
        <v>80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76"/>
    </row>
    <row r="288" spans="2:42">
      <c r="B288" s="1">
        <v>285</v>
      </c>
      <c r="C288" s="1" t="s">
        <v>445</v>
      </c>
      <c r="D288" s="1" t="s">
        <v>980</v>
      </c>
      <c r="E288" s="1" t="s">
        <v>741</v>
      </c>
      <c r="F288" s="1" t="s">
        <v>80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981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76"/>
    </row>
    <row r="289" spans="2:42">
      <c r="B289" s="1">
        <v>286</v>
      </c>
      <c r="C289" s="1" t="s">
        <v>444</v>
      </c>
      <c r="D289" s="1" t="s">
        <v>981</v>
      </c>
      <c r="E289" s="1" t="s">
        <v>741</v>
      </c>
      <c r="F289" s="1" t="s">
        <v>794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80</v>
      </c>
      <c r="Q289" s="1" t="s">
        <v>80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76"/>
    </row>
    <row r="290" spans="2:42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442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76"/>
    </row>
    <row r="291" spans="2:42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983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76"/>
    </row>
    <row r="292" spans="2:42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80</v>
      </c>
      <c r="Q292" s="1" t="s">
        <v>80</v>
      </c>
      <c r="R292" s="1" t="s">
        <v>80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76"/>
    </row>
    <row r="293" spans="2:42">
      <c r="B293" s="1">
        <v>290</v>
      </c>
      <c r="C293" s="1" t="s">
        <v>440</v>
      </c>
      <c r="D293" s="1" t="s">
        <v>984</v>
      </c>
      <c r="E293" s="1" t="s">
        <v>756</v>
      </c>
      <c r="F293" s="1" t="s">
        <v>772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439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76"/>
    </row>
    <row r="294" spans="2:42">
      <c r="B294" s="1">
        <v>291</v>
      </c>
      <c r="C294" s="1" t="s">
        <v>439</v>
      </c>
      <c r="D294" s="1" t="s">
        <v>439</v>
      </c>
      <c r="E294" s="1" t="s">
        <v>756</v>
      </c>
      <c r="F294" s="1" t="s">
        <v>749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80</v>
      </c>
      <c r="Q294" s="1" t="s">
        <v>80</v>
      </c>
      <c r="R294" s="1" t="s">
        <v>80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76"/>
    </row>
    <row r="295" spans="2:42">
      <c r="B295" s="1">
        <v>292</v>
      </c>
      <c r="C295" s="1" t="s">
        <v>438</v>
      </c>
      <c r="D295" s="1" t="s">
        <v>985</v>
      </c>
      <c r="E295" s="1" t="s">
        <v>756</v>
      </c>
      <c r="F295" s="1" t="s">
        <v>827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80</v>
      </c>
      <c r="Q295" s="1" t="s">
        <v>80</v>
      </c>
      <c r="R295" s="1" t="s">
        <v>80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76"/>
    </row>
    <row r="296" spans="2:42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987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76"/>
    </row>
    <row r="297" spans="2:42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988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76"/>
    </row>
    <row r="298" spans="2:42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80</v>
      </c>
      <c r="Q298" s="1" t="s">
        <v>80</v>
      </c>
      <c r="R298" s="1" t="s">
        <v>80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76"/>
    </row>
    <row r="299" spans="2:42">
      <c r="B299" s="1">
        <v>296</v>
      </c>
      <c r="C299" s="1" t="s">
        <v>434</v>
      </c>
      <c r="D299" s="1" t="s">
        <v>434</v>
      </c>
      <c r="E299" s="1" t="s">
        <v>794</v>
      </c>
      <c r="F299" s="1" t="s">
        <v>80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433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76"/>
    </row>
    <row r="300" spans="2:42">
      <c r="B300" s="1">
        <v>297</v>
      </c>
      <c r="C300" s="1" t="s">
        <v>433</v>
      </c>
      <c r="D300" s="1" t="s">
        <v>433</v>
      </c>
      <c r="E300" s="1" t="s">
        <v>794</v>
      </c>
      <c r="F300" s="1" t="s">
        <v>80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80</v>
      </c>
      <c r="Q300" s="1" t="s">
        <v>80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76"/>
    </row>
    <row r="301" spans="2:42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775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547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76"/>
    </row>
    <row r="302" spans="2:42">
      <c r="B302" s="1">
        <v>299</v>
      </c>
      <c r="C302" s="1" t="s">
        <v>431</v>
      </c>
      <c r="D302" s="1" t="s">
        <v>989</v>
      </c>
      <c r="E302" s="1" t="s">
        <v>809</v>
      </c>
      <c r="F302" s="1" t="s">
        <v>80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1125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76"/>
    </row>
    <row r="303" spans="2:42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429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76"/>
    </row>
    <row r="304" spans="2:42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80</v>
      </c>
      <c r="Q304" s="1" t="s">
        <v>80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76"/>
    </row>
    <row r="305" spans="2:42">
      <c r="B305" s="1">
        <v>302</v>
      </c>
      <c r="C305" s="1" t="s">
        <v>428</v>
      </c>
      <c r="D305" s="1" t="s">
        <v>990</v>
      </c>
      <c r="E305" s="1" t="s">
        <v>862</v>
      </c>
      <c r="F305" s="1" t="s">
        <v>827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80</v>
      </c>
      <c r="Q305" s="1" t="s">
        <v>80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76"/>
    </row>
    <row r="306" spans="2:42">
      <c r="B306" s="1">
        <v>303</v>
      </c>
      <c r="C306" s="1" t="s">
        <v>427</v>
      </c>
      <c r="D306" s="1" t="s">
        <v>991</v>
      </c>
      <c r="E306" s="1" t="s">
        <v>816</v>
      </c>
      <c r="F306" s="1" t="s">
        <v>775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80</v>
      </c>
      <c r="Q306" s="1" t="s">
        <v>80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76"/>
    </row>
    <row r="307" spans="2:42">
      <c r="B307" s="1">
        <v>304</v>
      </c>
      <c r="C307" s="1" t="s">
        <v>426</v>
      </c>
      <c r="D307" s="1" t="s">
        <v>992</v>
      </c>
      <c r="E307" s="1" t="s">
        <v>816</v>
      </c>
      <c r="F307" s="1" t="s">
        <v>809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993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76"/>
    </row>
    <row r="308" spans="2:42">
      <c r="B308" s="1">
        <v>305</v>
      </c>
      <c r="C308" s="1" t="s">
        <v>425</v>
      </c>
      <c r="D308" s="1" t="s">
        <v>993</v>
      </c>
      <c r="E308" s="1" t="s">
        <v>816</v>
      </c>
      <c r="F308" s="1" t="s">
        <v>809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994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76"/>
    </row>
    <row r="309" spans="2:42">
      <c r="B309" s="1">
        <v>306</v>
      </c>
      <c r="C309" s="1" t="s">
        <v>424</v>
      </c>
      <c r="D309" s="1" t="s">
        <v>994</v>
      </c>
      <c r="E309" s="1" t="s">
        <v>816</v>
      </c>
      <c r="F309" s="1" t="s">
        <v>809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80</v>
      </c>
      <c r="Q309" s="1" t="s">
        <v>80</v>
      </c>
      <c r="R309" s="1" t="s">
        <v>80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76"/>
    </row>
    <row r="310" spans="2:42">
      <c r="B310" s="1">
        <v>307</v>
      </c>
      <c r="C310" s="1" t="s">
        <v>423</v>
      </c>
      <c r="D310" s="1" t="s">
        <v>995</v>
      </c>
      <c r="E310" s="1" t="s">
        <v>794</v>
      </c>
      <c r="F310" s="1" t="s">
        <v>801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996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422</v>
      </c>
      <c r="D311" s="1" t="s">
        <v>996</v>
      </c>
      <c r="E311" s="1" t="s">
        <v>794</v>
      </c>
      <c r="F311" s="1" t="s">
        <v>801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80</v>
      </c>
      <c r="Q311" s="1" t="s">
        <v>80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421</v>
      </c>
      <c r="D312" s="1" t="s">
        <v>997</v>
      </c>
      <c r="E312" s="1" t="s">
        <v>770</v>
      </c>
      <c r="F312" s="1" t="s">
        <v>80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998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420</v>
      </c>
      <c r="D313" s="1" t="s">
        <v>998</v>
      </c>
      <c r="E313" s="1" t="s">
        <v>770</v>
      </c>
      <c r="F313" s="1" t="s">
        <v>80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80</v>
      </c>
      <c r="Q313" s="1" t="s">
        <v>80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419</v>
      </c>
      <c r="D314" s="1" t="s">
        <v>999</v>
      </c>
      <c r="E314" s="1" t="s">
        <v>770</v>
      </c>
      <c r="F314" s="1" t="s">
        <v>80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80</v>
      </c>
      <c r="Q314" s="1" t="s">
        <v>80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418</v>
      </c>
      <c r="D315" s="1" t="s">
        <v>1000</v>
      </c>
      <c r="E315" s="1" t="s">
        <v>770</v>
      </c>
      <c r="F315" s="1" t="s">
        <v>80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80</v>
      </c>
      <c r="Q315" s="1" t="s">
        <v>80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417</v>
      </c>
      <c r="D316" s="1" t="s">
        <v>1001</v>
      </c>
      <c r="E316" s="1" t="s">
        <v>756</v>
      </c>
      <c r="F316" s="1" t="s">
        <v>80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80</v>
      </c>
      <c r="Q316" s="1" t="s">
        <v>80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416</v>
      </c>
      <c r="D317" s="1" t="s">
        <v>1002</v>
      </c>
      <c r="E317" s="1" t="s">
        <v>756</v>
      </c>
      <c r="F317" s="1" t="s">
        <v>80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80</v>
      </c>
      <c r="Q317" s="1" t="s">
        <v>80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415</v>
      </c>
      <c r="D318" s="1" t="s">
        <v>1003</v>
      </c>
      <c r="E318" s="1" t="s">
        <v>741</v>
      </c>
      <c r="F318" s="1" t="s">
        <v>742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323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1005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80</v>
      </c>
      <c r="Q320" s="1" t="s">
        <v>80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412</v>
      </c>
      <c r="D321" s="1" t="s">
        <v>412</v>
      </c>
      <c r="E321" s="1" t="s">
        <v>752</v>
      </c>
      <c r="F321" s="1" t="s">
        <v>862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411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411</v>
      </c>
      <c r="D322" s="1" t="s">
        <v>411</v>
      </c>
      <c r="E322" s="1" t="s">
        <v>752</v>
      </c>
      <c r="F322" s="1" t="s">
        <v>862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80</v>
      </c>
      <c r="Q322" s="1" t="s">
        <v>80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410</v>
      </c>
      <c r="D323" s="1" t="s">
        <v>410</v>
      </c>
      <c r="E323" s="1" t="s">
        <v>752</v>
      </c>
      <c r="F323" s="1" t="s">
        <v>80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409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409</v>
      </c>
      <c r="D324" s="1" t="s">
        <v>409</v>
      </c>
      <c r="E324" s="1" t="s">
        <v>752</v>
      </c>
      <c r="F324" s="1" t="s">
        <v>80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80</v>
      </c>
      <c r="Q324" s="1" t="s">
        <v>80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408</v>
      </c>
      <c r="D325" s="1" t="s">
        <v>1006</v>
      </c>
      <c r="E325" s="1" t="s">
        <v>746</v>
      </c>
      <c r="F325" s="1" t="s">
        <v>772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1007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407</v>
      </c>
      <c r="D326" s="1" t="s">
        <v>1007</v>
      </c>
      <c r="E326" s="1" t="s">
        <v>746</v>
      </c>
      <c r="F326" s="1" t="s">
        <v>772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80</v>
      </c>
      <c r="Q326" s="1" t="s">
        <v>80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406</v>
      </c>
      <c r="D327" s="1" t="s">
        <v>1008</v>
      </c>
      <c r="E327" s="1" t="s">
        <v>746</v>
      </c>
      <c r="F327" s="1" t="s">
        <v>80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80</v>
      </c>
      <c r="Q327" s="1" t="s">
        <v>80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405</v>
      </c>
      <c r="D328" s="1" t="s">
        <v>405</v>
      </c>
      <c r="E328" s="1" t="s">
        <v>801</v>
      </c>
      <c r="F328" s="1" t="s">
        <v>80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1009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404</v>
      </c>
      <c r="D329" s="1" t="s">
        <v>1009</v>
      </c>
      <c r="E329" s="1" t="s">
        <v>801</v>
      </c>
      <c r="F329" s="1" t="s">
        <v>80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80</v>
      </c>
      <c r="Q329" s="1" t="s">
        <v>80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80</v>
      </c>
      <c r="Q330" s="1" t="s">
        <v>80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402</v>
      </c>
      <c r="D331" s="1" t="s">
        <v>1010</v>
      </c>
      <c r="E331" s="1" t="s">
        <v>772</v>
      </c>
      <c r="F331" s="1" t="s">
        <v>80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1011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401</v>
      </c>
      <c r="D332" s="1" t="s">
        <v>1011</v>
      </c>
      <c r="E332" s="1" t="s">
        <v>772</v>
      </c>
      <c r="F332" s="1" t="s">
        <v>750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1012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400</v>
      </c>
      <c r="D333" s="1" t="s">
        <v>1012</v>
      </c>
      <c r="E333" s="1" t="s">
        <v>772</v>
      </c>
      <c r="F333" s="1" t="s">
        <v>750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80</v>
      </c>
      <c r="Q333" s="1" t="s">
        <v>80</v>
      </c>
      <c r="R333" s="1" t="s">
        <v>80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399</v>
      </c>
      <c r="D334" s="1" t="s">
        <v>399</v>
      </c>
      <c r="E334" s="1" t="s">
        <v>741</v>
      </c>
      <c r="F334" s="1" t="s">
        <v>80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398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398</v>
      </c>
      <c r="D335" s="1" t="s">
        <v>398</v>
      </c>
      <c r="E335" s="1" t="s">
        <v>741</v>
      </c>
      <c r="F335" s="1" t="s">
        <v>862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80</v>
      </c>
      <c r="Q335" s="1" t="s">
        <v>80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749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396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749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80</v>
      </c>
      <c r="Q337" s="1" t="s">
        <v>80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80</v>
      </c>
      <c r="Q338" s="1" t="s">
        <v>80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80</v>
      </c>
      <c r="Q339" s="1" t="s">
        <v>80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393</v>
      </c>
      <c r="D340" s="1" t="s">
        <v>1016</v>
      </c>
      <c r="E340" s="1" t="s">
        <v>809</v>
      </c>
      <c r="F340" s="1" t="s">
        <v>801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80</v>
      </c>
      <c r="Q340" s="1" t="s">
        <v>80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392</v>
      </c>
      <c r="D341" s="1" t="s">
        <v>1017</v>
      </c>
      <c r="E341" s="1" t="s">
        <v>809</v>
      </c>
      <c r="F341" s="1" t="s">
        <v>801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80</v>
      </c>
      <c r="Q341" s="1" t="s">
        <v>80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391</v>
      </c>
      <c r="D342" s="1" t="s">
        <v>1018</v>
      </c>
      <c r="E342" s="1" t="s">
        <v>752</v>
      </c>
      <c r="F342" s="1" t="s">
        <v>772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1019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390</v>
      </c>
      <c r="D343" s="1" t="s">
        <v>1019</v>
      </c>
      <c r="E343" s="1" t="s">
        <v>752</v>
      </c>
      <c r="F343" s="1" t="s">
        <v>772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80</v>
      </c>
      <c r="Q343" s="1" t="s">
        <v>80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389</v>
      </c>
      <c r="D344" s="1" t="s">
        <v>1020</v>
      </c>
      <c r="E344" s="1" t="s">
        <v>752</v>
      </c>
      <c r="F344" s="1" t="s">
        <v>80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1021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388</v>
      </c>
      <c r="D345" s="1" t="s">
        <v>1021</v>
      </c>
      <c r="E345" s="1" t="s">
        <v>752</v>
      </c>
      <c r="F345" s="1" t="s">
        <v>862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80</v>
      </c>
      <c r="Q345" s="1" t="s">
        <v>80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387</v>
      </c>
      <c r="D346" s="1" t="s">
        <v>1022</v>
      </c>
      <c r="E346" s="1" t="s">
        <v>772</v>
      </c>
      <c r="F346" s="1" t="s">
        <v>801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1023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386</v>
      </c>
      <c r="D347" s="1" t="s">
        <v>1023</v>
      </c>
      <c r="E347" s="1" t="s">
        <v>772</v>
      </c>
      <c r="F347" s="1" t="s">
        <v>801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80</v>
      </c>
      <c r="Q347" s="1" t="s">
        <v>80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385</v>
      </c>
      <c r="D348" s="1" t="s">
        <v>1024</v>
      </c>
      <c r="E348" s="1" t="s">
        <v>809</v>
      </c>
      <c r="F348" s="1" t="s">
        <v>741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1025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384</v>
      </c>
      <c r="D349" s="1" t="s">
        <v>1025</v>
      </c>
      <c r="E349" s="1" t="s">
        <v>809</v>
      </c>
      <c r="F349" s="1" t="s">
        <v>741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80</v>
      </c>
      <c r="Q349" s="1" t="s">
        <v>80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383</v>
      </c>
      <c r="D350" s="1" t="s">
        <v>383</v>
      </c>
      <c r="E350" s="1" t="s">
        <v>809</v>
      </c>
      <c r="F350" s="1" t="s">
        <v>756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382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382</v>
      </c>
      <c r="D351" s="1" t="s">
        <v>382</v>
      </c>
      <c r="E351" s="1" t="s">
        <v>809</v>
      </c>
      <c r="F351" s="1" t="s">
        <v>756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80</v>
      </c>
      <c r="Q351" s="1" t="s">
        <v>80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381</v>
      </c>
      <c r="D352" s="1" t="s">
        <v>1026</v>
      </c>
      <c r="E352" s="1" t="s">
        <v>752</v>
      </c>
      <c r="F352" s="1" t="s">
        <v>80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1027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380</v>
      </c>
      <c r="D353" s="1" t="s">
        <v>1027</v>
      </c>
      <c r="E353" s="1" t="s">
        <v>752</v>
      </c>
      <c r="F353" s="1" t="s">
        <v>80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80</v>
      </c>
      <c r="Q353" s="1" t="s">
        <v>80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80</v>
      </c>
      <c r="Q354" s="1" t="s">
        <v>80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80</v>
      </c>
      <c r="Q355" s="1" t="s">
        <v>80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377</v>
      </c>
      <c r="D356" s="1" t="s">
        <v>1029</v>
      </c>
      <c r="E356" s="1" t="s">
        <v>827</v>
      </c>
      <c r="F356" s="1" t="s">
        <v>80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1030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376</v>
      </c>
      <c r="D357" s="1" t="s">
        <v>1030</v>
      </c>
      <c r="E357" s="1" t="s">
        <v>827</v>
      </c>
      <c r="F357" s="1" t="s">
        <v>80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80</v>
      </c>
      <c r="Q357" s="1" t="s">
        <v>80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375</v>
      </c>
      <c r="D358" s="1" t="s">
        <v>1031</v>
      </c>
      <c r="E358" s="1" t="s">
        <v>827</v>
      </c>
      <c r="F358" s="1" t="s">
        <v>80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1032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374</v>
      </c>
      <c r="D359" s="1" t="s">
        <v>1032</v>
      </c>
      <c r="E359" s="1" t="s">
        <v>827</v>
      </c>
      <c r="F359" s="1" t="s">
        <v>80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1126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373</v>
      </c>
      <c r="D360" s="1" t="s">
        <v>373</v>
      </c>
      <c r="E360" s="1" t="s">
        <v>741</v>
      </c>
      <c r="F360" s="1" t="s">
        <v>749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80</v>
      </c>
      <c r="Q360" s="1" t="s">
        <v>80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372</v>
      </c>
      <c r="D361" s="1" t="s">
        <v>1033</v>
      </c>
      <c r="E361" s="1" t="s">
        <v>801</v>
      </c>
      <c r="F361" s="1" t="s">
        <v>80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80</v>
      </c>
      <c r="Q361" s="1" t="s">
        <v>80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371</v>
      </c>
      <c r="D362" s="1" t="s">
        <v>371</v>
      </c>
      <c r="E362" s="1" t="s">
        <v>862</v>
      </c>
      <c r="F362" s="1" t="s">
        <v>80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80</v>
      </c>
      <c r="Q362" s="1" t="s">
        <v>80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370</v>
      </c>
      <c r="D363" s="1" t="s">
        <v>1034</v>
      </c>
      <c r="E363" s="1" t="s">
        <v>801</v>
      </c>
      <c r="F363" s="1" t="s">
        <v>80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918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369</v>
      </c>
      <c r="D364" s="1" t="s">
        <v>1035</v>
      </c>
      <c r="E364" s="1" t="s">
        <v>821</v>
      </c>
      <c r="F364" s="1" t="s">
        <v>80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1036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368</v>
      </c>
      <c r="D365" s="1" t="s">
        <v>1036</v>
      </c>
      <c r="E365" s="1" t="s">
        <v>821</v>
      </c>
      <c r="F365" s="1" t="s">
        <v>80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80</v>
      </c>
      <c r="Q365" s="1" t="s">
        <v>80</v>
      </c>
      <c r="R365" s="1" t="s">
        <v>80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367</v>
      </c>
      <c r="D366" s="1" t="s">
        <v>1037</v>
      </c>
      <c r="E366" s="1" t="s">
        <v>821</v>
      </c>
      <c r="F366" s="1" t="s">
        <v>752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1038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366</v>
      </c>
      <c r="D367" s="1" t="s">
        <v>1038</v>
      </c>
      <c r="E367" s="1" t="s">
        <v>821</v>
      </c>
      <c r="F367" s="1" t="s">
        <v>752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1039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365</v>
      </c>
      <c r="D368" s="1" t="s">
        <v>1039</v>
      </c>
      <c r="E368" s="1" t="s">
        <v>821</v>
      </c>
      <c r="F368" s="1" t="s">
        <v>752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80</v>
      </c>
      <c r="Q368" s="1" t="s">
        <v>80</v>
      </c>
      <c r="R368" s="1" t="s">
        <v>80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364</v>
      </c>
      <c r="D369" s="1" t="s">
        <v>1040</v>
      </c>
      <c r="E369" s="1" t="s">
        <v>752</v>
      </c>
      <c r="F369" s="1" t="s">
        <v>80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1041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363</v>
      </c>
      <c r="D370" s="1" t="s">
        <v>1041</v>
      </c>
      <c r="E370" s="1" t="s">
        <v>752</v>
      </c>
      <c r="F370" s="1" t="s">
        <v>80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80</v>
      </c>
      <c r="Q370" s="1" t="s">
        <v>80</v>
      </c>
      <c r="R370" s="1" t="s">
        <v>80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362</v>
      </c>
      <c r="D371" s="1" t="s">
        <v>1042</v>
      </c>
      <c r="E371" s="1" t="s">
        <v>752</v>
      </c>
      <c r="F371" s="1" t="s">
        <v>80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80</v>
      </c>
      <c r="Q371" s="1" t="s">
        <v>80</v>
      </c>
      <c r="R371" s="1" t="s">
        <v>80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361</v>
      </c>
      <c r="D372" s="1" t="s">
        <v>361</v>
      </c>
      <c r="E372" s="1" t="s">
        <v>752</v>
      </c>
      <c r="F372" s="1" t="s">
        <v>809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80</v>
      </c>
      <c r="Q372" s="1" t="s">
        <v>80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360</v>
      </c>
      <c r="D373" s="1" t="s">
        <v>1043</v>
      </c>
      <c r="E373" s="1" t="s">
        <v>752</v>
      </c>
      <c r="F373" s="1" t="s">
        <v>80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80</v>
      </c>
      <c r="Q373" s="1" t="s">
        <v>80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1045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1046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749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80</v>
      </c>
      <c r="Q376" s="1" t="s">
        <v>80</v>
      </c>
      <c r="R376" s="1" t="s">
        <v>80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356</v>
      </c>
      <c r="D377" s="1" t="s">
        <v>1047</v>
      </c>
      <c r="E377" s="1" t="s">
        <v>816</v>
      </c>
      <c r="F377" s="1" t="s">
        <v>801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1048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355</v>
      </c>
      <c r="D378" s="1" t="s">
        <v>1048</v>
      </c>
      <c r="E378" s="1" t="s">
        <v>816</v>
      </c>
      <c r="F378" s="1" t="s">
        <v>801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1049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354</v>
      </c>
      <c r="D379" s="1" t="s">
        <v>1049</v>
      </c>
      <c r="E379" s="1" t="s">
        <v>816</v>
      </c>
      <c r="F379" s="1" t="s">
        <v>801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80</v>
      </c>
      <c r="Q379" s="1" t="s">
        <v>80</v>
      </c>
      <c r="R379" s="1" t="s">
        <v>80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353</v>
      </c>
      <c r="D380" s="1" t="s">
        <v>353</v>
      </c>
      <c r="E380" s="1" t="s">
        <v>809</v>
      </c>
      <c r="F380" s="1" t="s">
        <v>80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80</v>
      </c>
      <c r="Q380" s="1" t="s">
        <v>80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352</v>
      </c>
      <c r="D381" s="1" t="s">
        <v>352</v>
      </c>
      <c r="E381" s="1" t="s">
        <v>821</v>
      </c>
      <c r="F381" s="1" t="s">
        <v>80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80</v>
      </c>
      <c r="Q381" s="1" t="s">
        <v>80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351</v>
      </c>
      <c r="D382" s="1" t="s">
        <v>351</v>
      </c>
      <c r="E382" s="1" t="s">
        <v>816</v>
      </c>
      <c r="F382" s="1" t="s">
        <v>80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80</v>
      </c>
      <c r="Q382" s="1" t="s">
        <v>80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801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80</v>
      </c>
      <c r="Q383" s="1" t="s">
        <v>80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801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80</v>
      </c>
      <c r="Q384" s="1" t="s">
        <v>80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348</v>
      </c>
      <c r="D385" s="1" t="s">
        <v>348</v>
      </c>
      <c r="E385" s="1" t="s">
        <v>752</v>
      </c>
      <c r="F385" s="1" t="s">
        <v>80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80</v>
      </c>
      <c r="Q385" s="1" t="s">
        <v>80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347</v>
      </c>
      <c r="D386" s="1" t="s">
        <v>347</v>
      </c>
      <c r="E386" s="1" t="s">
        <v>772</v>
      </c>
      <c r="F386" s="1" t="s">
        <v>80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80</v>
      </c>
      <c r="Q386" s="1" t="s">
        <v>80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749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80</v>
      </c>
      <c r="Q387" s="1" t="s">
        <v>80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345</v>
      </c>
      <c r="D388" s="1" t="s">
        <v>345</v>
      </c>
      <c r="E388" s="1" t="s">
        <v>816</v>
      </c>
      <c r="F388" s="1" t="s">
        <v>801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80</v>
      </c>
      <c r="Q388" s="1" t="s">
        <v>80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344</v>
      </c>
      <c r="D389" s="1" t="s">
        <v>1050</v>
      </c>
      <c r="E389" s="1" t="s">
        <v>801</v>
      </c>
      <c r="F389" s="1" t="s">
        <v>80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80</v>
      </c>
      <c r="Q389" s="1" t="s">
        <v>80</v>
      </c>
      <c r="R389" s="1" t="s">
        <v>80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343</v>
      </c>
      <c r="D390" s="1" t="s">
        <v>1051</v>
      </c>
      <c r="E390" s="1" t="s">
        <v>741</v>
      </c>
      <c r="F390" s="1" t="s">
        <v>80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1052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342</v>
      </c>
      <c r="D391" s="1" t="s">
        <v>1052</v>
      </c>
      <c r="E391" s="1" t="s">
        <v>741</v>
      </c>
      <c r="F391" s="1" t="s">
        <v>80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341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341</v>
      </c>
      <c r="D392" s="1" t="s">
        <v>341</v>
      </c>
      <c r="E392" s="1" t="s">
        <v>741</v>
      </c>
      <c r="F392" s="1" t="s">
        <v>772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80</v>
      </c>
      <c r="Q392" s="1" t="s">
        <v>80</v>
      </c>
      <c r="R392" s="1" t="s">
        <v>80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340</v>
      </c>
      <c r="D393" s="1" t="s">
        <v>1053</v>
      </c>
      <c r="E393" s="1" t="s">
        <v>746</v>
      </c>
      <c r="F393" s="1" t="s">
        <v>80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1054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339</v>
      </c>
      <c r="D394" s="1" t="s">
        <v>1054</v>
      </c>
      <c r="E394" s="1" t="s">
        <v>746</v>
      </c>
      <c r="F394" s="1" t="s">
        <v>794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1055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338</v>
      </c>
      <c r="D395" s="1" t="s">
        <v>1055</v>
      </c>
      <c r="E395" s="1" t="s">
        <v>746</v>
      </c>
      <c r="F395" s="1" t="s">
        <v>794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80</v>
      </c>
      <c r="Q395" s="1" t="s">
        <v>80</v>
      </c>
      <c r="R395" s="1" t="s">
        <v>80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337</v>
      </c>
      <c r="D396" s="1" t="s">
        <v>1056</v>
      </c>
      <c r="E396" s="1" t="s">
        <v>752</v>
      </c>
      <c r="F396" s="1" t="s">
        <v>80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1057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336</v>
      </c>
      <c r="D397" s="1" t="s">
        <v>1057</v>
      </c>
      <c r="E397" s="1" t="s">
        <v>752</v>
      </c>
      <c r="F397" s="1" t="s">
        <v>80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1058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335</v>
      </c>
      <c r="D398" s="1" t="s">
        <v>1058</v>
      </c>
      <c r="E398" s="1" t="s">
        <v>752</v>
      </c>
      <c r="F398" s="1" t="s">
        <v>816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80</v>
      </c>
      <c r="Q398" s="1" t="s">
        <v>80</v>
      </c>
      <c r="R398" s="1" t="s">
        <v>80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749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1060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749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1061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749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80</v>
      </c>
      <c r="Q401" s="1" t="s">
        <v>80</v>
      </c>
      <c r="R401" s="1" t="s">
        <v>80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1063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752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80</v>
      </c>
      <c r="Q403" s="1" t="s">
        <v>80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329</v>
      </c>
      <c r="D404" s="1" t="s">
        <v>1064</v>
      </c>
      <c r="E404" s="1" t="s">
        <v>756</v>
      </c>
      <c r="F404" s="1" t="s">
        <v>80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1065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328</v>
      </c>
      <c r="D405" s="1" t="s">
        <v>1065</v>
      </c>
      <c r="E405" s="1" t="s">
        <v>756</v>
      </c>
      <c r="F405" s="1" t="s">
        <v>80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80</v>
      </c>
      <c r="Q405" s="1" t="s">
        <v>80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327</v>
      </c>
      <c r="D406" s="1" t="s">
        <v>1066</v>
      </c>
      <c r="E406" s="1" t="s">
        <v>770</v>
      </c>
      <c r="F406" s="1" t="s">
        <v>80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326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326</v>
      </c>
      <c r="D407" s="1" t="s">
        <v>326</v>
      </c>
      <c r="E407" s="1" t="s">
        <v>770</v>
      </c>
      <c r="F407" s="1" t="s">
        <v>80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325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325</v>
      </c>
      <c r="D408" s="1" t="s">
        <v>325</v>
      </c>
      <c r="E408" s="1" t="s">
        <v>770</v>
      </c>
      <c r="F408" s="1" t="s">
        <v>80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80</v>
      </c>
      <c r="Q408" s="1" t="s">
        <v>80</v>
      </c>
      <c r="R408" s="1" t="s">
        <v>80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324</v>
      </c>
      <c r="D409" s="1" t="s">
        <v>1067</v>
      </c>
      <c r="E409" s="1" t="s">
        <v>741</v>
      </c>
      <c r="F409" s="1" t="s">
        <v>742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1003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323</v>
      </c>
      <c r="D410" s="1" t="s">
        <v>323</v>
      </c>
      <c r="E410" s="1" t="s">
        <v>741</v>
      </c>
      <c r="F410" s="1" t="s">
        <v>742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80</v>
      </c>
      <c r="Q410" s="1" t="s">
        <v>80</v>
      </c>
      <c r="R410" s="1" t="s">
        <v>80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322</v>
      </c>
      <c r="D411" s="1" t="s">
        <v>1068</v>
      </c>
      <c r="E411" s="1" t="s">
        <v>809</v>
      </c>
      <c r="F411" s="1" t="s">
        <v>80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1069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321</v>
      </c>
      <c r="D412" s="1" t="s">
        <v>1069</v>
      </c>
      <c r="E412" s="1" t="s">
        <v>809</v>
      </c>
      <c r="F412" s="1" t="s">
        <v>80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80</v>
      </c>
      <c r="Q412" s="1" t="s">
        <v>80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320</v>
      </c>
      <c r="D413" s="1" t="s">
        <v>1070</v>
      </c>
      <c r="E413" s="1" t="s">
        <v>809</v>
      </c>
      <c r="F413" s="1" t="s">
        <v>816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319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319</v>
      </c>
      <c r="D414" s="1" t="s">
        <v>319</v>
      </c>
      <c r="E414" s="1" t="s">
        <v>809</v>
      </c>
      <c r="F414" s="1" t="s">
        <v>816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80</v>
      </c>
      <c r="Q414" s="1" t="s">
        <v>80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318</v>
      </c>
      <c r="D415" s="1" t="s">
        <v>1071</v>
      </c>
      <c r="E415" s="1" t="s">
        <v>756</v>
      </c>
      <c r="F415" s="1" t="s">
        <v>80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1287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317</v>
      </c>
      <c r="D416" s="1" t="s">
        <v>1287</v>
      </c>
      <c r="E416" s="1" t="s">
        <v>756</v>
      </c>
      <c r="F416" s="1" t="s">
        <v>741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80</v>
      </c>
      <c r="Q416" s="1" t="s">
        <v>80</v>
      </c>
      <c r="R416" s="1" t="s">
        <v>80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316</v>
      </c>
      <c r="D417" s="1" t="s">
        <v>1072</v>
      </c>
      <c r="E417" s="1" t="s">
        <v>756</v>
      </c>
      <c r="F417" s="1" t="s">
        <v>749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80</v>
      </c>
      <c r="Q417" s="1" t="s">
        <v>80</v>
      </c>
      <c r="R417" s="1" t="s">
        <v>80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315</v>
      </c>
      <c r="D418" s="1" t="s">
        <v>1073</v>
      </c>
      <c r="E418" s="1" t="s">
        <v>756</v>
      </c>
      <c r="F418" s="1" t="s">
        <v>749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1074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314</v>
      </c>
      <c r="D419" s="1" t="s">
        <v>1074</v>
      </c>
      <c r="E419" s="1" t="s">
        <v>756</v>
      </c>
      <c r="F419" s="1" t="s">
        <v>749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80</v>
      </c>
      <c r="Q419" s="1" t="s">
        <v>80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313</v>
      </c>
      <c r="D420" s="1" t="s">
        <v>313</v>
      </c>
      <c r="E420" s="1" t="s">
        <v>770</v>
      </c>
      <c r="F420" s="1" t="s">
        <v>80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80</v>
      </c>
      <c r="Q420" s="1" t="s">
        <v>80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312</v>
      </c>
      <c r="D421" s="1" t="s">
        <v>1075</v>
      </c>
      <c r="E421" s="1" t="s">
        <v>752</v>
      </c>
      <c r="F421" s="1" t="s">
        <v>80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1076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311</v>
      </c>
      <c r="D422" s="1" t="s">
        <v>1076</v>
      </c>
      <c r="E422" s="1" t="s">
        <v>752</v>
      </c>
      <c r="F422" s="1" t="s">
        <v>80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80</v>
      </c>
      <c r="Q422" s="1" t="s">
        <v>80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310</v>
      </c>
      <c r="D423" s="1" t="s">
        <v>1077</v>
      </c>
      <c r="E423" s="1" t="s">
        <v>741</v>
      </c>
      <c r="F423" s="1" t="s">
        <v>80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1078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309</v>
      </c>
      <c r="D424" s="1" t="s">
        <v>1078</v>
      </c>
      <c r="E424" s="1" t="s">
        <v>741</v>
      </c>
      <c r="F424" s="1" t="s">
        <v>80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80</v>
      </c>
      <c r="Q424" s="1" t="s">
        <v>80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308</v>
      </c>
      <c r="D425" s="1" t="s">
        <v>1079</v>
      </c>
      <c r="E425" s="1" t="s">
        <v>752</v>
      </c>
      <c r="F425" s="1" t="s">
        <v>80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1080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307</v>
      </c>
      <c r="D426" s="1" t="s">
        <v>1080</v>
      </c>
      <c r="E426" s="1" t="s">
        <v>752</v>
      </c>
      <c r="F426" s="1" t="s">
        <v>772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80</v>
      </c>
      <c r="Q426" s="1" t="s">
        <v>80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80</v>
      </c>
      <c r="Q427" s="1" t="s">
        <v>80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305</v>
      </c>
      <c r="D428" s="1" t="s">
        <v>1082</v>
      </c>
      <c r="E428" s="1" t="s">
        <v>827</v>
      </c>
      <c r="F428" s="1" t="s">
        <v>749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1083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304</v>
      </c>
      <c r="D429" s="1" t="s">
        <v>1083</v>
      </c>
      <c r="E429" s="1" t="s">
        <v>827</v>
      </c>
      <c r="F429" s="1" t="s">
        <v>749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80</v>
      </c>
      <c r="Q429" s="1" t="s">
        <v>80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1085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80</v>
      </c>
      <c r="Q431" s="1" t="s">
        <v>80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301</v>
      </c>
      <c r="D432" s="1" t="s">
        <v>1086</v>
      </c>
      <c r="E432" s="1" t="s">
        <v>827</v>
      </c>
      <c r="F432" s="1" t="s">
        <v>80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80</v>
      </c>
      <c r="Q432" s="1" t="s">
        <v>80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300</v>
      </c>
      <c r="D433" s="1" t="s">
        <v>1087</v>
      </c>
      <c r="E433" s="1" t="s">
        <v>862</v>
      </c>
      <c r="F433" s="1" t="s">
        <v>749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80</v>
      </c>
      <c r="Q433" s="1" t="s">
        <v>80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1089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80</v>
      </c>
      <c r="Q435" s="1" t="s">
        <v>80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297</v>
      </c>
      <c r="D436" s="1" t="s">
        <v>1090</v>
      </c>
      <c r="E436" s="1" t="s">
        <v>801</v>
      </c>
      <c r="F436" s="1" t="s">
        <v>80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1033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862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1092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862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80</v>
      </c>
      <c r="Q438" s="1" t="s">
        <v>80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294</v>
      </c>
      <c r="D439" s="1" t="s">
        <v>1093</v>
      </c>
      <c r="E439" s="1" t="s">
        <v>816</v>
      </c>
      <c r="F439" s="1" t="s">
        <v>801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1094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293</v>
      </c>
      <c r="D440" s="1" t="s">
        <v>1094</v>
      </c>
      <c r="E440" s="1" t="s">
        <v>816</v>
      </c>
      <c r="F440" s="1" t="s">
        <v>801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80</v>
      </c>
      <c r="Q440" s="1" t="s">
        <v>80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292</v>
      </c>
      <c r="D441" s="1" t="s">
        <v>1095</v>
      </c>
      <c r="E441" s="1" t="s">
        <v>809</v>
      </c>
      <c r="F441" s="1" t="s">
        <v>80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902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291</v>
      </c>
      <c r="D442" s="1" t="s">
        <v>291</v>
      </c>
      <c r="E442" s="1" t="s">
        <v>801</v>
      </c>
      <c r="F442" s="1" t="s">
        <v>775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855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846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749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80</v>
      </c>
      <c r="Q444" s="1" t="s">
        <v>80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288</v>
      </c>
      <c r="D445" s="1" t="s">
        <v>288</v>
      </c>
      <c r="E445" s="1" t="s">
        <v>827</v>
      </c>
      <c r="F445" s="1" t="s">
        <v>862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80</v>
      </c>
      <c r="Q445" s="1" t="s">
        <v>80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772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1099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772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1100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772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80</v>
      </c>
      <c r="Q448" s="1" t="s">
        <v>80</v>
      </c>
      <c r="R448" s="1" t="s">
        <v>80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872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283</v>
      </c>
      <c r="D450" s="1" t="s">
        <v>283</v>
      </c>
      <c r="E450" s="1" t="s">
        <v>794</v>
      </c>
      <c r="F450" s="1" t="s">
        <v>80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282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282</v>
      </c>
      <c r="D451" s="1" t="s">
        <v>282</v>
      </c>
      <c r="E451" s="1" t="s">
        <v>794</v>
      </c>
      <c r="F451" s="1" t="s">
        <v>816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80</v>
      </c>
      <c r="Q451" s="1" t="s">
        <v>80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281</v>
      </c>
      <c r="D452" s="1" t="s">
        <v>281</v>
      </c>
      <c r="E452" s="1" t="s">
        <v>772</v>
      </c>
      <c r="F452" s="1" t="s">
        <v>80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1102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280</v>
      </c>
      <c r="D453" s="1" t="s">
        <v>1102</v>
      </c>
      <c r="E453" s="1" t="s">
        <v>772</v>
      </c>
      <c r="F453" s="1" t="s">
        <v>80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80</v>
      </c>
      <c r="Q453" s="1" t="s">
        <v>80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756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1104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862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80</v>
      </c>
      <c r="Q455" s="1" t="s">
        <v>80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794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1106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794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80</v>
      </c>
      <c r="Q457" s="1" t="s">
        <v>80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275</v>
      </c>
      <c r="D458" s="1" t="s">
        <v>1107</v>
      </c>
      <c r="E458" s="1" t="s">
        <v>741</v>
      </c>
      <c r="F458" s="1" t="s">
        <v>80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80</v>
      </c>
      <c r="Q458" s="1" t="s">
        <v>80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274</v>
      </c>
      <c r="D459" s="1" t="s">
        <v>1108</v>
      </c>
      <c r="E459" s="1" t="s">
        <v>752</v>
      </c>
      <c r="F459" s="1" t="s">
        <v>80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1109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273</v>
      </c>
      <c r="D460" s="1" t="s">
        <v>1109</v>
      </c>
      <c r="E460" s="1" t="s">
        <v>752</v>
      </c>
      <c r="F460" s="1" t="s">
        <v>80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80</v>
      </c>
      <c r="Q460" s="1" t="s">
        <v>80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272</v>
      </c>
      <c r="D461" s="1" t="s">
        <v>1110</v>
      </c>
      <c r="E461" s="1" t="s">
        <v>752</v>
      </c>
      <c r="F461" s="1" t="s">
        <v>749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934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271</v>
      </c>
      <c r="D462" s="1" t="s">
        <v>1111</v>
      </c>
      <c r="E462" s="1" t="s">
        <v>741</v>
      </c>
      <c r="F462" s="1" t="s">
        <v>821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1112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270</v>
      </c>
      <c r="D463" s="1" t="s">
        <v>1112</v>
      </c>
      <c r="E463" s="1" t="s">
        <v>741</v>
      </c>
      <c r="F463" s="1" t="s">
        <v>821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80</v>
      </c>
      <c r="Q463" s="1" t="s">
        <v>80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269</v>
      </c>
      <c r="D464" s="1" t="s">
        <v>1113</v>
      </c>
      <c r="E464" s="1" t="s">
        <v>862</v>
      </c>
      <c r="F464" s="1" t="s">
        <v>821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80</v>
      </c>
      <c r="Q464" s="1" t="s">
        <v>80</v>
      </c>
      <c r="R464" s="1" t="s">
        <v>80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268</v>
      </c>
      <c r="D465" s="1" t="s">
        <v>1114</v>
      </c>
      <c r="E465" s="1" t="s">
        <v>770</v>
      </c>
      <c r="F465" s="1" t="s">
        <v>816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80</v>
      </c>
      <c r="Q465" s="1" t="s">
        <v>80</v>
      </c>
      <c r="R465" s="1" t="s">
        <v>80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80</v>
      </c>
      <c r="Q466" s="1" t="s">
        <v>80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266</v>
      </c>
      <c r="D467" s="1" t="s">
        <v>1116</v>
      </c>
      <c r="E467" s="1" t="s">
        <v>772</v>
      </c>
      <c r="F467" s="1" t="s">
        <v>809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80</v>
      </c>
      <c r="Q467" s="1" t="s">
        <v>80</v>
      </c>
      <c r="R467" s="1" t="s">
        <v>80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265</v>
      </c>
      <c r="D468" s="1" t="s">
        <v>1117</v>
      </c>
      <c r="E468" s="1" t="s">
        <v>741</v>
      </c>
      <c r="F468" s="1" t="s">
        <v>80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80</v>
      </c>
      <c r="Q468" s="1" t="s">
        <v>80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264</v>
      </c>
      <c r="D469" s="1" t="s">
        <v>1118</v>
      </c>
      <c r="E469" s="1" t="s">
        <v>770</v>
      </c>
      <c r="F469" s="1" t="s">
        <v>80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80</v>
      </c>
      <c r="Q469" s="1" t="s">
        <v>80</v>
      </c>
      <c r="R469" s="1" t="s">
        <v>80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263</v>
      </c>
      <c r="D470" s="1" t="s">
        <v>1119</v>
      </c>
      <c r="E470" s="1" t="s">
        <v>746</v>
      </c>
      <c r="F470" s="1" t="s">
        <v>80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80</v>
      </c>
      <c r="Q470" s="1" t="s">
        <v>80</v>
      </c>
      <c r="R470" s="1" t="s">
        <v>80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262</v>
      </c>
      <c r="D471" s="1" t="s">
        <v>262</v>
      </c>
      <c r="E471" s="1" t="s">
        <v>775</v>
      </c>
      <c r="F471" s="1" t="s">
        <v>749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80</v>
      </c>
      <c r="Q471" s="1" t="s">
        <v>80</v>
      </c>
      <c r="R471" s="1" t="s">
        <v>80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261</v>
      </c>
      <c r="D472" s="1" t="s">
        <v>261</v>
      </c>
      <c r="E472" s="1" t="s">
        <v>756</v>
      </c>
      <c r="F472" s="1" t="s">
        <v>749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80</v>
      </c>
      <c r="Q472" s="1" t="s">
        <v>80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260</v>
      </c>
      <c r="D473" s="1" t="s">
        <v>1120</v>
      </c>
      <c r="E473" s="1" t="s">
        <v>741</v>
      </c>
      <c r="F473" s="1" t="s">
        <v>80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80</v>
      </c>
      <c r="Q473" s="1" t="s">
        <v>80</v>
      </c>
      <c r="R473" s="1" t="s">
        <v>80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259</v>
      </c>
      <c r="D474" s="1" t="s">
        <v>1121</v>
      </c>
      <c r="E474" s="1" t="s">
        <v>821</v>
      </c>
      <c r="F474" s="1" t="s">
        <v>80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80</v>
      </c>
      <c r="Q474" s="1" t="s">
        <v>80</v>
      </c>
      <c r="R474" s="1" t="s">
        <v>80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258</v>
      </c>
      <c r="D475" s="1" t="s">
        <v>1122</v>
      </c>
      <c r="E475" s="1" t="s">
        <v>772</v>
      </c>
      <c r="F475" s="1" t="s">
        <v>749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80</v>
      </c>
      <c r="Q475" s="1" t="s">
        <v>80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257</v>
      </c>
      <c r="D476" s="1" t="s">
        <v>1123</v>
      </c>
      <c r="E476" s="1" t="s">
        <v>821</v>
      </c>
      <c r="F476" s="1" t="s">
        <v>772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80</v>
      </c>
      <c r="Q476" s="1" t="s">
        <v>80</v>
      </c>
      <c r="R476" s="1" t="s">
        <v>80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80</v>
      </c>
      <c r="Q477" s="1" t="s">
        <v>80</v>
      </c>
      <c r="R477" s="1" t="s">
        <v>80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255</v>
      </c>
      <c r="D478" s="1" t="s">
        <v>1124</v>
      </c>
      <c r="E478" s="1" t="s">
        <v>801</v>
      </c>
      <c r="F478" s="1" t="s">
        <v>794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80</v>
      </c>
      <c r="Q478" s="1" t="s">
        <v>80</v>
      </c>
      <c r="R478" s="1" t="s">
        <v>80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254</v>
      </c>
      <c r="D479" s="1" t="s">
        <v>1125</v>
      </c>
      <c r="E479" s="1" t="s">
        <v>809</v>
      </c>
      <c r="F479" s="1" t="s">
        <v>816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80</v>
      </c>
      <c r="Q479" s="1" t="s">
        <v>80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253</v>
      </c>
      <c r="D480" s="1" t="s">
        <v>1126</v>
      </c>
      <c r="E480" s="1" t="s">
        <v>827</v>
      </c>
      <c r="F480" s="1" t="s">
        <v>80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80</v>
      </c>
      <c r="Q480" s="1" t="s">
        <v>80</v>
      </c>
      <c r="R480" s="1" t="s">
        <v>80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252</v>
      </c>
      <c r="D481" s="1" t="s">
        <v>1127</v>
      </c>
      <c r="E481" s="1" t="s">
        <v>821</v>
      </c>
      <c r="F481" s="1" t="s">
        <v>827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80</v>
      </c>
      <c r="Q481" s="1" t="s">
        <v>80</v>
      </c>
      <c r="R481" s="1" t="s">
        <v>80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251</v>
      </c>
      <c r="D482" s="1" t="s">
        <v>1128</v>
      </c>
      <c r="E482" s="1" t="s">
        <v>770</v>
      </c>
      <c r="F482" s="1" t="s">
        <v>827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80</v>
      </c>
      <c r="Q482" s="1" t="s">
        <v>80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250</v>
      </c>
      <c r="D483" s="1" t="s">
        <v>1129</v>
      </c>
      <c r="E483" s="1" t="s">
        <v>801</v>
      </c>
      <c r="F483" s="1" t="s">
        <v>80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80</v>
      </c>
      <c r="Q483" s="1" t="s">
        <v>80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249</v>
      </c>
      <c r="D484" s="1" t="s">
        <v>1130</v>
      </c>
      <c r="E484" s="1" t="s">
        <v>801</v>
      </c>
      <c r="F484" s="1" t="s">
        <v>80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80</v>
      </c>
      <c r="Q484" s="1" t="s">
        <v>80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248</v>
      </c>
      <c r="D485" s="1" t="s">
        <v>1131</v>
      </c>
      <c r="E485" s="1" t="s">
        <v>801</v>
      </c>
      <c r="F485" s="1" t="s">
        <v>80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80</v>
      </c>
      <c r="Q485" s="1" t="s">
        <v>80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247</v>
      </c>
      <c r="D486" s="1" t="s">
        <v>247</v>
      </c>
      <c r="E486" s="1" t="s">
        <v>816</v>
      </c>
      <c r="F486" s="1" t="s">
        <v>750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80</v>
      </c>
      <c r="Q486" s="1" t="s">
        <v>80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246</v>
      </c>
      <c r="D487" s="1" t="s">
        <v>246</v>
      </c>
      <c r="E487" s="1" t="s">
        <v>752</v>
      </c>
      <c r="F487" s="1" t="s">
        <v>750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80</v>
      </c>
      <c r="Q487" s="1" t="s">
        <v>80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245</v>
      </c>
      <c r="D488" s="1" t="s">
        <v>245</v>
      </c>
      <c r="E488" s="1" t="s">
        <v>746</v>
      </c>
      <c r="F488" s="1" t="s">
        <v>816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80</v>
      </c>
      <c r="Q488" s="1" t="s">
        <v>80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80</v>
      </c>
      <c r="Q489" s="1" t="s">
        <v>80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243</v>
      </c>
      <c r="D490" s="1" t="s">
        <v>1132</v>
      </c>
      <c r="E490" s="1" t="s">
        <v>827</v>
      </c>
      <c r="F490" s="1" t="s">
        <v>750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80</v>
      </c>
      <c r="Q490" s="1" t="s">
        <v>80</v>
      </c>
      <c r="R490" s="1" t="s">
        <v>80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242</v>
      </c>
      <c r="D491" s="1" t="s">
        <v>242</v>
      </c>
      <c r="E491" s="1" t="s">
        <v>801</v>
      </c>
      <c r="F491" s="1" t="s">
        <v>80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80</v>
      </c>
      <c r="Q491" s="1" t="s">
        <v>80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241</v>
      </c>
      <c r="D492" s="1" t="s">
        <v>241</v>
      </c>
      <c r="E492" s="1" t="s">
        <v>752</v>
      </c>
      <c r="F492" s="1" t="s">
        <v>80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80</v>
      </c>
      <c r="Q492" s="1" t="s">
        <v>80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240</v>
      </c>
      <c r="D493" s="1" t="s">
        <v>240</v>
      </c>
      <c r="E493" s="1" t="s">
        <v>752</v>
      </c>
      <c r="F493" s="1" t="s">
        <v>80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80</v>
      </c>
      <c r="Q493" s="1" t="s">
        <v>80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239</v>
      </c>
      <c r="D494" s="1" t="s">
        <v>239</v>
      </c>
      <c r="E494" s="1" t="s">
        <v>862</v>
      </c>
      <c r="F494" s="1" t="s">
        <v>80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80</v>
      </c>
      <c r="Q494" s="1" t="s">
        <v>80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238</v>
      </c>
      <c r="D495" s="1" t="s">
        <v>1133</v>
      </c>
      <c r="E495" s="1" t="s">
        <v>741</v>
      </c>
      <c r="F495" s="1" t="s">
        <v>80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80</v>
      </c>
      <c r="Q495" s="1" t="s">
        <v>80</v>
      </c>
      <c r="R495" s="1" t="s">
        <v>80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80</v>
      </c>
      <c r="Q496" s="1" t="s">
        <v>80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236</v>
      </c>
      <c r="D497" s="1" t="s">
        <v>236</v>
      </c>
      <c r="E497" s="1" t="s">
        <v>801</v>
      </c>
      <c r="F497" s="1" t="s">
        <v>746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80</v>
      </c>
      <c r="Q497" s="1" t="s">
        <v>80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235</v>
      </c>
      <c r="D498" s="1" t="s">
        <v>1134</v>
      </c>
      <c r="E498" s="1" t="s">
        <v>741</v>
      </c>
      <c r="F498" s="1" t="s">
        <v>80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1135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234</v>
      </c>
      <c r="D499" s="1" t="s">
        <v>1135</v>
      </c>
      <c r="E499" s="1" t="s">
        <v>741</v>
      </c>
      <c r="F499" s="1" t="s">
        <v>80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1136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233</v>
      </c>
      <c r="D500" s="1" t="s">
        <v>1136</v>
      </c>
      <c r="E500" s="1" t="s">
        <v>741</v>
      </c>
      <c r="F500" s="1" t="s">
        <v>80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80</v>
      </c>
      <c r="Q500" s="1" t="s">
        <v>80</v>
      </c>
      <c r="R500" s="1" t="s">
        <v>80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232</v>
      </c>
      <c r="D501" s="1" t="s">
        <v>1137</v>
      </c>
      <c r="E501" s="1" t="s">
        <v>746</v>
      </c>
      <c r="F501" s="1" t="s">
        <v>80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1138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231</v>
      </c>
      <c r="D502" s="1" t="s">
        <v>1138</v>
      </c>
      <c r="E502" s="1" t="s">
        <v>746</v>
      </c>
      <c r="F502" s="1" t="s">
        <v>794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1139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230</v>
      </c>
      <c r="D503" s="1" t="s">
        <v>1139</v>
      </c>
      <c r="E503" s="1" t="s">
        <v>746</v>
      </c>
      <c r="F503" s="1" t="s">
        <v>794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80</v>
      </c>
      <c r="Q503" s="1" t="s">
        <v>80</v>
      </c>
      <c r="R503" s="1" t="s">
        <v>80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229</v>
      </c>
      <c r="D504" s="1" t="s">
        <v>1140</v>
      </c>
      <c r="E504" s="1" t="s">
        <v>752</v>
      </c>
      <c r="F504" s="1" t="s">
        <v>80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1141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228</v>
      </c>
      <c r="D505" s="1" t="s">
        <v>1141</v>
      </c>
      <c r="E505" s="1" t="s">
        <v>752</v>
      </c>
      <c r="F505" s="1" t="s">
        <v>80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1142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227</v>
      </c>
      <c r="D506" s="1" t="s">
        <v>1142</v>
      </c>
      <c r="E506" s="1" t="s">
        <v>752</v>
      </c>
      <c r="F506" s="1" t="s">
        <v>80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80</v>
      </c>
      <c r="Q506" s="1" t="s">
        <v>80</v>
      </c>
      <c r="R506" s="1" t="s">
        <v>80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1144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80</v>
      </c>
      <c r="Q508" s="1" t="s">
        <v>80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1146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1147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80</v>
      </c>
      <c r="Q511" s="1" t="s">
        <v>80</v>
      </c>
      <c r="R511" s="1" t="s">
        <v>80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221</v>
      </c>
      <c r="D512" s="1" t="s">
        <v>1148</v>
      </c>
      <c r="E512" s="1" t="s">
        <v>862</v>
      </c>
      <c r="F512" s="1" t="s">
        <v>80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1149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220</v>
      </c>
      <c r="D513" s="1" t="s">
        <v>1149</v>
      </c>
      <c r="E513" s="1" t="s">
        <v>862</v>
      </c>
      <c r="F513" s="1" t="s">
        <v>80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80</v>
      </c>
      <c r="Q513" s="1" t="s">
        <v>80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219</v>
      </c>
      <c r="D514" s="1" t="s">
        <v>1150</v>
      </c>
      <c r="E514" s="1" t="s">
        <v>741</v>
      </c>
      <c r="F514" s="1" t="s">
        <v>80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1151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218</v>
      </c>
      <c r="D515" s="1" t="s">
        <v>1151</v>
      </c>
      <c r="E515" s="1" t="s">
        <v>741</v>
      </c>
      <c r="F515" s="1" t="s">
        <v>80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80</v>
      </c>
      <c r="Q515" s="1" t="s">
        <v>80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217</v>
      </c>
      <c r="D516" s="1" t="s">
        <v>1152</v>
      </c>
      <c r="E516" s="1" t="s">
        <v>746</v>
      </c>
      <c r="F516" s="1" t="s">
        <v>80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1153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216</v>
      </c>
      <c r="D517" s="1" t="s">
        <v>1153</v>
      </c>
      <c r="E517" s="1" t="s">
        <v>746</v>
      </c>
      <c r="F517" s="1" t="s">
        <v>80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80</v>
      </c>
      <c r="Q517" s="1" t="s">
        <v>80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215</v>
      </c>
      <c r="D518" s="1" t="s">
        <v>1154</v>
      </c>
      <c r="E518" s="1" t="s">
        <v>752</v>
      </c>
      <c r="F518" s="1" t="s">
        <v>80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1155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214</v>
      </c>
      <c r="D519" s="1" t="s">
        <v>1155</v>
      </c>
      <c r="E519" s="1" t="s">
        <v>752</v>
      </c>
      <c r="F519" s="1" t="s">
        <v>80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80</v>
      </c>
      <c r="Q519" s="1" t="s">
        <v>80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213</v>
      </c>
      <c r="D520" s="1" t="s">
        <v>213</v>
      </c>
      <c r="E520" s="1" t="s">
        <v>801</v>
      </c>
      <c r="F520" s="1" t="s">
        <v>80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1156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212</v>
      </c>
      <c r="D521" s="1" t="s">
        <v>1156</v>
      </c>
      <c r="E521" s="1" t="s">
        <v>801</v>
      </c>
      <c r="F521" s="1" t="s">
        <v>80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80</v>
      </c>
      <c r="Q521" s="1" t="s">
        <v>80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749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1158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749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1159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749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80</v>
      </c>
      <c r="Q524" s="1" t="s">
        <v>80</v>
      </c>
      <c r="R524" s="1" t="s">
        <v>80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208</v>
      </c>
      <c r="D525" s="1" t="s">
        <v>1160</v>
      </c>
      <c r="E525" s="1" t="s">
        <v>770</v>
      </c>
      <c r="F525" s="1" t="s">
        <v>80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1161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207</v>
      </c>
      <c r="D526" s="1" t="s">
        <v>1161</v>
      </c>
      <c r="E526" s="1" t="s">
        <v>770</v>
      </c>
      <c r="F526" s="1" t="s">
        <v>80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80</v>
      </c>
      <c r="Q526" s="1" t="s">
        <v>80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206</v>
      </c>
      <c r="D527" s="1" t="s">
        <v>1162</v>
      </c>
      <c r="E527" s="1" t="s">
        <v>809</v>
      </c>
      <c r="F527" s="1" t="s">
        <v>80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1163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205</v>
      </c>
      <c r="D528" s="1" t="s">
        <v>1163</v>
      </c>
      <c r="E528" s="1" t="s">
        <v>809</v>
      </c>
      <c r="F528" s="1" t="s">
        <v>80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1164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204</v>
      </c>
      <c r="D529" s="1" t="s">
        <v>1164</v>
      </c>
      <c r="E529" s="1" t="s">
        <v>809</v>
      </c>
      <c r="F529" s="1" t="s">
        <v>80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80</v>
      </c>
      <c r="Q529" s="1" t="s">
        <v>80</v>
      </c>
      <c r="R529" s="1" t="s">
        <v>80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203</v>
      </c>
      <c r="D530" s="1" t="s">
        <v>1165</v>
      </c>
      <c r="E530" s="1" t="s">
        <v>801</v>
      </c>
      <c r="F530" s="1" t="s">
        <v>749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1166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202</v>
      </c>
      <c r="D531" s="1" t="s">
        <v>1166</v>
      </c>
      <c r="E531" s="1" t="s">
        <v>801</v>
      </c>
      <c r="F531" s="1" t="s">
        <v>749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80</v>
      </c>
      <c r="Q531" s="1" t="s">
        <v>80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201</v>
      </c>
      <c r="D532" s="1" t="s">
        <v>1167</v>
      </c>
      <c r="E532" s="1" t="s">
        <v>772</v>
      </c>
      <c r="F532" s="1" t="s">
        <v>80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1168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200</v>
      </c>
      <c r="D533" s="1" t="s">
        <v>1168</v>
      </c>
      <c r="E533" s="1" t="s">
        <v>772</v>
      </c>
      <c r="F533" s="1" t="s">
        <v>816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80</v>
      </c>
      <c r="Q533" s="1" t="s">
        <v>80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80</v>
      </c>
      <c r="Q534" s="1" t="s">
        <v>80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198</v>
      </c>
      <c r="D535" s="1" t="s">
        <v>1170</v>
      </c>
      <c r="E535" s="1" t="s">
        <v>794</v>
      </c>
      <c r="F535" s="1" t="s">
        <v>80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1171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197</v>
      </c>
      <c r="D536" s="1" t="s">
        <v>1171</v>
      </c>
      <c r="E536" s="1" t="s">
        <v>794</v>
      </c>
      <c r="F536" s="1" t="s">
        <v>80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1172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196</v>
      </c>
      <c r="D537" s="1" t="s">
        <v>1172</v>
      </c>
      <c r="E537" s="1" t="s">
        <v>794</v>
      </c>
      <c r="F537" s="1" t="s">
        <v>80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80</v>
      </c>
      <c r="Q537" s="1" t="s">
        <v>80</v>
      </c>
      <c r="R537" s="1" t="s">
        <v>80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195</v>
      </c>
      <c r="D538" s="1" t="s">
        <v>1173</v>
      </c>
      <c r="E538" s="1" t="s">
        <v>752</v>
      </c>
      <c r="F538" s="1" t="s">
        <v>80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1174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194</v>
      </c>
      <c r="D539" s="1" t="s">
        <v>1174</v>
      </c>
      <c r="E539" s="1" t="s">
        <v>752</v>
      </c>
      <c r="F539" s="1" t="s">
        <v>772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1175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193</v>
      </c>
      <c r="D540" s="1" t="s">
        <v>1175</v>
      </c>
      <c r="E540" s="1" t="s">
        <v>752</v>
      </c>
      <c r="F540" s="1" t="s">
        <v>772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80</v>
      </c>
      <c r="Q540" s="1" t="s">
        <v>80</v>
      </c>
      <c r="R540" s="1" t="s">
        <v>80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192</v>
      </c>
      <c r="D541" s="1" t="s">
        <v>1176</v>
      </c>
      <c r="E541" s="1" t="s">
        <v>794</v>
      </c>
      <c r="F541" s="1" t="s">
        <v>80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80</v>
      </c>
      <c r="Q541" s="1" t="s">
        <v>80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191</v>
      </c>
      <c r="D542" s="1" t="s">
        <v>1177</v>
      </c>
      <c r="E542" s="1" t="s">
        <v>794</v>
      </c>
      <c r="F542" s="1" t="s">
        <v>80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80</v>
      </c>
      <c r="Q542" s="1" t="s">
        <v>80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190</v>
      </c>
      <c r="D543" s="1" t="s">
        <v>1178</v>
      </c>
      <c r="E543" s="1" t="s">
        <v>756</v>
      </c>
      <c r="F543" s="1" t="s">
        <v>741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1179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189</v>
      </c>
      <c r="D544" s="1" t="s">
        <v>1179</v>
      </c>
      <c r="E544" s="1" t="s">
        <v>756</v>
      </c>
      <c r="F544" s="1" t="s">
        <v>741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1180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188</v>
      </c>
      <c r="D545" s="1" t="s">
        <v>1180</v>
      </c>
      <c r="E545" s="1" t="s">
        <v>756</v>
      </c>
      <c r="F545" s="1" t="s">
        <v>741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80</v>
      </c>
      <c r="Q545" s="1" t="s">
        <v>80</v>
      </c>
      <c r="R545" s="1" t="s">
        <v>80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187</v>
      </c>
      <c r="D546" s="1" t="s">
        <v>1181</v>
      </c>
      <c r="E546" s="1" t="s">
        <v>756</v>
      </c>
      <c r="F546" s="1" t="s">
        <v>742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1182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186</v>
      </c>
      <c r="D547" s="1" t="s">
        <v>1182</v>
      </c>
      <c r="E547" s="1" t="s">
        <v>756</v>
      </c>
      <c r="F547" s="1" t="s">
        <v>742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1183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185</v>
      </c>
      <c r="D548" s="1" t="s">
        <v>1183</v>
      </c>
      <c r="E548" s="1" t="s">
        <v>756</v>
      </c>
      <c r="F548" s="1" t="s">
        <v>742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80</v>
      </c>
      <c r="Q548" s="1" t="s">
        <v>80</v>
      </c>
      <c r="R548" s="1" t="s">
        <v>80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184</v>
      </c>
      <c r="D549" s="1" t="s">
        <v>1184</v>
      </c>
      <c r="E549" s="1" t="s">
        <v>741</v>
      </c>
      <c r="F549" s="1" t="s">
        <v>775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1185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183</v>
      </c>
      <c r="D550" s="1" t="s">
        <v>1185</v>
      </c>
      <c r="E550" s="1" t="s">
        <v>741</v>
      </c>
      <c r="F550" s="1" t="s">
        <v>775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80</v>
      </c>
      <c r="Q550" s="1" t="s">
        <v>80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182</v>
      </c>
      <c r="D551" s="1" t="s">
        <v>1186</v>
      </c>
      <c r="E551" s="1" t="s">
        <v>741</v>
      </c>
      <c r="F551" s="1" t="s">
        <v>80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1187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181</v>
      </c>
      <c r="D552" s="1" t="s">
        <v>1187</v>
      </c>
      <c r="E552" s="1" t="s">
        <v>741</v>
      </c>
      <c r="F552" s="1" t="s">
        <v>80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80</v>
      </c>
      <c r="Q552" s="1" t="s">
        <v>80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180</v>
      </c>
      <c r="D553" s="1" t="s">
        <v>1188</v>
      </c>
      <c r="E553" s="1" t="s">
        <v>752</v>
      </c>
      <c r="F553" s="1" t="s">
        <v>80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80</v>
      </c>
      <c r="Q553" s="1" t="s">
        <v>80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179</v>
      </c>
      <c r="D554" s="1" t="s">
        <v>1189</v>
      </c>
      <c r="E554" s="1" t="s">
        <v>772</v>
      </c>
      <c r="F554" s="1" t="s">
        <v>862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1190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178</v>
      </c>
      <c r="D555" s="1" t="s">
        <v>1190</v>
      </c>
      <c r="E555" s="1" t="s">
        <v>772</v>
      </c>
      <c r="F555" s="1" t="s">
        <v>862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1191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177</v>
      </c>
      <c r="D556" s="1" t="s">
        <v>1191</v>
      </c>
      <c r="E556" s="1" t="s">
        <v>772</v>
      </c>
      <c r="F556" s="1" t="s">
        <v>862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80</v>
      </c>
      <c r="Q556" s="1" t="s">
        <v>80</v>
      </c>
      <c r="R556" s="1" t="s">
        <v>80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176</v>
      </c>
      <c r="D557" s="1" t="s">
        <v>1192</v>
      </c>
      <c r="E557" s="1" t="s">
        <v>746</v>
      </c>
      <c r="F557" s="1" t="s">
        <v>80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1286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175</v>
      </c>
      <c r="D558" s="1" t="s">
        <v>1286</v>
      </c>
      <c r="E558" s="1" t="s">
        <v>746</v>
      </c>
      <c r="F558" s="1" t="s">
        <v>80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80</v>
      </c>
      <c r="Q558" s="1" t="s">
        <v>80</v>
      </c>
      <c r="R558" s="1" t="s">
        <v>80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174</v>
      </c>
      <c r="D559" s="1" t="s">
        <v>1193</v>
      </c>
      <c r="E559" s="1" t="s">
        <v>741</v>
      </c>
      <c r="F559" s="1" t="s">
        <v>80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80</v>
      </c>
      <c r="Q559" s="1" t="s">
        <v>80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173</v>
      </c>
      <c r="D560" s="1" t="s">
        <v>1194</v>
      </c>
      <c r="E560" s="1" t="s">
        <v>756</v>
      </c>
      <c r="F560" s="1" t="s">
        <v>809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1195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172</v>
      </c>
      <c r="D561" s="1" t="s">
        <v>1195</v>
      </c>
      <c r="E561" s="1" t="s">
        <v>756</v>
      </c>
      <c r="F561" s="1" t="s">
        <v>809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80</v>
      </c>
      <c r="Q561" s="1" t="s">
        <v>80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171</v>
      </c>
      <c r="D562" s="1" t="s">
        <v>1196</v>
      </c>
      <c r="E562" s="1" t="s">
        <v>862</v>
      </c>
      <c r="F562" s="1" t="s">
        <v>794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1197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170</v>
      </c>
      <c r="D563" s="1" t="s">
        <v>1197</v>
      </c>
      <c r="E563" s="1" t="s">
        <v>862</v>
      </c>
      <c r="F563" s="1" t="s">
        <v>794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80</v>
      </c>
      <c r="Q563" s="1" t="s">
        <v>80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169</v>
      </c>
      <c r="D564" s="1" t="s">
        <v>1198</v>
      </c>
      <c r="E564" s="1" t="s">
        <v>801</v>
      </c>
      <c r="F564" s="1" t="s">
        <v>749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80</v>
      </c>
      <c r="Q564" s="1" t="s">
        <v>80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168</v>
      </c>
      <c r="D565" s="1" t="s">
        <v>1199</v>
      </c>
      <c r="E565" s="1" t="s">
        <v>827</v>
      </c>
      <c r="F565" s="1" t="s">
        <v>80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1200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167</v>
      </c>
      <c r="D566" s="1" t="s">
        <v>1200</v>
      </c>
      <c r="E566" s="1" t="s">
        <v>827</v>
      </c>
      <c r="F566" s="1" t="s">
        <v>80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80</v>
      </c>
      <c r="Q566" s="1" t="s">
        <v>80</v>
      </c>
      <c r="R566" s="1" t="s">
        <v>80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166</v>
      </c>
      <c r="D567" s="1" t="s">
        <v>1201</v>
      </c>
      <c r="E567" s="1" t="s">
        <v>752</v>
      </c>
      <c r="F567" s="1" t="s">
        <v>809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1202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165</v>
      </c>
      <c r="D568" s="1" t="s">
        <v>1202</v>
      </c>
      <c r="E568" s="1" t="s">
        <v>752</v>
      </c>
      <c r="F568" s="1" t="s">
        <v>809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80</v>
      </c>
      <c r="Q568" s="1" t="s">
        <v>80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164</v>
      </c>
      <c r="D569" s="1" t="s">
        <v>1203</v>
      </c>
      <c r="E569" s="1" t="s">
        <v>809</v>
      </c>
      <c r="F569" s="1" t="s">
        <v>749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1204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163</v>
      </c>
      <c r="D570" s="1" t="s">
        <v>1204</v>
      </c>
      <c r="E570" s="1" t="s">
        <v>809</v>
      </c>
      <c r="F570" s="1" t="s">
        <v>749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80</v>
      </c>
      <c r="Q570" s="1" t="s">
        <v>80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1206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80</v>
      </c>
      <c r="Q572" s="1" t="s">
        <v>80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160</v>
      </c>
      <c r="D573" s="1" t="s">
        <v>160</v>
      </c>
      <c r="E573" s="1" t="s">
        <v>862</v>
      </c>
      <c r="F573" s="1" t="s">
        <v>80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159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159</v>
      </c>
      <c r="D574" s="1" t="s">
        <v>159</v>
      </c>
      <c r="E574" s="1" t="s">
        <v>862</v>
      </c>
      <c r="F574" s="1" t="s">
        <v>80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80</v>
      </c>
      <c r="Q574" s="1" t="s">
        <v>80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1208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80</v>
      </c>
      <c r="Q576" s="1" t="s">
        <v>80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156</v>
      </c>
      <c r="D577" s="1" t="s">
        <v>1209</v>
      </c>
      <c r="E577" s="1" t="s">
        <v>801</v>
      </c>
      <c r="F577" s="1" t="s">
        <v>80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1210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155</v>
      </c>
      <c r="D578" s="1" t="s">
        <v>1210</v>
      </c>
      <c r="E578" s="1" t="s">
        <v>801</v>
      </c>
      <c r="F578" s="1" t="s">
        <v>80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1211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154</v>
      </c>
      <c r="D579" s="1" t="s">
        <v>1211</v>
      </c>
      <c r="E579" s="1" t="s">
        <v>801</v>
      </c>
      <c r="F579" s="1" t="s">
        <v>80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80</v>
      </c>
      <c r="Q579" s="1" t="s">
        <v>80</v>
      </c>
      <c r="R579" s="1" t="s">
        <v>80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153</v>
      </c>
      <c r="D580" s="1" t="s">
        <v>1212</v>
      </c>
      <c r="E580" s="1" t="s">
        <v>801</v>
      </c>
      <c r="F580" s="1" t="s">
        <v>80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1213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152</v>
      </c>
      <c r="D581" s="1" t="s">
        <v>1213</v>
      </c>
      <c r="E581" s="1" t="s">
        <v>801</v>
      </c>
      <c r="F581" s="1" t="s">
        <v>80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1214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151</v>
      </c>
      <c r="D582" s="1" t="s">
        <v>1214</v>
      </c>
      <c r="E582" s="1" t="s">
        <v>801</v>
      </c>
      <c r="F582" s="1" t="s">
        <v>80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80</v>
      </c>
      <c r="Q582" s="1" t="s">
        <v>80</v>
      </c>
      <c r="R582" s="1" t="s">
        <v>80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150</v>
      </c>
      <c r="D583" s="1" t="s">
        <v>1215</v>
      </c>
      <c r="E583" s="1" t="s">
        <v>752</v>
      </c>
      <c r="F583" s="1" t="s">
        <v>749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1216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149</v>
      </c>
      <c r="D584" s="1" t="s">
        <v>1216</v>
      </c>
      <c r="E584" s="1" t="s">
        <v>752</v>
      </c>
      <c r="F584" s="1" t="s">
        <v>749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80</v>
      </c>
      <c r="Q584" s="1" t="s">
        <v>80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148</v>
      </c>
      <c r="D585" s="1" t="s">
        <v>1217</v>
      </c>
      <c r="E585" s="1" t="s">
        <v>821</v>
      </c>
      <c r="F585" s="1" t="s">
        <v>80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1218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147</v>
      </c>
      <c r="D586" s="1" t="s">
        <v>1218</v>
      </c>
      <c r="E586" s="1" t="s">
        <v>821</v>
      </c>
      <c r="F586" s="1" t="s">
        <v>80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1219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146</v>
      </c>
      <c r="D587" s="1" t="s">
        <v>1219</v>
      </c>
      <c r="E587" s="1" t="s">
        <v>821</v>
      </c>
      <c r="F587" s="1" t="s">
        <v>80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80</v>
      </c>
      <c r="Q587" s="1" t="s">
        <v>80</v>
      </c>
      <c r="R587" s="1" t="s">
        <v>80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741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1221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741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80</v>
      </c>
      <c r="Q589" s="1" t="s">
        <v>80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143</v>
      </c>
      <c r="D590" s="1" t="s">
        <v>143</v>
      </c>
      <c r="E590" s="1" t="s">
        <v>770</v>
      </c>
      <c r="F590" s="1" t="s">
        <v>749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80</v>
      </c>
      <c r="Q590" s="1" t="s">
        <v>80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142</v>
      </c>
      <c r="D591" s="1" t="s">
        <v>1222</v>
      </c>
      <c r="E591" s="1" t="s">
        <v>756</v>
      </c>
      <c r="F591" s="1" t="s">
        <v>80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1223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141</v>
      </c>
      <c r="D592" s="1" t="s">
        <v>1223</v>
      </c>
      <c r="E592" s="1" t="s">
        <v>756</v>
      </c>
      <c r="F592" s="1" t="s">
        <v>816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80</v>
      </c>
      <c r="Q592" s="1" t="s">
        <v>80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140</v>
      </c>
      <c r="D593" s="1" t="s">
        <v>1224</v>
      </c>
      <c r="E593" s="1" t="s">
        <v>741</v>
      </c>
      <c r="F593" s="1" t="s">
        <v>742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1225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139</v>
      </c>
      <c r="D594" s="1" t="s">
        <v>1225</v>
      </c>
      <c r="E594" s="1" t="s">
        <v>741</v>
      </c>
      <c r="F594" s="1" t="s">
        <v>742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80</v>
      </c>
      <c r="Q594" s="1" t="s">
        <v>80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138</v>
      </c>
      <c r="D595" s="1" t="s">
        <v>1226</v>
      </c>
      <c r="E595" s="1" t="s">
        <v>752</v>
      </c>
      <c r="F595" s="1" t="s">
        <v>827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1227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137</v>
      </c>
      <c r="D596" s="1" t="s">
        <v>1227</v>
      </c>
      <c r="E596" s="1" t="s">
        <v>752</v>
      </c>
      <c r="F596" s="1" t="s">
        <v>827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80</v>
      </c>
      <c r="Q596" s="1" t="s">
        <v>80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136</v>
      </c>
      <c r="D597" s="1" t="s">
        <v>1228</v>
      </c>
      <c r="E597" s="1" t="s">
        <v>752</v>
      </c>
      <c r="F597" s="1" t="s">
        <v>80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80</v>
      </c>
      <c r="Q597" s="1" t="s">
        <v>80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135</v>
      </c>
      <c r="D598" s="1" t="s">
        <v>1229</v>
      </c>
      <c r="E598" s="1" t="s">
        <v>756</v>
      </c>
      <c r="F598" s="1" t="s">
        <v>770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1230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134</v>
      </c>
      <c r="D599" s="1" t="s">
        <v>1230</v>
      </c>
      <c r="E599" s="1" t="s">
        <v>756</v>
      </c>
      <c r="F599" s="1" t="s">
        <v>770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80</v>
      </c>
      <c r="Q599" s="1" t="s">
        <v>80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133</v>
      </c>
      <c r="D600" s="1" t="s">
        <v>1231</v>
      </c>
      <c r="E600" s="1" t="s">
        <v>741</v>
      </c>
      <c r="F600" s="1" t="s">
        <v>816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1232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132</v>
      </c>
      <c r="D601" s="1" t="s">
        <v>1232</v>
      </c>
      <c r="E601" s="1" t="s">
        <v>741</v>
      </c>
      <c r="F601" s="1" t="s">
        <v>816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80</v>
      </c>
      <c r="Q601" s="1" t="s">
        <v>80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131</v>
      </c>
      <c r="D602" s="1" t="s">
        <v>1233</v>
      </c>
      <c r="E602" s="1" t="s">
        <v>816</v>
      </c>
      <c r="F602" s="1" t="s">
        <v>80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1234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130</v>
      </c>
      <c r="D603" s="1" t="s">
        <v>1234</v>
      </c>
      <c r="E603" s="1" t="s">
        <v>816</v>
      </c>
      <c r="F603" s="1" t="s">
        <v>80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1235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129</v>
      </c>
      <c r="D604" s="1" t="s">
        <v>1235</v>
      </c>
      <c r="E604" s="1" t="s">
        <v>816</v>
      </c>
      <c r="F604" s="1" t="s">
        <v>80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80</v>
      </c>
      <c r="Q604" s="1" t="s">
        <v>80</v>
      </c>
      <c r="R604" s="1" t="s">
        <v>80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128</v>
      </c>
      <c r="D605" s="1" t="s">
        <v>1236</v>
      </c>
      <c r="E605" s="1" t="s">
        <v>770</v>
      </c>
      <c r="F605" s="1" t="s">
        <v>80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1237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127</v>
      </c>
      <c r="D606" s="1" t="s">
        <v>1237</v>
      </c>
      <c r="E606" s="1" t="s">
        <v>770</v>
      </c>
      <c r="F606" s="1" t="s">
        <v>80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1238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126</v>
      </c>
      <c r="D607" s="1" t="s">
        <v>1238</v>
      </c>
      <c r="E607" s="1" t="s">
        <v>770</v>
      </c>
      <c r="F607" s="1" t="s">
        <v>80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80</v>
      </c>
      <c r="Q607" s="1" t="s">
        <v>80</v>
      </c>
      <c r="R607" s="1" t="s">
        <v>80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125</v>
      </c>
      <c r="D608" s="1" t="s">
        <v>1239</v>
      </c>
      <c r="E608" s="1" t="s">
        <v>801</v>
      </c>
      <c r="F608" s="1" t="s">
        <v>80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1240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124</v>
      </c>
      <c r="D609" s="1" t="s">
        <v>1240</v>
      </c>
      <c r="E609" s="1" t="s">
        <v>801</v>
      </c>
      <c r="F609" s="1" t="s">
        <v>80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80</v>
      </c>
      <c r="Q609" s="1" t="s">
        <v>80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123</v>
      </c>
      <c r="D610" s="1" t="s">
        <v>1241</v>
      </c>
      <c r="E610" s="1" t="s">
        <v>827</v>
      </c>
      <c r="F610" s="1" t="s">
        <v>746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1242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122</v>
      </c>
      <c r="D611" s="1" t="s">
        <v>1242</v>
      </c>
      <c r="E611" s="1" t="s">
        <v>827</v>
      </c>
      <c r="F611" s="1" t="s">
        <v>746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1243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121</v>
      </c>
      <c r="D612" s="1" t="s">
        <v>1243</v>
      </c>
      <c r="E612" s="1" t="s">
        <v>827</v>
      </c>
      <c r="F612" s="1" t="s">
        <v>746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80</v>
      </c>
      <c r="Q612" s="1" t="s">
        <v>80</v>
      </c>
      <c r="R612" s="1" t="s">
        <v>80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1245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1246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80</v>
      </c>
      <c r="Q615" s="1" t="s">
        <v>80</v>
      </c>
      <c r="R615" s="1" t="s">
        <v>80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117</v>
      </c>
      <c r="D616" s="1" t="s">
        <v>1247</v>
      </c>
      <c r="E616" s="1" t="s">
        <v>821</v>
      </c>
      <c r="F616" s="1" t="s">
        <v>80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1248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116</v>
      </c>
      <c r="D617" s="1" t="s">
        <v>1248</v>
      </c>
      <c r="E617" s="1" t="s">
        <v>821</v>
      </c>
      <c r="F617" s="1" t="s">
        <v>80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80</v>
      </c>
      <c r="Q617" s="1" t="s">
        <v>80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115</v>
      </c>
      <c r="D618" s="1" t="s">
        <v>1249</v>
      </c>
      <c r="E618" s="1" t="s">
        <v>821</v>
      </c>
      <c r="F618" s="1" t="s">
        <v>80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80</v>
      </c>
      <c r="Q618" s="1" t="s">
        <v>80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114</v>
      </c>
      <c r="D619" s="1" t="s">
        <v>1250</v>
      </c>
      <c r="E619" s="1" t="s">
        <v>756</v>
      </c>
      <c r="F619" s="1" t="s">
        <v>80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1251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113</v>
      </c>
      <c r="D620" s="1" t="s">
        <v>1251</v>
      </c>
      <c r="E620" s="1" t="s">
        <v>756</v>
      </c>
      <c r="F620" s="1" t="s">
        <v>80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80</v>
      </c>
      <c r="Q620" s="1" t="s">
        <v>80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112</v>
      </c>
      <c r="D621" s="1" t="s">
        <v>1252</v>
      </c>
      <c r="E621" s="1" t="s">
        <v>772</v>
      </c>
      <c r="F621" s="1" t="s">
        <v>770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80</v>
      </c>
      <c r="Q621" s="1" t="s">
        <v>80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111</v>
      </c>
      <c r="D622" s="1" t="s">
        <v>1253</v>
      </c>
      <c r="E622" s="1" t="s">
        <v>794</v>
      </c>
      <c r="F622" s="1" t="s">
        <v>80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1254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110</v>
      </c>
      <c r="D623" s="1" t="s">
        <v>1254</v>
      </c>
      <c r="E623" s="1" t="s">
        <v>794</v>
      </c>
      <c r="F623" s="1" t="s">
        <v>80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80</v>
      </c>
      <c r="Q623" s="1" t="s">
        <v>80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80</v>
      </c>
      <c r="Q624" s="1" t="s">
        <v>80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108</v>
      </c>
      <c r="D625" s="1" t="s">
        <v>1256</v>
      </c>
      <c r="E625" s="1" t="s">
        <v>772</v>
      </c>
      <c r="F625" s="1" t="s">
        <v>827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1257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107</v>
      </c>
      <c r="D626" s="1" t="s">
        <v>1257</v>
      </c>
      <c r="E626" s="1" t="s">
        <v>772</v>
      </c>
      <c r="F626" s="1" t="s">
        <v>827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80</v>
      </c>
      <c r="Q626" s="1" t="s">
        <v>80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106</v>
      </c>
      <c r="D627" s="1" t="s">
        <v>1258</v>
      </c>
      <c r="E627" s="1" t="s">
        <v>862</v>
      </c>
      <c r="F627" s="1" t="s">
        <v>816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1259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105</v>
      </c>
      <c r="D628" s="1" t="s">
        <v>1259</v>
      </c>
      <c r="E628" s="1" t="s">
        <v>862</v>
      </c>
      <c r="F628" s="1" t="s">
        <v>816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80</v>
      </c>
      <c r="Q628" s="1" t="s">
        <v>80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80</v>
      </c>
      <c r="Q629" s="1" t="s">
        <v>80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749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1262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749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80</v>
      </c>
      <c r="Q631" s="1" t="s">
        <v>80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101</v>
      </c>
      <c r="D632" s="1" t="s">
        <v>1263</v>
      </c>
      <c r="E632" s="1" t="s">
        <v>862</v>
      </c>
      <c r="F632" s="1" t="s">
        <v>749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1264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100</v>
      </c>
      <c r="D633" s="1" t="s">
        <v>1264</v>
      </c>
      <c r="E633" s="1" t="s">
        <v>862</v>
      </c>
      <c r="F633" s="1" t="s">
        <v>749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80</v>
      </c>
      <c r="Q633" s="1" t="s">
        <v>80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99</v>
      </c>
      <c r="D634" s="1" t="s">
        <v>1265</v>
      </c>
      <c r="E634" s="1" t="s">
        <v>746</v>
      </c>
      <c r="F634" s="1" t="s">
        <v>80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80</v>
      </c>
      <c r="Q634" s="1" t="s">
        <v>80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98</v>
      </c>
      <c r="D635" s="1" t="s">
        <v>1266</v>
      </c>
      <c r="E635" s="1" t="s">
        <v>756</v>
      </c>
      <c r="F635" s="1" t="s">
        <v>816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80</v>
      </c>
      <c r="Q635" s="1" t="s">
        <v>80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97</v>
      </c>
      <c r="D636" s="1" t="s">
        <v>1267</v>
      </c>
      <c r="E636" s="1" t="s">
        <v>862</v>
      </c>
      <c r="F636" s="1" t="s">
        <v>750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1268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96</v>
      </c>
      <c r="D637" s="1" t="s">
        <v>1268</v>
      </c>
      <c r="E637" s="1" t="s">
        <v>862</v>
      </c>
      <c r="F637" s="1" t="s">
        <v>750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1269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95</v>
      </c>
      <c r="D638" s="1" t="s">
        <v>1269</v>
      </c>
      <c r="E638" s="1" t="s">
        <v>862</v>
      </c>
      <c r="F638" s="1" t="s">
        <v>750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80</v>
      </c>
      <c r="Q638" s="1" t="s">
        <v>80</v>
      </c>
      <c r="R638" s="1" t="s">
        <v>80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94</v>
      </c>
      <c r="D639" s="1" t="s">
        <v>1270</v>
      </c>
      <c r="E639" s="1" t="s">
        <v>756</v>
      </c>
      <c r="F639" s="1" t="s">
        <v>746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1271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93</v>
      </c>
      <c r="D640" s="1" t="s">
        <v>1271</v>
      </c>
      <c r="E640" s="1" t="s">
        <v>756</v>
      </c>
      <c r="F640" s="1" t="s">
        <v>746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80</v>
      </c>
      <c r="Q640" s="1" t="s">
        <v>80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92</v>
      </c>
      <c r="D641" s="1" t="s">
        <v>1272</v>
      </c>
      <c r="E641" s="1" t="s">
        <v>816</v>
      </c>
      <c r="F641" s="1" t="s">
        <v>794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80</v>
      </c>
      <c r="Q641" s="1" t="s">
        <v>80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91</v>
      </c>
      <c r="D642" s="1" t="s">
        <v>1273</v>
      </c>
      <c r="E642" s="1" t="s">
        <v>809</v>
      </c>
      <c r="F642" s="1" t="s">
        <v>794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80</v>
      </c>
      <c r="Q642" s="1" t="s">
        <v>80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90</v>
      </c>
      <c r="D643" s="1" t="s">
        <v>1274</v>
      </c>
      <c r="E643" s="1" t="s">
        <v>741</v>
      </c>
      <c r="F643" s="1" t="s">
        <v>794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80</v>
      </c>
      <c r="Q643" s="1" t="s">
        <v>80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89</v>
      </c>
      <c r="D644" s="1" t="s">
        <v>1275</v>
      </c>
      <c r="E644" s="1" t="s">
        <v>749</v>
      </c>
      <c r="F644" s="1" t="s">
        <v>80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80</v>
      </c>
      <c r="Q644" s="1" t="s">
        <v>80</v>
      </c>
      <c r="R644" s="1" t="s">
        <v>80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88</v>
      </c>
      <c r="D645" s="1" t="s">
        <v>1276</v>
      </c>
      <c r="E645" s="1" t="s">
        <v>770</v>
      </c>
      <c r="F645" s="1" t="s">
        <v>749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80</v>
      </c>
      <c r="Q645" s="1" t="s">
        <v>80</v>
      </c>
      <c r="R645" s="1" t="s">
        <v>80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746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80</v>
      </c>
      <c r="Q646" s="1" t="s">
        <v>80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770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80</v>
      </c>
      <c r="Q647" s="1" t="s">
        <v>80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85</v>
      </c>
      <c r="D648" s="1" t="s">
        <v>1277</v>
      </c>
      <c r="E648" s="1" t="s">
        <v>772</v>
      </c>
      <c r="F648" s="1" t="s">
        <v>749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80</v>
      </c>
      <c r="Q648" s="1" t="s">
        <v>80</v>
      </c>
      <c r="R648" s="1" t="s">
        <v>80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821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80</v>
      </c>
      <c r="Q649" s="1" t="s">
        <v>80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83</v>
      </c>
      <c r="D650" s="1" t="s">
        <v>1278</v>
      </c>
      <c r="E650" s="1" t="s">
        <v>752</v>
      </c>
      <c r="F650" s="1" t="s">
        <v>794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80</v>
      </c>
      <c r="Q650" s="1" t="s">
        <v>80</v>
      </c>
      <c r="R650" s="1" t="s">
        <v>80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801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80</v>
      </c>
      <c r="Q651" s="1" t="s">
        <v>80</v>
      </c>
      <c r="R651" s="1" t="s">
        <v>80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81</v>
      </c>
      <c r="D652" s="1" t="s">
        <v>81</v>
      </c>
      <c r="E652" s="1" t="s">
        <v>756</v>
      </c>
      <c r="F652" s="1" t="s">
        <v>816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80</v>
      </c>
      <c r="Q652" s="1" t="s">
        <v>80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1280</v>
      </c>
      <c r="D653" s="1" t="s">
        <v>1280</v>
      </c>
      <c r="E653" s="1" t="s">
        <v>770</v>
      </c>
      <c r="F653" s="1" t="s">
        <v>750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80</v>
      </c>
      <c r="R653" s="1" t="s">
        <v>80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4" t="s">
        <v>1291</v>
      </c>
      <c r="C2" s="355"/>
      <c r="D2" s="355"/>
      <c r="E2" s="356"/>
    </row>
    <row r="3" spans="2:5">
      <c r="B3" s="194"/>
      <c r="C3" s="195"/>
      <c r="D3" s="194"/>
      <c r="E3" s="195"/>
    </row>
    <row r="4" spans="2:5">
      <c r="B4" s="196"/>
      <c r="C4" s="197"/>
      <c r="D4" s="196"/>
      <c r="E4" s="197"/>
    </row>
    <row r="5" spans="2:5">
      <c r="B5" s="196"/>
      <c r="C5" s="197"/>
      <c r="D5" s="196"/>
      <c r="E5" s="197"/>
    </row>
    <row r="6" spans="2:5" ht="15" thickBot="1">
      <c r="B6" s="196"/>
      <c r="C6" s="197"/>
      <c r="D6" s="198"/>
      <c r="E6" s="159"/>
    </row>
    <row r="7" spans="2:5">
      <c r="B7" s="196"/>
      <c r="C7" s="197"/>
    </row>
    <row r="8" spans="2:5">
      <c r="B8" s="196"/>
      <c r="C8" s="197"/>
    </row>
    <row r="9" spans="2:5">
      <c r="B9" s="196"/>
      <c r="C9" s="197"/>
    </row>
    <row r="10" spans="2:5">
      <c r="B10" s="196"/>
      <c r="C10" s="197"/>
    </row>
    <row r="11" spans="2:5">
      <c r="B11" s="196"/>
      <c r="C11" s="197"/>
    </row>
    <row r="12" spans="2:5">
      <c r="B12" s="196"/>
      <c r="C12" s="197"/>
    </row>
    <row r="13" spans="2:5" ht="15" thickBot="1">
      <c r="B13" s="198"/>
      <c r="C13" s="159"/>
    </row>
    <row r="14" spans="2:5" ht="15" thickBot="1"/>
    <row r="15" spans="2:5" ht="15" thickBot="1">
      <c r="B15" s="354" t="s">
        <v>1292</v>
      </c>
      <c r="C15" s="355"/>
      <c r="D15" s="355"/>
      <c r="E15" s="356"/>
    </row>
    <row r="22" spans="2:5" ht="15" thickBot="1"/>
    <row r="23" spans="2:5" ht="15" thickBot="1">
      <c r="B23" s="354" t="s">
        <v>1293</v>
      </c>
      <c r="C23" s="355"/>
      <c r="D23" s="355"/>
      <c r="E23" s="356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57" t="s">
        <v>62</v>
      </c>
      <c r="D16" s="358"/>
      <c r="F16" s="106" t="s">
        <v>57</v>
      </c>
      <c r="G16" s="357" t="s">
        <v>62</v>
      </c>
      <c r="H16" s="358"/>
    </row>
    <row r="17" spans="2:8">
      <c r="B17" s="107" t="s">
        <v>58</v>
      </c>
      <c r="C17" s="359" t="s">
        <v>45</v>
      </c>
      <c r="D17" s="360"/>
      <c r="F17" s="107" t="s">
        <v>58</v>
      </c>
      <c r="G17" s="359" t="s">
        <v>45</v>
      </c>
      <c r="H17" s="360"/>
    </row>
    <row r="18" spans="2:8" ht="15" thickBot="1">
      <c r="B18" s="108" t="s">
        <v>59</v>
      </c>
      <c r="C18" s="361" t="str">
        <f>C17&amp;"_Originel"</f>
        <v>Hero_Marche_Originel</v>
      </c>
      <c r="D18" s="362"/>
      <c r="F18" s="108" t="s">
        <v>59</v>
      </c>
      <c r="G18" s="361" t="str">
        <f>G17&amp;"_Originel"</f>
        <v>Hero_Marche_Originel</v>
      </c>
      <c r="H18" s="362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57" t="s">
        <v>62</v>
      </c>
      <c r="D36" s="358"/>
    </row>
    <row r="37" spans="2:4">
      <c r="B37" s="107" t="s">
        <v>58</v>
      </c>
      <c r="C37" s="359" t="s">
        <v>45</v>
      </c>
      <c r="D37" s="360"/>
    </row>
    <row r="38" spans="2:4" ht="15" thickBot="1">
      <c r="B38" s="108" t="s">
        <v>59</v>
      </c>
      <c r="C38" s="361" t="str">
        <f>C37&amp;"_Originel"</f>
        <v>Hero_Marche_Originel</v>
      </c>
      <c r="D38" s="362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1317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Pause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5"/>
  <sheetViews>
    <sheetView workbookViewId="0">
      <selection activeCell="F22" sqref="F22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26" t="s">
        <v>1342</v>
      </c>
      <c r="C4" s="1"/>
      <c r="D4" s="1"/>
      <c r="E4" s="180" t="s">
        <v>1333</v>
      </c>
    </row>
    <row r="5" spans="2:5">
      <c r="B5" s="224" t="s">
        <v>1333</v>
      </c>
      <c r="C5" s="1"/>
      <c r="D5" s="1"/>
      <c r="E5" s="221" t="s">
        <v>1338</v>
      </c>
    </row>
    <row r="6" spans="2:5">
      <c r="B6" s="225" t="s">
        <v>1334</v>
      </c>
      <c r="C6" s="1"/>
      <c r="D6" s="1"/>
      <c r="E6" s="222" t="s">
        <v>1339</v>
      </c>
    </row>
    <row r="7" spans="2:5">
      <c r="B7" s="225" t="s">
        <v>1335</v>
      </c>
      <c r="C7" s="1"/>
      <c r="D7" s="1"/>
      <c r="E7" s="222" t="s">
        <v>1340</v>
      </c>
    </row>
    <row r="8" spans="2:5" ht="15" thickBot="1">
      <c r="B8" s="225" t="s">
        <v>1336</v>
      </c>
      <c r="C8" s="1"/>
      <c r="D8" s="1"/>
      <c r="E8" s="223" t="s">
        <v>1341</v>
      </c>
    </row>
    <row r="9" spans="2:5">
      <c r="B9" s="225" t="s">
        <v>1337</v>
      </c>
      <c r="C9" s="1"/>
      <c r="D9" s="1"/>
      <c r="E9" s="1"/>
    </row>
    <row r="10" spans="2:5">
      <c r="B10" s="225" t="s">
        <v>1317</v>
      </c>
      <c r="C10" s="1"/>
      <c r="D10" s="1"/>
      <c r="E10" s="1"/>
    </row>
    <row r="11" spans="2:5">
      <c r="B11" s="220" t="s">
        <v>1343</v>
      </c>
    </row>
    <row r="13" spans="2:5">
      <c r="B13" t="s">
        <v>1899</v>
      </c>
    </row>
    <row r="14" spans="2:5">
      <c r="B14" t="s">
        <v>1900</v>
      </c>
    </row>
    <row r="15" spans="2:5">
      <c r="B15" t="s">
        <v>1901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T45"/>
  <sheetViews>
    <sheetView zoomScale="173" zoomScaleNormal="145" workbookViewId="0">
      <selection activeCell="L16" sqref="L16"/>
    </sheetView>
  </sheetViews>
  <sheetFormatPr baseColWidth="10" defaultRowHeight="14.4"/>
  <cols>
    <col min="1" max="42" width="3" customWidth="1"/>
  </cols>
  <sheetData>
    <row r="1" spans="1:46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</row>
    <row r="2" spans="1:46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</row>
    <row r="3" spans="1:46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</row>
    <row r="4" spans="1:46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</row>
    <row r="5" spans="1:46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</row>
    <row r="6" spans="1:46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</row>
    <row r="7" spans="1:46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</row>
    <row r="8" spans="1:46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06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</row>
    <row r="9" spans="1:46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</row>
    <row r="10" spans="1:46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</row>
    <row r="11" spans="1:46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</row>
    <row r="12" spans="1:46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</row>
    <row r="13" spans="1:46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</row>
    <row r="14" spans="1:46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</row>
    <row r="15" spans="1:46">
      <c r="A15" s="155"/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</row>
    <row r="16" spans="1:46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</row>
    <row r="17" spans="1:46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</row>
    <row r="18" spans="1:46">
      <c r="A18" s="155"/>
      <c r="B18" s="155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</row>
    <row r="19" spans="1:46">
      <c r="A19" s="155"/>
      <c r="B19" s="155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</row>
    <row r="20" spans="1:46">
      <c r="A20" s="155"/>
      <c r="B20" s="155"/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</row>
    <row r="21" spans="1:46">
      <c r="A21" s="155"/>
      <c r="B21" s="155"/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</row>
    <row r="22" spans="1:46">
      <c r="A22" s="155"/>
      <c r="B22" s="15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</row>
    <row r="23" spans="1:46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</row>
    <row r="24" spans="1:46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</row>
    <row r="25" spans="1:46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</row>
    <row r="26" spans="1:46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</row>
    <row r="27" spans="1:46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</row>
    <row r="28" spans="1:46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</row>
    <row r="29" spans="1:46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</row>
    <row r="30" spans="1:46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</row>
    <row r="31" spans="1:46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</row>
    <row r="32" spans="1:46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</row>
    <row r="33" spans="1:46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</row>
    <row r="34" spans="1:46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</row>
    <row r="35" spans="1:46">
      <c r="A35" s="155"/>
      <c r="B35" s="155"/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</row>
    <row r="36" spans="1:46">
      <c r="A36" s="155"/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</row>
    <row r="37" spans="1:46">
      <c r="A37" s="155"/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</row>
    <row r="38" spans="1:46">
      <c r="A38" s="155"/>
      <c r="B38" s="155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</row>
    <row r="39" spans="1:46">
      <c r="A39" s="155"/>
      <c r="B39" s="155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</row>
    <row r="40" spans="1:46">
      <c r="A40" s="155"/>
      <c r="B40" s="15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</row>
    <row r="41" spans="1:46">
      <c r="A41" s="155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</row>
    <row r="42" spans="1:46">
      <c r="A42" s="155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</row>
    <row r="43" spans="1:46">
      <c r="A43" s="155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</row>
    <row r="44" spans="1:46">
      <c r="A44" s="155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</row>
    <row r="45" spans="1:46">
      <c r="A45" s="155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3" t="b">
        <f>'Data Game'!C6</f>
        <v>1</v>
      </c>
      <c r="D2" s="364"/>
      <c r="E2" s="365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3" sqref="B13:B15"/>
    </sheetView>
  </sheetViews>
  <sheetFormatPr baseColWidth="10" defaultRowHeight="14.4"/>
  <cols>
    <col min="4" max="4" width="14" customWidth="1"/>
  </cols>
  <sheetData>
    <row r="2" spans="2:4">
      <c r="B2" t="s">
        <v>1294</v>
      </c>
      <c r="C2" t="s">
        <v>1295</v>
      </c>
      <c r="D2" t="s">
        <v>1296</v>
      </c>
    </row>
    <row r="3" spans="2:4">
      <c r="B3" s="165" t="s">
        <v>1297</v>
      </c>
    </row>
    <row r="4" spans="2:4">
      <c r="B4" s="165" t="s">
        <v>1298</v>
      </c>
      <c r="C4" t="s">
        <v>1299</v>
      </c>
    </row>
    <row r="5" spans="2:4">
      <c r="B5" s="165" t="s">
        <v>1300</v>
      </c>
      <c r="C5" s="199" t="s">
        <v>1303</v>
      </c>
    </row>
    <row r="6" spans="2:4">
      <c r="B6" s="165" t="s">
        <v>1301</v>
      </c>
      <c r="C6" s="199" t="s">
        <v>1302</v>
      </c>
    </row>
    <row r="7" spans="2:4">
      <c r="B7" s="165" t="s">
        <v>1304</v>
      </c>
      <c r="D7" t="s">
        <v>1305</v>
      </c>
    </row>
    <row r="8" spans="2:4">
      <c r="B8" s="165" t="s">
        <v>1306</v>
      </c>
    </row>
    <row r="9" spans="2:4">
      <c r="B9" s="165" t="s">
        <v>1307</v>
      </c>
    </row>
    <row r="10" spans="2:4">
      <c r="B10" s="165" t="s">
        <v>1308</v>
      </c>
      <c r="D10" s="165"/>
    </row>
    <row r="11" spans="2:4">
      <c r="B11" s="165" t="s">
        <v>1315</v>
      </c>
    </row>
    <row r="12" spans="2:4">
      <c r="B12" s="165" t="s">
        <v>1431</v>
      </c>
    </row>
    <row r="13" spans="2:4">
      <c r="B13" s="165" t="s">
        <v>1910</v>
      </c>
    </row>
    <row r="14" spans="2:4">
      <c r="B14" s="165" t="s">
        <v>1911</v>
      </c>
    </row>
    <row r="15" spans="2:4">
      <c r="B15" s="165" t="s">
        <v>1912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  <hyperlink ref="B15" r:id="rId11" xr:uid="{F468A4D6-5A7C-4B24-9210-6AAA6DFA1159}"/>
    <hyperlink ref="B13" r:id="rId12" xr:uid="{544EC4E8-25D1-42DF-A536-CAF9C5E01A59}"/>
    <hyperlink ref="B14" r:id="rId13" xr:uid="{97C96710-B811-4EFD-9BAA-39F63DC6433F}"/>
  </hyperlinks>
  <pageMargins left="0.7" right="0.7" top="0.75" bottom="0.75" header="0.3" footer="0.3"/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1894</v>
      </c>
      <c r="G3" s="40"/>
      <c r="H3" s="249" t="s">
        <v>1803</v>
      </c>
      <c r="I3" s="250" t="s">
        <v>1821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1895</v>
      </c>
      <c r="G4" s="40"/>
      <c r="H4" s="251" t="s">
        <v>1804</v>
      </c>
      <c r="I4" s="252" t="s">
        <v>1822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1896</v>
      </c>
      <c r="G5" s="40"/>
      <c r="H5" s="253" t="s">
        <v>1805</v>
      </c>
      <c r="I5" s="252" t="s">
        <v>1823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1897</v>
      </c>
      <c r="G6" s="40"/>
      <c r="H6" s="254" t="s">
        <v>1806</v>
      </c>
      <c r="I6" s="252" t="s">
        <v>1824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55" t="s">
        <v>1807</v>
      </c>
      <c r="I7" s="252" t="s">
        <v>1825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56" t="s">
        <v>1808</v>
      </c>
      <c r="I8" s="252" t="s">
        <v>1826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57" t="s">
        <v>1809</v>
      </c>
      <c r="I9" s="252" t="s">
        <v>1827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58" t="s">
        <v>1810</v>
      </c>
      <c r="I10" s="252" t="s">
        <v>1828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59" t="s">
        <v>1811</v>
      </c>
      <c r="I11" s="252" t="s">
        <v>1829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0" t="s">
        <v>1812</v>
      </c>
      <c r="I12" s="252" t="s">
        <v>1830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61" t="s">
        <v>1813</v>
      </c>
      <c r="I13" s="252" t="s">
        <v>1831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62" t="s">
        <v>1814</v>
      </c>
      <c r="I14" s="252" t="s">
        <v>1832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63" t="s">
        <v>1815</v>
      </c>
      <c r="I15" s="252" t="s">
        <v>1833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64" t="s">
        <v>1816</v>
      </c>
      <c r="I16" s="252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65" t="s">
        <v>1817</v>
      </c>
      <c r="I17" s="252" t="s">
        <v>1834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66" t="s">
        <v>1818</v>
      </c>
      <c r="I18" s="252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67" t="s">
        <v>1819</v>
      </c>
      <c r="I19" s="252" t="s">
        <v>1835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68" t="s">
        <v>1820</v>
      </c>
      <c r="I20" s="269" t="s">
        <v>1836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2:BN653"/>
  <sheetViews>
    <sheetView showGridLines="0" tabSelected="1" topLeftCell="P1" zoomScale="85" zoomScaleNormal="85" workbookViewId="0">
      <selection activeCell="U4" sqref="U4"/>
    </sheetView>
  </sheetViews>
  <sheetFormatPr baseColWidth="10" defaultRowHeight="14.4"/>
  <cols>
    <col min="8" max="8" width="22" bestFit="1" customWidth="1"/>
    <col min="9" max="13" width="15.6640625" customWidth="1"/>
    <col min="14" max="14" width="19.88671875" bestFit="1" customWidth="1"/>
    <col min="15" max="15" width="25.21875" bestFit="1" customWidth="1"/>
    <col min="16" max="16" width="15.88671875" customWidth="1"/>
    <col min="17" max="17" width="20.77734375" customWidth="1"/>
    <col min="18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6" max="46" width="4.21875" customWidth="1"/>
    <col min="47" max="47" width="9" bestFit="1" customWidth="1"/>
    <col min="48" max="48" width="7.44140625" bestFit="1" customWidth="1"/>
    <col min="49" max="54" width="13.33203125" customWidth="1"/>
    <col min="55" max="55" width="6.6640625" bestFit="1" customWidth="1"/>
    <col min="56" max="56" width="6.88671875" bestFit="1" customWidth="1"/>
    <col min="57" max="57" width="3.88671875" bestFit="1" customWidth="1"/>
    <col min="58" max="58" width="6.33203125" bestFit="1" customWidth="1"/>
    <col min="59" max="59" width="3.6640625" bestFit="1" customWidth="1"/>
    <col min="60" max="60" width="7.6640625" bestFit="1" customWidth="1"/>
    <col min="61" max="61" width="9" bestFit="1" customWidth="1"/>
    <col min="62" max="62" width="3.77734375" bestFit="1" customWidth="1"/>
    <col min="63" max="63" width="12.6640625" bestFit="1" customWidth="1"/>
    <col min="64" max="64" width="8.88671875" bestFit="1" customWidth="1"/>
    <col min="65" max="65" width="12.109375" bestFit="1" customWidth="1"/>
    <col min="66" max="66" width="13.6640625" bestFit="1" customWidth="1"/>
    <col min="67" max="67" width="17.33203125" bestFit="1" customWidth="1"/>
    <col min="68" max="68" width="10" bestFit="1" customWidth="1"/>
    <col min="69" max="69" width="13.44140625" bestFit="1" customWidth="1"/>
    <col min="70" max="70" width="14.44140625" bestFit="1" customWidth="1"/>
    <col min="71" max="71" width="18" bestFit="1" customWidth="1"/>
    <col min="72" max="72" width="13.33203125" bestFit="1" customWidth="1"/>
    <col min="73" max="73" width="17" bestFit="1" customWidth="1"/>
    <col min="74" max="74" width="12.77734375" bestFit="1" customWidth="1"/>
    <col min="75" max="75" width="16.33203125" bestFit="1" customWidth="1"/>
    <col min="76" max="76" width="14.33203125" bestFit="1" customWidth="1"/>
    <col min="77" max="77" width="18" bestFit="1" customWidth="1"/>
    <col min="78" max="78" width="8.44140625" bestFit="1" customWidth="1"/>
    <col min="79" max="79" width="11.6640625" bestFit="1" customWidth="1"/>
    <col min="80" max="80" width="13.109375" bestFit="1" customWidth="1"/>
    <col min="81" max="81" width="16.44140625" bestFit="1" customWidth="1"/>
    <col min="82" max="82" width="14.21875" bestFit="1" customWidth="1"/>
    <col min="83" max="83" width="17.88671875" bestFit="1" customWidth="1"/>
    <col min="84" max="84" width="11.21875" bestFit="1" customWidth="1"/>
    <col min="85" max="85" width="14.77734375" bestFit="1" customWidth="1"/>
    <col min="86" max="86" width="10.44140625" bestFit="1" customWidth="1"/>
    <col min="87" max="87" width="13.88671875" bestFit="1" customWidth="1"/>
    <col min="88" max="88" width="11.109375" bestFit="1" customWidth="1"/>
    <col min="89" max="89" width="14.44140625" bestFit="1" customWidth="1"/>
    <col min="90" max="90" width="16" bestFit="1" customWidth="1"/>
    <col min="91" max="91" width="19.6640625" bestFit="1" customWidth="1"/>
    <col min="92" max="92" width="13.5546875" bestFit="1" customWidth="1"/>
    <col min="93" max="93" width="17.21875" bestFit="1" customWidth="1"/>
    <col min="94" max="94" width="12.109375" bestFit="1" customWidth="1"/>
    <col min="95" max="95" width="15.6640625" bestFit="1" customWidth="1"/>
    <col min="96" max="96" width="12.5546875" bestFit="1" customWidth="1"/>
    <col min="97" max="97" width="16.109375" bestFit="1" customWidth="1"/>
    <col min="98" max="98" width="13.5546875" bestFit="1" customWidth="1"/>
    <col min="99" max="99" width="17.21875" bestFit="1" customWidth="1"/>
    <col min="100" max="100" width="12.88671875" bestFit="1" customWidth="1"/>
    <col min="101" max="101" width="16.44140625" bestFit="1" customWidth="1"/>
    <col min="102" max="102" width="9.6640625" bestFit="1" customWidth="1"/>
    <col min="103" max="103" width="13.21875" bestFit="1" customWidth="1"/>
    <col min="104" max="104" width="11" bestFit="1" customWidth="1"/>
    <col min="105" max="105" width="14.44140625" bestFit="1" customWidth="1"/>
    <col min="106" max="106" width="13.6640625" bestFit="1" customWidth="1"/>
    <col min="107" max="107" width="17.33203125" bestFit="1" customWidth="1"/>
    <col min="108" max="108" width="13.33203125" bestFit="1" customWidth="1"/>
    <col min="109" max="109" width="17" bestFit="1" customWidth="1"/>
    <col min="110" max="110" width="12.6640625" bestFit="1" customWidth="1"/>
    <col min="111" max="111" width="16.21875" bestFit="1" customWidth="1"/>
    <col min="112" max="112" width="13.33203125" bestFit="1" customWidth="1"/>
    <col min="113" max="113" width="17" bestFit="1" customWidth="1"/>
    <col min="114" max="114" width="7.5546875" bestFit="1" customWidth="1"/>
    <col min="115" max="115" width="10.77734375" bestFit="1" customWidth="1"/>
    <col min="116" max="116" width="12.77734375" bestFit="1" customWidth="1"/>
    <col min="117" max="117" width="16.33203125" bestFit="1" customWidth="1"/>
    <col min="118" max="118" width="11.5546875" bestFit="1" customWidth="1"/>
    <col min="119" max="119" width="15" bestFit="1" customWidth="1"/>
    <col min="120" max="120" width="8.6640625" bestFit="1" customWidth="1"/>
    <col min="121" max="121" width="11.88671875" bestFit="1" customWidth="1"/>
    <col min="122" max="122" width="13.77734375" bestFit="1" customWidth="1"/>
    <col min="123" max="123" width="17.44140625" bestFit="1" customWidth="1"/>
    <col min="124" max="124" width="9.6640625" bestFit="1" customWidth="1"/>
    <col min="125" max="125" width="13.21875" bestFit="1" customWidth="1"/>
    <col min="126" max="126" width="11" bestFit="1" customWidth="1"/>
    <col min="127" max="127" width="14.44140625" bestFit="1" customWidth="1"/>
    <col min="128" max="128" width="13.6640625" bestFit="1" customWidth="1"/>
    <col min="129" max="129" width="17.33203125" bestFit="1" customWidth="1"/>
    <col min="130" max="130" width="12.6640625" bestFit="1" customWidth="1"/>
    <col min="131" max="131" width="16.109375" bestFit="1" customWidth="1"/>
    <col min="132" max="132" width="7.5546875" bestFit="1" customWidth="1"/>
    <col min="133" max="133" width="10.77734375" bestFit="1" customWidth="1"/>
    <col min="134" max="134" width="14" bestFit="1" customWidth="1"/>
    <col min="135" max="135" width="17.6640625" bestFit="1" customWidth="1"/>
    <col min="136" max="136" width="13.5546875" bestFit="1" customWidth="1"/>
    <col min="137" max="137" width="17.21875" bestFit="1" customWidth="1"/>
    <col min="138" max="138" width="13.5546875" bestFit="1" customWidth="1"/>
    <col min="139" max="139" width="17.21875" bestFit="1" customWidth="1"/>
    <col min="140" max="140" width="9.88671875" bestFit="1" customWidth="1"/>
    <col min="141" max="141" width="13.33203125" bestFit="1" customWidth="1"/>
    <col min="142" max="142" width="7.5546875" bestFit="1" customWidth="1"/>
    <col min="143" max="143" width="10.44140625" bestFit="1" customWidth="1"/>
    <col min="144" max="144" width="7.6640625" bestFit="1" customWidth="1"/>
    <col min="145" max="145" width="11" bestFit="1" customWidth="1"/>
    <col min="146" max="146" width="11.21875" bestFit="1" customWidth="1"/>
    <col min="147" max="147" width="14.77734375" bestFit="1" customWidth="1"/>
    <col min="148" max="148" width="13.44140625" bestFit="1" customWidth="1"/>
    <col min="149" max="149" width="17.109375" bestFit="1" customWidth="1"/>
    <col min="150" max="150" width="9.44140625" bestFit="1" customWidth="1"/>
    <col min="151" max="151" width="12.77734375" bestFit="1" customWidth="1"/>
    <col min="152" max="152" width="11.77734375" bestFit="1" customWidth="1"/>
    <col min="153" max="153" width="15.21875" bestFit="1" customWidth="1"/>
    <col min="154" max="154" width="13" bestFit="1" customWidth="1"/>
    <col min="155" max="155" width="16.6640625" bestFit="1" customWidth="1"/>
    <col min="156" max="156" width="16" bestFit="1" customWidth="1"/>
    <col min="157" max="157" width="19.5546875" bestFit="1" customWidth="1"/>
    <col min="158" max="158" width="13" bestFit="1" customWidth="1"/>
    <col min="159" max="159" width="16.6640625" bestFit="1" customWidth="1"/>
    <col min="160" max="160" width="12.33203125" bestFit="1" customWidth="1"/>
    <col min="161" max="161" width="15.88671875" bestFit="1" customWidth="1"/>
    <col min="162" max="162" width="11.44140625" bestFit="1" customWidth="1"/>
    <col min="163" max="163" width="15" bestFit="1" customWidth="1"/>
    <col min="164" max="164" width="10.109375" bestFit="1" customWidth="1"/>
    <col min="165" max="165" width="13.5546875" bestFit="1" customWidth="1"/>
    <col min="166" max="166" width="7.5546875" bestFit="1" customWidth="1"/>
    <col min="167" max="167" width="10.6640625" bestFit="1" customWidth="1"/>
    <col min="168" max="168" width="8.33203125" bestFit="1" customWidth="1"/>
    <col min="169" max="169" width="11.6640625" bestFit="1" customWidth="1"/>
    <col min="170" max="170" width="11" bestFit="1" customWidth="1"/>
    <col min="171" max="171" width="14.33203125" bestFit="1" customWidth="1"/>
    <col min="172" max="172" width="14.5546875" bestFit="1" customWidth="1"/>
    <col min="173" max="173" width="18.33203125" bestFit="1" customWidth="1"/>
    <col min="174" max="174" width="15.44140625" bestFit="1" customWidth="1"/>
    <col min="175" max="175" width="19.109375" bestFit="1" customWidth="1"/>
    <col min="176" max="176" width="11" bestFit="1" customWidth="1"/>
    <col min="177" max="177" width="14.44140625" bestFit="1" customWidth="1"/>
    <col min="178" max="178" width="10.109375" bestFit="1" customWidth="1"/>
    <col min="179" max="179" width="13.5546875" bestFit="1" customWidth="1"/>
    <col min="180" max="180" width="17.6640625" bestFit="1" customWidth="1"/>
    <col min="181" max="181" width="21.33203125" bestFit="1" customWidth="1"/>
    <col min="182" max="182" width="14.5546875" bestFit="1" customWidth="1"/>
    <col min="183" max="183" width="18.33203125" bestFit="1" customWidth="1"/>
    <col min="185" max="185" width="15" bestFit="1" customWidth="1"/>
    <col min="186" max="186" width="10.21875" bestFit="1" customWidth="1"/>
    <col min="187" max="187" width="13.6640625" bestFit="1" customWidth="1"/>
    <col min="188" max="188" width="9.77734375" bestFit="1" customWidth="1"/>
    <col min="189" max="189" width="13.21875" bestFit="1" customWidth="1"/>
    <col min="190" max="190" width="7.88671875" bestFit="1" customWidth="1"/>
    <col min="191" max="191" width="11.21875" bestFit="1" customWidth="1"/>
    <col min="192" max="192" width="12" bestFit="1" customWidth="1"/>
    <col min="193" max="193" width="15.5546875" bestFit="1" customWidth="1"/>
    <col min="194" max="194" width="13.21875" bestFit="1" customWidth="1"/>
    <col min="195" max="195" width="16.88671875" bestFit="1" customWidth="1"/>
    <col min="196" max="196" width="11.33203125" bestFit="1" customWidth="1"/>
    <col min="197" max="197" width="14.88671875" bestFit="1" customWidth="1"/>
    <col min="198" max="198" width="13.5546875" bestFit="1" customWidth="1"/>
    <col min="199" max="199" width="17.109375" bestFit="1" customWidth="1"/>
    <col min="200" max="200" width="7.77734375" bestFit="1" customWidth="1"/>
    <col min="201" max="201" width="11.109375" bestFit="1" customWidth="1"/>
    <col min="202" max="202" width="12.77734375" bestFit="1" customWidth="1"/>
    <col min="203" max="203" width="16.33203125" bestFit="1" customWidth="1"/>
    <col min="204" max="204" width="10.77734375" bestFit="1" customWidth="1"/>
    <col min="205" max="205" width="14.21875" bestFit="1" customWidth="1"/>
    <col min="206" max="206" width="14.88671875" bestFit="1" customWidth="1"/>
    <col min="207" max="207" width="18.5546875" bestFit="1" customWidth="1"/>
    <col min="208" max="208" width="12.88671875" bestFit="1" customWidth="1"/>
    <col min="209" max="209" width="16.44140625" bestFit="1" customWidth="1"/>
    <col min="210" max="210" width="11.21875" bestFit="1" customWidth="1"/>
    <col min="211" max="211" width="14.77734375" bestFit="1" customWidth="1"/>
    <col min="212" max="212" width="12.88671875" bestFit="1" customWidth="1"/>
    <col min="213" max="213" width="16.44140625" bestFit="1" customWidth="1"/>
    <col min="214" max="214" width="14" bestFit="1" customWidth="1"/>
    <col min="215" max="215" width="17.6640625" bestFit="1" customWidth="1"/>
    <col min="216" max="216" width="8" bestFit="1" customWidth="1"/>
    <col min="217" max="217" width="11.21875" bestFit="1" customWidth="1"/>
    <col min="218" max="218" width="11.44140625" bestFit="1" customWidth="1"/>
    <col min="219" max="219" width="15" bestFit="1" customWidth="1"/>
    <col min="221" max="221" width="15" bestFit="1" customWidth="1"/>
    <col min="222" max="222" width="9.21875" bestFit="1" customWidth="1"/>
    <col min="223" max="223" width="12.6640625" bestFit="1" customWidth="1"/>
    <col min="224" max="224" width="10" bestFit="1" customWidth="1"/>
    <col min="225" max="225" width="13.44140625" bestFit="1" customWidth="1"/>
    <col min="226" max="226" width="8.88671875" bestFit="1" customWidth="1"/>
    <col min="227" max="227" width="12.109375" bestFit="1" customWidth="1"/>
    <col min="228" max="228" width="13" bestFit="1" customWidth="1"/>
    <col min="229" max="229" width="16.6640625" bestFit="1" customWidth="1"/>
    <col min="230" max="230" width="11.33203125" bestFit="1" customWidth="1"/>
    <col min="231" max="231" width="14.77734375" bestFit="1" customWidth="1"/>
    <col min="232" max="232" width="6.44140625" bestFit="1" customWidth="1"/>
    <col min="233" max="233" width="9.6640625" bestFit="1" customWidth="1"/>
    <col min="234" max="234" width="10.6640625" bestFit="1" customWidth="1"/>
    <col min="235" max="235" width="14.21875" bestFit="1" customWidth="1"/>
    <col min="236" max="236" width="11.21875" bestFit="1" customWidth="1"/>
    <col min="237" max="237" width="14.77734375" bestFit="1" customWidth="1"/>
    <col min="238" max="238" width="10" bestFit="1" customWidth="1"/>
    <col min="239" max="239" width="13.44140625" bestFit="1" customWidth="1"/>
    <col min="240" max="240" width="9.77734375" bestFit="1" customWidth="1"/>
    <col min="241" max="241" width="13.21875" bestFit="1" customWidth="1"/>
    <col min="242" max="242" width="14.44140625" bestFit="1" customWidth="1"/>
    <col min="243" max="243" width="18.109375" bestFit="1" customWidth="1"/>
    <col min="244" max="244" width="13.5546875" bestFit="1" customWidth="1"/>
    <col min="245" max="245" width="17.21875" bestFit="1" customWidth="1"/>
    <col min="246" max="246" width="8.77734375" bestFit="1" customWidth="1"/>
    <col min="247" max="247" width="12.109375" bestFit="1" customWidth="1"/>
    <col min="248" max="248" width="13.44140625" bestFit="1" customWidth="1"/>
    <col min="249" max="249" width="17.109375" bestFit="1" customWidth="1"/>
    <col min="250" max="250" width="13.44140625" bestFit="1" customWidth="1"/>
    <col min="251" max="251" width="17.109375" bestFit="1" customWidth="1"/>
    <col min="252" max="252" width="11.109375" bestFit="1" customWidth="1"/>
    <col min="253" max="253" width="14.6640625" bestFit="1" customWidth="1"/>
    <col min="254" max="254" width="10.88671875" bestFit="1" customWidth="1"/>
    <col min="255" max="255" width="14.33203125" bestFit="1" customWidth="1"/>
    <col min="256" max="256" width="11.6640625" bestFit="1" customWidth="1"/>
    <col min="257" max="257" width="15" bestFit="1" customWidth="1"/>
    <col min="258" max="258" width="13" bestFit="1" customWidth="1"/>
    <col min="259" max="259" width="16.44140625" bestFit="1" customWidth="1"/>
    <col min="260" max="260" width="14.21875" bestFit="1" customWidth="1"/>
    <col min="261" max="261" width="17.88671875" bestFit="1" customWidth="1"/>
    <col min="262" max="262" width="5.77734375" bestFit="1" customWidth="1"/>
    <col min="263" max="263" width="8.88671875" bestFit="1" customWidth="1"/>
    <col min="264" max="264" width="10.109375" bestFit="1" customWidth="1"/>
    <col min="265" max="265" width="13.33203125" bestFit="1" customWidth="1"/>
    <col min="266" max="266" width="12.6640625" bestFit="1" customWidth="1"/>
  </cols>
  <sheetData>
    <row r="2" spans="2:66" ht="15" thickBot="1">
      <c r="S2" s="165" t="s">
        <v>1412</v>
      </c>
    </row>
    <row r="3" spans="2:66" ht="15" thickBot="1">
      <c r="B3" s="236" t="s">
        <v>1289</v>
      </c>
      <c r="C3" s="237" t="s">
        <v>31</v>
      </c>
      <c r="D3" s="237" t="s">
        <v>730</v>
      </c>
      <c r="E3" s="237" t="s">
        <v>731</v>
      </c>
      <c r="F3" s="237" t="s">
        <v>732</v>
      </c>
      <c r="G3" s="237" t="s">
        <v>1695</v>
      </c>
      <c r="H3" s="237" t="s">
        <v>1908</v>
      </c>
      <c r="I3" s="237" t="s">
        <v>1439</v>
      </c>
      <c r="J3" s="237" t="s">
        <v>1440</v>
      </c>
      <c r="K3" s="237" t="s">
        <v>1441</v>
      </c>
      <c r="L3" s="237" t="s">
        <v>1875</v>
      </c>
      <c r="M3" s="237" t="s">
        <v>1442</v>
      </c>
      <c r="N3" s="237" t="s">
        <v>1433</v>
      </c>
      <c r="O3" s="237" t="s">
        <v>1290</v>
      </c>
      <c r="P3" s="237" t="s">
        <v>1692</v>
      </c>
      <c r="Q3" s="238" t="s">
        <v>1693</v>
      </c>
      <c r="R3" s="1"/>
      <c r="S3" s="1" t="s">
        <v>1349</v>
      </c>
      <c r="T3" s="1" t="s">
        <v>1414</v>
      </c>
      <c r="U3" s="1" t="s">
        <v>1350</v>
      </c>
      <c r="V3" s="1" t="s">
        <v>1351</v>
      </c>
      <c r="W3" s="1" t="s">
        <v>1352</v>
      </c>
      <c r="X3" s="1"/>
      <c r="Y3" s="179" t="s">
        <v>1282</v>
      </c>
      <c r="Z3" s="177" t="s">
        <v>821</v>
      </c>
      <c r="AA3" s="350" t="s">
        <v>1283</v>
      </c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1"/>
      <c r="AW3" s="270" t="s">
        <v>1443</v>
      </c>
      <c r="AX3" s="271">
        <v>1</v>
      </c>
      <c r="AY3" s="272">
        <v>2</v>
      </c>
      <c r="AZ3" s="272">
        <v>3</v>
      </c>
      <c r="BA3" s="272">
        <v>4</v>
      </c>
      <c r="BB3" s="273">
        <v>5</v>
      </c>
    </row>
    <row r="4" spans="2:66" ht="15" thickBot="1">
      <c r="B4" s="1">
        <v>1</v>
      </c>
      <c r="C4" s="1" t="s">
        <v>729</v>
      </c>
      <c r="D4" s="1" t="s">
        <v>740</v>
      </c>
      <c r="E4" s="1" t="s">
        <v>1452</v>
      </c>
      <c r="F4" s="1" t="s">
        <v>742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65</v>
      </c>
      <c r="M4" s="1">
        <v>45</v>
      </c>
      <c r="N4" s="1">
        <v>16</v>
      </c>
      <c r="O4" s="1">
        <v>2</v>
      </c>
      <c r="P4" s="1" t="s">
        <v>743</v>
      </c>
      <c r="Q4" s="1"/>
      <c r="R4" s="1"/>
      <c r="S4" s="1" t="s">
        <v>1398</v>
      </c>
      <c r="T4" s="1" t="s">
        <v>1328</v>
      </c>
      <c r="U4" s="1" t="s">
        <v>1387</v>
      </c>
      <c r="V4" s="1">
        <v>2</v>
      </c>
      <c r="W4" s="1">
        <v>5</v>
      </c>
      <c r="X4" s="1"/>
      <c r="Y4" s="178" t="s">
        <v>750</v>
      </c>
      <c r="Z4" s="180" t="e" cm="1">
        <f t="array" ref="Z4">_xlfn.XLOOKUP(Y4,Z5:Z22,_xlfn.XLOOKUP(Z3,AA4:AR4,AA5:AR22))</f>
        <v>#N/A</v>
      </c>
      <c r="AA4" s="183" t="s">
        <v>763</v>
      </c>
      <c r="AB4" s="183" t="s">
        <v>1456</v>
      </c>
      <c r="AC4" s="183" t="s">
        <v>1455</v>
      </c>
      <c r="AD4" s="183" t="s">
        <v>1880</v>
      </c>
      <c r="AE4" s="183" t="s">
        <v>1452</v>
      </c>
      <c r="AF4" s="183" t="s">
        <v>1460</v>
      </c>
      <c r="AG4" s="183" t="s">
        <v>1459</v>
      </c>
      <c r="AH4" s="183" t="s">
        <v>742</v>
      </c>
      <c r="AI4" s="183" t="s">
        <v>1448</v>
      </c>
      <c r="AJ4" s="183" t="s">
        <v>1453</v>
      </c>
      <c r="AK4" s="183" t="s">
        <v>1454</v>
      </c>
      <c r="AL4" s="183" t="s">
        <v>1458</v>
      </c>
      <c r="AM4" s="183" t="s">
        <v>1457</v>
      </c>
      <c r="AN4" s="183" t="s">
        <v>1463</v>
      </c>
      <c r="AO4" s="183" t="s">
        <v>750</v>
      </c>
      <c r="AP4" s="183" t="s">
        <v>1444</v>
      </c>
      <c r="AQ4" s="183" t="s">
        <v>1882</v>
      </c>
      <c r="AR4" s="184" t="s">
        <v>1883</v>
      </c>
      <c r="AW4" s="274" t="s">
        <v>763</v>
      </c>
      <c r="AX4" s="275" t="s">
        <v>1793</v>
      </c>
      <c r="AY4" s="276" t="s">
        <v>1482</v>
      </c>
      <c r="AZ4" s="276" t="s">
        <v>1603</v>
      </c>
      <c r="BA4" s="276" t="s">
        <v>1523</v>
      </c>
      <c r="BB4" s="277" t="s">
        <v>1488</v>
      </c>
    </row>
    <row r="5" spans="2:66">
      <c r="B5" s="1">
        <v>2</v>
      </c>
      <c r="C5" s="1" t="s">
        <v>728</v>
      </c>
      <c r="D5" s="1" t="s">
        <v>743</v>
      </c>
      <c r="E5" s="1" t="s">
        <v>1452</v>
      </c>
      <c r="F5" s="1" t="s">
        <v>742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80</v>
      </c>
      <c r="M5" s="1">
        <v>60</v>
      </c>
      <c r="N5" s="1">
        <v>32</v>
      </c>
      <c r="O5" s="1">
        <v>3</v>
      </c>
      <c r="P5" s="1" t="s">
        <v>744</v>
      </c>
      <c r="Q5" s="1"/>
      <c r="R5" s="1"/>
      <c r="S5" s="1" t="s">
        <v>1399</v>
      </c>
      <c r="T5" s="1" t="s">
        <v>1327</v>
      </c>
      <c r="U5" s="1" t="s">
        <v>1388</v>
      </c>
      <c r="V5" s="1">
        <v>3</v>
      </c>
      <c r="W5" s="1">
        <v>6</v>
      </c>
      <c r="X5" s="1"/>
      <c r="Y5" s="352" t="s">
        <v>1281</v>
      </c>
      <c r="Z5" s="181" t="s">
        <v>763</v>
      </c>
      <c r="AA5" s="186">
        <v>1</v>
      </c>
      <c r="AB5" s="187">
        <v>1</v>
      </c>
      <c r="AC5" s="187">
        <v>1</v>
      </c>
      <c r="AD5" s="187">
        <v>1</v>
      </c>
      <c r="AE5" s="187">
        <v>1</v>
      </c>
      <c r="AF5" s="187">
        <v>1</v>
      </c>
      <c r="AG5" s="187">
        <v>1</v>
      </c>
      <c r="AH5" s="187">
        <v>1</v>
      </c>
      <c r="AI5" s="187">
        <v>1</v>
      </c>
      <c r="AJ5" s="187">
        <v>1</v>
      </c>
      <c r="AK5" s="187">
        <v>1</v>
      </c>
      <c r="AL5" s="187">
        <v>1</v>
      </c>
      <c r="AM5" s="187">
        <v>0.5</v>
      </c>
      <c r="AN5" s="187">
        <v>0</v>
      </c>
      <c r="AO5" s="187">
        <v>1</v>
      </c>
      <c r="AP5" s="187">
        <v>1</v>
      </c>
      <c r="AQ5" s="187">
        <v>0.5</v>
      </c>
      <c r="AR5" s="188">
        <v>1</v>
      </c>
      <c r="AW5" s="278" t="s">
        <v>1459</v>
      </c>
      <c r="AX5" s="279" t="s">
        <v>1792</v>
      </c>
      <c r="AY5" s="280" t="s">
        <v>1791</v>
      </c>
      <c r="AZ5" s="280" t="s">
        <v>1837</v>
      </c>
      <c r="BA5" s="280" t="s">
        <v>1790</v>
      </c>
      <c r="BB5" s="281" t="s">
        <v>1789</v>
      </c>
    </row>
    <row r="6" spans="2:66">
      <c r="B6" s="1">
        <v>3</v>
      </c>
      <c r="C6" s="1" t="s">
        <v>727</v>
      </c>
      <c r="D6" s="1" t="s">
        <v>744</v>
      </c>
      <c r="E6" s="1" t="s">
        <v>1452</v>
      </c>
      <c r="F6" s="1" t="s">
        <v>742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100</v>
      </c>
      <c r="M6" s="1">
        <v>80</v>
      </c>
      <c r="N6" s="1" t="s">
        <v>80</v>
      </c>
      <c r="O6" s="1" t="s">
        <v>80</v>
      </c>
      <c r="P6" s="1" t="s">
        <v>80</v>
      </c>
      <c r="Q6" s="1"/>
      <c r="R6" s="1"/>
      <c r="S6" s="1" t="s">
        <v>1400</v>
      </c>
      <c r="T6" s="1" t="s">
        <v>1326</v>
      </c>
      <c r="U6" s="1" t="s">
        <v>1391</v>
      </c>
      <c r="V6" s="1">
        <v>6</v>
      </c>
      <c r="W6" s="1">
        <v>8</v>
      </c>
      <c r="X6" s="1"/>
      <c r="Y6" s="352"/>
      <c r="Z6" s="181" t="s">
        <v>1456</v>
      </c>
      <c r="AA6" s="189">
        <v>1</v>
      </c>
      <c r="AB6" s="185">
        <v>0.5</v>
      </c>
      <c r="AC6" s="185">
        <v>0.5</v>
      </c>
      <c r="AD6" s="185">
        <v>1</v>
      </c>
      <c r="AE6" s="185">
        <v>2</v>
      </c>
      <c r="AF6" s="185">
        <v>2</v>
      </c>
      <c r="AG6" s="185">
        <v>1</v>
      </c>
      <c r="AH6" s="185">
        <v>1</v>
      </c>
      <c r="AI6" s="185">
        <v>1</v>
      </c>
      <c r="AJ6" s="185">
        <v>1</v>
      </c>
      <c r="AK6" s="185">
        <v>1</v>
      </c>
      <c r="AL6" s="185">
        <v>2</v>
      </c>
      <c r="AM6" s="185">
        <v>0.5</v>
      </c>
      <c r="AN6" s="185">
        <v>1</v>
      </c>
      <c r="AO6" s="185">
        <v>0.5</v>
      </c>
      <c r="AP6" s="185">
        <v>1</v>
      </c>
      <c r="AQ6" s="185">
        <v>2</v>
      </c>
      <c r="AR6" s="190">
        <v>1</v>
      </c>
      <c r="AW6" s="282" t="s">
        <v>1456</v>
      </c>
      <c r="AX6" s="283" t="s">
        <v>1838</v>
      </c>
      <c r="AY6" s="284" t="s">
        <v>1797</v>
      </c>
      <c r="AZ6" s="284" t="s">
        <v>1796</v>
      </c>
      <c r="BA6" s="284" t="s">
        <v>1794</v>
      </c>
      <c r="BB6" s="285" t="s">
        <v>1795</v>
      </c>
    </row>
    <row r="7" spans="2:66">
      <c r="B7" s="1">
        <v>4</v>
      </c>
      <c r="C7" s="1" t="s">
        <v>726</v>
      </c>
      <c r="D7" s="1" t="s">
        <v>745</v>
      </c>
      <c r="E7" s="1" t="s">
        <v>1456</v>
      </c>
      <c r="F7" s="1"/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50</v>
      </c>
      <c r="M7" s="1">
        <v>65</v>
      </c>
      <c r="N7" s="1">
        <v>16</v>
      </c>
      <c r="O7" s="1">
        <v>5</v>
      </c>
      <c r="P7" s="1" t="s">
        <v>747</v>
      </c>
      <c r="Q7" s="1"/>
      <c r="R7" s="1"/>
      <c r="S7" s="1" t="s">
        <v>1401</v>
      </c>
      <c r="T7" s="1" t="s">
        <v>1353</v>
      </c>
      <c r="U7" s="1" t="s">
        <v>1392</v>
      </c>
      <c r="V7" s="1">
        <v>8</v>
      </c>
      <c r="W7" s="1">
        <v>12</v>
      </c>
      <c r="X7" s="1"/>
      <c r="Y7" s="352"/>
      <c r="Z7" s="181" t="s">
        <v>1455</v>
      </c>
      <c r="AA7" s="189">
        <v>1</v>
      </c>
      <c r="AB7" s="185">
        <v>2</v>
      </c>
      <c r="AC7" s="185">
        <v>0.5</v>
      </c>
      <c r="AD7" s="185">
        <v>1</v>
      </c>
      <c r="AE7" s="185">
        <v>0.5</v>
      </c>
      <c r="AF7" s="185">
        <v>1</v>
      </c>
      <c r="AG7" s="185">
        <v>1</v>
      </c>
      <c r="AH7" s="185">
        <v>1</v>
      </c>
      <c r="AI7" s="185">
        <v>2</v>
      </c>
      <c r="AJ7" s="185">
        <v>1</v>
      </c>
      <c r="AK7" s="185">
        <v>1</v>
      </c>
      <c r="AL7" s="185">
        <v>1</v>
      </c>
      <c r="AM7" s="185">
        <v>2</v>
      </c>
      <c r="AN7" s="185">
        <v>1</v>
      </c>
      <c r="AO7" s="185">
        <v>0.5</v>
      </c>
      <c r="AP7" s="185">
        <v>1</v>
      </c>
      <c r="AQ7" s="185">
        <v>1</v>
      </c>
      <c r="AR7" s="190">
        <v>1</v>
      </c>
      <c r="AW7" s="286" t="s">
        <v>1460</v>
      </c>
      <c r="AX7" s="287" t="s">
        <v>1798</v>
      </c>
      <c r="AY7" s="288" t="s">
        <v>1799</v>
      </c>
      <c r="AZ7" s="288" t="s">
        <v>1873</v>
      </c>
      <c r="BA7" s="288" t="s">
        <v>1547</v>
      </c>
      <c r="BB7" s="289" t="s">
        <v>1469</v>
      </c>
      <c r="BN7" s="366"/>
    </row>
    <row r="8" spans="2:66">
      <c r="B8" s="1">
        <v>5</v>
      </c>
      <c r="C8" s="1" t="s">
        <v>725</v>
      </c>
      <c r="D8" s="1" t="s">
        <v>747</v>
      </c>
      <c r="E8" s="1" t="s">
        <v>1456</v>
      </c>
      <c r="F8" s="1"/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65</v>
      </c>
      <c r="M8" s="1">
        <v>80</v>
      </c>
      <c r="N8" s="1">
        <v>36</v>
      </c>
      <c r="O8" s="1">
        <v>6</v>
      </c>
      <c r="P8" s="1" t="s">
        <v>748</v>
      </c>
      <c r="Q8" s="1"/>
      <c r="R8" s="1"/>
      <c r="S8" s="1" t="s">
        <v>1402</v>
      </c>
      <c r="T8" s="1" t="s">
        <v>1354</v>
      </c>
      <c r="U8" s="1" t="s">
        <v>1393</v>
      </c>
      <c r="V8" s="1">
        <v>13</v>
      </c>
      <c r="W8" s="1">
        <v>16</v>
      </c>
      <c r="X8" s="1"/>
      <c r="Y8" s="352"/>
      <c r="Z8" s="181" t="s">
        <v>1880</v>
      </c>
      <c r="AA8" s="189">
        <v>1</v>
      </c>
      <c r="AB8" s="185">
        <v>1</v>
      </c>
      <c r="AC8" s="185">
        <v>2</v>
      </c>
      <c r="AD8" s="185">
        <v>0.5</v>
      </c>
      <c r="AE8" s="185">
        <v>0.5</v>
      </c>
      <c r="AF8" s="185">
        <v>1</v>
      </c>
      <c r="AG8" s="185">
        <v>1</v>
      </c>
      <c r="AH8" s="185">
        <v>1</v>
      </c>
      <c r="AI8" s="185">
        <v>0</v>
      </c>
      <c r="AJ8" s="185">
        <v>2</v>
      </c>
      <c r="AK8" s="185">
        <v>1</v>
      </c>
      <c r="AL8" s="185">
        <v>1</v>
      </c>
      <c r="AM8" s="185">
        <v>1</v>
      </c>
      <c r="AN8" s="185">
        <v>1</v>
      </c>
      <c r="AO8" s="185">
        <v>0.5</v>
      </c>
      <c r="AP8" s="185">
        <v>1</v>
      </c>
      <c r="AQ8" s="185">
        <v>1</v>
      </c>
      <c r="AR8" s="190">
        <v>1</v>
      </c>
      <c r="AW8" s="290" t="s">
        <v>1880</v>
      </c>
      <c r="AX8" s="291" t="s">
        <v>1801</v>
      </c>
      <c r="AY8" s="292" t="s">
        <v>1800</v>
      </c>
      <c r="AZ8" s="292" t="s">
        <v>1872</v>
      </c>
      <c r="BA8" s="292" t="s">
        <v>1598</v>
      </c>
      <c r="BB8" s="293" t="s">
        <v>1519</v>
      </c>
      <c r="BN8" s="367"/>
    </row>
    <row r="9" spans="2:66">
      <c r="B9" s="1">
        <v>6</v>
      </c>
      <c r="C9" s="1" t="s">
        <v>724</v>
      </c>
      <c r="D9" s="1" t="s">
        <v>748</v>
      </c>
      <c r="E9" s="1" t="s">
        <v>1456</v>
      </c>
      <c r="F9" s="1" t="s">
        <v>1453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85</v>
      </c>
      <c r="M9" s="1">
        <v>100</v>
      </c>
      <c r="N9" s="1" t="s">
        <v>80</v>
      </c>
      <c r="O9" s="1" t="s">
        <v>80</v>
      </c>
      <c r="P9" s="1" t="s">
        <v>80</v>
      </c>
      <c r="Q9" s="1"/>
      <c r="R9" s="1"/>
      <c r="S9" s="1" t="s">
        <v>1403</v>
      </c>
      <c r="T9" s="1" t="s">
        <v>1355</v>
      </c>
      <c r="U9" s="1" t="s">
        <v>1394</v>
      </c>
      <c r="V9" s="1">
        <v>13</v>
      </c>
      <c r="W9" s="1">
        <v>16</v>
      </c>
      <c r="X9" s="1"/>
      <c r="Y9" s="352"/>
      <c r="Z9" s="181" t="s">
        <v>1452</v>
      </c>
      <c r="AA9" s="189">
        <v>1</v>
      </c>
      <c r="AB9" s="185">
        <v>0.5</v>
      </c>
      <c r="AC9" s="185">
        <v>2</v>
      </c>
      <c r="AD9" s="185">
        <v>1</v>
      </c>
      <c r="AE9" s="185">
        <v>0.5</v>
      </c>
      <c r="AF9" s="185">
        <v>1</v>
      </c>
      <c r="AG9" s="185">
        <v>1</v>
      </c>
      <c r="AH9" s="185">
        <v>0.5</v>
      </c>
      <c r="AI9" s="185">
        <v>2</v>
      </c>
      <c r="AJ9" s="185">
        <v>0.5</v>
      </c>
      <c r="AK9" s="185">
        <v>1</v>
      </c>
      <c r="AL9" s="185">
        <v>0.5</v>
      </c>
      <c r="AM9" s="185">
        <v>2</v>
      </c>
      <c r="AN9" s="185">
        <v>1</v>
      </c>
      <c r="AO9" s="185">
        <v>0.5</v>
      </c>
      <c r="AP9" s="185">
        <v>1</v>
      </c>
      <c r="AQ9" s="185">
        <v>0.5</v>
      </c>
      <c r="AR9" s="190">
        <v>1</v>
      </c>
      <c r="AW9" s="294" t="s">
        <v>1453</v>
      </c>
      <c r="AX9" s="295" t="s">
        <v>1567</v>
      </c>
      <c r="AY9" s="296" t="s">
        <v>1600</v>
      </c>
      <c r="AZ9" s="296" t="s">
        <v>1486</v>
      </c>
      <c r="BA9" s="296" t="s">
        <v>1453</v>
      </c>
      <c r="BB9" s="297" t="s">
        <v>1802</v>
      </c>
      <c r="BN9" s="367"/>
    </row>
    <row r="10" spans="2:66">
      <c r="B10" s="1">
        <v>7</v>
      </c>
      <c r="C10" s="1" t="s">
        <v>723</v>
      </c>
      <c r="D10" s="1" t="s">
        <v>751</v>
      </c>
      <c r="E10" s="1" t="s">
        <v>1455</v>
      </c>
      <c r="F10" s="1" t="s">
        <v>80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50</v>
      </c>
      <c r="M10" s="1">
        <v>43</v>
      </c>
      <c r="N10" s="1">
        <v>16</v>
      </c>
      <c r="O10" s="1">
        <v>8</v>
      </c>
      <c r="P10" s="1" t="s">
        <v>753</v>
      </c>
      <c r="Q10" s="1"/>
      <c r="R10" s="1"/>
      <c r="S10" s="1" t="s">
        <v>1404</v>
      </c>
      <c r="T10" s="1" t="s">
        <v>1356</v>
      </c>
      <c r="U10" s="1" t="s">
        <v>1395</v>
      </c>
      <c r="V10" s="1">
        <v>18</v>
      </c>
      <c r="W10" s="1">
        <v>22</v>
      </c>
      <c r="X10" s="1"/>
      <c r="Y10" s="352"/>
      <c r="Z10" s="181" t="s">
        <v>1460</v>
      </c>
      <c r="AA10" s="189">
        <v>1</v>
      </c>
      <c r="AB10" s="185">
        <v>0.5</v>
      </c>
      <c r="AC10" s="185">
        <v>0.5</v>
      </c>
      <c r="AD10" s="185">
        <v>1</v>
      </c>
      <c r="AE10" s="185">
        <v>2</v>
      </c>
      <c r="AF10" s="185">
        <v>0.5</v>
      </c>
      <c r="AG10" s="185">
        <v>1</v>
      </c>
      <c r="AH10" s="185">
        <v>1</v>
      </c>
      <c r="AI10" s="185">
        <v>2</v>
      </c>
      <c r="AJ10" s="185">
        <v>2</v>
      </c>
      <c r="AK10" s="185">
        <v>1</v>
      </c>
      <c r="AL10" s="185">
        <v>1</v>
      </c>
      <c r="AM10" s="185">
        <v>1</v>
      </c>
      <c r="AN10" s="185">
        <v>1</v>
      </c>
      <c r="AO10" s="185">
        <v>2</v>
      </c>
      <c r="AP10" s="185">
        <v>1</v>
      </c>
      <c r="AQ10" s="185">
        <v>0.5</v>
      </c>
      <c r="AR10" s="190">
        <v>1</v>
      </c>
      <c r="AW10" s="298" t="s">
        <v>1452</v>
      </c>
      <c r="AX10" s="299" t="s">
        <v>1840</v>
      </c>
      <c r="AY10" s="300" t="s">
        <v>1841</v>
      </c>
      <c r="AZ10" s="300" t="s">
        <v>1842</v>
      </c>
      <c r="BA10" s="300" t="s">
        <v>1839</v>
      </c>
      <c r="BB10" s="301" t="s">
        <v>1545</v>
      </c>
      <c r="BN10" s="367"/>
    </row>
    <row r="11" spans="2:66">
      <c r="B11" s="1">
        <v>8</v>
      </c>
      <c r="C11" s="1" t="s">
        <v>722</v>
      </c>
      <c r="D11" s="1" t="s">
        <v>753</v>
      </c>
      <c r="E11" s="1" t="s">
        <v>1455</v>
      </c>
      <c r="F11" s="1" t="s">
        <v>80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65</v>
      </c>
      <c r="M11" s="1">
        <v>58</v>
      </c>
      <c r="N11" s="1">
        <v>36</v>
      </c>
      <c r="O11" s="1">
        <v>9</v>
      </c>
      <c r="P11" s="1" t="s">
        <v>754</v>
      </c>
      <c r="Q11" s="1"/>
      <c r="R11" s="1"/>
      <c r="S11" s="1" t="s">
        <v>1405</v>
      </c>
      <c r="T11" s="1" t="s">
        <v>1357</v>
      </c>
      <c r="U11" s="1" t="s">
        <v>1396</v>
      </c>
      <c r="V11" s="1">
        <v>18</v>
      </c>
      <c r="W11" s="1">
        <v>24</v>
      </c>
      <c r="X11" s="1"/>
      <c r="Y11" s="352"/>
      <c r="Z11" s="181" t="s">
        <v>1459</v>
      </c>
      <c r="AA11" s="189">
        <v>2</v>
      </c>
      <c r="AB11" s="185">
        <v>1</v>
      </c>
      <c r="AC11" s="185">
        <v>1</v>
      </c>
      <c r="AD11" s="185">
        <v>1</v>
      </c>
      <c r="AE11" s="185">
        <v>1</v>
      </c>
      <c r="AF11" s="185">
        <v>2</v>
      </c>
      <c r="AG11" s="185">
        <v>1</v>
      </c>
      <c r="AH11" s="185">
        <v>0.5</v>
      </c>
      <c r="AI11" s="185">
        <v>1</v>
      </c>
      <c r="AJ11" s="185">
        <v>0.5</v>
      </c>
      <c r="AK11" s="185">
        <v>0.5</v>
      </c>
      <c r="AL11" s="185">
        <v>0.5</v>
      </c>
      <c r="AM11" s="185">
        <v>2</v>
      </c>
      <c r="AN11" s="185">
        <v>0</v>
      </c>
      <c r="AO11" s="185">
        <v>1</v>
      </c>
      <c r="AP11" s="185">
        <v>2</v>
      </c>
      <c r="AQ11" s="185">
        <v>2</v>
      </c>
      <c r="AR11" s="190">
        <v>0.5</v>
      </c>
      <c r="AW11" s="302" t="s">
        <v>742</v>
      </c>
      <c r="AX11" s="303" t="s">
        <v>1496</v>
      </c>
      <c r="AY11" s="304" t="s">
        <v>1845</v>
      </c>
      <c r="AZ11" s="304" t="s">
        <v>1846</v>
      </c>
      <c r="BA11" s="304" t="s">
        <v>1843</v>
      </c>
      <c r="BB11" s="305" t="s">
        <v>1844</v>
      </c>
      <c r="BN11" s="367"/>
    </row>
    <row r="12" spans="2:66">
      <c r="B12" s="1">
        <v>9</v>
      </c>
      <c r="C12" s="1" t="s">
        <v>721</v>
      </c>
      <c r="D12" s="1" t="s">
        <v>754</v>
      </c>
      <c r="E12" s="1" t="s">
        <v>1455</v>
      </c>
      <c r="F12" s="1" t="s">
        <v>80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85</v>
      </c>
      <c r="M12" s="1">
        <v>78</v>
      </c>
      <c r="N12" s="1" t="s">
        <v>80</v>
      </c>
      <c r="O12" s="1" t="s">
        <v>80</v>
      </c>
      <c r="P12" s="1" t="s">
        <v>80</v>
      </c>
      <c r="Q12" s="1"/>
      <c r="R12" s="1"/>
      <c r="S12" s="1" t="s">
        <v>1406</v>
      </c>
      <c r="T12" s="1" t="s">
        <v>1358</v>
      </c>
      <c r="U12" s="1" t="s">
        <v>1397</v>
      </c>
      <c r="V12" s="1">
        <v>13</v>
      </c>
      <c r="W12" s="1">
        <v>17</v>
      </c>
      <c r="X12" s="1"/>
      <c r="Y12" s="352"/>
      <c r="Z12" s="181" t="s">
        <v>742</v>
      </c>
      <c r="AA12" s="189">
        <v>1</v>
      </c>
      <c r="AB12" s="185">
        <v>1</v>
      </c>
      <c r="AC12" s="185">
        <v>1</v>
      </c>
      <c r="AD12" s="185">
        <v>1</v>
      </c>
      <c r="AE12" s="185">
        <v>2</v>
      </c>
      <c r="AF12" s="185">
        <v>1</v>
      </c>
      <c r="AG12" s="185">
        <v>1</v>
      </c>
      <c r="AH12" s="185">
        <v>0.5</v>
      </c>
      <c r="AI12" s="185">
        <v>0.5</v>
      </c>
      <c r="AJ12" s="185">
        <v>1</v>
      </c>
      <c r="AK12" s="185">
        <v>1</v>
      </c>
      <c r="AL12" s="185">
        <v>1</v>
      </c>
      <c r="AM12" s="185">
        <v>0.5</v>
      </c>
      <c r="AN12" s="185">
        <v>0.5</v>
      </c>
      <c r="AO12" s="185">
        <v>1</v>
      </c>
      <c r="AP12" s="185">
        <v>1</v>
      </c>
      <c r="AQ12" s="185">
        <v>0</v>
      </c>
      <c r="AR12" s="190">
        <v>2</v>
      </c>
      <c r="AW12" s="306" t="s">
        <v>1458</v>
      </c>
      <c r="AX12" s="307" t="s">
        <v>1494</v>
      </c>
      <c r="AY12" s="308" t="s">
        <v>1848</v>
      </c>
      <c r="AZ12" s="308" t="s">
        <v>1847</v>
      </c>
      <c r="BA12" s="308" t="s">
        <v>1849</v>
      </c>
      <c r="BB12" s="309" t="s">
        <v>1850</v>
      </c>
      <c r="BN12" s="367"/>
    </row>
    <row r="13" spans="2:66">
      <c r="B13" s="1">
        <v>10</v>
      </c>
      <c r="C13" s="1" t="s">
        <v>720</v>
      </c>
      <c r="D13" s="1" t="s">
        <v>755</v>
      </c>
      <c r="E13" s="1" t="s">
        <v>1458</v>
      </c>
      <c r="F13" s="1" t="s">
        <v>80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20</v>
      </c>
      <c r="M13" s="1">
        <v>45</v>
      </c>
      <c r="N13" s="1">
        <v>7</v>
      </c>
      <c r="O13" s="1">
        <v>11</v>
      </c>
      <c r="P13" s="1" t="s">
        <v>757</v>
      </c>
      <c r="Q13" s="1"/>
      <c r="R13" s="1"/>
      <c r="S13" s="1" t="s">
        <v>1359</v>
      </c>
      <c r="T13" s="1" t="s">
        <v>1360</v>
      </c>
      <c r="U13" s="1" t="s">
        <v>1407</v>
      </c>
      <c r="V13" s="1">
        <v>14</v>
      </c>
      <c r="W13" s="1">
        <v>17</v>
      </c>
      <c r="X13" s="1"/>
      <c r="Y13" s="352"/>
      <c r="Z13" s="181" t="s">
        <v>1448</v>
      </c>
      <c r="AA13" s="189">
        <v>1</v>
      </c>
      <c r="AB13" s="185">
        <v>2</v>
      </c>
      <c r="AC13" s="185">
        <v>1</v>
      </c>
      <c r="AD13" s="185">
        <v>2</v>
      </c>
      <c r="AE13" s="185">
        <v>0.5</v>
      </c>
      <c r="AF13" s="185">
        <v>1</v>
      </c>
      <c r="AG13" s="185">
        <v>1</v>
      </c>
      <c r="AH13" s="185">
        <v>2</v>
      </c>
      <c r="AI13" s="185">
        <v>1</v>
      </c>
      <c r="AJ13" s="185">
        <v>0</v>
      </c>
      <c r="AK13" s="185">
        <v>1</v>
      </c>
      <c r="AL13" s="185">
        <v>0.5</v>
      </c>
      <c r="AM13" s="185">
        <v>2</v>
      </c>
      <c r="AN13" s="185">
        <v>1</v>
      </c>
      <c r="AO13" s="185">
        <v>1</v>
      </c>
      <c r="AP13" s="185">
        <v>1</v>
      </c>
      <c r="AQ13" s="185">
        <v>2</v>
      </c>
      <c r="AR13" s="190">
        <v>1</v>
      </c>
      <c r="AW13" s="310" t="s">
        <v>1444</v>
      </c>
      <c r="AX13" s="311" t="s">
        <v>1852</v>
      </c>
      <c r="AY13" s="312" t="s">
        <v>1854</v>
      </c>
      <c r="AZ13" s="312" t="s">
        <v>1561</v>
      </c>
      <c r="BA13" s="312" t="s">
        <v>1851</v>
      </c>
      <c r="BB13" s="313" t="s">
        <v>1853</v>
      </c>
      <c r="BN13" s="367"/>
    </row>
    <row r="14" spans="2:66">
      <c r="B14" s="1">
        <v>11</v>
      </c>
      <c r="C14" s="1" t="s">
        <v>719</v>
      </c>
      <c r="D14" s="1" t="s">
        <v>757</v>
      </c>
      <c r="E14" s="1" t="s">
        <v>1458</v>
      </c>
      <c r="F14" s="1" t="s">
        <v>80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25</v>
      </c>
      <c r="M14" s="1">
        <v>30</v>
      </c>
      <c r="N14" s="1">
        <v>10</v>
      </c>
      <c r="O14" s="1">
        <v>12</v>
      </c>
      <c r="P14" s="1" t="s">
        <v>758</v>
      </c>
      <c r="Q14" s="1"/>
      <c r="R14" s="1"/>
      <c r="S14" s="1" t="s">
        <v>1361</v>
      </c>
      <c r="T14" s="1" t="s">
        <v>1362</v>
      </c>
      <c r="U14" s="1" t="s">
        <v>1408</v>
      </c>
      <c r="V14" s="1">
        <v>14</v>
      </c>
      <c r="W14" s="1">
        <v>17</v>
      </c>
      <c r="X14" s="1"/>
      <c r="Y14" s="352"/>
      <c r="Z14" s="181" t="s">
        <v>1453</v>
      </c>
      <c r="AA14" s="189">
        <v>1</v>
      </c>
      <c r="AB14" s="185">
        <v>1</v>
      </c>
      <c r="AC14" s="185">
        <v>1</v>
      </c>
      <c r="AD14" s="185">
        <v>0.5</v>
      </c>
      <c r="AE14" s="185">
        <v>2</v>
      </c>
      <c r="AF14" s="185">
        <v>1</v>
      </c>
      <c r="AG14" s="185">
        <v>2</v>
      </c>
      <c r="AH14" s="185">
        <v>1</v>
      </c>
      <c r="AI14" s="185">
        <v>1</v>
      </c>
      <c r="AJ14" s="185">
        <v>1</v>
      </c>
      <c r="AK14" s="185">
        <v>1</v>
      </c>
      <c r="AL14" s="185">
        <v>2</v>
      </c>
      <c r="AM14" s="185">
        <v>0.5</v>
      </c>
      <c r="AN14" s="185">
        <v>1</v>
      </c>
      <c r="AO14" s="185">
        <v>1</v>
      </c>
      <c r="AP14" s="185">
        <v>1</v>
      </c>
      <c r="AQ14" s="185">
        <v>0.5</v>
      </c>
      <c r="AR14" s="190">
        <v>1</v>
      </c>
      <c r="AW14" s="314" t="s">
        <v>1455</v>
      </c>
      <c r="AX14" s="315" t="s">
        <v>1575</v>
      </c>
      <c r="AY14" s="316" t="s">
        <v>1471</v>
      </c>
      <c r="AZ14" s="316" t="s">
        <v>1855</v>
      </c>
      <c r="BA14" s="316" t="s">
        <v>1597</v>
      </c>
      <c r="BB14" s="317" t="s">
        <v>1536</v>
      </c>
      <c r="BN14" s="367"/>
    </row>
    <row r="15" spans="2:66">
      <c r="B15" s="1">
        <v>12</v>
      </c>
      <c r="C15" s="1" t="s">
        <v>718</v>
      </c>
      <c r="D15" s="1" t="s">
        <v>758</v>
      </c>
      <c r="E15" s="1" t="s">
        <v>1458</v>
      </c>
      <c r="F15" s="1" t="s">
        <v>1453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80</v>
      </c>
      <c r="M15" s="1">
        <v>70</v>
      </c>
      <c r="N15" s="1" t="s">
        <v>80</v>
      </c>
      <c r="O15" s="1" t="s">
        <v>80</v>
      </c>
      <c r="P15" s="1" t="s">
        <v>80</v>
      </c>
      <c r="Q15" s="1"/>
      <c r="R15" s="1"/>
      <c r="S15" s="1" t="s">
        <v>1363</v>
      </c>
      <c r="T15" s="1" t="s">
        <v>1364</v>
      </c>
      <c r="U15" s="1" t="s">
        <v>1409</v>
      </c>
      <c r="V15" s="1">
        <v>22</v>
      </c>
      <c r="W15" s="1">
        <v>30</v>
      </c>
      <c r="X15" s="1"/>
      <c r="Y15" s="352"/>
      <c r="Z15" s="181" t="s">
        <v>1454</v>
      </c>
      <c r="AA15" s="189">
        <v>1</v>
      </c>
      <c r="AB15" s="185">
        <v>1</v>
      </c>
      <c r="AC15" s="185">
        <v>1</v>
      </c>
      <c r="AD15" s="185">
        <v>1</v>
      </c>
      <c r="AE15" s="185">
        <v>1</v>
      </c>
      <c r="AF15" s="185">
        <v>1</v>
      </c>
      <c r="AG15" s="185">
        <v>2</v>
      </c>
      <c r="AH15" s="185">
        <v>2</v>
      </c>
      <c r="AI15" s="185">
        <v>1</v>
      </c>
      <c r="AJ15" s="185">
        <v>1</v>
      </c>
      <c r="AK15" s="185">
        <v>0.5</v>
      </c>
      <c r="AL15" s="185">
        <v>1</v>
      </c>
      <c r="AM15" s="185">
        <v>1</v>
      </c>
      <c r="AN15" s="185">
        <v>1</v>
      </c>
      <c r="AO15" s="185">
        <v>1</v>
      </c>
      <c r="AP15" s="185">
        <v>0</v>
      </c>
      <c r="AQ15" s="185">
        <v>0.5</v>
      </c>
      <c r="AR15" s="190">
        <v>1</v>
      </c>
      <c r="AW15" s="318" t="s">
        <v>1454</v>
      </c>
      <c r="AX15" s="319" t="s">
        <v>1477</v>
      </c>
      <c r="AY15" s="320" t="s">
        <v>1589</v>
      </c>
      <c r="AZ15" s="320" t="s">
        <v>1856</v>
      </c>
      <c r="BA15" s="320" t="s">
        <v>1585</v>
      </c>
      <c r="BB15" s="321" t="s">
        <v>1504</v>
      </c>
      <c r="BN15" s="367"/>
    </row>
    <row r="16" spans="2:66">
      <c r="B16" s="1">
        <v>13</v>
      </c>
      <c r="C16" s="1" t="s">
        <v>717</v>
      </c>
      <c r="D16" s="1" t="s">
        <v>759</v>
      </c>
      <c r="E16" s="1" t="s">
        <v>1458</v>
      </c>
      <c r="F16" s="1" t="s">
        <v>742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20</v>
      </c>
      <c r="M16" s="1">
        <v>50</v>
      </c>
      <c r="N16" s="1">
        <v>7</v>
      </c>
      <c r="O16" s="1">
        <v>14</v>
      </c>
      <c r="P16" s="1" t="s">
        <v>760</v>
      </c>
      <c r="Q16" s="1"/>
      <c r="R16" s="1"/>
      <c r="S16" s="1" t="s">
        <v>1365</v>
      </c>
      <c r="T16" s="1" t="s">
        <v>1366</v>
      </c>
      <c r="U16" s="1" t="s">
        <v>1410</v>
      </c>
      <c r="V16" s="1">
        <v>25</v>
      </c>
      <c r="W16" s="1">
        <v>30</v>
      </c>
      <c r="X16" s="1"/>
      <c r="Y16" s="352"/>
      <c r="Z16" s="181" t="s">
        <v>1458</v>
      </c>
      <c r="AA16" s="189">
        <v>1</v>
      </c>
      <c r="AB16" s="185">
        <v>0.5</v>
      </c>
      <c r="AC16" s="185">
        <v>1</v>
      </c>
      <c r="AD16" s="185">
        <v>1</v>
      </c>
      <c r="AE16" s="185">
        <v>2</v>
      </c>
      <c r="AF16" s="185">
        <v>1</v>
      </c>
      <c r="AG16" s="185">
        <v>0.5</v>
      </c>
      <c r="AH16" s="185">
        <v>0.5</v>
      </c>
      <c r="AI16" s="185">
        <v>1</v>
      </c>
      <c r="AJ16" s="185">
        <v>0.5</v>
      </c>
      <c r="AK16" s="185">
        <v>2</v>
      </c>
      <c r="AL16" s="185">
        <v>1</v>
      </c>
      <c r="AM16" s="185">
        <v>1</v>
      </c>
      <c r="AN16" s="185">
        <v>0.5</v>
      </c>
      <c r="AO16" s="185">
        <v>1</v>
      </c>
      <c r="AP16" s="185">
        <v>2</v>
      </c>
      <c r="AQ16" s="185">
        <v>0.5</v>
      </c>
      <c r="AR16" s="190">
        <v>0.5</v>
      </c>
      <c r="AW16" s="322" t="s">
        <v>750</v>
      </c>
      <c r="AX16" s="323" t="s">
        <v>1859</v>
      </c>
      <c r="AY16" s="324" t="s">
        <v>1861</v>
      </c>
      <c r="AZ16" s="324" t="s">
        <v>1860</v>
      </c>
      <c r="BA16" s="324" t="s">
        <v>1858</v>
      </c>
      <c r="BB16" s="325" t="s">
        <v>1857</v>
      </c>
      <c r="BN16" s="367"/>
    </row>
    <row r="17" spans="2:66">
      <c r="B17" s="1">
        <v>14</v>
      </c>
      <c r="C17" s="1" t="s">
        <v>716</v>
      </c>
      <c r="D17" s="1" t="s">
        <v>760</v>
      </c>
      <c r="E17" s="1" t="s">
        <v>1458</v>
      </c>
      <c r="F17" s="1" t="s">
        <v>742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25</v>
      </c>
      <c r="M17" s="1">
        <v>35</v>
      </c>
      <c r="N17" s="1">
        <v>10</v>
      </c>
      <c r="O17" s="1">
        <v>15</v>
      </c>
      <c r="P17" s="1" t="s">
        <v>761</v>
      </c>
      <c r="Q17" s="1"/>
      <c r="R17" s="1"/>
      <c r="S17" s="1" t="s">
        <v>1367</v>
      </c>
      <c r="T17" s="1" t="s">
        <v>1368</v>
      </c>
      <c r="U17" s="1" t="s">
        <v>1411</v>
      </c>
      <c r="V17" s="1">
        <v>26</v>
      </c>
      <c r="W17" s="1">
        <v>31</v>
      </c>
      <c r="X17" s="1"/>
      <c r="Y17" s="352"/>
      <c r="Z17" s="181" t="s">
        <v>1457</v>
      </c>
      <c r="AA17" s="189">
        <v>1</v>
      </c>
      <c r="AB17" s="185">
        <v>2</v>
      </c>
      <c r="AC17" s="185">
        <v>1</v>
      </c>
      <c r="AD17" s="185">
        <v>1</v>
      </c>
      <c r="AE17" s="185">
        <v>1</v>
      </c>
      <c r="AF17" s="185">
        <v>2</v>
      </c>
      <c r="AG17" s="185">
        <v>0.5</v>
      </c>
      <c r="AH17" s="185">
        <v>1</v>
      </c>
      <c r="AI17" s="185">
        <v>0.5</v>
      </c>
      <c r="AJ17" s="185">
        <v>2</v>
      </c>
      <c r="AK17" s="185">
        <v>1</v>
      </c>
      <c r="AL17" s="185">
        <v>2</v>
      </c>
      <c r="AM17" s="185">
        <v>1</v>
      </c>
      <c r="AN17" s="185">
        <v>1</v>
      </c>
      <c r="AO17" s="185">
        <v>1</v>
      </c>
      <c r="AP17" s="185">
        <v>1</v>
      </c>
      <c r="AQ17" s="185">
        <v>0.5</v>
      </c>
      <c r="AR17" s="190">
        <v>1</v>
      </c>
      <c r="AW17" s="326" t="s">
        <v>1457</v>
      </c>
      <c r="AX17" s="327" t="s">
        <v>1863</v>
      </c>
      <c r="AY17" s="328" t="s">
        <v>1540</v>
      </c>
      <c r="AZ17" s="328" t="s">
        <v>1864</v>
      </c>
      <c r="BA17" s="328" t="s">
        <v>1508</v>
      </c>
      <c r="BB17" s="329" t="s">
        <v>1862</v>
      </c>
      <c r="BN17" s="367"/>
    </row>
    <row r="18" spans="2:66">
      <c r="B18" s="1">
        <v>15</v>
      </c>
      <c r="C18" s="1" t="s">
        <v>715</v>
      </c>
      <c r="D18" s="1" t="s">
        <v>761</v>
      </c>
      <c r="E18" s="1" t="s">
        <v>1458</v>
      </c>
      <c r="F18" s="1" t="s">
        <v>742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45</v>
      </c>
      <c r="M18" s="1">
        <v>75</v>
      </c>
      <c r="N18" s="1" t="s">
        <v>80</v>
      </c>
      <c r="O18" s="1" t="s">
        <v>80</v>
      </c>
      <c r="P18" s="1" t="s">
        <v>80</v>
      </c>
      <c r="Q18" s="1"/>
      <c r="R18" s="1"/>
      <c r="S18" s="1" t="s">
        <v>1369</v>
      </c>
      <c r="T18" s="1" t="s">
        <v>1370</v>
      </c>
      <c r="U18" s="1"/>
      <c r="V18" s="1"/>
      <c r="W18" s="1"/>
      <c r="X18" s="1"/>
      <c r="Y18" s="352"/>
      <c r="Z18" s="181" t="s">
        <v>1463</v>
      </c>
      <c r="AA18" s="189">
        <v>0</v>
      </c>
      <c r="AB18" s="185">
        <v>1</v>
      </c>
      <c r="AC18" s="185">
        <v>1</v>
      </c>
      <c r="AD18" s="185">
        <v>1</v>
      </c>
      <c r="AE18" s="185">
        <v>1</v>
      </c>
      <c r="AF18" s="185">
        <v>1</v>
      </c>
      <c r="AG18" s="185">
        <v>1</v>
      </c>
      <c r="AH18" s="185">
        <v>1</v>
      </c>
      <c r="AI18" s="185">
        <v>1</v>
      </c>
      <c r="AJ18" s="185">
        <v>1</v>
      </c>
      <c r="AK18" s="185">
        <v>2</v>
      </c>
      <c r="AL18" s="185">
        <v>1</v>
      </c>
      <c r="AM18" s="185">
        <v>1</v>
      </c>
      <c r="AN18" s="185">
        <v>2</v>
      </c>
      <c r="AO18" s="185">
        <v>1</v>
      </c>
      <c r="AP18" s="185">
        <v>0.5</v>
      </c>
      <c r="AQ18" s="185">
        <v>1</v>
      </c>
      <c r="AR18" s="190">
        <v>1</v>
      </c>
      <c r="AW18" s="330" t="s">
        <v>1448</v>
      </c>
      <c r="AX18" s="331" t="s">
        <v>1865</v>
      </c>
      <c r="AY18" s="332" t="s">
        <v>1867</v>
      </c>
      <c r="AZ18" s="332" t="s">
        <v>1866</v>
      </c>
      <c r="BA18" s="332" t="s">
        <v>1607</v>
      </c>
      <c r="BB18" s="333" t="s">
        <v>1593</v>
      </c>
      <c r="BN18" s="367"/>
    </row>
    <row r="19" spans="2:66" ht="15" thickBot="1">
      <c r="B19" s="1">
        <v>16</v>
      </c>
      <c r="C19" s="1" t="s">
        <v>714</v>
      </c>
      <c r="D19" s="1" t="s">
        <v>762</v>
      </c>
      <c r="E19" s="1" t="s">
        <v>763</v>
      </c>
      <c r="F19" s="1" t="s">
        <v>1453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35</v>
      </c>
      <c r="M19" s="1">
        <v>56</v>
      </c>
      <c r="N19" s="1">
        <v>18</v>
      </c>
      <c r="O19" s="1">
        <v>17</v>
      </c>
      <c r="P19" s="1" t="s">
        <v>764</v>
      </c>
      <c r="Q19" s="1"/>
      <c r="R19" s="1"/>
      <c r="S19" s="1" t="s">
        <v>1371</v>
      </c>
      <c r="T19" s="1" t="s">
        <v>1372</v>
      </c>
      <c r="U19" s="1"/>
      <c r="V19" s="1"/>
      <c r="W19" s="1"/>
      <c r="X19" s="1"/>
      <c r="Y19" s="352"/>
      <c r="Z19" s="181" t="s">
        <v>750</v>
      </c>
      <c r="AA19" s="189">
        <v>1</v>
      </c>
      <c r="AB19" s="185">
        <v>1</v>
      </c>
      <c r="AC19" s="185">
        <v>1</v>
      </c>
      <c r="AD19" s="185">
        <v>1</v>
      </c>
      <c r="AE19" s="185">
        <v>1</v>
      </c>
      <c r="AF19" s="185">
        <v>1</v>
      </c>
      <c r="AG19" s="185">
        <v>1</v>
      </c>
      <c r="AH19" s="185">
        <v>1</v>
      </c>
      <c r="AI19" s="185">
        <v>1</v>
      </c>
      <c r="AJ19" s="185">
        <v>1</v>
      </c>
      <c r="AK19" s="185">
        <v>1</v>
      </c>
      <c r="AL19" s="185">
        <v>1</v>
      </c>
      <c r="AM19" s="185">
        <v>1</v>
      </c>
      <c r="AN19" s="185">
        <v>1</v>
      </c>
      <c r="AO19" s="185">
        <v>2</v>
      </c>
      <c r="AP19" s="185">
        <v>1</v>
      </c>
      <c r="AQ19" s="185">
        <v>0.5</v>
      </c>
      <c r="AR19" s="190">
        <v>0</v>
      </c>
      <c r="AW19" s="334" t="s">
        <v>1463</v>
      </c>
      <c r="AX19" s="335" t="s">
        <v>1871</v>
      </c>
      <c r="AY19" s="336" t="s">
        <v>1563</v>
      </c>
      <c r="AZ19" s="336" t="s">
        <v>1870</v>
      </c>
      <c r="BA19" s="336" t="s">
        <v>1868</v>
      </c>
      <c r="BB19" s="337" t="s">
        <v>1869</v>
      </c>
      <c r="BN19" s="367"/>
    </row>
    <row r="20" spans="2:66">
      <c r="B20" s="1">
        <v>17</v>
      </c>
      <c r="C20" s="1" t="s">
        <v>713</v>
      </c>
      <c r="D20" s="1" t="s">
        <v>764</v>
      </c>
      <c r="E20" s="1" t="s">
        <v>763</v>
      </c>
      <c r="F20" s="1" t="s">
        <v>1453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50</v>
      </c>
      <c r="M20" s="1">
        <v>71</v>
      </c>
      <c r="N20" s="1">
        <v>36</v>
      </c>
      <c r="O20" s="1">
        <v>18</v>
      </c>
      <c r="P20" s="1" t="s">
        <v>765</v>
      </c>
      <c r="Q20" s="1"/>
      <c r="R20" s="1"/>
      <c r="S20" s="1" t="s">
        <v>1373</v>
      </c>
      <c r="T20" s="1" t="s">
        <v>1374</v>
      </c>
      <c r="U20" s="1"/>
      <c r="V20" s="1"/>
      <c r="W20" s="1"/>
      <c r="X20" s="1"/>
      <c r="Y20" s="352"/>
      <c r="Z20" s="181" t="s">
        <v>1444</v>
      </c>
      <c r="AA20" s="189">
        <v>1</v>
      </c>
      <c r="AB20" s="185">
        <v>1</v>
      </c>
      <c r="AC20" s="185">
        <v>1</v>
      </c>
      <c r="AD20" s="185">
        <v>1</v>
      </c>
      <c r="AE20" s="185">
        <v>1</v>
      </c>
      <c r="AF20" s="185">
        <v>1</v>
      </c>
      <c r="AG20" s="185">
        <v>0.5</v>
      </c>
      <c r="AH20" s="185">
        <v>1</v>
      </c>
      <c r="AI20" s="185">
        <v>1</v>
      </c>
      <c r="AJ20" s="185">
        <v>1</v>
      </c>
      <c r="AK20" s="185">
        <v>2</v>
      </c>
      <c r="AL20" s="185">
        <v>1</v>
      </c>
      <c r="AM20" s="185">
        <v>1</v>
      </c>
      <c r="AN20" s="185">
        <v>2</v>
      </c>
      <c r="AO20" s="185">
        <v>1</v>
      </c>
      <c r="AP20" s="185">
        <v>0.5</v>
      </c>
      <c r="AQ20" s="185">
        <v>1</v>
      </c>
      <c r="AR20" s="190">
        <v>0.5</v>
      </c>
      <c r="BN20" s="367"/>
    </row>
    <row r="21" spans="2:66">
      <c r="B21" s="1">
        <v>18</v>
      </c>
      <c r="C21" s="1" t="s">
        <v>712</v>
      </c>
      <c r="D21" s="1" t="s">
        <v>765</v>
      </c>
      <c r="E21" s="1" t="s">
        <v>763</v>
      </c>
      <c r="F21" s="1" t="s">
        <v>1453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70</v>
      </c>
      <c r="M21" s="1">
        <v>91</v>
      </c>
      <c r="N21" s="1" t="s">
        <v>80</v>
      </c>
      <c r="O21" s="1" t="s">
        <v>80</v>
      </c>
      <c r="P21" s="1" t="s">
        <v>80</v>
      </c>
      <c r="Q21" s="1"/>
      <c r="R21" s="1"/>
      <c r="S21" s="1" t="s">
        <v>1375</v>
      </c>
      <c r="T21" s="1" t="s">
        <v>1376</v>
      </c>
      <c r="U21" s="1"/>
      <c r="V21" s="1"/>
      <c r="W21" s="1"/>
      <c r="X21" s="1"/>
      <c r="Y21" s="352"/>
      <c r="Z21" s="181" t="s">
        <v>1882</v>
      </c>
      <c r="AA21" s="189">
        <v>1</v>
      </c>
      <c r="AB21" s="185">
        <v>0.5</v>
      </c>
      <c r="AC21" s="185">
        <v>0.5</v>
      </c>
      <c r="AD21" s="185">
        <v>0.5</v>
      </c>
      <c r="AE21" s="185">
        <v>1</v>
      </c>
      <c r="AF21" s="185">
        <v>2</v>
      </c>
      <c r="AG21" s="185">
        <v>1</v>
      </c>
      <c r="AH21" s="185">
        <v>1</v>
      </c>
      <c r="AI21" s="185">
        <v>1</v>
      </c>
      <c r="AJ21" s="185">
        <v>1</v>
      </c>
      <c r="AK21" s="185">
        <v>1</v>
      </c>
      <c r="AL21" s="185">
        <v>1</v>
      </c>
      <c r="AM21" s="185">
        <v>2</v>
      </c>
      <c r="AN21" s="185">
        <v>1</v>
      </c>
      <c r="AO21" s="185">
        <v>1</v>
      </c>
      <c r="AP21" s="185">
        <v>1</v>
      </c>
      <c r="AQ21" s="185">
        <v>0.5</v>
      </c>
      <c r="AR21" s="190">
        <v>2</v>
      </c>
      <c r="BN21" s="367"/>
    </row>
    <row r="22" spans="2:66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25</v>
      </c>
      <c r="M22" s="1">
        <v>72</v>
      </c>
      <c r="N22" s="1">
        <v>20</v>
      </c>
      <c r="O22" s="1">
        <v>20</v>
      </c>
      <c r="P22" s="1" t="s">
        <v>766</v>
      </c>
      <c r="Q22" s="1"/>
      <c r="R22" s="1"/>
      <c r="S22" s="1" t="s">
        <v>1377</v>
      </c>
      <c r="T22" s="1" t="s">
        <v>1378</v>
      </c>
      <c r="U22" s="1"/>
      <c r="V22" s="1"/>
      <c r="W22" s="1"/>
      <c r="X22" s="1"/>
      <c r="Y22" s="353"/>
      <c r="Z22" s="182" t="s">
        <v>1883</v>
      </c>
      <c r="AA22" s="191">
        <v>1</v>
      </c>
      <c r="AB22" s="192">
        <v>0.5</v>
      </c>
      <c r="AC22" s="192">
        <v>1</v>
      </c>
      <c r="AD22" s="192">
        <v>1</v>
      </c>
      <c r="AE22" s="192">
        <v>1</v>
      </c>
      <c r="AF22" s="192">
        <v>1</v>
      </c>
      <c r="AG22" s="192">
        <v>2</v>
      </c>
      <c r="AH22" s="192">
        <v>0.5</v>
      </c>
      <c r="AI22" s="192">
        <v>1</v>
      </c>
      <c r="AJ22" s="192">
        <v>1</v>
      </c>
      <c r="AK22" s="192">
        <v>1</v>
      </c>
      <c r="AL22" s="192">
        <v>1</v>
      </c>
      <c r="AM22" s="192">
        <v>1</v>
      </c>
      <c r="AN22" s="192">
        <v>1</v>
      </c>
      <c r="AO22" s="192">
        <v>2</v>
      </c>
      <c r="AP22" s="192">
        <v>2</v>
      </c>
      <c r="AQ22" s="192">
        <v>0.5</v>
      </c>
      <c r="AR22" s="193">
        <v>1</v>
      </c>
      <c r="BN22" s="367"/>
    </row>
    <row r="23" spans="2:66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50</v>
      </c>
      <c r="M23" s="1">
        <v>97</v>
      </c>
      <c r="N23" s="1" t="s">
        <v>80</v>
      </c>
      <c r="O23" s="1" t="s">
        <v>80</v>
      </c>
      <c r="P23" s="1"/>
      <c r="Q23" s="1"/>
      <c r="R23" s="1"/>
      <c r="S23" s="1" t="s">
        <v>1379</v>
      </c>
      <c r="T23" s="1" t="s">
        <v>1380</v>
      </c>
      <c r="U23" s="1"/>
      <c r="V23" s="1"/>
      <c r="W23" s="1"/>
      <c r="X23" s="1"/>
      <c r="BN23" s="367"/>
    </row>
    <row r="24" spans="2:66">
      <c r="B24" s="1">
        <v>21</v>
      </c>
      <c r="C24" s="1" t="s">
        <v>709</v>
      </c>
      <c r="D24" s="1" t="s">
        <v>767</v>
      </c>
      <c r="E24" s="1" t="s">
        <v>763</v>
      </c>
      <c r="F24" s="1" t="s">
        <v>1453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31</v>
      </c>
      <c r="M24" s="1">
        <v>70</v>
      </c>
      <c r="N24" s="1">
        <v>20</v>
      </c>
      <c r="O24" s="1">
        <v>22</v>
      </c>
      <c r="P24" s="1" t="s">
        <v>768</v>
      </c>
      <c r="Q24" s="1"/>
      <c r="R24" s="1"/>
      <c r="S24" s="1" t="s">
        <v>1381</v>
      </c>
      <c r="T24" s="1" t="s">
        <v>1382</v>
      </c>
      <c r="U24" s="1"/>
      <c r="V24" s="1"/>
      <c r="W24" s="1"/>
      <c r="X24" s="1"/>
      <c r="Z24" s="176"/>
      <c r="BN24" s="367"/>
    </row>
    <row r="25" spans="2:66">
      <c r="B25" s="1">
        <v>22</v>
      </c>
      <c r="C25" s="1" t="s">
        <v>708</v>
      </c>
      <c r="D25" s="1" t="s">
        <v>768</v>
      </c>
      <c r="E25" s="1" t="s">
        <v>763</v>
      </c>
      <c r="F25" s="1" t="s">
        <v>1453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61</v>
      </c>
      <c r="M25" s="1">
        <v>100</v>
      </c>
      <c r="N25" s="1" t="s">
        <v>80</v>
      </c>
      <c r="O25" s="1" t="s">
        <v>80</v>
      </c>
      <c r="P25" s="1"/>
      <c r="Q25" s="1"/>
      <c r="R25" s="1"/>
      <c r="S25" s="1" t="s">
        <v>1383</v>
      </c>
      <c r="T25" s="1" t="s">
        <v>1384</v>
      </c>
      <c r="U25" s="1"/>
      <c r="V25" s="1"/>
      <c r="W25" s="1"/>
      <c r="X25" s="1"/>
      <c r="Z25" s="176"/>
      <c r="BN25" s="367"/>
    </row>
    <row r="26" spans="2:66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40</v>
      </c>
      <c r="M26" s="1">
        <v>55</v>
      </c>
      <c r="N26" s="1">
        <v>22</v>
      </c>
      <c r="O26" s="1">
        <v>24</v>
      </c>
      <c r="P26" s="1" t="s">
        <v>706</v>
      </c>
      <c r="Q26" s="1"/>
      <c r="R26" s="1"/>
      <c r="S26" s="1" t="s">
        <v>1385</v>
      </c>
      <c r="T26" s="1" t="s">
        <v>1386</v>
      </c>
      <c r="U26" s="1"/>
      <c r="V26" s="1"/>
      <c r="W26" s="1"/>
      <c r="X26" s="1"/>
      <c r="BN26" s="367"/>
    </row>
    <row r="27" spans="2:66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65</v>
      </c>
      <c r="M27" s="1">
        <v>80</v>
      </c>
      <c r="N27" s="1" t="s">
        <v>80</v>
      </c>
      <c r="O27" s="1" t="s">
        <v>80</v>
      </c>
      <c r="P27" s="1"/>
      <c r="Q27" s="1"/>
      <c r="R27" s="1"/>
      <c r="S27" s="1" t="s">
        <v>1413</v>
      </c>
      <c r="T27" s="1" t="s">
        <v>1324</v>
      </c>
      <c r="U27" s="1" t="s">
        <v>1415</v>
      </c>
      <c r="V27" s="1">
        <v>3</v>
      </c>
      <c r="W27" s="1">
        <v>7</v>
      </c>
      <c r="X27" s="1"/>
      <c r="BN27" s="367"/>
    </row>
    <row r="28" spans="2:66">
      <c r="B28" s="1">
        <v>25</v>
      </c>
      <c r="C28" s="1" t="s">
        <v>705</v>
      </c>
      <c r="D28" s="1" t="s">
        <v>705</v>
      </c>
      <c r="E28" s="1" t="s">
        <v>1880</v>
      </c>
      <c r="F28" s="1" t="s">
        <v>80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50</v>
      </c>
      <c r="M28" s="1">
        <v>90</v>
      </c>
      <c r="N28" s="1">
        <v>30</v>
      </c>
      <c r="O28" s="1">
        <v>26</v>
      </c>
      <c r="P28" s="1" t="s">
        <v>704</v>
      </c>
      <c r="Q28" s="1" t="b">
        <v>1</v>
      </c>
      <c r="R28" s="1"/>
      <c r="S28" s="1"/>
      <c r="T28" s="1"/>
      <c r="U28" s="1"/>
      <c r="V28" s="1"/>
      <c r="W28" s="1"/>
      <c r="X28" s="1"/>
      <c r="AE28" s="176"/>
      <c r="BN28" s="367"/>
    </row>
    <row r="29" spans="2:66">
      <c r="B29" s="1">
        <v>26</v>
      </c>
      <c r="C29" s="1" t="s">
        <v>704</v>
      </c>
      <c r="D29" s="1" t="s">
        <v>704</v>
      </c>
      <c r="E29" s="1" t="s">
        <v>1880</v>
      </c>
      <c r="F29" s="1" t="s">
        <v>80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90</v>
      </c>
      <c r="M29" s="1">
        <v>100</v>
      </c>
      <c r="N29" s="1" t="s">
        <v>80</v>
      </c>
      <c r="O29" s="1" t="s">
        <v>80</v>
      </c>
      <c r="P29" s="1" t="s">
        <v>80</v>
      </c>
      <c r="Q29" s="1"/>
      <c r="R29" s="1"/>
      <c r="S29" s="1"/>
      <c r="T29" s="1"/>
      <c r="U29" s="1"/>
      <c r="V29" s="1"/>
      <c r="W29" s="1"/>
      <c r="X29" s="1"/>
      <c r="BN29" s="367"/>
    </row>
    <row r="30" spans="2:66">
      <c r="B30" s="1">
        <v>27</v>
      </c>
      <c r="C30" s="1" t="s">
        <v>703</v>
      </c>
      <c r="D30" s="1" t="s">
        <v>771</v>
      </c>
      <c r="E30" s="1" t="s">
        <v>1448</v>
      </c>
      <c r="F30" s="1" t="s">
        <v>80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30</v>
      </c>
      <c r="M30" s="1">
        <v>40</v>
      </c>
      <c r="N30" s="1">
        <v>22</v>
      </c>
      <c r="O30" s="1">
        <v>28</v>
      </c>
      <c r="P30" s="1" t="s">
        <v>773</v>
      </c>
      <c r="Q30" s="1"/>
      <c r="R30" s="1"/>
      <c r="S30" s="1"/>
      <c r="T30" s="1"/>
      <c r="U30" s="1"/>
      <c r="V30" s="1"/>
      <c r="W30" s="1"/>
      <c r="X30" s="1"/>
      <c r="AE30" s="176"/>
      <c r="BN30" s="367"/>
    </row>
    <row r="31" spans="2:66">
      <c r="B31" s="1">
        <v>28</v>
      </c>
      <c r="C31" s="1" t="s">
        <v>702</v>
      </c>
      <c r="D31" s="1" t="s">
        <v>773</v>
      </c>
      <c r="E31" s="1" t="s">
        <v>1448</v>
      </c>
      <c r="F31" s="1" t="s">
        <v>80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55</v>
      </c>
      <c r="M31" s="1">
        <v>65</v>
      </c>
      <c r="N31" s="1" t="s">
        <v>80</v>
      </c>
      <c r="O31" s="1" t="s">
        <v>80</v>
      </c>
      <c r="P31" s="1"/>
      <c r="Q31" s="1"/>
      <c r="R31" s="1"/>
      <c r="S31" s="1"/>
      <c r="T31" s="1"/>
      <c r="U31" s="1"/>
      <c r="V31" s="1"/>
      <c r="W31" s="1"/>
      <c r="X31" s="1"/>
      <c r="AE31" s="176"/>
      <c r="BN31" s="367"/>
    </row>
    <row r="32" spans="2:66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40</v>
      </c>
      <c r="M32" s="1">
        <v>41</v>
      </c>
      <c r="N32" s="1">
        <v>16</v>
      </c>
      <c r="O32" s="1" t="s">
        <v>80</v>
      </c>
      <c r="P32" s="1" t="s">
        <v>80</v>
      </c>
      <c r="Q32" s="1"/>
      <c r="R32" s="1"/>
      <c r="S32" s="1"/>
      <c r="T32" s="1"/>
      <c r="U32" s="1"/>
      <c r="V32" s="1"/>
      <c r="W32" s="1"/>
      <c r="X32" s="1"/>
      <c r="AE32" s="176"/>
      <c r="BN32" s="367"/>
    </row>
    <row r="33" spans="2:66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55</v>
      </c>
      <c r="M33" s="1">
        <v>56</v>
      </c>
      <c r="N33" s="1">
        <v>30</v>
      </c>
      <c r="O33" s="1">
        <v>31</v>
      </c>
      <c r="P33" s="1" t="s">
        <v>699</v>
      </c>
      <c r="Q33" s="1" t="b">
        <v>1</v>
      </c>
      <c r="R33" s="1"/>
      <c r="S33" s="1"/>
      <c r="T33" s="1"/>
      <c r="U33" s="1"/>
      <c r="V33" s="1"/>
      <c r="W33" s="1"/>
      <c r="X33" s="1"/>
      <c r="AE33" s="176"/>
      <c r="BN33" s="367"/>
    </row>
    <row r="34" spans="2:66">
      <c r="B34" s="1">
        <v>31</v>
      </c>
      <c r="C34" s="1" t="s">
        <v>699</v>
      </c>
      <c r="D34" s="1" t="s">
        <v>699</v>
      </c>
      <c r="E34" s="1" t="s">
        <v>742</v>
      </c>
      <c r="F34" s="1" t="s">
        <v>1448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75</v>
      </c>
      <c r="M34" s="1">
        <v>76</v>
      </c>
      <c r="N34" s="1" t="s">
        <v>80</v>
      </c>
      <c r="O34" s="1" t="s">
        <v>80</v>
      </c>
      <c r="P34" s="1" t="s">
        <v>80</v>
      </c>
      <c r="Q34" s="1"/>
      <c r="R34" s="1"/>
      <c r="S34" s="1"/>
      <c r="T34" s="1"/>
      <c r="U34" s="1"/>
      <c r="V34" s="1"/>
      <c r="W34" s="1"/>
      <c r="X34" s="1"/>
      <c r="AE34" s="176"/>
      <c r="BN34" s="367"/>
    </row>
    <row r="35" spans="2:66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40</v>
      </c>
      <c r="M35" s="1">
        <v>50</v>
      </c>
      <c r="N35" s="1">
        <v>16</v>
      </c>
      <c r="O35" s="1" t="s">
        <v>80</v>
      </c>
      <c r="P35" s="1" t="s">
        <v>80</v>
      </c>
      <c r="Q35" s="1"/>
      <c r="R35" s="1"/>
      <c r="S35" s="1"/>
      <c r="T35" s="1"/>
      <c r="U35" s="1"/>
      <c r="V35" s="1"/>
      <c r="W35" s="1"/>
      <c r="X35" s="1"/>
      <c r="AE35" s="176"/>
    </row>
    <row r="36" spans="2:66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55</v>
      </c>
      <c r="M36" s="1">
        <v>65</v>
      </c>
      <c r="N36" s="1">
        <v>30</v>
      </c>
      <c r="O36" s="1">
        <v>34</v>
      </c>
      <c r="P36" s="1" t="s">
        <v>696</v>
      </c>
      <c r="Q36" s="1" t="b">
        <v>1</v>
      </c>
      <c r="R36" s="1"/>
      <c r="S36" s="1"/>
      <c r="T36" s="1"/>
      <c r="U36" s="1"/>
      <c r="V36" s="1"/>
      <c r="W36" s="1"/>
      <c r="X36" s="1"/>
      <c r="AE36" s="176"/>
    </row>
    <row r="37" spans="2:66">
      <c r="B37" s="1">
        <v>34</v>
      </c>
      <c r="C37" s="1" t="s">
        <v>696</v>
      </c>
      <c r="D37" s="1" t="s">
        <v>696</v>
      </c>
      <c r="E37" s="1" t="s">
        <v>742</v>
      </c>
      <c r="F37" s="1" t="s">
        <v>1448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75</v>
      </c>
      <c r="M37" s="1">
        <v>85</v>
      </c>
      <c r="N37" s="1" t="s">
        <v>80</v>
      </c>
      <c r="O37" s="1" t="s">
        <v>80</v>
      </c>
      <c r="P37" s="1" t="s">
        <v>80</v>
      </c>
      <c r="Q37" s="1"/>
      <c r="R37" s="1"/>
      <c r="S37" s="1"/>
      <c r="T37" s="1"/>
      <c r="U37" s="1"/>
      <c r="V37" s="1"/>
      <c r="W37" s="1"/>
      <c r="X37" s="1"/>
      <c r="AE37" s="176"/>
    </row>
    <row r="38" spans="2:66">
      <c r="B38" s="1">
        <v>35</v>
      </c>
      <c r="C38" s="1" t="s">
        <v>695</v>
      </c>
      <c r="D38" s="1" t="s">
        <v>774</v>
      </c>
      <c r="E38" s="1" t="s">
        <v>1883</v>
      </c>
      <c r="F38" s="1" t="s">
        <v>80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60</v>
      </c>
      <c r="M38" s="1">
        <v>35</v>
      </c>
      <c r="N38" s="1">
        <v>30</v>
      </c>
      <c r="O38" s="1">
        <v>36</v>
      </c>
      <c r="P38" s="1" t="s">
        <v>776</v>
      </c>
      <c r="Q38" s="1" t="b">
        <v>1</v>
      </c>
      <c r="R38" s="1"/>
      <c r="S38" s="1"/>
      <c r="T38" s="1"/>
      <c r="U38" s="1"/>
      <c r="V38" s="1"/>
      <c r="W38" s="1"/>
      <c r="X38" s="1"/>
      <c r="AE38" s="176"/>
    </row>
    <row r="39" spans="2:66">
      <c r="B39" s="1">
        <v>36</v>
      </c>
      <c r="C39" s="1" t="s">
        <v>694</v>
      </c>
      <c r="D39" s="1" t="s">
        <v>776</v>
      </c>
      <c r="E39" s="1" t="s">
        <v>1883</v>
      </c>
      <c r="F39" s="1" t="s">
        <v>80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85</v>
      </c>
      <c r="M39" s="1">
        <v>60</v>
      </c>
      <c r="N39" s="1" t="s">
        <v>80</v>
      </c>
      <c r="O39" s="1" t="s">
        <v>80</v>
      </c>
      <c r="P39" s="1" t="s">
        <v>80</v>
      </c>
      <c r="Q39" s="1"/>
      <c r="R39" s="1"/>
      <c r="S39" s="1"/>
      <c r="T39" s="1"/>
      <c r="U39" s="1"/>
      <c r="V39" s="1"/>
      <c r="W39" s="1"/>
      <c r="X39" s="1"/>
      <c r="AE39" s="176"/>
    </row>
    <row r="40" spans="2:66">
      <c r="B40" s="1">
        <v>37</v>
      </c>
      <c r="C40" s="1" t="s">
        <v>693</v>
      </c>
      <c r="D40" s="1" t="s">
        <v>777</v>
      </c>
      <c r="E40" s="1" t="s">
        <v>1456</v>
      </c>
      <c r="F40" s="1" t="s">
        <v>80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778</v>
      </c>
      <c r="Q40" s="1" t="b">
        <v>1</v>
      </c>
      <c r="R40" s="1"/>
      <c r="S40" s="1"/>
      <c r="T40" s="1"/>
      <c r="U40" s="1"/>
      <c r="V40" s="1"/>
      <c r="W40" s="1"/>
      <c r="X40" s="1"/>
      <c r="AE40" s="176"/>
    </row>
    <row r="41" spans="2:66">
      <c r="B41" s="1">
        <v>38</v>
      </c>
      <c r="C41" s="1" t="s">
        <v>692</v>
      </c>
      <c r="D41" s="1" t="s">
        <v>778</v>
      </c>
      <c r="E41" s="1" t="s">
        <v>1456</v>
      </c>
      <c r="F41" s="1" t="s">
        <v>80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80</v>
      </c>
      <c r="O41" s="1" t="s">
        <v>80</v>
      </c>
      <c r="P41" s="1"/>
      <c r="Q41" s="1"/>
      <c r="R41" s="1"/>
      <c r="S41" s="1"/>
      <c r="T41" s="1"/>
      <c r="U41" s="1"/>
      <c r="V41" s="1"/>
      <c r="W41" s="1"/>
      <c r="X41" s="1"/>
      <c r="AE41" s="176"/>
    </row>
    <row r="42" spans="2:66">
      <c r="B42" s="1">
        <v>39</v>
      </c>
      <c r="C42" s="1" t="s">
        <v>691</v>
      </c>
      <c r="D42" s="1" t="s">
        <v>779</v>
      </c>
      <c r="E42" s="1" t="s">
        <v>763</v>
      </c>
      <c r="F42" s="1" t="s">
        <v>1883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25</v>
      </c>
      <c r="M42" s="1">
        <v>20</v>
      </c>
      <c r="N42" s="1">
        <v>30</v>
      </c>
      <c r="O42" s="1">
        <v>40</v>
      </c>
      <c r="P42" s="1" t="s">
        <v>780</v>
      </c>
      <c r="Q42" s="1" t="b">
        <v>1</v>
      </c>
      <c r="R42" s="1"/>
      <c r="S42" s="1"/>
      <c r="T42" s="1"/>
      <c r="U42" s="1"/>
      <c r="V42" s="1"/>
      <c r="W42" s="1"/>
      <c r="X42" s="1"/>
      <c r="AE42" s="176"/>
    </row>
    <row r="43" spans="2:66">
      <c r="B43" s="1">
        <v>40</v>
      </c>
      <c r="C43" s="1" t="s">
        <v>690</v>
      </c>
      <c r="D43" s="1" t="s">
        <v>780</v>
      </c>
      <c r="E43" s="1" t="s">
        <v>763</v>
      </c>
      <c r="F43" s="1" t="s">
        <v>1883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50</v>
      </c>
      <c r="M43" s="1">
        <v>45</v>
      </c>
      <c r="N43" s="1" t="s">
        <v>80</v>
      </c>
      <c r="O43" s="1" t="s">
        <v>80</v>
      </c>
      <c r="P43" s="1" t="s">
        <v>80</v>
      </c>
      <c r="Q43" s="1"/>
      <c r="R43" s="1"/>
      <c r="S43" s="1"/>
      <c r="T43" s="1"/>
      <c r="U43" s="1"/>
      <c r="V43" s="1"/>
      <c r="W43" s="1"/>
      <c r="X43" s="1"/>
      <c r="AE43" s="176"/>
    </row>
    <row r="44" spans="2:66">
      <c r="B44" s="1">
        <v>41</v>
      </c>
      <c r="C44" s="1" t="s">
        <v>689</v>
      </c>
      <c r="D44" s="1" t="s">
        <v>781</v>
      </c>
      <c r="E44" s="1" t="s">
        <v>742</v>
      </c>
      <c r="F44" s="1" t="s">
        <v>1453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40</v>
      </c>
      <c r="M44" s="1">
        <v>55</v>
      </c>
      <c r="N44" s="1">
        <v>22</v>
      </c>
      <c r="O44" s="1">
        <v>42</v>
      </c>
      <c r="P44" s="1" t="s">
        <v>782</v>
      </c>
      <c r="Q44" s="1"/>
      <c r="R44" s="1"/>
      <c r="S44" s="1"/>
      <c r="T44" s="1"/>
      <c r="U44" s="1"/>
      <c r="V44" s="1"/>
      <c r="W44" s="1"/>
      <c r="X44" s="1"/>
      <c r="AE44" s="176"/>
    </row>
    <row r="45" spans="2:66">
      <c r="B45" s="1">
        <v>42</v>
      </c>
      <c r="C45" s="1" t="s">
        <v>688</v>
      </c>
      <c r="D45" s="1" t="s">
        <v>782</v>
      </c>
      <c r="E45" s="1" t="s">
        <v>742</v>
      </c>
      <c r="F45" s="1" t="s">
        <v>1453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75</v>
      </c>
      <c r="M45" s="1">
        <v>90</v>
      </c>
      <c r="N45" s="1">
        <v>30</v>
      </c>
      <c r="O45" s="1">
        <v>169</v>
      </c>
      <c r="P45" s="1" t="s">
        <v>894</v>
      </c>
      <c r="Q45" s="1" t="b">
        <v>1</v>
      </c>
      <c r="R45" s="1"/>
      <c r="S45" s="1"/>
      <c r="T45" s="1"/>
      <c r="U45" s="1"/>
      <c r="V45" s="1"/>
      <c r="W45" s="1"/>
      <c r="X45" s="1"/>
      <c r="AE45" s="176"/>
    </row>
    <row r="46" spans="2:66">
      <c r="B46" s="1">
        <v>43</v>
      </c>
      <c r="C46" s="1" t="s">
        <v>687</v>
      </c>
      <c r="D46" s="1" t="s">
        <v>783</v>
      </c>
      <c r="E46" s="1" t="s">
        <v>1452</v>
      </c>
      <c r="F46" s="1" t="s">
        <v>742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75</v>
      </c>
      <c r="M46" s="1">
        <v>30</v>
      </c>
      <c r="N46" s="1">
        <v>21</v>
      </c>
      <c r="O46" s="1">
        <v>44</v>
      </c>
      <c r="P46" s="1" t="s">
        <v>784</v>
      </c>
      <c r="Q46" s="1"/>
      <c r="R46" s="1"/>
      <c r="S46" s="1"/>
      <c r="T46" s="1"/>
      <c r="U46" s="1"/>
      <c r="V46" s="1"/>
      <c r="W46" s="1"/>
      <c r="X46" s="1"/>
      <c r="AE46" s="176"/>
    </row>
    <row r="47" spans="2:66">
      <c r="B47" s="1">
        <v>44</v>
      </c>
      <c r="C47" s="1" t="s">
        <v>686</v>
      </c>
      <c r="D47" s="1" t="s">
        <v>784</v>
      </c>
      <c r="E47" s="1" t="s">
        <v>1452</v>
      </c>
      <c r="F47" s="1" t="s">
        <v>742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85</v>
      </c>
      <c r="M47" s="1">
        <v>40</v>
      </c>
      <c r="N47" s="1">
        <v>30</v>
      </c>
      <c r="O47" s="1">
        <v>45</v>
      </c>
      <c r="P47" s="240" t="s">
        <v>785</v>
      </c>
      <c r="Q47" s="1" t="b">
        <v>1</v>
      </c>
      <c r="R47" s="1"/>
      <c r="S47" s="1"/>
      <c r="T47" s="1"/>
      <c r="U47" s="1"/>
      <c r="V47" s="1"/>
      <c r="W47" s="1"/>
      <c r="X47" s="1"/>
      <c r="AE47" s="176"/>
    </row>
    <row r="48" spans="2:66">
      <c r="B48" s="1">
        <v>45</v>
      </c>
      <c r="C48" s="1" t="s">
        <v>685</v>
      </c>
      <c r="D48" s="1" t="s">
        <v>785</v>
      </c>
      <c r="E48" s="1" t="s">
        <v>1452</v>
      </c>
      <c r="F48" s="1" t="s">
        <v>742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100</v>
      </c>
      <c r="M48" s="1">
        <v>50</v>
      </c>
      <c r="N48" s="1" t="s">
        <v>80</v>
      </c>
      <c r="O48" s="1" t="s">
        <v>80</v>
      </c>
      <c r="P48" s="1" t="s">
        <v>80</v>
      </c>
      <c r="Q48" s="1"/>
      <c r="R48" s="1"/>
      <c r="S48" s="1"/>
      <c r="T48" s="1"/>
      <c r="U48" s="1"/>
      <c r="V48" s="1"/>
      <c r="W48" s="1"/>
      <c r="X48" s="1"/>
      <c r="AE48" s="176"/>
    </row>
    <row r="49" spans="2:31">
      <c r="B49" s="1">
        <v>46</v>
      </c>
      <c r="C49" s="1" t="s">
        <v>684</v>
      </c>
      <c r="D49" s="1" t="s">
        <v>684</v>
      </c>
      <c r="E49" s="1" t="s">
        <v>1458</v>
      </c>
      <c r="F49" s="1" t="s">
        <v>1452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55</v>
      </c>
      <c r="M49" s="1">
        <v>25</v>
      </c>
      <c r="N49" s="1">
        <v>24</v>
      </c>
      <c r="O49" s="1">
        <v>47</v>
      </c>
      <c r="P49" s="1" t="s">
        <v>683</v>
      </c>
      <c r="Q49" s="1"/>
      <c r="R49" s="1"/>
      <c r="S49" s="1"/>
      <c r="T49" s="1"/>
      <c r="U49" s="1"/>
      <c r="V49" s="1"/>
      <c r="W49" s="1"/>
      <c r="X49" s="1"/>
      <c r="AE49" s="176"/>
    </row>
    <row r="50" spans="2:31">
      <c r="B50" s="1">
        <v>47</v>
      </c>
      <c r="C50" s="1" t="s">
        <v>683</v>
      </c>
      <c r="D50" s="1" t="s">
        <v>683</v>
      </c>
      <c r="E50" s="1" t="s">
        <v>1458</v>
      </c>
      <c r="F50" s="1" t="s">
        <v>1452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80</v>
      </c>
      <c r="M50" s="1">
        <v>30</v>
      </c>
      <c r="N50" s="1" t="s">
        <v>80</v>
      </c>
      <c r="O50" s="1" t="s">
        <v>80</v>
      </c>
      <c r="P50" s="1"/>
      <c r="Q50" s="1"/>
      <c r="R50" s="1"/>
      <c r="S50" s="1"/>
      <c r="T50" s="1"/>
      <c r="U50" s="1"/>
      <c r="V50" s="1"/>
      <c r="W50" s="1"/>
      <c r="X50" s="1"/>
      <c r="AE50" s="176"/>
    </row>
    <row r="51" spans="2:31">
      <c r="B51" s="1">
        <v>48</v>
      </c>
      <c r="C51" s="1" t="s">
        <v>682</v>
      </c>
      <c r="D51" s="1" t="s">
        <v>786</v>
      </c>
      <c r="E51" s="1" t="s">
        <v>1458</v>
      </c>
      <c r="F51" s="1" t="s">
        <v>742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40</v>
      </c>
      <c r="M51" s="1">
        <v>45</v>
      </c>
      <c r="N51" s="1">
        <v>31</v>
      </c>
      <c r="O51" s="1">
        <v>49</v>
      </c>
      <c r="P51" s="1" t="s">
        <v>787</v>
      </c>
      <c r="Q51" s="1"/>
      <c r="R51" s="1"/>
      <c r="S51" s="1"/>
      <c r="T51" s="1"/>
      <c r="U51" s="1"/>
      <c r="V51" s="1"/>
      <c r="W51" s="1"/>
      <c r="X51" s="1"/>
      <c r="AE51" s="176"/>
    </row>
    <row r="52" spans="2:31">
      <c r="B52" s="1">
        <v>49</v>
      </c>
      <c r="C52" s="1" t="s">
        <v>681</v>
      </c>
      <c r="D52" s="1" t="s">
        <v>787</v>
      </c>
      <c r="E52" s="1" t="s">
        <v>1458</v>
      </c>
      <c r="F52" s="1" t="s">
        <v>742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80</v>
      </c>
      <c r="O52" s="1" t="s">
        <v>80</v>
      </c>
      <c r="P52" s="1"/>
      <c r="Q52" s="1"/>
      <c r="R52" s="1"/>
      <c r="S52" s="1"/>
      <c r="T52" s="1"/>
      <c r="U52" s="1"/>
      <c r="V52" s="1"/>
      <c r="W52" s="1"/>
      <c r="X52" s="1"/>
      <c r="AE52" s="176"/>
    </row>
    <row r="53" spans="2:31">
      <c r="B53" s="1">
        <v>50</v>
      </c>
      <c r="C53" s="1" t="s">
        <v>680</v>
      </c>
      <c r="D53" s="1" t="s">
        <v>788</v>
      </c>
      <c r="E53" s="1" t="s">
        <v>1448</v>
      </c>
      <c r="F53" s="1" t="s">
        <v>80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45</v>
      </c>
      <c r="M53" s="1">
        <v>95</v>
      </c>
      <c r="N53" s="1">
        <v>26</v>
      </c>
      <c r="O53" s="1">
        <v>51</v>
      </c>
      <c r="P53" s="1" t="s">
        <v>789</v>
      </c>
      <c r="Q53" s="1"/>
      <c r="R53" s="1"/>
      <c r="S53" s="1"/>
      <c r="T53" s="1"/>
      <c r="U53" s="1"/>
      <c r="V53" s="1"/>
      <c r="W53" s="1"/>
      <c r="X53" s="1"/>
      <c r="AE53" s="176"/>
    </row>
    <row r="54" spans="2:31">
      <c r="B54" s="1">
        <v>51</v>
      </c>
      <c r="C54" s="1" t="s">
        <v>679</v>
      </c>
      <c r="D54" s="1" t="s">
        <v>789</v>
      </c>
      <c r="E54" s="1" t="s">
        <v>1448</v>
      </c>
      <c r="F54" s="1" t="s">
        <v>80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70</v>
      </c>
      <c r="M54" s="1">
        <v>120</v>
      </c>
      <c r="N54" s="1" t="s">
        <v>80</v>
      </c>
      <c r="O54" s="1" t="s">
        <v>80</v>
      </c>
      <c r="P54" s="1"/>
      <c r="Q54" s="1"/>
      <c r="R54" s="1"/>
      <c r="S54" s="1"/>
      <c r="T54" s="1"/>
      <c r="U54" s="1"/>
      <c r="V54" s="1"/>
      <c r="W54" s="1"/>
      <c r="X54" s="1"/>
      <c r="AE54" s="176"/>
    </row>
    <row r="55" spans="2:31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40</v>
      </c>
      <c r="M55" s="1">
        <v>90</v>
      </c>
      <c r="N55" s="1">
        <v>28</v>
      </c>
      <c r="O55" s="1">
        <v>53</v>
      </c>
      <c r="P55" s="1" t="s">
        <v>677</v>
      </c>
      <c r="Q55" s="1"/>
      <c r="R55" s="1"/>
      <c r="S55" s="1"/>
      <c r="T55" s="1"/>
      <c r="U55" s="1"/>
      <c r="V55" s="1"/>
      <c r="W55" s="1"/>
      <c r="X55" s="1"/>
      <c r="AE55" s="176"/>
    </row>
    <row r="56" spans="2:31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65</v>
      </c>
      <c r="M56" s="1">
        <v>115</v>
      </c>
      <c r="N56" s="1" t="s">
        <v>80</v>
      </c>
      <c r="O56" s="1" t="s">
        <v>80</v>
      </c>
      <c r="P56" s="1" t="s">
        <v>80</v>
      </c>
      <c r="Q56" s="1"/>
      <c r="R56" s="1"/>
      <c r="S56" s="1"/>
      <c r="T56" s="1"/>
      <c r="U56" s="1"/>
      <c r="V56" s="1"/>
      <c r="W56" s="1"/>
      <c r="X56" s="1"/>
      <c r="AE56" s="176"/>
    </row>
    <row r="57" spans="2:31">
      <c r="B57" s="1">
        <v>54</v>
      </c>
      <c r="C57" s="1" t="s">
        <v>676</v>
      </c>
      <c r="D57" s="1" t="s">
        <v>791</v>
      </c>
      <c r="E57" s="1" t="s">
        <v>1455</v>
      </c>
      <c r="F57" s="1" t="s">
        <v>80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50</v>
      </c>
      <c r="M57" s="1">
        <v>55</v>
      </c>
      <c r="N57" s="1">
        <v>33</v>
      </c>
      <c r="O57" s="1">
        <v>55</v>
      </c>
      <c r="P57" s="1" t="s">
        <v>792</v>
      </c>
      <c r="Q57" s="1"/>
      <c r="R57" s="1"/>
      <c r="S57" s="1"/>
      <c r="T57" s="1"/>
      <c r="U57" s="1"/>
      <c r="V57" s="1"/>
      <c r="W57" s="1"/>
      <c r="X57" s="1"/>
      <c r="AE57" s="176"/>
    </row>
    <row r="58" spans="2:31">
      <c r="B58" s="1">
        <v>55</v>
      </c>
      <c r="C58" s="1" t="s">
        <v>675</v>
      </c>
      <c r="D58" s="1" t="s">
        <v>792</v>
      </c>
      <c r="E58" s="1" t="s">
        <v>1455</v>
      </c>
      <c r="F58" s="1" t="s">
        <v>80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80</v>
      </c>
      <c r="M58" s="1">
        <v>85</v>
      </c>
      <c r="N58" s="1" t="s">
        <v>80</v>
      </c>
      <c r="O58" s="1" t="s">
        <v>80</v>
      </c>
      <c r="P58" s="1"/>
      <c r="Q58" s="1"/>
      <c r="R58" s="1"/>
      <c r="S58" s="1"/>
      <c r="T58" s="1"/>
      <c r="U58" s="1"/>
      <c r="V58" s="1"/>
      <c r="W58" s="1"/>
      <c r="X58" s="1"/>
      <c r="AE58" s="176"/>
    </row>
    <row r="59" spans="2:31">
      <c r="B59" s="1">
        <v>56</v>
      </c>
      <c r="C59" s="1" t="s">
        <v>674</v>
      </c>
      <c r="D59" s="1" t="s">
        <v>793</v>
      </c>
      <c r="E59" s="1" t="s">
        <v>1459</v>
      </c>
      <c r="F59" s="1" t="s">
        <v>80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35</v>
      </c>
      <c r="M59" s="1">
        <v>70</v>
      </c>
      <c r="N59" s="1">
        <v>28</v>
      </c>
      <c r="O59" s="1">
        <v>57</v>
      </c>
      <c r="P59" s="1" t="s">
        <v>795</v>
      </c>
      <c r="Q59" s="1"/>
      <c r="R59" s="1"/>
      <c r="S59" s="1"/>
      <c r="T59" s="1"/>
      <c r="U59" s="1"/>
      <c r="V59" s="1"/>
      <c r="W59" s="1"/>
      <c r="X59" s="1"/>
      <c r="AE59" s="176"/>
    </row>
    <row r="60" spans="2:31">
      <c r="B60" s="1">
        <v>57</v>
      </c>
      <c r="C60" s="1" t="s">
        <v>673</v>
      </c>
      <c r="D60" s="1" t="s">
        <v>795</v>
      </c>
      <c r="E60" s="1" t="s">
        <v>1459</v>
      </c>
      <c r="F60" s="1" t="s">
        <v>80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60</v>
      </c>
      <c r="M60" s="1">
        <v>95</v>
      </c>
      <c r="N60" s="1" t="s">
        <v>80</v>
      </c>
      <c r="O60" s="1" t="s">
        <v>80</v>
      </c>
      <c r="P60" s="1"/>
      <c r="Q60" s="1"/>
      <c r="R60" s="1"/>
      <c r="S60" s="1"/>
      <c r="T60" s="1"/>
      <c r="U60" s="1"/>
      <c r="V60" s="1"/>
      <c r="W60" s="1"/>
      <c r="X60" s="1"/>
      <c r="AE60" s="176"/>
    </row>
    <row r="61" spans="2:31">
      <c r="B61" s="1">
        <v>58</v>
      </c>
      <c r="C61" s="1" t="s">
        <v>672</v>
      </c>
      <c r="D61" s="1" t="s">
        <v>796</v>
      </c>
      <c r="E61" s="1" t="s">
        <v>1456</v>
      </c>
      <c r="F61" s="1" t="s">
        <v>80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50</v>
      </c>
      <c r="M61" s="1">
        <v>60</v>
      </c>
      <c r="N61" s="1">
        <v>30</v>
      </c>
      <c r="O61" s="1">
        <v>59</v>
      </c>
      <c r="P61" s="1" t="s">
        <v>797</v>
      </c>
      <c r="Q61" s="1" t="b">
        <v>1</v>
      </c>
      <c r="R61" s="1"/>
      <c r="S61" s="1"/>
      <c r="T61" s="1"/>
      <c r="U61" s="1"/>
      <c r="V61" s="1"/>
      <c r="W61" s="1"/>
      <c r="X61" s="1"/>
      <c r="AE61" s="176"/>
    </row>
    <row r="62" spans="2:31">
      <c r="B62" s="1">
        <v>59</v>
      </c>
      <c r="C62" s="1" t="s">
        <v>671</v>
      </c>
      <c r="D62" s="1" t="s">
        <v>797</v>
      </c>
      <c r="E62" s="1" t="s">
        <v>1456</v>
      </c>
      <c r="F62" s="1" t="s">
        <v>80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80</v>
      </c>
      <c r="M62" s="1">
        <v>95</v>
      </c>
      <c r="N62" s="1" t="s">
        <v>80</v>
      </c>
      <c r="O62" s="1" t="s">
        <v>80</v>
      </c>
      <c r="P62" s="1"/>
      <c r="Q62" s="1"/>
      <c r="R62" s="1"/>
      <c r="S62" s="1"/>
      <c r="T62" s="1"/>
      <c r="U62" s="1"/>
      <c r="V62" s="1"/>
      <c r="W62" s="1"/>
      <c r="X62" s="1"/>
      <c r="AE62" s="176"/>
    </row>
    <row r="63" spans="2:31">
      <c r="B63" s="1">
        <v>60</v>
      </c>
      <c r="C63" s="1" t="s">
        <v>670</v>
      </c>
      <c r="D63" s="1" t="s">
        <v>798</v>
      </c>
      <c r="E63" s="1" t="s">
        <v>1455</v>
      </c>
      <c r="F63" s="1" t="s">
        <v>80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799</v>
      </c>
      <c r="Q63" s="1"/>
      <c r="R63" s="1"/>
      <c r="S63" s="1"/>
      <c r="T63" s="1"/>
      <c r="U63" s="1"/>
      <c r="V63" s="1"/>
      <c r="W63" s="1"/>
      <c r="X63" s="1"/>
      <c r="AE63" s="176"/>
    </row>
    <row r="64" spans="2:31">
      <c r="B64" s="1">
        <v>61</v>
      </c>
      <c r="C64" s="1" t="s">
        <v>669</v>
      </c>
      <c r="D64" s="1" t="s">
        <v>799</v>
      </c>
      <c r="E64" s="1" t="s">
        <v>1455</v>
      </c>
      <c r="F64" s="1" t="s">
        <v>80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50</v>
      </c>
      <c r="M64" s="1">
        <v>90</v>
      </c>
      <c r="N64" s="1">
        <v>30</v>
      </c>
      <c r="O64" s="1">
        <v>62</v>
      </c>
      <c r="P64" s="1" t="s">
        <v>800</v>
      </c>
      <c r="Q64" s="1" t="b">
        <v>1</v>
      </c>
      <c r="R64" s="1"/>
      <c r="S64" s="1"/>
      <c r="T64" s="1"/>
      <c r="U64" s="1"/>
      <c r="V64" s="1"/>
      <c r="W64" s="1"/>
      <c r="X64" s="1"/>
      <c r="AE64" s="176"/>
    </row>
    <row r="65" spans="2:31">
      <c r="B65" s="1">
        <v>62</v>
      </c>
      <c r="C65" s="1" t="s">
        <v>668</v>
      </c>
      <c r="D65" s="1" t="s">
        <v>800</v>
      </c>
      <c r="E65" s="1" t="s">
        <v>1455</v>
      </c>
      <c r="F65" s="1" t="s">
        <v>1881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80</v>
      </c>
      <c r="O65" s="1" t="s">
        <v>80</v>
      </c>
      <c r="P65" s="1" t="s">
        <v>80</v>
      </c>
      <c r="Q65" s="1"/>
      <c r="R65" s="1"/>
      <c r="S65" s="1"/>
      <c r="T65" s="1"/>
      <c r="U65" s="1"/>
      <c r="V65" s="1"/>
      <c r="W65" s="1"/>
      <c r="X65" s="1"/>
      <c r="AE65" s="176"/>
    </row>
    <row r="66" spans="2:31">
      <c r="B66" s="1">
        <v>63</v>
      </c>
      <c r="C66" s="1" t="s">
        <v>667</v>
      </c>
      <c r="D66" s="1" t="s">
        <v>667</v>
      </c>
      <c r="E66" s="1" t="s">
        <v>1454</v>
      </c>
      <c r="F66" s="1" t="s">
        <v>80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105</v>
      </c>
      <c r="M66" s="1">
        <v>90</v>
      </c>
      <c r="N66" s="1">
        <v>16</v>
      </c>
      <c r="O66" s="1">
        <v>64</v>
      </c>
      <c r="P66" s="1" t="s">
        <v>666</v>
      </c>
      <c r="Q66" s="1"/>
      <c r="R66" s="1"/>
      <c r="S66" s="1"/>
      <c r="T66" s="1"/>
      <c r="U66" s="1"/>
      <c r="V66" s="1"/>
      <c r="W66" s="1"/>
      <c r="X66" s="1"/>
      <c r="AE66" s="176"/>
    </row>
    <row r="67" spans="2:31">
      <c r="B67" s="1">
        <v>64</v>
      </c>
      <c r="C67" s="1" t="s">
        <v>666</v>
      </c>
      <c r="D67" s="1" t="s">
        <v>666</v>
      </c>
      <c r="E67" s="1" t="s">
        <v>1454</v>
      </c>
      <c r="F67" s="1" t="s">
        <v>80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120</v>
      </c>
      <c r="M67" s="1">
        <v>105</v>
      </c>
      <c r="N67" s="1">
        <v>30</v>
      </c>
      <c r="O67" s="1">
        <v>65</v>
      </c>
      <c r="P67" s="1" t="s">
        <v>665</v>
      </c>
      <c r="Q67" s="1" t="b">
        <v>1</v>
      </c>
      <c r="R67" s="1"/>
      <c r="S67" s="1"/>
      <c r="T67" s="1"/>
      <c r="U67" s="1"/>
      <c r="V67" s="1"/>
      <c r="W67" s="1"/>
      <c r="X67" s="1"/>
      <c r="AE67" s="176"/>
    </row>
    <row r="68" spans="2:31">
      <c r="B68" s="1">
        <v>65</v>
      </c>
      <c r="C68" s="1" t="s">
        <v>665</v>
      </c>
      <c r="D68" s="1" t="s">
        <v>665</v>
      </c>
      <c r="E68" s="1" t="s">
        <v>1454</v>
      </c>
      <c r="F68" s="1" t="s">
        <v>80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135</v>
      </c>
      <c r="M68" s="1">
        <v>120</v>
      </c>
      <c r="N68" s="1" t="s">
        <v>80</v>
      </c>
      <c r="O68" s="1" t="s">
        <v>80</v>
      </c>
      <c r="P68" s="1" t="s">
        <v>80</v>
      </c>
      <c r="Q68" s="1"/>
      <c r="R68" s="1"/>
      <c r="S68" s="1"/>
      <c r="T68" s="1"/>
      <c r="U68" s="1"/>
      <c r="V68" s="1"/>
      <c r="W68" s="1"/>
      <c r="X68" s="1"/>
      <c r="AE68" s="176"/>
    </row>
    <row r="69" spans="2:31">
      <c r="B69" s="1">
        <v>66</v>
      </c>
      <c r="C69" s="1" t="s">
        <v>664</v>
      </c>
      <c r="D69" s="1" t="s">
        <v>802</v>
      </c>
      <c r="E69" s="1" t="s">
        <v>1459</v>
      </c>
      <c r="F69" s="1" t="s">
        <v>80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803</v>
      </c>
      <c r="Q69" s="1"/>
      <c r="R69" s="1"/>
      <c r="S69" s="1"/>
      <c r="T69" s="1"/>
      <c r="U69" s="1"/>
      <c r="V69" s="1"/>
      <c r="W69" s="1"/>
      <c r="X69" s="1"/>
      <c r="AE69" s="176"/>
    </row>
    <row r="70" spans="2:31">
      <c r="B70" s="1">
        <v>67</v>
      </c>
      <c r="C70" s="1" t="s">
        <v>663</v>
      </c>
      <c r="D70" s="1" t="s">
        <v>803</v>
      </c>
      <c r="E70" s="1" t="s">
        <v>1459</v>
      </c>
      <c r="F70" s="1" t="s">
        <v>80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50</v>
      </c>
      <c r="M70" s="1">
        <v>45</v>
      </c>
      <c r="N70" s="1">
        <v>30</v>
      </c>
      <c r="O70" s="1">
        <v>68</v>
      </c>
      <c r="P70" s="1" t="s">
        <v>804</v>
      </c>
      <c r="Q70" s="1" t="b">
        <v>1</v>
      </c>
      <c r="R70" s="1"/>
      <c r="S70" s="1"/>
      <c r="T70" s="1"/>
      <c r="U70" s="1"/>
      <c r="V70" s="1"/>
      <c r="W70" s="1"/>
      <c r="X70" s="1"/>
      <c r="AE70" s="176"/>
    </row>
    <row r="71" spans="2:31">
      <c r="B71" s="1">
        <v>68</v>
      </c>
      <c r="C71" s="1" t="s">
        <v>662</v>
      </c>
      <c r="D71" s="1" t="s">
        <v>804</v>
      </c>
      <c r="E71" s="1" t="s">
        <v>1459</v>
      </c>
      <c r="F71" s="1" t="s">
        <v>80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65</v>
      </c>
      <c r="M71" s="1">
        <v>55</v>
      </c>
      <c r="N71" s="1" t="s">
        <v>80</v>
      </c>
      <c r="O71" s="1" t="s">
        <v>80</v>
      </c>
      <c r="P71" s="1" t="s">
        <v>80</v>
      </c>
      <c r="Q71" s="1"/>
      <c r="R71" s="1"/>
      <c r="S71" s="1"/>
      <c r="T71" s="1"/>
      <c r="U71" s="1"/>
      <c r="V71" s="1"/>
      <c r="W71" s="1"/>
      <c r="X71" s="1"/>
      <c r="AE71" s="176"/>
    </row>
    <row r="72" spans="2:31">
      <c r="B72" s="1">
        <v>69</v>
      </c>
      <c r="C72" s="1" t="s">
        <v>661</v>
      </c>
      <c r="D72" s="1" t="s">
        <v>805</v>
      </c>
      <c r="E72" s="1" t="s">
        <v>1452</v>
      </c>
      <c r="F72" s="1" t="s">
        <v>742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70</v>
      </c>
      <c r="M72" s="1">
        <v>40</v>
      </c>
      <c r="N72" s="1">
        <v>21</v>
      </c>
      <c r="O72" s="1">
        <v>70</v>
      </c>
      <c r="P72" s="1" t="s">
        <v>806</v>
      </c>
      <c r="Q72" s="1"/>
      <c r="R72" s="1"/>
      <c r="S72" s="1"/>
      <c r="T72" s="1"/>
      <c r="U72" s="1"/>
      <c r="V72" s="1"/>
      <c r="W72" s="1"/>
      <c r="X72" s="1"/>
      <c r="AE72" s="176"/>
    </row>
    <row r="73" spans="2:31">
      <c r="B73" s="1">
        <v>70</v>
      </c>
      <c r="C73" s="1" t="s">
        <v>660</v>
      </c>
      <c r="D73" s="1" t="s">
        <v>806</v>
      </c>
      <c r="E73" s="1" t="s">
        <v>1452</v>
      </c>
      <c r="F73" s="1" t="s">
        <v>742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85</v>
      </c>
      <c r="M73" s="1">
        <v>55</v>
      </c>
      <c r="N73" s="1">
        <v>30</v>
      </c>
      <c r="O73" s="1">
        <v>71</v>
      </c>
      <c r="P73" s="1" t="s">
        <v>807</v>
      </c>
      <c r="Q73" s="1" t="b">
        <v>1</v>
      </c>
      <c r="R73" s="1"/>
      <c r="S73" s="1"/>
      <c r="T73" s="1"/>
      <c r="U73" s="1"/>
      <c r="V73" s="1"/>
      <c r="W73" s="1"/>
      <c r="X73" s="1"/>
      <c r="AE73" s="176"/>
    </row>
    <row r="74" spans="2:31">
      <c r="B74" s="1">
        <v>71</v>
      </c>
      <c r="C74" s="1" t="s">
        <v>659</v>
      </c>
      <c r="D74" s="1" t="s">
        <v>807</v>
      </c>
      <c r="E74" s="1" t="s">
        <v>1452</v>
      </c>
      <c r="F74" s="1" t="s">
        <v>742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100</v>
      </c>
      <c r="M74" s="1">
        <v>70</v>
      </c>
      <c r="N74" s="1" t="s">
        <v>80</v>
      </c>
      <c r="O74" s="1" t="s">
        <v>80</v>
      </c>
      <c r="P74" s="1" t="s">
        <v>80</v>
      </c>
      <c r="Q74" s="1"/>
      <c r="R74" s="1"/>
      <c r="S74" s="1"/>
      <c r="T74" s="1"/>
      <c r="U74" s="1"/>
      <c r="V74" s="1"/>
      <c r="W74" s="1"/>
      <c r="X74" s="1"/>
      <c r="AE74" s="176"/>
    </row>
    <row r="75" spans="2:31">
      <c r="B75" s="1">
        <v>72</v>
      </c>
      <c r="C75" s="1" t="s">
        <v>658</v>
      </c>
      <c r="D75" s="1" t="s">
        <v>658</v>
      </c>
      <c r="E75" s="1" t="s">
        <v>1455</v>
      </c>
      <c r="F75" s="1" t="s">
        <v>742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100</v>
      </c>
      <c r="M75" s="1">
        <v>70</v>
      </c>
      <c r="N75" s="1">
        <v>30</v>
      </c>
      <c r="O75" s="1">
        <v>73</v>
      </c>
      <c r="P75" s="1" t="s">
        <v>657</v>
      </c>
      <c r="Q75" s="1"/>
      <c r="R75" s="1"/>
      <c r="S75" s="1"/>
      <c r="T75" s="1"/>
      <c r="U75" s="1"/>
      <c r="V75" s="1"/>
      <c r="W75" s="1"/>
      <c r="X75" s="1"/>
      <c r="AE75" s="176"/>
    </row>
    <row r="76" spans="2:31">
      <c r="B76" s="1">
        <v>73</v>
      </c>
      <c r="C76" s="1" t="s">
        <v>657</v>
      </c>
      <c r="D76" s="1" t="s">
        <v>657</v>
      </c>
      <c r="E76" s="1" t="s">
        <v>1455</v>
      </c>
      <c r="F76" s="1" t="s">
        <v>742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120</v>
      </c>
      <c r="M76" s="1">
        <v>100</v>
      </c>
      <c r="N76" s="1" t="s">
        <v>80</v>
      </c>
      <c r="O76" s="1" t="s">
        <v>80</v>
      </c>
      <c r="P76" s="1"/>
      <c r="Q76" s="1"/>
      <c r="R76" s="1"/>
      <c r="S76" s="1"/>
      <c r="T76" s="1"/>
      <c r="U76" s="1"/>
      <c r="V76" s="1"/>
      <c r="W76" s="1"/>
      <c r="X76" s="1"/>
      <c r="AE76" s="176"/>
    </row>
    <row r="77" spans="2:31">
      <c r="B77" s="1">
        <v>74</v>
      </c>
      <c r="C77" s="1" t="s">
        <v>656</v>
      </c>
      <c r="D77" s="1" t="s">
        <v>808</v>
      </c>
      <c r="E77" s="1" t="s">
        <v>1457</v>
      </c>
      <c r="F77" s="1" t="s">
        <v>1448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30</v>
      </c>
      <c r="M77" s="1">
        <v>20</v>
      </c>
      <c r="N77" s="1">
        <v>25</v>
      </c>
      <c r="O77" s="1">
        <v>75</v>
      </c>
      <c r="P77" s="1" t="s">
        <v>810</v>
      </c>
      <c r="Q77" s="1"/>
      <c r="R77" s="1"/>
      <c r="S77" s="1"/>
      <c r="T77" s="1"/>
      <c r="U77" s="1"/>
      <c r="V77" s="1"/>
      <c r="W77" s="1"/>
      <c r="X77" s="1"/>
      <c r="AE77" s="176"/>
    </row>
    <row r="78" spans="2:31">
      <c r="B78" s="1">
        <v>75</v>
      </c>
      <c r="C78" s="1" t="s">
        <v>655</v>
      </c>
      <c r="D78" s="1" t="s">
        <v>810</v>
      </c>
      <c r="E78" s="1" t="s">
        <v>1457</v>
      </c>
      <c r="F78" s="1" t="s">
        <v>1448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45</v>
      </c>
      <c r="M78" s="1">
        <v>35</v>
      </c>
      <c r="N78" s="1">
        <v>30</v>
      </c>
      <c r="O78" s="1">
        <v>76</v>
      </c>
      <c r="P78" s="1" t="s">
        <v>811</v>
      </c>
      <c r="Q78" s="1" t="b">
        <v>1</v>
      </c>
      <c r="R78" s="1"/>
      <c r="S78" s="1"/>
      <c r="T78" s="1"/>
      <c r="U78" s="1"/>
      <c r="V78" s="1"/>
      <c r="W78" s="1"/>
      <c r="X78" s="1"/>
      <c r="AE78" s="176"/>
    </row>
    <row r="79" spans="2:31">
      <c r="B79" s="1">
        <v>76</v>
      </c>
      <c r="C79" s="1" t="s">
        <v>654</v>
      </c>
      <c r="D79" s="1" t="s">
        <v>811</v>
      </c>
      <c r="E79" s="1" t="s">
        <v>1457</v>
      </c>
      <c r="F79" s="1" t="s">
        <v>1448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55</v>
      </c>
      <c r="M79" s="1">
        <v>45</v>
      </c>
      <c r="N79" s="1" t="s">
        <v>80</v>
      </c>
      <c r="O79" s="1" t="s">
        <v>80</v>
      </c>
      <c r="P79" s="1" t="s">
        <v>80</v>
      </c>
      <c r="Q79" s="1"/>
      <c r="R79" s="1"/>
      <c r="S79" s="1"/>
      <c r="T79" s="1"/>
      <c r="U79" s="1"/>
      <c r="V79" s="1"/>
      <c r="W79" s="1"/>
      <c r="X79" s="1"/>
      <c r="AE79" s="176"/>
    </row>
    <row r="80" spans="2:31">
      <c r="B80" s="1">
        <v>77</v>
      </c>
      <c r="C80" s="1" t="s">
        <v>653</v>
      </c>
      <c r="D80" s="1" t="s">
        <v>653</v>
      </c>
      <c r="E80" s="1" t="s">
        <v>1456</v>
      </c>
      <c r="F80" s="1" t="s">
        <v>80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65</v>
      </c>
      <c r="M80" s="1">
        <v>90</v>
      </c>
      <c r="N80" s="1">
        <v>40</v>
      </c>
      <c r="O80" s="1">
        <v>78</v>
      </c>
      <c r="P80" s="1" t="s">
        <v>812</v>
      </c>
      <c r="Q80" s="1"/>
      <c r="R80" s="1"/>
      <c r="S80" s="1"/>
      <c r="T80" s="1"/>
      <c r="U80" s="1"/>
      <c r="V80" s="1"/>
      <c r="W80" s="1"/>
      <c r="X80" s="1"/>
      <c r="AE80" s="176"/>
    </row>
    <row r="81" spans="2:31">
      <c r="B81" s="1">
        <v>78</v>
      </c>
      <c r="C81" s="1" t="s">
        <v>652</v>
      </c>
      <c r="D81" s="1" t="s">
        <v>812</v>
      </c>
      <c r="E81" s="1" t="s">
        <v>1456</v>
      </c>
      <c r="F81" s="1" t="s">
        <v>80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80</v>
      </c>
      <c r="M81" s="1">
        <v>105</v>
      </c>
      <c r="N81" s="1" t="s">
        <v>80</v>
      </c>
      <c r="O81" s="1" t="s">
        <v>80</v>
      </c>
      <c r="P81" s="1"/>
      <c r="Q81" s="1"/>
      <c r="R81" s="1"/>
      <c r="S81" s="1"/>
      <c r="T81" s="1"/>
      <c r="U81" s="1"/>
      <c r="V81" s="1"/>
      <c r="W81" s="1"/>
      <c r="X81" s="1"/>
      <c r="AE81" s="176"/>
    </row>
    <row r="82" spans="2:31">
      <c r="B82" s="1">
        <v>79</v>
      </c>
      <c r="C82" s="1" t="s">
        <v>651</v>
      </c>
      <c r="D82" s="1" t="s">
        <v>813</v>
      </c>
      <c r="E82" s="1" t="s">
        <v>1455</v>
      </c>
      <c r="F82" s="1" t="s">
        <v>1454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40</v>
      </c>
      <c r="M82" s="1">
        <v>15</v>
      </c>
      <c r="N82" s="1">
        <v>37</v>
      </c>
      <c r="O82" s="1">
        <v>80</v>
      </c>
      <c r="P82" s="240" t="s">
        <v>814</v>
      </c>
      <c r="Q82" s="1"/>
      <c r="R82" s="1"/>
      <c r="S82" s="1"/>
      <c r="T82" s="1"/>
      <c r="U82" s="1"/>
      <c r="V82" s="1"/>
      <c r="W82" s="1"/>
      <c r="X82" s="1"/>
      <c r="AE82" s="176"/>
    </row>
    <row r="83" spans="2:31">
      <c r="B83" s="1">
        <v>80</v>
      </c>
      <c r="C83" s="1" t="s">
        <v>650</v>
      </c>
      <c r="D83" s="1" t="s">
        <v>814</v>
      </c>
      <c r="E83" s="1" t="s">
        <v>1455</v>
      </c>
      <c r="F83" s="1" t="s">
        <v>1454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80</v>
      </c>
      <c r="M83" s="1">
        <v>30</v>
      </c>
      <c r="N83" s="1" t="s">
        <v>80</v>
      </c>
      <c r="O83" s="1" t="s">
        <v>80</v>
      </c>
      <c r="P83" s="1" t="s">
        <v>80</v>
      </c>
      <c r="Q83" s="1"/>
      <c r="R83" s="1"/>
      <c r="S83" s="1"/>
      <c r="T83" s="1"/>
      <c r="U83" s="1"/>
      <c r="V83" s="1"/>
      <c r="W83" s="1"/>
      <c r="X83" s="1"/>
      <c r="AE83" s="176"/>
    </row>
    <row r="84" spans="2:31">
      <c r="B84" s="1">
        <v>81</v>
      </c>
      <c r="C84" s="1" t="s">
        <v>649</v>
      </c>
      <c r="D84" s="1" t="s">
        <v>815</v>
      </c>
      <c r="E84" s="1" t="s">
        <v>1880</v>
      </c>
      <c r="F84" s="1" t="s">
        <v>1882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95</v>
      </c>
      <c r="M84" s="1">
        <v>45</v>
      </c>
      <c r="N84" s="1">
        <v>30</v>
      </c>
      <c r="O84" s="1">
        <v>82</v>
      </c>
      <c r="P84" s="1" t="s">
        <v>817</v>
      </c>
      <c r="Q84" s="1"/>
      <c r="R84" s="1"/>
      <c r="S84" s="1"/>
      <c r="T84" s="1"/>
      <c r="U84" s="1"/>
      <c r="V84" s="1"/>
      <c r="W84" s="1"/>
      <c r="X84" s="1"/>
      <c r="AE84" s="176"/>
    </row>
    <row r="85" spans="2:31">
      <c r="B85" s="1">
        <v>82</v>
      </c>
      <c r="C85" s="1" t="s">
        <v>648</v>
      </c>
      <c r="D85" s="1" t="s">
        <v>817</v>
      </c>
      <c r="E85" s="1" t="s">
        <v>1880</v>
      </c>
      <c r="F85" s="1" t="s">
        <v>1882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120</v>
      </c>
      <c r="M85" s="1">
        <v>70</v>
      </c>
      <c r="N85" s="1">
        <v>30</v>
      </c>
      <c r="O85" s="1">
        <v>462</v>
      </c>
      <c r="P85" s="1" t="s">
        <v>1114</v>
      </c>
      <c r="Q85" s="1" t="b">
        <v>1</v>
      </c>
      <c r="R85" s="1"/>
      <c r="S85" s="1"/>
      <c r="T85" s="1"/>
      <c r="U85" s="1"/>
      <c r="V85" s="1"/>
      <c r="W85" s="1"/>
      <c r="X85" s="1"/>
      <c r="AE85" s="176"/>
    </row>
    <row r="86" spans="2:31">
      <c r="B86" s="1">
        <v>83</v>
      </c>
      <c r="C86" s="1" t="s">
        <v>647</v>
      </c>
      <c r="D86" s="1" t="s">
        <v>818</v>
      </c>
      <c r="E86" s="1" t="s">
        <v>763</v>
      </c>
      <c r="F86" s="1" t="s">
        <v>1453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58</v>
      </c>
      <c r="M86" s="1">
        <v>60</v>
      </c>
      <c r="N86" s="1" t="s">
        <v>80</v>
      </c>
      <c r="O86" s="1" t="s">
        <v>80</v>
      </c>
      <c r="P86" s="1"/>
      <c r="Q86" s="1"/>
      <c r="R86" s="1"/>
      <c r="S86" s="1"/>
      <c r="T86" s="1"/>
      <c r="U86" s="1"/>
      <c r="V86" s="1"/>
      <c r="W86" s="1"/>
      <c r="X86" s="1"/>
      <c r="AE86" s="176"/>
    </row>
    <row r="87" spans="2:31">
      <c r="B87" s="1">
        <v>84</v>
      </c>
      <c r="C87" s="1" t="s">
        <v>646</v>
      </c>
      <c r="D87" s="1" t="s">
        <v>646</v>
      </c>
      <c r="E87" s="1" t="s">
        <v>763</v>
      </c>
      <c r="F87" s="1" t="s">
        <v>1453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35</v>
      </c>
      <c r="M87" s="1">
        <v>75</v>
      </c>
      <c r="N87" s="1">
        <v>31</v>
      </c>
      <c r="O87" s="1">
        <v>85</v>
      </c>
      <c r="P87" s="1" t="s">
        <v>645</v>
      </c>
      <c r="Q87" s="1"/>
      <c r="R87" s="1"/>
      <c r="S87" s="1"/>
      <c r="T87" s="1"/>
      <c r="U87" s="1"/>
      <c r="V87" s="1"/>
      <c r="W87" s="1"/>
      <c r="X87" s="1"/>
      <c r="AE87" s="176"/>
    </row>
    <row r="88" spans="2:31">
      <c r="B88" s="1">
        <v>85</v>
      </c>
      <c r="C88" s="1" t="s">
        <v>645</v>
      </c>
      <c r="D88" s="1" t="s">
        <v>645</v>
      </c>
      <c r="E88" s="1" t="s">
        <v>763</v>
      </c>
      <c r="F88" s="1" t="s">
        <v>1453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60</v>
      </c>
      <c r="M88" s="1">
        <v>100</v>
      </c>
      <c r="N88" s="1" t="s">
        <v>80</v>
      </c>
      <c r="O88" s="1" t="s">
        <v>80</v>
      </c>
      <c r="P88" s="1"/>
      <c r="Q88" s="1"/>
      <c r="R88" s="1"/>
      <c r="S88" s="1"/>
      <c r="T88" s="1"/>
      <c r="U88" s="1"/>
      <c r="V88" s="1"/>
      <c r="W88" s="1"/>
      <c r="X88" s="1"/>
      <c r="AE88" s="176"/>
    </row>
    <row r="89" spans="2:31">
      <c r="B89" s="1">
        <v>86</v>
      </c>
      <c r="C89" s="1" t="s">
        <v>644</v>
      </c>
      <c r="D89" s="1" t="s">
        <v>819</v>
      </c>
      <c r="E89" s="1" t="s">
        <v>1455</v>
      </c>
      <c r="F89" s="1" t="s">
        <v>80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70</v>
      </c>
      <c r="M89" s="1">
        <v>45</v>
      </c>
      <c r="N89" s="1">
        <v>34</v>
      </c>
      <c r="O89" s="1">
        <v>87</v>
      </c>
      <c r="P89" s="1" t="s">
        <v>820</v>
      </c>
      <c r="Q89" s="1"/>
      <c r="R89" s="1"/>
      <c r="S89" s="1"/>
      <c r="T89" s="1"/>
      <c r="U89" s="1"/>
      <c r="V89" s="1"/>
      <c r="W89" s="1"/>
      <c r="X89" s="1"/>
      <c r="AE89" s="176"/>
    </row>
    <row r="90" spans="2:31">
      <c r="B90" s="1">
        <v>87</v>
      </c>
      <c r="C90" s="1" t="s">
        <v>643</v>
      </c>
      <c r="D90" s="1" t="s">
        <v>820</v>
      </c>
      <c r="E90" s="1" t="s">
        <v>1455</v>
      </c>
      <c r="F90" s="1" t="s">
        <v>1460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95</v>
      </c>
      <c r="M90" s="1">
        <v>70</v>
      </c>
      <c r="N90" s="1" t="s">
        <v>80</v>
      </c>
      <c r="O90" s="1" t="s">
        <v>80</v>
      </c>
      <c r="P90" s="1"/>
      <c r="Q90" s="1"/>
      <c r="R90" s="1"/>
      <c r="S90" s="1"/>
      <c r="T90" s="1"/>
      <c r="U90" s="1"/>
      <c r="V90" s="1"/>
      <c r="W90" s="1"/>
      <c r="X90" s="1"/>
      <c r="AE90" s="176"/>
    </row>
    <row r="91" spans="2:31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40</v>
      </c>
      <c r="M91" s="1">
        <v>25</v>
      </c>
      <c r="N91" s="1">
        <v>38</v>
      </c>
      <c r="O91" s="1">
        <v>89</v>
      </c>
      <c r="P91" s="1" t="s">
        <v>823</v>
      </c>
      <c r="Q91" s="1"/>
      <c r="R91" s="1"/>
      <c r="S91" s="1"/>
      <c r="T91" s="1"/>
      <c r="U91" s="1"/>
      <c r="V91" s="1"/>
      <c r="W91" s="1"/>
      <c r="X91" s="1"/>
      <c r="AE91" s="176"/>
    </row>
    <row r="92" spans="2:31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65</v>
      </c>
      <c r="M92" s="1">
        <v>50</v>
      </c>
      <c r="N92" s="1" t="s">
        <v>80</v>
      </c>
      <c r="O92" s="1" t="s">
        <v>80</v>
      </c>
      <c r="P92" s="1"/>
      <c r="Q92" s="1"/>
      <c r="R92" s="1"/>
      <c r="S92" s="1"/>
      <c r="T92" s="1"/>
      <c r="U92" s="1"/>
      <c r="V92" s="1"/>
      <c r="W92" s="1"/>
      <c r="X92" s="1"/>
      <c r="AE92" s="176"/>
    </row>
    <row r="93" spans="2:31">
      <c r="B93" s="1">
        <v>90</v>
      </c>
      <c r="C93" s="1" t="s">
        <v>640</v>
      </c>
      <c r="D93" s="1" t="s">
        <v>824</v>
      </c>
      <c r="E93" s="1" t="s">
        <v>1455</v>
      </c>
      <c r="F93" s="1" t="s">
        <v>80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45</v>
      </c>
      <c r="M93" s="1">
        <v>40</v>
      </c>
      <c r="N93" s="1">
        <v>30</v>
      </c>
      <c r="O93" s="1">
        <v>91</v>
      </c>
      <c r="P93" s="1" t="s">
        <v>825</v>
      </c>
      <c r="Q93" s="1" t="b">
        <v>1</v>
      </c>
      <c r="R93" s="1"/>
      <c r="S93" s="1"/>
      <c r="T93" s="1"/>
      <c r="U93" s="1"/>
      <c r="V93" s="1"/>
      <c r="W93" s="1"/>
      <c r="X93" s="1"/>
      <c r="AE93" s="176"/>
    </row>
    <row r="94" spans="2:31">
      <c r="B94" s="1">
        <v>91</v>
      </c>
      <c r="C94" s="1" t="s">
        <v>639</v>
      </c>
      <c r="D94" s="1" t="s">
        <v>825</v>
      </c>
      <c r="E94" s="1" t="s">
        <v>1455</v>
      </c>
      <c r="F94" s="1" t="s">
        <v>1460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85</v>
      </c>
      <c r="M94" s="1">
        <v>70</v>
      </c>
      <c r="N94" s="1" t="s">
        <v>80</v>
      </c>
      <c r="O94" s="1" t="s">
        <v>80</v>
      </c>
      <c r="P94" s="1"/>
      <c r="Q94" s="1"/>
      <c r="R94" s="1"/>
      <c r="S94" s="1"/>
      <c r="T94" s="1"/>
      <c r="U94" s="1"/>
      <c r="V94" s="1"/>
      <c r="W94" s="1"/>
      <c r="X94" s="1"/>
      <c r="AE94" s="176"/>
    </row>
    <row r="95" spans="2:31">
      <c r="B95" s="1">
        <v>92</v>
      </c>
      <c r="C95" s="1" t="s">
        <v>638</v>
      </c>
      <c r="D95" s="1" t="s">
        <v>826</v>
      </c>
      <c r="E95" s="1" t="s">
        <v>1463</v>
      </c>
      <c r="F95" s="1" t="s">
        <v>742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100</v>
      </c>
      <c r="M95" s="1">
        <v>80</v>
      </c>
      <c r="N95" s="1">
        <v>25</v>
      </c>
      <c r="O95" s="1">
        <v>93</v>
      </c>
      <c r="P95" s="1" t="s">
        <v>828</v>
      </c>
      <c r="Q95" s="1"/>
      <c r="R95" s="1"/>
      <c r="S95" s="1"/>
      <c r="T95" s="1"/>
      <c r="U95" s="1"/>
      <c r="V95" s="1"/>
      <c r="W95" s="1"/>
      <c r="X95" s="1"/>
      <c r="AE95" s="176"/>
    </row>
    <row r="96" spans="2:31">
      <c r="B96" s="1">
        <v>93</v>
      </c>
      <c r="C96" s="1" t="s">
        <v>637</v>
      </c>
      <c r="D96" s="1" t="s">
        <v>828</v>
      </c>
      <c r="E96" s="1" t="s">
        <v>1463</v>
      </c>
      <c r="F96" s="1" t="s">
        <v>742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115</v>
      </c>
      <c r="M96" s="1">
        <v>95</v>
      </c>
      <c r="N96" s="1">
        <v>30</v>
      </c>
      <c r="O96" s="1">
        <v>94</v>
      </c>
      <c r="P96" s="1" t="s">
        <v>829</v>
      </c>
      <c r="Q96" s="1" t="b">
        <v>1</v>
      </c>
      <c r="R96" s="1"/>
      <c r="S96" s="1"/>
      <c r="T96" s="1"/>
      <c r="U96" s="1"/>
      <c r="V96" s="1"/>
      <c r="W96" s="1"/>
      <c r="X96" s="1"/>
      <c r="AE96" s="176"/>
    </row>
    <row r="97" spans="2:31">
      <c r="B97" s="1">
        <v>94</v>
      </c>
      <c r="C97" s="1" t="s">
        <v>636</v>
      </c>
      <c r="D97" s="1" t="s">
        <v>829</v>
      </c>
      <c r="E97" s="1" t="s">
        <v>1463</v>
      </c>
      <c r="F97" s="1" t="s">
        <v>742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130</v>
      </c>
      <c r="M97" s="1">
        <v>110</v>
      </c>
      <c r="N97" s="1" t="s">
        <v>80</v>
      </c>
      <c r="O97" s="1" t="s">
        <v>80</v>
      </c>
      <c r="P97" s="1" t="s">
        <v>80</v>
      </c>
      <c r="Q97" s="1"/>
      <c r="R97" s="1"/>
      <c r="S97" s="1"/>
      <c r="T97" s="1"/>
      <c r="U97" s="1"/>
      <c r="V97" s="1"/>
      <c r="W97" s="1"/>
      <c r="X97" s="1"/>
      <c r="AE97" s="176"/>
    </row>
    <row r="98" spans="2:31">
      <c r="B98" s="1">
        <v>95</v>
      </c>
      <c r="C98" s="1" t="s">
        <v>635</v>
      </c>
      <c r="D98" s="1" t="s">
        <v>635</v>
      </c>
      <c r="E98" s="1" t="s">
        <v>1457</v>
      </c>
      <c r="F98" s="1" t="s">
        <v>1448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30</v>
      </c>
      <c r="M98" s="1">
        <v>70</v>
      </c>
      <c r="N98" s="1">
        <v>30</v>
      </c>
      <c r="O98" s="1">
        <v>208</v>
      </c>
      <c r="P98" s="1" t="s">
        <v>522</v>
      </c>
      <c r="Q98" s="1" t="b">
        <v>1</v>
      </c>
      <c r="R98" s="1"/>
      <c r="S98" s="1"/>
      <c r="T98" s="1"/>
      <c r="U98" s="1"/>
      <c r="V98" s="1"/>
      <c r="W98" s="1"/>
      <c r="X98" s="1"/>
      <c r="AE98" s="176"/>
    </row>
    <row r="99" spans="2:31">
      <c r="B99" s="1">
        <v>96</v>
      </c>
      <c r="C99" s="1" t="s">
        <v>634</v>
      </c>
      <c r="D99" s="1" t="s">
        <v>830</v>
      </c>
      <c r="E99" s="1" t="s">
        <v>1454</v>
      </c>
      <c r="F99" s="1" t="s">
        <v>80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90</v>
      </c>
      <c r="M99" s="1">
        <v>42</v>
      </c>
      <c r="N99" s="1">
        <v>26</v>
      </c>
      <c r="O99" s="1">
        <v>97</v>
      </c>
      <c r="P99" s="1" t="s">
        <v>831</v>
      </c>
      <c r="Q99" s="1"/>
      <c r="R99" s="1"/>
      <c r="S99" s="1"/>
      <c r="T99" s="1"/>
      <c r="U99" s="1"/>
      <c r="V99" s="1"/>
      <c r="W99" s="1"/>
      <c r="X99" s="1"/>
      <c r="AE99" s="176"/>
    </row>
    <row r="100" spans="2:31">
      <c r="B100" s="1">
        <v>97</v>
      </c>
      <c r="C100" s="1" t="s">
        <v>633</v>
      </c>
      <c r="D100" s="1" t="s">
        <v>831</v>
      </c>
      <c r="E100" s="1" t="s">
        <v>1454</v>
      </c>
      <c r="F100" s="1" t="s">
        <v>80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115</v>
      </c>
      <c r="M100" s="1">
        <v>67</v>
      </c>
      <c r="N100" s="1" t="s">
        <v>80</v>
      </c>
      <c r="O100" s="1" t="s">
        <v>80</v>
      </c>
      <c r="P100" s="1"/>
      <c r="Q100" s="1"/>
      <c r="R100" s="1"/>
      <c r="S100" s="1"/>
      <c r="T100" s="1"/>
      <c r="U100" s="1"/>
      <c r="V100" s="1"/>
      <c r="W100" s="1"/>
      <c r="X100" s="1"/>
      <c r="AE100" s="176"/>
    </row>
    <row r="101" spans="2:31">
      <c r="B101" s="1">
        <v>98</v>
      </c>
      <c r="C101" s="1" t="s">
        <v>632</v>
      </c>
      <c r="D101" s="1" t="s">
        <v>632</v>
      </c>
      <c r="E101" s="1" t="s">
        <v>1455</v>
      </c>
      <c r="F101" s="1" t="s">
        <v>80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25</v>
      </c>
      <c r="M101" s="1">
        <v>50</v>
      </c>
      <c r="N101" s="1">
        <v>28</v>
      </c>
      <c r="O101" s="1">
        <v>99</v>
      </c>
      <c r="P101" s="1" t="s">
        <v>832</v>
      </c>
      <c r="Q101" s="1"/>
      <c r="R101" s="1"/>
      <c r="S101" s="1"/>
      <c r="T101" s="1"/>
      <c r="U101" s="1"/>
      <c r="V101" s="1"/>
      <c r="W101" s="1"/>
      <c r="X101" s="1"/>
      <c r="AE101" s="176"/>
    </row>
    <row r="102" spans="2:31">
      <c r="B102" s="1">
        <v>99</v>
      </c>
      <c r="C102" s="1" t="s">
        <v>631</v>
      </c>
      <c r="D102" s="1" t="s">
        <v>832</v>
      </c>
      <c r="E102" s="1" t="s">
        <v>1455</v>
      </c>
      <c r="F102" s="1" t="s">
        <v>80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50</v>
      </c>
      <c r="M102" s="1">
        <v>75</v>
      </c>
      <c r="N102" s="1" t="s">
        <v>80</v>
      </c>
      <c r="O102" s="1" t="s">
        <v>80</v>
      </c>
      <c r="P102" s="1"/>
      <c r="Q102" s="1"/>
      <c r="R102" s="1"/>
      <c r="S102" s="1"/>
      <c r="T102" s="1"/>
      <c r="U102" s="1"/>
      <c r="V102" s="1"/>
      <c r="W102" s="1"/>
      <c r="X102" s="1"/>
      <c r="AE102" s="176"/>
    </row>
    <row r="103" spans="2:31">
      <c r="B103" s="1">
        <v>100</v>
      </c>
      <c r="C103" s="1" t="s">
        <v>630</v>
      </c>
      <c r="D103" s="1" t="s">
        <v>833</v>
      </c>
      <c r="E103" s="1" t="s">
        <v>1880</v>
      </c>
      <c r="F103" s="1" t="s">
        <v>80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55</v>
      </c>
      <c r="M103" s="1">
        <v>100</v>
      </c>
      <c r="N103" s="1">
        <v>30</v>
      </c>
      <c r="O103" s="1">
        <v>101</v>
      </c>
      <c r="P103" s="1" t="s">
        <v>834</v>
      </c>
      <c r="Q103" s="1"/>
      <c r="R103" s="1"/>
      <c r="S103" s="1"/>
      <c r="T103" s="1"/>
      <c r="U103" s="1"/>
      <c r="V103" s="1"/>
      <c r="W103" s="1"/>
      <c r="X103" s="1"/>
      <c r="AE103" s="176"/>
    </row>
    <row r="104" spans="2:31">
      <c r="B104" s="1">
        <v>101</v>
      </c>
      <c r="C104" s="1" t="s">
        <v>629</v>
      </c>
      <c r="D104" s="1" t="s">
        <v>834</v>
      </c>
      <c r="E104" s="1" t="s">
        <v>1880</v>
      </c>
      <c r="F104" s="1" t="s">
        <v>80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80</v>
      </c>
      <c r="M104" s="1">
        <v>140</v>
      </c>
      <c r="N104" s="1" t="s">
        <v>80</v>
      </c>
      <c r="O104" s="1" t="s">
        <v>80</v>
      </c>
      <c r="P104" s="1"/>
      <c r="Q104" s="1"/>
      <c r="R104" s="1"/>
      <c r="S104" s="1"/>
      <c r="T104" s="1"/>
      <c r="U104" s="1"/>
      <c r="V104" s="1"/>
      <c r="W104" s="1"/>
      <c r="X104" s="1"/>
      <c r="AE104" s="176"/>
    </row>
    <row r="105" spans="2:31">
      <c r="B105" s="1">
        <v>102</v>
      </c>
      <c r="C105" s="1" t="s">
        <v>628</v>
      </c>
      <c r="D105" s="1" t="s">
        <v>835</v>
      </c>
      <c r="E105" s="1" t="s">
        <v>1452</v>
      </c>
      <c r="F105" s="1" t="s">
        <v>1454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60</v>
      </c>
      <c r="M105" s="1">
        <v>40</v>
      </c>
      <c r="N105" s="1">
        <v>30</v>
      </c>
      <c r="O105" s="1">
        <v>103</v>
      </c>
      <c r="P105" s="1" t="s">
        <v>836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76"/>
    </row>
    <row r="106" spans="2:31">
      <c r="B106" s="1">
        <v>103</v>
      </c>
      <c r="C106" s="1" t="s">
        <v>627</v>
      </c>
      <c r="D106" s="1" t="s">
        <v>836</v>
      </c>
      <c r="E106" s="1" t="s">
        <v>1452</v>
      </c>
      <c r="F106" s="1" t="s">
        <v>1454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125</v>
      </c>
      <c r="M106" s="1">
        <v>55</v>
      </c>
      <c r="N106" s="1" t="s">
        <v>80</v>
      </c>
      <c r="O106" s="1" t="s">
        <v>80</v>
      </c>
      <c r="P106" s="1"/>
      <c r="Q106" s="1"/>
      <c r="R106" s="1"/>
      <c r="S106" s="1"/>
      <c r="T106" s="1"/>
      <c r="U106" s="1"/>
      <c r="V106" s="1"/>
      <c r="W106" s="1"/>
      <c r="X106" s="1"/>
      <c r="AE106" s="176"/>
    </row>
    <row r="107" spans="2:31">
      <c r="B107" s="1">
        <v>104</v>
      </c>
      <c r="C107" s="1" t="s">
        <v>626</v>
      </c>
      <c r="D107" s="1" t="s">
        <v>837</v>
      </c>
      <c r="E107" s="1" t="s">
        <v>1448</v>
      </c>
      <c r="F107" s="1" t="s">
        <v>80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40</v>
      </c>
      <c r="M107" s="1">
        <v>35</v>
      </c>
      <c r="N107" s="1">
        <v>28</v>
      </c>
      <c r="O107" s="1">
        <v>105</v>
      </c>
      <c r="P107" s="1" t="s">
        <v>838</v>
      </c>
      <c r="Q107" s="1"/>
      <c r="R107" s="1"/>
      <c r="S107" s="1"/>
      <c r="T107" s="1"/>
      <c r="U107" s="1"/>
      <c r="V107" s="1"/>
      <c r="W107" s="1"/>
      <c r="X107" s="1"/>
      <c r="AE107" s="176"/>
    </row>
    <row r="108" spans="2:31">
      <c r="B108" s="1">
        <v>105</v>
      </c>
      <c r="C108" s="1" t="s">
        <v>625</v>
      </c>
      <c r="D108" s="1" t="s">
        <v>838</v>
      </c>
      <c r="E108" s="1" t="s">
        <v>1448</v>
      </c>
      <c r="F108" s="1" t="s">
        <v>80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50</v>
      </c>
      <c r="M108" s="1">
        <v>45</v>
      </c>
      <c r="N108" s="1" t="s">
        <v>80</v>
      </c>
      <c r="O108" s="1" t="s">
        <v>80</v>
      </c>
      <c r="P108" s="1"/>
      <c r="Q108" s="1"/>
      <c r="R108" s="1"/>
      <c r="S108" s="1"/>
      <c r="T108" s="1"/>
      <c r="U108" s="1"/>
      <c r="V108" s="1"/>
      <c r="W108" s="1"/>
      <c r="X108" s="1"/>
      <c r="AE108" s="176"/>
    </row>
    <row r="109" spans="2:31">
      <c r="B109" s="1">
        <v>106</v>
      </c>
      <c r="C109" s="1" t="s">
        <v>624</v>
      </c>
      <c r="D109" s="1" t="s">
        <v>839</v>
      </c>
      <c r="E109" s="1" t="s">
        <v>1459</v>
      </c>
      <c r="F109" s="1" t="s">
        <v>80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35</v>
      </c>
      <c r="M109" s="1">
        <v>87</v>
      </c>
      <c r="N109" s="1" t="s">
        <v>80</v>
      </c>
      <c r="O109" s="1" t="s">
        <v>80</v>
      </c>
      <c r="P109" s="1" t="s">
        <v>80</v>
      </c>
      <c r="Q109" s="1"/>
      <c r="R109" s="1"/>
      <c r="S109" s="1"/>
      <c r="T109" s="1"/>
      <c r="U109" s="1"/>
      <c r="V109" s="1"/>
      <c r="W109" s="1"/>
      <c r="X109" s="1"/>
      <c r="AE109" s="176"/>
    </row>
    <row r="110" spans="2:31">
      <c r="B110" s="1">
        <v>107</v>
      </c>
      <c r="C110" s="1" t="s">
        <v>623</v>
      </c>
      <c r="D110" s="1" t="s">
        <v>840</v>
      </c>
      <c r="E110" s="1" t="s">
        <v>1459</v>
      </c>
      <c r="F110" s="1" t="s">
        <v>80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35</v>
      </c>
      <c r="M110" s="1">
        <v>76</v>
      </c>
      <c r="N110" s="1" t="s">
        <v>80</v>
      </c>
      <c r="O110" s="1" t="s">
        <v>80</v>
      </c>
      <c r="P110" s="1" t="s">
        <v>80</v>
      </c>
      <c r="Q110" s="1"/>
      <c r="R110" s="1"/>
      <c r="S110" s="1"/>
      <c r="T110" s="1"/>
      <c r="U110" s="1"/>
      <c r="V110" s="1"/>
      <c r="W110" s="1"/>
      <c r="X110" s="1"/>
      <c r="AE110" s="176"/>
    </row>
    <row r="111" spans="2:31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60</v>
      </c>
      <c r="M111" s="1">
        <v>30</v>
      </c>
      <c r="N111" s="1">
        <v>30</v>
      </c>
      <c r="O111" s="1">
        <v>463</v>
      </c>
      <c r="P111" s="1" t="s">
        <v>1115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76"/>
    </row>
    <row r="112" spans="2:31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60</v>
      </c>
      <c r="M112" s="1">
        <v>35</v>
      </c>
      <c r="N112" s="1">
        <v>35</v>
      </c>
      <c r="O112" s="1">
        <v>110</v>
      </c>
      <c r="P112" s="1" t="s">
        <v>843</v>
      </c>
      <c r="Q112" s="1"/>
      <c r="R112" s="1"/>
      <c r="S112" s="1"/>
      <c r="T112" s="1"/>
      <c r="U112" s="1"/>
      <c r="V112" s="1"/>
      <c r="W112" s="1"/>
      <c r="X112" s="1"/>
      <c r="AE112" s="176"/>
    </row>
    <row r="113" spans="2:31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85</v>
      </c>
      <c r="M113" s="1">
        <v>60</v>
      </c>
      <c r="N113" s="1" t="s">
        <v>80</v>
      </c>
      <c r="O113" s="1" t="s">
        <v>80</v>
      </c>
      <c r="P113" s="1"/>
      <c r="Q113" s="1"/>
      <c r="R113" s="1"/>
      <c r="S113" s="1"/>
      <c r="T113" s="1"/>
      <c r="U113" s="1"/>
      <c r="V113" s="1"/>
      <c r="W113" s="1"/>
      <c r="X113" s="1"/>
      <c r="AE113" s="176"/>
    </row>
    <row r="114" spans="2:31">
      <c r="B114" s="1">
        <v>111</v>
      </c>
      <c r="C114" s="1" t="s">
        <v>619</v>
      </c>
      <c r="D114" s="1" t="s">
        <v>844</v>
      </c>
      <c r="E114" s="1" t="s">
        <v>1448</v>
      </c>
      <c r="F114" s="1" t="s">
        <v>1457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30</v>
      </c>
      <c r="M114" s="1">
        <v>25</v>
      </c>
      <c r="N114" s="1">
        <v>42</v>
      </c>
      <c r="O114" s="1">
        <v>112</v>
      </c>
      <c r="P114" s="1" t="s">
        <v>845</v>
      </c>
      <c r="Q114" s="1"/>
      <c r="R114" s="1"/>
      <c r="S114" s="1"/>
      <c r="T114" s="1"/>
      <c r="U114" s="1"/>
      <c r="V114" s="1"/>
      <c r="W114" s="1"/>
      <c r="X114" s="1"/>
      <c r="AE114" s="176"/>
    </row>
    <row r="115" spans="2:31">
      <c r="B115" s="1">
        <v>112</v>
      </c>
      <c r="C115" s="1" t="s">
        <v>618</v>
      </c>
      <c r="D115" s="1" t="s">
        <v>845</v>
      </c>
      <c r="E115" s="1" t="s">
        <v>1448</v>
      </c>
      <c r="F115" s="1" t="s">
        <v>1457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45</v>
      </c>
      <c r="M115" s="1">
        <v>40</v>
      </c>
      <c r="N115" s="1">
        <v>30</v>
      </c>
      <c r="O115" s="1">
        <v>464</v>
      </c>
      <c r="P115" s="1" t="s">
        <v>1116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76"/>
    </row>
    <row r="116" spans="2:31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105</v>
      </c>
      <c r="M116" s="1">
        <v>50</v>
      </c>
      <c r="N116" s="1">
        <v>30</v>
      </c>
      <c r="O116" s="1">
        <v>242</v>
      </c>
      <c r="P116" s="1" t="s">
        <v>946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76"/>
    </row>
    <row r="117" spans="2:31">
      <c r="B117" s="1">
        <v>114</v>
      </c>
      <c r="C117" s="1" t="s">
        <v>616</v>
      </c>
      <c r="D117" s="1" t="s">
        <v>847</v>
      </c>
      <c r="E117" s="1" t="s">
        <v>1452</v>
      </c>
      <c r="F117" s="1" t="s">
        <v>80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100</v>
      </c>
      <c r="M117" s="1">
        <v>60</v>
      </c>
      <c r="N117" s="1">
        <v>30</v>
      </c>
      <c r="O117" s="1">
        <v>465</v>
      </c>
      <c r="P117" s="1" t="s">
        <v>1117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76"/>
    </row>
    <row r="118" spans="2:31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40</v>
      </c>
      <c r="M118" s="1">
        <v>90</v>
      </c>
      <c r="N118" s="1" t="s">
        <v>80</v>
      </c>
      <c r="O118" s="1" t="s">
        <v>80</v>
      </c>
      <c r="P118" s="1"/>
      <c r="Q118" s="1"/>
      <c r="R118" s="1"/>
      <c r="S118" s="1"/>
      <c r="T118" s="1"/>
      <c r="U118" s="1"/>
      <c r="V118" s="1"/>
      <c r="W118" s="1"/>
      <c r="X118" s="1"/>
      <c r="AE118" s="176"/>
    </row>
    <row r="119" spans="2:31">
      <c r="B119" s="1">
        <v>116</v>
      </c>
      <c r="C119" s="1" t="s">
        <v>614</v>
      </c>
      <c r="D119" s="1" t="s">
        <v>849</v>
      </c>
      <c r="E119" s="1" t="s">
        <v>1455</v>
      </c>
      <c r="F119" s="1" t="s">
        <v>80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70</v>
      </c>
      <c r="M119" s="1">
        <v>60</v>
      </c>
      <c r="N119" s="1">
        <v>32</v>
      </c>
      <c r="O119" s="1">
        <v>117</v>
      </c>
      <c r="P119" s="1" t="s">
        <v>850</v>
      </c>
      <c r="Q119" s="1"/>
      <c r="R119" s="1"/>
      <c r="S119" s="1"/>
      <c r="T119" s="1"/>
      <c r="U119" s="1"/>
      <c r="V119" s="1"/>
      <c r="W119" s="1"/>
      <c r="X119" s="1"/>
      <c r="AE119" s="176"/>
    </row>
    <row r="120" spans="2:31">
      <c r="B120" s="1">
        <v>117</v>
      </c>
      <c r="C120" s="1" t="s">
        <v>613</v>
      </c>
      <c r="D120" s="1" t="s">
        <v>850</v>
      </c>
      <c r="E120" s="1" t="s">
        <v>1455</v>
      </c>
      <c r="F120" s="1" t="s">
        <v>80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95</v>
      </c>
      <c r="M120" s="1">
        <v>85</v>
      </c>
      <c r="N120" s="1">
        <v>30</v>
      </c>
      <c r="O120" s="1">
        <v>230</v>
      </c>
      <c r="P120" s="1" t="s">
        <v>938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76"/>
    </row>
    <row r="121" spans="2:31">
      <c r="B121" s="1">
        <v>118</v>
      </c>
      <c r="C121" s="1" t="s">
        <v>612</v>
      </c>
      <c r="D121" s="1" t="s">
        <v>851</v>
      </c>
      <c r="E121" s="1" t="s">
        <v>1455</v>
      </c>
      <c r="F121" s="1" t="s">
        <v>80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50</v>
      </c>
      <c r="M121" s="1">
        <v>63</v>
      </c>
      <c r="N121" s="1">
        <v>33</v>
      </c>
      <c r="O121" s="1">
        <v>119</v>
      </c>
      <c r="P121" s="1" t="s">
        <v>852</v>
      </c>
      <c r="Q121" s="1"/>
      <c r="R121" s="1"/>
      <c r="S121" s="1"/>
      <c r="T121" s="1"/>
      <c r="U121" s="1"/>
      <c r="V121" s="1"/>
      <c r="W121" s="1"/>
      <c r="X121" s="1"/>
      <c r="AE121" s="176"/>
    </row>
    <row r="122" spans="2:31">
      <c r="B122" s="1">
        <v>119</v>
      </c>
      <c r="C122" s="1" t="s">
        <v>611</v>
      </c>
      <c r="D122" s="1" t="s">
        <v>852</v>
      </c>
      <c r="E122" s="1" t="s">
        <v>1455</v>
      </c>
      <c r="F122" s="1" t="s">
        <v>80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80</v>
      </c>
      <c r="M122" s="1">
        <v>68</v>
      </c>
      <c r="N122" s="1" t="s">
        <v>80</v>
      </c>
      <c r="O122" s="1" t="s">
        <v>80</v>
      </c>
      <c r="P122" s="1"/>
      <c r="Q122" s="1"/>
      <c r="R122" s="1"/>
      <c r="S122" s="1"/>
      <c r="T122" s="1"/>
      <c r="U122" s="1"/>
      <c r="V122" s="1"/>
      <c r="W122" s="1"/>
      <c r="X122" s="1"/>
      <c r="AE122" s="176"/>
    </row>
    <row r="123" spans="2:31">
      <c r="B123" s="1">
        <v>120</v>
      </c>
      <c r="C123" s="1" t="s">
        <v>610</v>
      </c>
      <c r="D123" s="1" t="s">
        <v>853</v>
      </c>
      <c r="E123" s="1" t="s">
        <v>1455</v>
      </c>
      <c r="F123" s="1" t="s">
        <v>80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70</v>
      </c>
      <c r="M123" s="1">
        <v>85</v>
      </c>
      <c r="N123" s="1">
        <v>30</v>
      </c>
      <c r="O123" s="1">
        <v>121</v>
      </c>
      <c r="P123" s="1" t="s">
        <v>854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76"/>
    </row>
    <row r="124" spans="2:31">
      <c r="B124" s="1">
        <v>121</v>
      </c>
      <c r="C124" s="1" t="s">
        <v>609</v>
      </c>
      <c r="D124" s="1" t="s">
        <v>854</v>
      </c>
      <c r="E124" s="1" t="s">
        <v>1455</v>
      </c>
      <c r="F124" s="1" t="s">
        <v>1454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100</v>
      </c>
      <c r="M124" s="1">
        <v>115</v>
      </c>
      <c r="N124" s="1" t="s">
        <v>80</v>
      </c>
      <c r="O124" s="1" t="s">
        <v>80</v>
      </c>
      <c r="P124" s="1"/>
      <c r="Q124" s="1"/>
      <c r="R124" s="1"/>
      <c r="S124" s="1"/>
      <c r="T124" s="1"/>
      <c r="U124" s="1"/>
      <c r="V124" s="1"/>
      <c r="W124" s="1"/>
      <c r="X124" s="1"/>
      <c r="AE124" s="176"/>
    </row>
    <row r="125" spans="2:31">
      <c r="B125" s="1">
        <v>122</v>
      </c>
      <c r="C125" s="1" t="s">
        <v>608</v>
      </c>
      <c r="D125" s="1" t="s">
        <v>855</v>
      </c>
      <c r="E125" s="1" t="s">
        <v>1454</v>
      </c>
      <c r="F125" s="1" t="s">
        <v>1883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100</v>
      </c>
      <c r="M125" s="1">
        <v>90</v>
      </c>
      <c r="N125" s="1" t="s">
        <v>80</v>
      </c>
      <c r="O125" s="1" t="s">
        <v>80</v>
      </c>
      <c r="P125" s="1"/>
      <c r="Q125" s="1"/>
      <c r="R125" s="1"/>
      <c r="S125" s="1"/>
      <c r="T125" s="1"/>
      <c r="U125" s="1"/>
      <c r="V125" s="1"/>
      <c r="W125" s="1"/>
      <c r="X125" s="1"/>
      <c r="AE125" s="176"/>
    </row>
    <row r="126" spans="2:31">
      <c r="B126" s="1">
        <v>123</v>
      </c>
      <c r="C126" s="1" t="s">
        <v>607</v>
      </c>
      <c r="D126" s="1" t="s">
        <v>856</v>
      </c>
      <c r="E126" s="1" t="s">
        <v>1458</v>
      </c>
      <c r="F126" s="1" t="s">
        <v>1453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55</v>
      </c>
      <c r="M126" s="1">
        <v>105</v>
      </c>
      <c r="N126" s="1" t="s">
        <v>80</v>
      </c>
      <c r="O126" s="1" t="s">
        <v>80</v>
      </c>
      <c r="P126" s="1"/>
      <c r="Q126" s="1"/>
      <c r="R126" s="1"/>
      <c r="S126" s="1"/>
      <c r="T126" s="1"/>
      <c r="U126" s="1"/>
      <c r="V126" s="1"/>
      <c r="W126" s="1"/>
      <c r="X126" s="1"/>
      <c r="AE126" s="176"/>
    </row>
    <row r="127" spans="2:31">
      <c r="B127" s="1">
        <v>124</v>
      </c>
      <c r="C127" s="1" t="s">
        <v>606</v>
      </c>
      <c r="D127" s="1" t="s">
        <v>857</v>
      </c>
      <c r="E127" s="1" t="s">
        <v>1460</v>
      </c>
      <c r="F127" s="1" t="s">
        <v>1454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80</v>
      </c>
      <c r="O127" s="1" t="s">
        <v>80</v>
      </c>
      <c r="P127" s="1"/>
      <c r="Q127" s="1"/>
      <c r="R127" s="1"/>
      <c r="S127" s="1"/>
      <c r="T127" s="1"/>
      <c r="U127" s="1"/>
      <c r="V127" s="1"/>
      <c r="W127" s="1"/>
      <c r="X127" s="1"/>
      <c r="AE127" s="176"/>
    </row>
    <row r="128" spans="2:31">
      <c r="B128" s="1">
        <v>125</v>
      </c>
      <c r="C128" s="1" t="s">
        <v>605</v>
      </c>
      <c r="D128" s="1" t="s">
        <v>858</v>
      </c>
      <c r="E128" s="1" t="s">
        <v>1880</v>
      </c>
      <c r="F128" s="1" t="s">
        <v>80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85</v>
      </c>
      <c r="M128" s="1">
        <v>105</v>
      </c>
      <c r="N128" s="1">
        <v>30</v>
      </c>
      <c r="O128" s="1">
        <v>466</v>
      </c>
      <c r="P128" s="1" t="s">
        <v>1118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76"/>
    </row>
    <row r="129" spans="2:31">
      <c r="B129" s="1">
        <v>126</v>
      </c>
      <c r="C129" s="1" t="s">
        <v>604</v>
      </c>
      <c r="D129" s="1" t="s">
        <v>604</v>
      </c>
      <c r="E129" s="1" t="s">
        <v>1456</v>
      </c>
      <c r="F129" s="1" t="s">
        <v>80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85</v>
      </c>
      <c r="M129" s="1">
        <v>93</v>
      </c>
      <c r="N129" s="1">
        <v>30</v>
      </c>
      <c r="O129" s="1">
        <v>467</v>
      </c>
      <c r="P129" s="1" t="s">
        <v>1119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76"/>
    </row>
    <row r="130" spans="2:31">
      <c r="B130" s="1">
        <v>127</v>
      </c>
      <c r="C130" s="1" t="s">
        <v>603</v>
      </c>
      <c r="D130" s="1" t="s">
        <v>859</v>
      </c>
      <c r="E130" s="1" t="s">
        <v>1458</v>
      </c>
      <c r="F130" s="1" t="s">
        <v>80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55</v>
      </c>
      <c r="M130" s="1">
        <v>85</v>
      </c>
      <c r="N130" s="1" t="s">
        <v>80</v>
      </c>
      <c r="O130" s="1" t="s">
        <v>80</v>
      </c>
      <c r="P130" s="1"/>
      <c r="Q130" s="1"/>
      <c r="R130" s="1"/>
      <c r="S130" s="1"/>
      <c r="T130" s="1"/>
      <c r="U130" s="1"/>
      <c r="V130" s="1"/>
      <c r="W130" s="1"/>
      <c r="X130" s="1"/>
      <c r="AE130" s="176"/>
    </row>
    <row r="131" spans="2:31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70</v>
      </c>
      <c r="M131" s="1">
        <v>110</v>
      </c>
      <c r="N131" s="1" t="s">
        <v>80</v>
      </c>
      <c r="O131" s="1" t="s">
        <v>80</v>
      </c>
      <c r="P131" s="1"/>
      <c r="Q131" s="1"/>
      <c r="R131" s="1"/>
      <c r="S131" s="1"/>
      <c r="T131" s="1"/>
      <c r="U131" s="1"/>
      <c r="V131" s="1"/>
      <c r="W131" s="1"/>
      <c r="X131" s="1"/>
      <c r="AE131" s="176"/>
    </row>
    <row r="132" spans="2:31">
      <c r="B132" s="1">
        <v>129</v>
      </c>
      <c r="C132" s="1" t="s">
        <v>601</v>
      </c>
      <c r="D132" s="1" t="s">
        <v>860</v>
      </c>
      <c r="E132" s="1" t="s">
        <v>1455</v>
      </c>
      <c r="F132" s="1" t="s">
        <v>80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20</v>
      </c>
      <c r="M132" s="1">
        <v>80</v>
      </c>
      <c r="N132" s="1">
        <v>20</v>
      </c>
      <c r="O132" s="1">
        <v>130</v>
      </c>
      <c r="P132" s="1" t="s">
        <v>861</v>
      </c>
      <c r="Q132" s="1"/>
      <c r="R132" s="1"/>
      <c r="S132" s="1"/>
      <c r="T132" s="1"/>
      <c r="U132" s="1"/>
      <c r="V132" s="1"/>
      <c r="W132" s="1"/>
      <c r="X132" s="1"/>
      <c r="AE132" s="176"/>
    </row>
    <row r="133" spans="2:31">
      <c r="B133" s="1">
        <v>130</v>
      </c>
      <c r="C133" s="1" t="s">
        <v>600</v>
      </c>
      <c r="D133" s="1" t="s">
        <v>861</v>
      </c>
      <c r="E133" s="1" t="s">
        <v>1455</v>
      </c>
      <c r="F133" s="1" t="s">
        <v>1453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100</v>
      </c>
      <c r="M133" s="1">
        <v>81</v>
      </c>
      <c r="N133" s="1" t="s">
        <v>80</v>
      </c>
      <c r="O133" s="1" t="s">
        <v>80</v>
      </c>
      <c r="P133" s="1"/>
      <c r="Q133" s="1"/>
      <c r="R133" s="1"/>
      <c r="S133" s="1"/>
      <c r="T133" s="1"/>
      <c r="U133" s="1"/>
      <c r="V133" s="1"/>
      <c r="W133" s="1"/>
      <c r="X133" s="1"/>
      <c r="AE133" s="176"/>
    </row>
    <row r="134" spans="2:31">
      <c r="B134" s="1">
        <v>131</v>
      </c>
      <c r="C134" s="1" t="s">
        <v>599</v>
      </c>
      <c r="D134" s="1" t="s">
        <v>863</v>
      </c>
      <c r="E134" s="1" t="s">
        <v>1455</v>
      </c>
      <c r="F134" s="1" t="s">
        <v>1460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95</v>
      </c>
      <c r="M134" s="1">
        <v>60</v>
      </c>
      <c r="N134" s="1" t="s">
        <v>80</v>
      </c>
      <c r="O134" s="1" t="s">
        <v>80</v>
      </c>
      <c r="P134" s="1"/>
      <c r="Q134" s="1"/>
      <c r="R134" s="1"/>
      <c r="S134" s="1"/>
      <c r="T134" s="1"/>
      <c r="U134" s="1"/>
      <c r="V134" s="1"/>
      <c r="W134" s="1"/>
      <c r="X134" s="1"/>
      <c r="AE134" s="176"/>
    </row>
    <row r="135" spans="2:31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80</v>
      </c>
      <c r="O135" s="1" t="s">
        <v>80</v>
      </c>
      <c r="P135" s="1"/>
      <c r="Q135" s="1"/>
      <c r="R135" s="1"/>
      <c r="S135" s="1"/>
      <c r="T135" s="1"/>
      <c r="U135" s="1"/>
      <c r="V135" s="1"/>
      <c r="W135" s="1"/>
      <c r="X135" s="1"/>
      <c r="AE135" s="176"/>
    </row>
    <row r="136" spans="2:31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65</v>
      </c>
      <c r="M136" s="1">
        <v>55</v>
      </c>
      <c r="N136" s="1">
        <v>30</v>
      </c>
      <c r="O136" s="1">
        <v>135</v>
      </c>
      <c r="P136" s="240" t="s">
        <v>867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76"/>
    </row>
    <row r="137" spans="2:31">
      <c r="B137" s="1">
        <v>134</v>
      </c>
      <c r="C137" s="1" t="s">
        <v>596</v>
      </c>
      <c r="D137" s="1" t="s">
        <v>866</v>
      </c>
      <c r="E137" s="1" t="s">
        <v>1455</v>
      </c>
      <c r="F137" s="1" t="s">
        <v>80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110</v>
      </c>
      <c r="M137" s="1">
        <v>65</v>
      </c>
      <c r="N137" s="1" t="s">
        <v>80</v>
      </c>
      <c r="O137" s="1" t="s">
        <v>80</v>
      </c>
      <c r="P137" s="1" t="s">
        <v>80</v>
      </c>
      <c r="Q137" s="1"/>
      <c r="R137" s="1"/>
      <c r="S137" s="1"/>
      <c r="T137" s="1"/>
      <c r="U137" s="1"/>
      <c r="V137" s="1"/>
      <c r="W137" s="1"/>
      <c r="X137" s="1"/>
      <c r="AE137" s="176"/>
    </row>
    <row r="138" spans="2:31">
      <c r="B138" s="1">
        <v>135</v>
      </c>
      <c r="C138" s="1" t="s">
        <v>595</v>
      </c>
      <c r="D138" s="1" t="s">
        <v>867</v>
      </c>
      <c r="E138" s="1" t="s">
        <v>1880</v>
      </c>
      <c r="F138" s="1" t="s">
        <v>80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110</v>
      </c>
      <c r="M138" s="1">
        <v>130</v>
      </c>
      <c r="N138" s="1" t="s">
        <v>80</v>
      </c>
      <c r="O138" s="1" t="s">
        <v>80</v>
      </c>
      <c r="P138" s="1" t="s">
        <v>80</v>
      </c>
      <c r="Q138" s="1"/>
      <c r="R138" s="1"/>
      <c r="S138" s="1"/>
      <c r="T138" s="1"/>
      <c r="U138" s="1"/>
      <c r="V138" s="1"/>
      <c r="W138" s="1"/>
      <c r="X138" s="1"/>
      <c r="AE138" s="176"/>
    </row>
    <row r="139" spans="2:31">
      <c r="B139" s="1">
        <v>136</v>
      </c>
      <c r="C139" s="1" t="s">
        <v>594</v>
      </c>
      <c r="D139" s="1" t="s">
        <v>868</v>
      </c>
      <c r="E139" s="1" t="s">
        <v>1456</v>
      </c>
      <c r="F139" s="1" t="s">
        <v>80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110</v>
      </c>
      <c r="M139" s="1">
        <v>65</v>
      </c>
      <c r="N139" s="1" t="s">
        <v>80</v>
      </c>
      <c r="O139" s="1" t="s">
        <v>80</v>
      </c>
      <c r="P139" s="1" t="s">
        <v>80</v>
      </c>
      <c r="Q139" s="1"/>
      <c r="R139" s="1"/>
      <c r="S139" s="1"/>
      <c r="T139" s="1"/>
      <c r="U139" s="1"/>
      <c r="V139" s="1"/>
      <c r="W139" s="1"/>
      <c r="X139" s="1"/>
      <c r="AE139" s="176"/>
    </row>
    <row r="140" spans="2:31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75</v>
      </c>
      <c r="M140" s="1">
        <v>40</v>
      </c>
      <c r="N140" s="1">
        <v>30</v>
      </c>
      <c r="O140" s="1">
        <v>233</v>
      </c>
      <c r="P140" s="1" t="s">
        <v>497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76"/>
    </row>
    <row r="141" spans="2:31">
      <c r="B141" s="1">
        <v>138</v>
      </c>
      <c r="C141" s="1" t="s">
        <v>592</v>
      </c>
      <c r="D141" s="1" t="s">
        <v>869</v>
      </c>
      <c r="E141" s="1" t="s">
        <v>1457</v>
      </c>
      <c r="F141" s="1" t="s">
        <v>1455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90</v>
      </c>
      <c r="M141" s="1">
        <v>35</v>
      </c>
      <c r="N141" s="1">
        <v>40</v>
      </c>
      <c r="O141" s="1">
        <v>139</v>
      </c>
      <c r="P141" s="1" t="s">
        <v>870</v>
      </c>
      <c r="Q141" s="1"/>
      <c r="R141" s="1"/>
      <c r="S141" s="1"/>
      <c r="T141" s="1"/>
      <c r="U141" s="1"/>
      <c r="V141" s="1"/>
      <c r="W141" s="1"/>
      <c r="X141" s="1"/>
      <c r="AE141" s="176"/>
    </row>
    <row r="142" spans="2:31">
      <c r="B142" s="1">
        <v>139</v>
      </c>
      <c r="C142" s="1" t="s">
        <v>591</v>
      </c>
      <c r="D142" s="1" t="s">
        <v>870</v>
      </c>
      <c r="E142" s="1" t="s">
        <v>1457</v>
      </c>
      <c r="F142" s="1" t="s">
        <v>1455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115</v>
      </c>
      <c r="M142" s="1">
        <v>55</v>
      </c>
      <c r="N142" s="1" t="s">
        <v>80</v>
      </c>
      <c r="O142" s="1" t="s">
        <v>80</v>
      </c>
      <c r="P142" s="1"/>
      <c r="Q142" s="1"/>
      <c r="R142" s="1"/>
      <c r="S142" s="1"/>
      <c r="T142" s="1"/>
      <c r="U142" s="1"/>
      <c r="V142" s="1"/>
      <c r="W142" s="1"/>
      <c r="X142" s="1"/>
      <c r="AE142" s="176"/>
    </row>
    <row r="143" spans="2:31">
      <c r="B143" s="1">
        <v>140</v>
      </c>
      <c r="C143" s="1" t="s">
        <v>590</v>
      </c>
      <c r="D143" s="1" t="s">
        <v>590</v>
      </c>
      <c r="E143" s="1" t="s">
        <v>1457</v>
      </c>
      <c r="F143" s="1" t="s">
        <v>1455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45</v>
      </c>
      <c r="M143" s="1">
        <v>55</v>
      </c>
      <c r="N143" s="1">
        <v>40</v>
      </c>
      <c r="O143" s="1">
        <v>141</v>
      </c>
      <c r="P143" s="1" t="s">
        <v>589</v>
      </c>
      <c r="Q143" s="1"/>
      <c r="R143" s="1"/>
      <c r="S143" s="1"/>
      <c r="T143" s="1"/>
      <c r="U143" s="1"/>
      <c r="V143" s="1"/>
      <c r="W143" s="1"/>
      <c r="X143" s="1"/>
      <c r="AE143" s="176"/>
    </row>
    <row r="144" spans="2:31">
      <c r="B144" s="1">
        <v>141</v>
      </c>
      <c r="C144" s="1" t="s">
        <v>589</v>
      </c>
      <c r="D144" s="1" t="s">
        <v>589</v>
      </c>
      <c r="E144" s="1" t="s">
        <v>1457</v>
      </c>
      <c r="F144" s="1" t="s">
        <v>1455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70</v>
      </c>
      <c r="M144" s="1">
        <v>80</v>
      </c>
      <c r="N144" s="1" t="s">
        <v>80</v>
      </c>
      <c r="O144" s="1" t="s">
        <v>80</v>
      </c>
      <c r="P144" s="1"/>
      <c r="Q144" s="1"/>
      <c r="R144" s="1"/>
      <c r="S144" s="1"/>
      <c r="T144" s="1"/>
      <c r="U144" s="1"/>
      <c r="V144" s="1"/>
      <c r="W144" s="1"/>
      <c r="X144" s="1"/>
      <c r="AE144" s="176"/>
    </row>
    <row r="145" spans="2:31">
      <c r="B145" s="1">
        <v>142</v>
      </c>
      <c r="C145" s="1" t="s">
        <v>588</v>
      </c>
      <c r="D145" s="1" t="s">
        <v>871</v>
      </c>
      <c r="E145" s="1" t="s">
        <v>1457</v>
      </c>
      <c r="F145" s="1" t="s">
        <v>1453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60</v>
      </c>
      <c r="M145" s="1">
        <v>130</v>
      </c>
      <c r="N145" s="1" t="s">
        <v>80</v>
      </c>
      <c r="O145" s="1" t="s">
        <v>80</v>
      </c>
      <c r="P145" s="1"/>
      <c r="Q145" s="1"/>
      <c r="R145" s="1"/>
      <c r="S145" s="1"/>
      <c r="T145" s="1"/>
      <c r="U145" s="1"/>
      <c r="V145" s="1"/>
      <c r="W145" s="1"/>
      <c r="X145" s="1"/>
      <c r="AE145" s="176"/>
    </row>
    <row r="146" spans="2:31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65</v>
      </c>
      <c r="M146" s="1">
        <v>30</v>
      </c>
      <c r="N146" s="1" t="s">
        <v>80</v>
      </c>
      <c r="O146" s="1" t="s">
        <v>80</v>
      </c>
      <c r="P146" s="1"/>
      <c r="Q146" s="1"/>
      <c r="R146" s="1"/>
      <c r="S146" s="1"/>
      <c r="T146" s="1"/>
      <c r="U146" s="1"/>
      <c r="V146" s="1"/>
      <c r="W146" s="1"/>
      <c r="X146" s="1"/>
      <c r="AE146" s="176"/>
    </row>
    <row r="147" spans="2:31">
      <c r="B147" s="1">
        <v>144</v>
      </c>
      <c r="C147" s="1" t="s">
        <v>586</v>
      </c>
      <c r="D147" s="1" t="s">
        <v>873</v>
      </c>
      <c r="E147" s="1" t="s">
        <v>1460</v>
      </c>
      <c r="F147" s="1" t="s">
        <v>1453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125</v>
      </c>
      <c r="M147" s="1">
        <v>85</v>
      </c>
      <c r="N147" s="1" t="s">
        <v>80</v>
      </c>
      <c r="O147" s="1" t="s">
        <v>80</v>
      </c>
      <c r="P147" s="1"/>
      <c r="Q147" s="1"/>
      <c r="R147" s="1"/>
      <c r="S147" s="1"/>
      <c r="T147" s="1"/>
      <c r="U147" s="1"/>
      <c r="V147" s="1"/>
      <c r="W147" s="1"/>
      <c r="X147" s="1"/>
      <c r="AE147" s="176"/>
    </row>
    <row r="148" spans="2:31">
      <c r="B148" s="1">
        <v>145</v>
      </c>
      <c r="C148" s="1" t="s">
        <v>585</v>
      </c>
      <c r="D148" s="1" t="s">
        <v>874</v>
      </c>
      <c r="E148" s="1" t="s">
        <v>1880</v>
      </c>
      <c r="F148" s="1" t="s">
        <v>1453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125</v>
      </c>
      <c r="M148" s="1">
        <v>100</v>
      </c>
      <c r="N148" s="1" t="s">
        <v>80</v>
      </c>
      <c r="O148" s="1" t="s">
        <v>80</v>
      </c>
      <c r="P148" s="1"/>
      <c r="Q148" s="1"/>
      <c r="R148" s="1"/>
      <c r="S148" s="1"/>
      <c r="T148" s="1"/>
      <c r="U148" s="1"/>
      <c r="V148" s="1"/>
      <c r="W148" s="1"/>
      <c r="X148" s="1"/>
      <c r="AE148" s="176"/>
    </row>
    <row r="149" spans="2:31">
      <c r="B149" s="1">
        <v>146</v>
      </c>
      <c r="C149" s="1" t="s">
        <v>584</v>
      </c>
      <c r="D149" s="1" t="s">
        <v>875</v>
      </c>
      <c r="E149" s="1" t="s">
        <v>1456</v>
      </c>
      <c r="F149" s="1" t="s">
        <v>1453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125</v>
      </c>
      <c r="M149" s="1">
        <v>90</v>
      </c>
      <c r="N149" s="1" t="s">
        <v>80</v>
      </c>
      <c r="O149" s="1" t="s">
        <v>80</v>
      </c>
      <c r="P149" s="1"/>
      <c r="Q149" s="1"/>
      <c r="R149" s="1"/>
      <c r="S149" s="1"/>
      <c r="T149" s="1"/>
      <c r="U149" s="1"/>
      <c r="V149" s="1"/>
      <c r="W149" s="1"/>
      <c r="X149" s="1"/>
      <c r="AE149" s="176"/>
    </row>
    <row r="150" spans="2:31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877</v>
      </c>
      <c r="Q150" s="1"/>
      <c r="R150" s="1"/>
      <c r="S150" s="1"/>
      <c r="T150" s="1"/>
      <c r="U150" s="1"/>
      <c r="V150" s="1"/>
      <c r="W150" s="1"/>
      <c r="X150" s="1"/>
      <c r="AE150" s="176"/>
    </row>
    <row r="151" spans="2:31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878</v>
      </c>
      <c r="Q151" s="1"/>
      <c r="R151" s="1"/>
      <c r="S151" s="1"/>
      <c r="T151" s="1"/>
      <c r="U151" s="1"/>
      <c r="V151" s="1"/>
      <c r="W151" s="1"/>
      <c r="X151" s="1"/>
      <c r="AE151" s="176"/>
    </row>
    <row r="152" spans="2:31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1453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100</v>
      </c>
      <c r="M152" s="1">
        <v>80</v>
      </c>
      <c r="N152" s="1" t="s">
        <v>80</v>
      </c>
      <c r="O152" s="1" t="s">
        <v>80</v>
      </c>
      <c r="P152" s="1" t="s">
        <v>80</v>
      </c>
      <c r="Q152" s="1"/>
      <c r="R152" s="1"/>
      <c r="S152" s="1"/>
      <c r="T152" s="1"/>
      <c r="U152" s="1"/>
      <c r="V152" s="1"/>
      <c r="W152" s="1"/>
      <c r="X152" s="1"/>
      <c r="AE152" s="176"/>
    </row>
    <row r="153" spans="2:31">
      <c r="B153" s="1">
        <v>150</v>
      </c>
      <c r="C153" s="1" t="s">
        <v>580</v>
      </c>
      <c r="D153" s="1" t="s">
        <v>580</v>
      </c>
      <c r="E153" s="1" t="s">
        <v>1454</v>
      </c>
      <c r="F153" s="1" t="s">
        <v>80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154</v>
      </c>
      <c r="M153" s="1">
        <v>130</v>
      </c>
      <c r="N153" s="1" t="s">
        <v>80</v>
      </c>
      <c r="O153" s="1" t="s">
        <v>80</v>
      </c>
      <c r="P153" s="1"/>
      <c r="Q153" s="1"/>
      <c r="R153" s="1"/>
      <c r="S153" s="1"/>
      <c r="T153" s="1"/>
      <c r="U153" s="1"/>
      <c r="V153" s="1"/>
      <c r="W153" s="1"/>
      <c r="X153" s="1"/>
      <c r="AE153" s="176"/>
    </row>
    <row r="154" spans="2:31">
      <c r="B154" s="1">
        <v>151</v>
      </c>
      <c r="C154" s="1" t="s">
        <v>579</v>
      </c>
      <c r="D154" s="1" t="s">
        <v>579</v>
      </c>
      <c r="E154" s="1" t="s">
        <v>1454</v>
      </c>
      <c r="F154" s="1" t="s">
        <v>80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80</v>
      </c>
      <c r="O154" s="1" t="s">
        <v>80</v>
      </c>
      <c r="P154" s="1"/>
      <c r="Q154" s="1"/>
      <c r="R154" s="1"/>
      <c r="S154" s="1"/>
      <c r="T154" s="1"/>
      <c r="U154" s="1"/>
      <c r="V154" s="1"/>
      <c r="W154" s="1"/>
      <c r="X154" s="1"/>
      <c r="AE154" s="176"/>
    </row>
    <row r="155" spans="2:31">
      <c r="B155" s="1">
        <v>152</v>
      </c>
      <c r="C155" s="1" t="s">
        <v>578</v>
      </c>
      <c r="D155" s="1" t="s">
        <v>879</v>
      </c>
      <c r="E155" s="1" t="s">
        <v>1452</v>
      </c>
      <c r="F155" s="1" t="s">
        <v>80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65</v>
      </c>
      <c r="M155" s="1">
        <v>49</v>
      </c>
      <c r="N155" s="1">
        <v>16</v>
      </c>
      <c r="O155" s="1">
        <v>153</v>
      </c>
      <c r="P155" s="1" t="s">
        <v>880</v>
      </c>
      <c r="Q155" s="1"/>
      <c r="R155" s="1"/>
      <c r="S155" s="1"/>
      <c r="T155" s="1"/>
      <c r="U155" s="1"/>
      <c r="V155" s="1"/>
      <c r="W155" s="1"/>
      <c r="X155" s="1"/>
      <c r="AE155" s="176"/>
    </row>
    <row r="156" spans="2:31">
      <c r="B156" s="1">
        <v>153</v>
      </c>
      <c r="C156" s="1" t="s">
        <v>577</v>
      </c>
      <c r="D156" s="1" t="s">
        <v>880</v>
      </c>
      <c r="E156" s="1" t="s">
        <v>1452</v>
      </c>
      <c r="F156" s="1" t="s">
        <v>80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80</v>
      </c>
      <c r="M156" s="1">
        <v>63</v>
      </c>
      <c r="N156" s="1">
        <v>32</v>
      </c>
      <c r="O156" s="1">
        <v>154</v>
      </c>
      <c r="P156" s="1" t="s">
        <v>881</v>
      </c>
      <c r="Q156" s="1"/>
      <c r="R156" s="1"/>
      <c r="S156" s="1"/>
      <c r="T156" s="1"/>
      <c r="U156" s="1"/>
      <c r="V156" s="1"/>
      <c r="W156" s="1"/>
      <c r="X156" s="1"/>
      <c r="AE156" s="176"/>
    </row>
    <row r="157" spans="2:31">
      <c r="B157" s="1">
        <v>154</v>
      </c>
      <c r="C157" s="1" t="s">
        <v>576</v>
      </c>
      <c r="D157" s="1" t="s">
        <v>881</v>
      </c>
      <c r="E157" s="1" t="s">
        <v>1452</v>
      </c>
      <c r="F157" s="1" t="s">
        <v>80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100</v>
      </c>
      <c r="M157" s="1">
        <v>83</v>
      </c>
      <c r="N157" s="1" t="s">
        <v>80</v>
      </c>
      <c r="O157" s="1" t="s">
        <v>80</v>
      </c>
      <c r="P157" s="1" t="s">
        <v>80</v>
      </c>
      <c r="Q157" s="1"/>
      <c r="R157" s="1"/>
      <c r="S157" s="1"/>
      <c r="T157" s="1"/>
      <c r="U157" s="1"/>
      <c r="V157" s="1"/>
      <c r="W157" s="1"/>
      <c r="X157" s="1"/>
      <c r="AE157" s="176"/>
    </row>
    <row r="158" spans="2:31">
      <c r="B158" s="1">
        <v>155</v>
      </c>
      <c r="C158" s="1" t="s">
        <v>575</v>
      </c>
      <c r="D158" s="1" t="s">
        <v>882</v>
      </c>
      <c r="E158" s="1" t="s">
        <v>1456</v>
      </c>
      <c r="F158" s="1" t="s">
        <v>80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50</v>
      </c>
      <c r="M158" s="1">
        <v>60</v>
      </c>
      <c r="N158" s="1">
        <v>14</v>
      </c>
      <c r="O158" s="1">
        <v>156</v>
      </c>
      <c r="P158" s="1" t="s">
        <v>883</v>
      </c>
      <c r="Q158" s="1"/>
      <c r="R158" s="1"/>
      <c r="S158" s="1"/>
      <c r="T158" s="1"/>
      <c r="U158" s="1"/>
      <c r="V158" s="1"/>
      <c r="W158" s="1"/>
      <c r="X158" s="1"/>
      <c r="AE158" s="176"/>
    </row>
    <row r="159" spans="2:31">
      <c r="B159" s="1">
        <v>156</v>
      </c>
      <c r="C159" s="1" t="s">
        <v>574</v>
      </c>
      <c r="D159" s="1" t="s">
        <v>883</v>
      </c>
      <c r="E159" s="1" t="s">
        <v>1456</v>
      </c>
      <c r="F159" s="1" t="s">
        <v>80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65</v>
      </c>
      <c r="M159" s="1">
        <v>80</v>
      </c>
      <c r="N159" s="1">
        <v>36</v>
      </c>
      <c r="O159" s="1">
        <v>157</v>
      </c>
      <c r="P159" s="1" t="s">
        <v>573</v>
      </c>
      <c r="Q159" s="1"/>
      <c r="R159" s="1"/>
      <c r="S159" s="1"/>
      <c r="T159" s="1"/>
      <c r="U159" s="1"/>
      <c r="V159" s="1"/>
      <c r="W159" s="1"/>
      <c r="X159" s="1"/>
      <c r="AE159" s="176"/>
    </row>
    <row r="160" spans="2:31">
      <c r="B160" s="1">
        <v>157</v>
      </c>
      <c r="C160" s="1" t="s">
        <v>573</v>
      </c>
      <c r="D160" s="1" t="s">
        <v>573</v>
      </c>
      <c r="E160" s="1" t="s">
        <v>1456</v>
      </c>
      <c r="F160" s="1" t="s">
        <v>80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85</v>
      </c>
      <c r="M160" s="1">
        <v>109</v>
      </c>
      <c r="N160" s="1" t="s">
        <v>80</v>
      </c>
      <c r="O160" s="1" t="s">
        <v>80</v>
      </c>
      <c r="P160" s="1" t="s">
        <v>80</v>
      </c>
      <c r="Q160" s="1"/>
      <c r="R160" s="1"/>
      <c r="S160" s="1"/>
      <c r="T160" s="1"/>
      <c r="U160" s="1"/>
      <c r="V160" s="1"/>
      <c r="W160" s="1"/>
      <c r="X160" s="1"/>
      <c r="AE160" s="176"/>
    </row>
    <row r="161" spans="2:31">
      <c r="B161" s="1">
        <v>158</v>
      </c>
      <c r="C161" s="1" t="s">
        <v>572</v>
      </c>
      <c r="D161" s="1" t="s">
        <v>884</v>
      </c>
      <c r="E161" s="1" t="s">
        <v>1455</v>
      </c>
      <c r="F161" s="1" t="s">
        <v>80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48</v>
      </c>
      <c r="M161" s="1">
        <v>44</v>
      </c>
      <c r="N161" s="1">
        <v>18</v>
      </c>
      <c r="O161" s="1">
        <v>159</v>
      </c>
      <c r="P161" s="1" t="s">
        <v>885</v>
      </c>
      <c r="Q161" s="1"/>
      <c r="R161" s="1"/>
      <c r="S161" s="1"/>
      <c r="T161" s="1"/>
      <c r="U161" s="1"/>
      <c r="V161" s="1"/>
      <c r="W161" s="1"/>
      <c r="X161" s="1"/>
      <c r="AE161" s="176"/>
    </row>
    <row r="162" spans="2:31">
      <c r="B162" s="1">
        <v>159</v>
      </c>
      <c r="C162" s="1" t="s">
        <v>571</v>
      </c>
      <c r="D162" s="1" t="s">
        <v>885</v>
      </c>
      <c r="E162" s="1" t="s">
        <v>1455</v>
      </c>
      <c r="F162" s="1" t="s">
        <v>80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63</v>
      </c>
      <c r="M162" s="1">
        <v>59</v>
      </c>
      <c r="N162" s="1">
        <v>30</v>
      </c>
      <c r="O162" s="1">
        <v>160</v>
      </c>
      <c r="P162" s="1" t="s">
        <v>886</v>
      </c>
      <c r="Q162" s="1"/>
      <c r="R162" s="1"/>
      <c r="S162" s="1"/>
      <c r="T162" s="1"/>
      <c r="U162" s="1"/>
      <c r="V162" s="1"/>
      <c r="W162" s="1"/>
      <c r="X162" s="1"/>
      <c r="AE162" s="176"/>
    </row>
    <row r="163" spans="2:31">
      <c r="B163" s="1">
        <v>160</v>
      </c>
      <c r="C163" s="1" t="s">
        <v>570</v>
      </c>
      <c r="D163" s="1" t="s">
        <v>886</v>
      </c>
      <c r="E163" s="1" t="s">
        <v>1455</v>
      </c>
      <c r="F163" s="1" t="s">
        <v>80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83</v>
      </c>
      <c r="M163" s="1">
        <v>79</v>
      </c>
      <c r="N163" s="1" t="s">
        <v>80</v>
      </c>
      <c r="O163" s="1" t="s">
        <v>80</v>
      </c>
      <c r="P163" s="1" t="s">
        <v>80</v>
      </c>
      <c r="Q163" s="1"/>
      <c r="R163" s="1"/>
      <c r="S163" s="1"/>
      <c r="T163" s="1"/>
      <c r="U163" s="1"/>
      <c r="V163" s="1"/>
      <c r="W163" s="1"/>
      <c r="X163" s="1"/>
      <c r="AE163" s="176"/>
    </row>
    <row r="164" spans="2:31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45</v>
      </c>
      <c r="M164" s="1">
        <v>35</v>
      </c>
      <c r="N164" s="1">
        <v>15</v>
      </c>
      <c r="O164" s="1">
        <v>162</v>
      </c>
      <c r="P164" s="1" t="s">
        <v>888</v>
      </c>
      <c r="Q164" s="1"/>
      <c r="R164" s="1"/>
      <c r="S164" s="1"/>
      <c r="T164" s="1"/>
      <c r="U164" s="1"/>
      <c r="V164" s="1"/>
      <c r="W164" s="1"/>
      <c r="X164" s="1"/>
      <c r="AE164" s="176"/>
    </row>
    <row r="165" spans="2:31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55</v>
      </c>
      <c r="M165" s="1">
        <v>45</v>
      </c>
      <c r="N165" s="1" t="s">
        <v>80</v>
      </c>
      <c r="O165" s="1" t="s">
        <v>80</v>
      </c>
      <c r="P165" s="1"/>
      <c r="Q165" s="1"/>
      <c r="R165" s="1"/>
      <c r="S165" s="1"/>
      <c r="T165" s="1"/>
      <c r="U165" s="1"/>
      <c r="V165" s="1"/>
      <c r="W165" s="1"/>
      <c r="X165" s="1"/>
      <c r="AE165" s="176"/>
    </row>
    <row r="166" spans="2:31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1453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56</v>
      </c>
      <c r="M166" s="1">
        <v>36</v>
      </c>
      <c r="N166" s="1">
        <v>20</v>
      </c>
      <c r="O166" s="1">
        <v>164</v>
      </c>
      <c r="P166" s="1" t="s">
        <v>889</v>
      </c>
      <c r="Q166" s="1"/>
      <c r="R166" s="1"/>
      <c r="S166" s="1"/>
      <c r="T166" s="1"/>
      <c r="U166" s="1"/>
      <c r="V166" s="1"/>
      <c r="W166" s="1"/>
      <c r="X166" s="1"/>
      <c r="AE166" s="176"/>
    </row>
    <row r="167" spans="2:31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1453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96</v>
      </c>
      <c r="M167" s="1">
        <v>76</v>
      </c>
      <c r="N167" s="1" t="s">
        <v>80</v>
      </c>
      <c r="O167" s="1" t="s">
        <v>80</v>
      </c>
      <c r="P167" s="1"/>
      <c r="Q167" s="1"/>
      <c r="R167" s="1"/>
      <c r="S167" s="1"/>
      <c r="T167" s="1"/>
      <c r="U167" s="1"/>
      <c r="V167" s="1"/>
      <c r="W167" s="1"/>
      <c r="X167" s="1"/>
      <c r="AE167" s="176"/>
    </row>
    <row r="168" spans="2:31">
      <c r="B168" s="1">
        <v>165</v>
      </c>
      <c r="C168" s="1" t="s">
        <v>565</v>
      </c>
      <c r="D168" s="1" t="s">
        <v>890</v>
      </c>
      <c r="E168" s="1" t="s">
        <v>1458</v>
      </c>
      <c r="F168" s="1" t="s">
        <v>1453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80</v>
      </c>
      <c r="M168" s="1">
        <v>40</v>
      </c>
      <c r="N168" s="1">
        <v>18</v>
      </c>
      <c r="O168" s="1">
        <v>166</v>
      </c>
      <c r="P168" s="1" t="s">
        <v>891</v>
      </c>
      <c r="Q168" s="1"/>
      <c r="R168" s="1"/>
      <c r="S168" s="1"/>
      <c r="T168" s="1"/>
      <c r="U168" s="1"/>
      <c r="V168" s="1"/>
      <c r="W168" s="1"/>
      <c r="X168" s="1"/>
      <c r="AE168" s="176"/>
    </row>
    <row r="169" spans="2:31">
      <c r="B169" s="1">
        <v>166</v>
      </c>
      <c r="C169" s="1" t="s">
        <v>564</v>
      </c>
      <c r="D169" s="1" t="s">
        <v>891</v>
      </c>
      <c r="E169" s="1" t="s">
        <v>1458</v>
      </c>
      <c r="F169" s="1" t="s">
        <v>1453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110</v>
      </c>
      <c r="M169" s="1">
        <v>55</v>
      </c>
      <c r="N169" s="1" t="s">
        <v>80</v>
      </c>
      <c r="O169" s="1" t="s">
        <v>80</v>
      </c>
      <c r="P169" s="1"/>
      <c r="Q169" s="1"/>
      <c r="R169" s="1"/>
      <c r="S169" s="1"/>
      <c r="T169" s="1"/>
      <c r="U169" s="1"/>
      <c r="V169" s="1"/>
      <c r="W169" s="1"/>
      <c r="X169" s="1"/>
      <c r="AE169" s="176"/>
    </row>
    <row r="170" spans="2:31">
      <c r="B170" s="1">
        <v>167</v>
      </c>
      <c r="C170" s="1" t="s">
        <v>563</v>
      </c>
      <c r="D170" s="1" t="s">
        <v>892</v>
      </c>
      <c r="E170" s="1" t="s">
        <v>1458</v>
      </c>
      <c r="F170" s="1" t="s">
        <v>742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893</v>
      </c>
      <c r="Q170" s="1"/>
      <c r="R170" s="1"/>
      <c r="S170" s="1"/>
      <c r="T170" s="1"/>
      <c r="U170" s="1"/>
      <c r="V170" s="1"/>
      <c r="W170" s="1"/>
      <c r="X170" s="1"/>
      <c r="AE170" s="176"/>
    </row>
    <row r="171" spans="2:31">
      <c r="B171" s="1">
        <v>168</v>
      </c>
      <c r="C171" s="1" t="s">
        <v>562</v>
      </c>
      <c r="D171" s="1" t="s">
        <v>893</v>
      </c>
      <c r="E171" s="1" t="s">
        <v>1458</v>
      </c>
      <c r="F171" s="1" t="s">
        <v>742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80</v>
      </c>
      <c r="O171" s="1" t="s">
        <v>80</v>
      </c>
      <c r="P171" s="1"/>
      <c r="Q171" s="1"/>
      <c r="R171" s="1"/>
      <c r="S171" s="1"/>
      <c r="T171" s="1"/>
      <c r="U171" s="1"/>
      <c r="V171" s="1"/>
      <c r="W171" s="1"/>
      <c r="X171" s="1"/>
      <c r="AE171" s="176"/>
    </row>
    <row r="172" spans="2:31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1453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80</v>
      </c>
      <c r="M172" s="1">
        <v>70</v>
      </c>
      <c r="N172" s="1" t="s">
        <v>80</v>
      </c>
      <c r="O172" s="1" t="s">
        <v>80</v>
      </c>
      <c r="P172" s="1" t="s">
        <v>80</v>
      </c>
      <c r="Q172" s="1"/>
      <c r="R172" s="1"/>
      <c r="S172" s="1"/>
      <c r="T172" s="1"/>
      <c r="U172" s="1"/>
      <c r="V172" s="1"/>
      <c r="W172" s="1"/>
      <c r="X172" s="1"/>
      <c r="AE172" s="176"/>
    </row>
    <row r="173" spans="2:31">
      <c r="B173" s="1">
        <v>170</v>
      </c>
      <c r="C173" s="1" t="s">
        <v>560</v>
      </c>
      <c r="D173" s="1" t="s">
        <v>895</v>
      </c>
      <c r="E173" s="1" t="s">
        <v>1455</v>
      </c>
      <c r="F173" s="1" t="s">
        <v>1880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559</v>
      </c>
      <c r="Q173" s="1"/>
      <c r="R173" s="1"/>
      <c r="S173" s="1"/>
      <c r="T173" s="1"/>
      <c r="U173" s="1"/>
      <c r="V173" s="1"/>
      <c r="W173" s="1"/>
      <c r="X173" s="1"/>
      <c r="AE173" s="176"/>
    </row>
    <row r="174" spans="2:31">
      <c r="B174" s="1">
        <v>171</v>
      </c>
      <c r="C174" s="1" t="s">
        <v>559</v>
      </c>
      <c r="D174" s="1" t="s">
        <v>559</v>
      </c>
      <c r="E174" s="1" t="s">
        <v>1455</v>
      </c>
      <c r="F174" s="1" t="s">
        <v>1880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80</v>
      </c>
      <c r="O174" s="1" t="s">
        <v>80</v>
      </c>
      <c r="P174" s="1"/>
      <c r="Q174" s="1"/>
      <c r="R174" s="1"/>
      <c r="S174" s="1"/>
      <c r="T174" s="1"/>
      <c r="U174" s="1"/>
      <c r="V174" s="1"/>
      <c r="W174" s="1"/>
      <c r="X174" s="1"/>
      <c r="AE174" s="176"/>
    </row>
    <row r="175" spans="2:31">
      <c r="B175" s="1">
        <v>172</v>
      </c>
      <c r="C175" s="1" t="s">
        <v>558</v>
      </c>
      <c r="D175" s="1" t="s">
        <v>558</v>
      </c>
      <c r="E175" s="1" t="s">
        <v>1880</v>
      </c>
      <c r="F175" s="1" t="s">
        <v>80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705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76"/>
    </row>
    <row r="176" spans="2:31">
      <c r="B176" s="1">
        <v>173</v>
      </c>
      <c r="C176" s="1" t="s">
        <v>557</v>
      </c>
      <c r="D176" s="1" t="s">
        <v>896</v>
      </c>
      <c r="E176" s="1" t="s">
        <v>1883</v>
      </c>
      <c r="F176" s="1" t="s">
        <v>80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55</v>
      </c>
      <c r="M176" s="1">
        <v>45</v>
      </c>
      <c r="N176" s="1">
        <v>15</v>
      </c>
      <c r="O176" s="1">
        <v>35</v>
      </c>
      <c r="P176" s="1" t="s">
        <v>774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76"/>
    </row>
    <row r="177" spans="2:31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1883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20</v>
      </c>
      <c r="M177" s="1">
        <v>40</v>
      </c>
      <c r="N177" s="1">
        <v>15</v>
      </c>
      <c r="O177" s="1">
        <v>39</v>
      </c>
      <c r="P177" s="1" t="s">
        <v>779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76"/>
    </row>
    <row r="178" spans="2:31">
      <c r="B178" s="1">
        <v>175</v>
      </c>
      <c r="C178" s="1" t="s">
        <v>555</v>
      </c>
      <c r="D178" s="1" t="s">
        <v>555</v>
      </c>
      <c r="E178" s="1" t="s">
        <v>1883</v>
      </c>
      <c r="F178" s="1" t="s">
        <v>80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65</v>
      </c>
      <c r="M178" s="1">
        <v>40</v>
      </c>
      <c r="N178" s="1">
        <v>15</v>
      </c>
      <c r="O178" s="1">
        <v>176</v>
      </c>
      <c r="P178" s="1" t="s">
        <v>554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76"/>
    </row>
    <row r="179" spans="2:31">
      <c r="B179" s="1">
        <v>176</v>
      </c>
      <c r="C179" s="1" t="s">
        <v>554</v>
      </c>
      <c r="D179" s="1" t="s">
        <v>554</v>
      </c>
      <c r="E179" s="1" t="s">
        <v>1883</v>
      </c>
      <c r="F179" s="1" t="s">
        <v>1453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105</v>
      </c>
      <c r="M179" s="1">
        <v>80</v>
      </c>
      <c r="N179" s="1">
        <v>30</v>
      </c>
      <c r="O179" s="1">
        <v>468</v>
      </c>
      <c r="P179" s="1" t="s">
        <v>262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76"/>
    </row>
    <row r="180" spans="2:31">
      <c r="B180" s="1">
        <v>177</v>
      </c>
      <c r="C180" s="1" t="s">
        <v>553</v>
      </c>
      <c r="D180" s="1" t="s">
        <v>553</v>
      </c>
      <c r="E180" s="1" t="s">
        <v>1454</v>
      </c>
      <c r="F180" s="1" t="s">
        <v>1453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45</v>
      </c>
      <c r="M180" s="1">
        <v>70</v>
      </c>
      <c r="N180" s="1">
        <v>25</v>
      </c>
      <c r="O180" s="1">
        <v>178</v>
      </c>
      <c r="P180" s="1" t="s">
        <v>552</v>
      </c>
      <c r="Q180" s="1"/>
      <c r="R180" s="1"/>
      <c r="S180" s="1"/>
      <c r="T180" s="1"/>
      <c r="U180" s="1"/>
      <c r="V180" s="1"/>
      <c r="W180" s="1"/>
      <c r="X180" s="1"/>
      <c r="AE180" s="176"/>
    </row>
    <row r="181" spans="2:31">
      <c r="B181" s="1">
        <v>178</v>
      </c>
      <c r="C181" s="1" t="s">
        <v>552</v>
      </c>
      <c r="D181" s="1" t="s">
        <v>552</v>
      </c>
      <c r="E181" s="1" t="s">
        <v>1454</v>
      </c>
      <c r="F181" s="1" t="s">
        <v>1453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70</v>
      </c>
      <c r="M181" s="1">
        <v>95</v>
      </c>
      <c r="N181" s="1" t="s">
        <v>80</v>
      </c>
      <c r="O181" s="1" t="s">
        <v>80</v>
      </c>
      <c r="P181" s="1"/>
      <c r="Q181" s="1"/>
      <c r="R181" s="1"/>
      <c r="S181" s="1"/>
      <c r="T181" s="1"/>
      <c r="U181" s="1"/>
      <c r="V181" s="1"/>
      <c r="W181" s="1"/>
      <c r="X181" s="1"/>
      <c r="AE181" s="176"/>
    </row>
    <row r="182" spans="2:31">
      <c r="B182" s="1">
        <v>179</v>
      </c>
      <c r="C182" s="1" t="s">
        <v>551</v>
      </c>
      <c r="D182" s="1" t="s">
        <v>898</v>
      </c>
      <c r="E182" s="1" t="s">
        <v>1880</v>
      </c>
      <c r="F182" s="1" t="s">
        <v>80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45</v>
      </c>
      <c r="M182" s="1">
        <v>65</v>
      </c>
      <c r="N182" s="1">
        <v>15</v>
      </c>
      <c r="O182" s="1">
        <v>180</v>
      </c>
      <c r="P182" s="1" t="s">
        <v>899</v>
      </c>
      <c r="Q182" s="1"/>
      <c r="R182" s="1"/>
      <c r="S182" s="1"/>
      <c r="T182" s="1"/>
      <c r="U182" s="1"/>
      <c r="V182" s="1"/>
      <c r="W182" s="1"/>
      <c r="X182" s="1"/>
      <c r="AE182" s="176"/>
    </row>
    <row r="183" spans="2:31">
      <c r="B183" s="1">
        <v>180</v>
      </c>
      <c r="C183" s="1" t="s">
        <v>550</v>
      </c>
      <c r="D183" s="1" t="s">
        <v>899</v>
      </c>
      <c r="E183" s="1" t="s">
        <v>1880</v>
      </c>
      <c r="F183" s="1" t="s">
        <v>80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60</v>
      </c>
      <c r="M183" s="1">
        <v>80</v>
      </c>
      <c r="N183" s="1">
        <v>30</v>
      </c>
      <c r="O183" s="1">
        <v>181</v>
      </c>
      <c r="P183" s="1" t="s">
        <v>900</v>
      </c>
      <c r="Q183" s="1"/>
      <c r="R183" s="1"/>
      <c r="S183" s="1"/>
      <c r="T183" s="1"/>
      <c r="U183" s="1"/>
      <c r="V183" s="1"/>
      <c r="W183" s="1"/>
      <c r="X183" s="1"/>
      <c r="AE183" s="176"/>
    </row>
    <row r="184" spans="2:31">
      <c r="B184" s="1">
        <v>181</v>
      </c>
      <c r="C184" s="1" t="s">
        <v>549</v>
      </c>
      <c r="D184" s="1" t="s">
        <v>900</v>
      </c>
      <c r="E184" s="1" t="s">
        <v>1880</v>
      </c>
      <c r="F184" s="1" t="s">
        <v>80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90</v>
      </c>
      <c r="M184" s="1">
        <v>115</v>
      </c>
      <c r="N184" s="1" t="s">
        <v>80</v>
      </c>
      <c r="O184" s="1" t="s">
        <v>80</v>
      </c>
      <c r="P184" s="1" t="s">
        <v>80</v>
      </c>
      <c r="Q184" s="1"/>
      <c r="R184" s="1"/>
      <c r="S184" s="1"/>
      <c r="T184" s="1"/>
      <c r="U184" s="1"/>
      <c r="V184" s="1"/>
      <c r="W184" s="1"/>
      <c r="X184" s="1"/>
      <c r="AE184" s="176"/>
    </row>
    <row r="185" spans="2:31">
      <c r="B185" s="1">
        <v>182</v>
      </c>
      <c r="C185" s="1" t="s">
        <v>548</v>
      </c>
      <c r="D185" s="1" t="s">
        <v>901</v>
      </c>
      <c r="E185" s="1" t="s">
        <v>1452</v>
      </c>
      <c r="F185" s="1" t="s">
        <v>80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100</v>
      </c>
      <c r="M185" s="1">
        <v>90</v>
      </c>
      <c r="N185" s="1" t="s">
        <v>80</v>
      </c>
      <c r="O185" s="1" t="s">
        <v>80</v>
      </c>
      <c r="P185" s="1" t="s">
        <v>80</v>
      </c>
      <c r="Q185" s="1"/>
      <c r="R185" s="1"/>
      <c r="S185" s="1"/>
      <c r="T185" s="1"/>
      <c r="U185" s="1"/>
      <c r="V185" s="1"/>
      <c r="W185" s="1"/>
      <c r="X185" s="1"/>
      <c r="AE185" s="176"/>
    </row>
    <row r="186" spans="2:31">
      <c r="B186" s="1">
        <v>183</v>
      </c>
      <c r="C186" s="1" t="s">
        <v>547</v>
      </c>
      <c r="D186" s="1" t="s">
        <v>547</v>
      </c>
      <c r="E186" s="1" t="s">
        <v>1455</v>
      </c>
      <c r="F186" s="1" t="s">
        <v>1883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50</v>
      </c>
      <c r="M186" s="1">
        <v>20</v>
      </c>
      <c r="N186" s="1">
        <v>18</v>
      </c>
      <c r="O186" s="1">
        <v>184</v>
      </c>
      <c r="P186" s="1" t="s">
        <v>546</v>
      </c>
      <c r="Q186" s="1"/>
      <c r="R186" s="1"/>
      <c r="S186" s="1"/>
      <c r="T186" s="1"/>
      <c r="U186" s="1"/>
      <c r="V186" s="1"/>
      <c r="W186" s="1"/>
      <c r="X186" s="1"/>
      <c r="AE186" s="176"/>
    </row>
    <row r="187" spans="2:31">
      <c r="B187" s="1">
        <v>184</v>
      </c>
      <c r="C187" s="1" t="s">
        <v>546</v>
      </c>
      <c r="D187" s="1" t="s">
        <v>546</v>
      </c>
      <c r="E187" s="1" t="s">
        <v>1455</v>
      </c>
      <c r="F187" s="1" t="s">
        <v>1883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80</v>
      </c>
      <c r="M187" s="1">
        <v>60</v>
      </c>
      <c r="N187" s="1" t="s">
        <v>80</v>
      </c>
      <c r="O187" s="1" t="s">
        <v>80</v>
      </c>
      <c r="P187" s="1" t="s">
        <v>80</v>
      </c>
      <c r="Q187" s="1"/>
      <c r="R187" s="1"/>
      <c r="S187" s="1"/>
      <c r="T187" s="1"/>
      <c r="U187" s="1"/>
      <c r="V187" s="1"/>
      <c r="W187" s="1"/>
      <c r="X187" s="1"/>
      <c r="AE187" s="176"/>
    </row>
    <row r="188" spans="2:31">
      <c r="B188" s="1">
        <v>185</v>
      </c>
      <c r="C188" s="1" t="s">
        <v>545</v>
      </c>
      <c r="D188" s="1" t="s">
        <v>902</v>
      </c>
      <c r="E188" s="1" t="s">
        <v>1457</v>
      </c>
      <c r="F188" s="1" t="s">
        <v>80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65</v>
      </c>
      <c r="M188" s="1">
        <v>30</v>
      </c>
      <c r="N188" s="1" t="s">
        <v>80</v>
      </c>
      <c r="O188" s="1" t="s">
        <v>80</v>
      </c>
      <c r="P188" s="1"/>
      <c r="Q188" s="1"/>
      <c r="R188" s="1"/>
      <c r="S188" s="1"/>
      <c r="T188" s="1"/>
      <c r="U188" s="1"/>
      <c r="V188" s="1"/>
      <c r="W188" s="1"/>
      <c r="X188" s="1"/>
      <c r="AE188" s="176"/>
    </row>
    <row r="189" spans="2:31">
      <c r="B189" s="1">
        <v>186</v>
      </c>
      <c r="C189" s="1" t="s">
        <v>544</v>
      </c>
      <c r="D189" s="1" t="s">
        <v>903</v>
      </c>
      <c r="E189" s="1" t="s">
        <v>1455</v>
      </c>
      <c r="F189" s="1" t="s">
        <v>80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100</v>
      </c>
      <c r="M189" s="1">
        <v>90</v>
      </c>
      <c r="N189" s="1" t="s">
        <v>80</v>
      </c>
      <c r="O189" s="1" t="s">
        <v>80</v>
      </c>
      <c r="P189" s="1" t="s">
        <v>80</v>
      </c>
      <c r="Q189" s="1"/>
      <c r="R189" s="1"/>
      <c r="S189" s="1"/>
      <c r="T189" s="1"/>
      <c r="U189" s="1"/>
      <c r="V189" s="1"/>
      <c r="W189" s="1"/>
      <c r="X189" s="1"/>
      <c r="AE189" s="176"/>
    </row>
    <row r="190" spans="2:31">
      <c r="B190" s="1">
        <v>187</v>
      </c>
      <c r="C190" s="1" t="s">
        <v>543</v>
      </c>
      <c r="D190" s="1" t="s">
        <v>904</v>
      </c>
      <c r="E190" s="1" t="s">
        <v>1452</v>
      </c>
      <c r="F190" s="1" t="s">
        <v>1453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55</v>
      </c>
      <c r="M190" s="1">
        <v>35</v>
      </c>
      <c r="N190" s="1">
        <v>18</v>
      </c>
      <c r="O190" s="1">
        <v>188</v>
      </c>
      <c r="P190" s="1" t="s">
        <v>905</v>
      </c>
      <c r="Q190" s="1"/>
      <c r="R190" s="1"/>
      <c r="S190" s="1"/>
      <c r="T190" s="1"/>
      <c r="U190" s="1"/>
      <c r="V190" s="1"/>
      <c r="W190" s="1"/>
      <c r="X190" s="1"/>
      <c r="AE190" s="176"/>
    </row>
    <row r="191" spans="2:31">
      <c r="B191" s="1">
        <v>188</v>
      </c>
      <c r="C191" s="1" t="s">
        <v>542</v>
      </c>
      <c r="D191" s="1" t="s">
        <v>905</v>
      </c>
      <c r="E191" s="1" t="s">
        <v>1452</v>
      </c>
      <c r="F191" s="1" t="s">
        <v>1453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65</v>
      </c>
      <c r="M191" s="1">
        <v>45</v>
      </c>
      <c r="N191" s="1">
        <v>27</v>
      </c>
      <c r="O191" s="1">
        <v>189</v>
      </c>
      <c r="P191" s="1" t="s">
        <v>906</v>
      </c>
      <c r="Q191" s="1"/>
      <c r="R191" s="1"/>
      <c r="S191" s="1"/>
      <c r="T191" s="1"/>
      <c r="U191" s="1"/>
      <c r="V191" s="1"/>
      <c r="W191" s="1"/>
      <c r="X191" s="1"/>
      <c r="AE191" s="176"/>
    </row>
    <row r="192" spans="2:31">
      <c r="B192" s="1">
        <v>189</v>
      </c>
      <c r="C192" s="1" t="s">
        <v>541</v>
      </c>
      <c r="D192" s="1" t="s">
        <v>906</v>
      </c>
      <c r="E192" s="1" t="s">
        <v>1452</v>
      </c>
      <c r="F192" s="1" t="s">
        <v>1453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95</v>
      </c>
      <c r="M192" s="1">
        <v>55</v>
      </c>
      <c r="N192" s="1" t="s">
        <v>80</v>
      </c>
      <c r="O192" s="1" t="s">
        <v>80</v>
      </c>
      <c r="P192" s="1" t="s">
        <v>80</v>
      </c>
      <c r="Q192" s="1"/>
      <c r="R192" s="1"/>
      <c r="S192" s="1"/>
      <c r="T192" s="1"/>
      <c r="U192" s="1"/>
      <c r="V192" s="1"/>
      <c r="W192" s="1"/>
      <c r="X192" s="1"/>
      <c r="AE192" s="176"/>
    </row>
    <row r="193" spans="2:31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55</v>
      </c>
      <c r="M193" s="1">
        <v>40</v>
      </c>
      <c r="N193" s="1">
        <v>25</v>
      </c>
      <c r="O193" s="1">
        <v>424</v>
      </c>
      <c r="P193" s="1" t="s">
        <v>1081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76"/>
    </row>
    <row r="194" spans="2:31">
      <c r="B194" s="1">
        <v>191</v>
      </c>
      <c r="C194" s="1" t="s">
        <v>539</v>
      </c>
      <c r="D194" s="1" t="s">
        <v>908</v>
      </c>
      <c r="E194" s="1" t="s">
        <v>1452</v>
      </c>
      <c r="F194" s="1" t="s">
        <v>80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909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76"/>
    </row>
    <row r="195" spans="2:31">
      <c r="B195" s="1">
        <v>192</v>
      </c>
      <c r="C195" s="1" t="s">
        <v>538</v>
      </c>
      <c r="D195" s="1" t="s">
        <v>909</v>
      </c>
      <c r="E195" s="1" t="s">
        <v>1452</v>
      </c>
      <c r="F195" s="1" t="s">
        <v>80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85</v>
      </c>
      <c r="M195" s="1">
        <v>105</v>
      </c>
      <c r="N195" s="1" t="s">
        <v>80</v>
      </c>
      <c r="O195" s="1" t="s">
        <v>80</v>
      </c>
      <c r="P195" s="1"/>
      <c r="Q195" s="1"/>
      <c r="R195" s="1"/>
      <c r="S195" s="1"/>
      <c r="T195" s="1"/>
      <c r="U195" s="1"/>
      <c r="V195" s="1"/>
      <c r="W195" s="1"/>
      <c r="X195" s="1"/>
      <c r="AE195" s="176"/>
    </row>
    <row r="196" spans="2:31">
      <c r="B196" s="1">
        <v>193</v>
      </c>
      <c r="C196" s="1" t="s">
        <v>537</v>
      </c>
      <c r="D196" s="1" t="s">
        <v>537</v>
      </c>
      <c r="E196" s="1" t="s">
        <v>1458</v>
      </c>
      <c r="F196" s="1" t="s">
        <v>1453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45</v>
      </c>
      <c r="M196" s="1">
        <v>75</v>
      </c>
      <c r="N196" s="1">
        <v>30</v>
      </c>
      <c r="O196" s="1">
        <v>469</v>
      </c>
      <c r="P196" s="1" t="s">
        <v>261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76"/>
    </row>
    <row r="197" spans="2:31">
      <c r="B197" s="1">
        <v>194</v>
      </c>
      <c r="C197" s="1" t="s">
        <v>536</v>
      </c>
      <c r="D197" s="1" t="s">
        <v>910</v>
      </c>
      <c r="E197" s="1" t="s">
        <v>1455</v>
      </c>
      <c r="F197" s="1" t="s">
        <v>1448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911</v>
      </c>
      <c r="Q197" s="1"/>
      <c r="R197" s="1"/>
      <c r="S197" s="1"/>
      <c r="T197" s="1"/>
      <c r="U197" s="1"/>
      <c r="V197" s="1"/>
      <c r="W197" s="1"/>
      <c r="X197" s="1"/>
      <c r="AE197" s="176"/>
    </row>
    <row r="198" spans="2:31">
      <c r="B198" s="1">
        <v>195</v>
      </c>
      <c r="C198" s="1" t="s">
        <v>535</v>
      </c>
      <c r="D198" s="1" t="s">
        <v>911</v>
      </c>
      <c r="E198" s="1" t="s">
        <v>1455</v>
      </c>
      <c r="F198" s="1" t="s">
        <v>1448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80</v>
      </c>
      <c r="O198" s="1" t="s">
        <v>80</v>
      </c>
      <c r="P198" s="1" t="s">
        <v>80</v>
      </c>
      <c r="Q198" s="1"/>
      <c r="R198" s="1"/>
      <c r="S198" s="1"/>
      <c r="T198" s="1"/>
      <c r="U198" s="1"/>
      <c r="V198" s="1"/>
      <c r="W198" s="1"/>
      <c r="X198" s="1"/>
      <c r="AE198" s="176"/>
    </row>
    <row r="199" spans="2:31">
      <c r="B199" s="1">
        <v>196</v>
      </c>
      <c r="C199" s="1" t="s">
        <v>534</v>
      </c>
      <c r="D199" s="1" t="s">
        <v>912</v>
      </c>
      <c r="E199" s="1" t="s">
        <v>1454</v>
      </c>
      <c r="F199" s="1" t="s">
        <v>80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95</v>
      </c>
      <c r="M199" s="1">
        <v>130</v>
      </c>
      <c r="N199" s="1" t="s">
        <v>80</v>
      </c>
      <c r="O199" s="1" t="s">
        <v>80</v>
      </c>
      <c r="P199" s="1" t="s">
        <v>80</v>
      </c>
      <c r="Q199" s="1"/>
      <c r="R199" s="1"/>
      <c r="S199" s="1"/>
      <c r="T199" s="1"/>
      <c r="U199" s="1"/>
      <c r="V199" s="1"/>
      <c r="W199" s="1"/>
      <c r="X199" s="1"/>
      <c r="AE199" s="176"/>
    </row>
    <row r="200" spans="2:31">
      <c r="B200" s="1">
        <v>197</v>
      </c>
      <c r="C200" s="1" t="s">
        <v>533</v>
      </c>
      <c r="D200" s="1" t="s">
        <v>913</v>
      </c>
      <c r="E200" s="1" t="s">
        <v>1444</v>
      </c>
      <c r="F200" s="1" t="s">
        <v>80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130</v>
      </c>
      <c r="M200" s="1">
        <v>60</v>
      </c>
      <c r="N200" s="1" t="s">
        <v>80</v>
      </c>
      <c r="O200" s="1" t="s">
        <v>80</v>
      </c>
      <c r="P200" s="1" t="s">
        <v>80</v>
      </c>
      <c r="Q200" s="1"/>
      <c r="R200" s="1"/>
      <c r="S200" s="1"/>
      <c r="T200" s="1"/>
      <c r="U200" s="1"/>
      <c r="V200" s="1"/>
      <c r="W200" s="1"/>
      <c r="X200" s="1"/>
      <c r="AE200" s="176"/>
    </row>
    <row r="201" spans="2:31">
      <c r="B201" s="1">
        <v>198</v>
      </c>
      <c r="C201" s="1" t="s">
        <v>532</v>
      </c>
      <c r="D201" s="1" t="s">
        <v>914</v>
      </c>
      <c r="E201" s="1" t="s">
        <v>1444</v>
      </c>
      <c r="F201" s="1" t="s">
        <v>1453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42</v>
      </c>
      <c r="M201" s="1">
        <v>85</v>
      </c>
      <c r="N201" s="1">
        <v>30</v>
      </c>
      <c r="O201" s="1">
        <v>430</v>
      </c>
      <c r="P201" s="1" t="s">
        <v>1087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76"/>
    </row>
    <row r="202" spans="2:31">
      <c r="B202" s="1">
        <v>199</v>
      </c>
      <c r="C202" s="1" t="s">
        <v>531</v>
      </c>
      <c r="D202" s="1" t="s">
        <v>915</v>
      </c>
      <c r="E202" s="1" t="s">
        <v>1455</v>
      </c>
      <c r="F202" s="1" t="s">
        <v>1454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110</v>
      </c>
      <c r="M202" s="1">
        <v>100</v>
      </c>
      <c r="N202" s="1" t="s">
        <v>80</v>
      </c>
      <c r="O202" s="1" t="s">
        <v>80</v>
      </c>
      <c r="P202" s="1" t="s">
        <v>80</v>
      </c>
      <c r="Q202" s="1"/>
      <c r="R202" s="1"/>
      <c r="S202" s="1"/>
      <c r="T202" s="1"/>
      <c r="U202" s="1"/>
      <c r="V202" s="1"/>
      <c r="W202" s="1"/>
      <c r="X202" s="1"/>
      <c r="AE202" s="176"/>
    </row>
    <row r="203" spans="2:31">
      <c r="B203" s="1">
        <v>200</v>
      </c>
      <c r="C203" s="1" t="s">
        <v>530</v>
      </c>
      <c r="D203" s="1" t="s">
        <v>916</v>
      </c>
      <c r="E203" s="1" t="s">
        <v>1463</v>
      </c>
      <c r="F203" s="1" t="s">
        <v>80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1086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76"/>
    </row>
    <row r="204" spans="2:31">
      <c r="B204" s="1">
        <v>201</v>
      </c>
      <c r="C204" s="1" t="s">
        <v>529</v>
      </c>
      <c r="D204" s="1" t="s">
        <v>917</v>
      </c>
      <c r="E204" s="1" t="s">
        <v>1454</v>
      </c>
      <c r="F204" s="1" t="s">
        <v>80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48</v>
      </c>
      <c r="M204" s="1">
        <v>72</v>
      </c>
      <c r="N204" s="1" t="s">
        <v>80</v>
      </c>
      <c r="O204" s="1" t="s">
        <v>80</v>
      </c>
      <c r="P204" s="1"/>
      <c r="Q204" s="1"/>
      <c r="R204" s="1"/>
      <c r="S204" s="1"/>
      <c r="T204" s="1"/>
      <c r="U204" s="1"/>
      <c r="V204" s="1"/>
      <c r="W204" s="1"/>
      <c r="X204" s="1"/>
      <c r="AE204" s="176"/>
    </row>
    <row r="205" spans="2:31">
      <c r="B205" s="1">
        <v>202</v>
      </c>
      <c r="C205" s="1" t="s">
        <v>528</v>
      </c>
      <c r="D205" s="1" t="s">
        <v>918</v>
      </c>
      <c r="E205" s="1" t="s">
        <v>1454</v>
      </c>
      <c r="F205" s="1" t="s">
        <v>80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58</v>
      </c>
      <c r="M205" s="1">
        <v>33</v>
      </c>
      <c r="N205" s="1" t="s">
        <v>80</v>
      </c>
      <c r="O205" s="1" t="s">
        <v>80</v>
      </c>
      <c r="P205" s="1"/>
      <c r="Q205" s="1"/>
      <c r="R205" s="1"/>
      <c r="S205" s="1"/>
      <c r="T205" s="1"/>
      <c r="U205" s="1"/>
      <c r="V205" s="1"/>
      <c r="W205" s="1"/>
      <c r="X205" s="1"/>
      <c r="AE205" s="176"/>
    </row>
    <row r="206" spans="2:31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1454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65</v>
      </c>
      <c r="M206" s="1">
        <v>90</v>
      </c>
      <c r="N206" s="1" t="s">
        <v>80</v>
      </c>
      <c r="O206" s="1" t="s">
        <v>80</v>
      </c>
      <c r="P206" s="1"/>
      <c r="Q206" s="1"/>
      <c r="R206" s="1"/>
      <c r="S206" s="1"/>
      <c r="T206" s="1"/>
      <c r="U206" s="1"/>
      <c r="V206" s="1"/>
      <c r="W206" s="1"/>
      <c r="X206" s="1"/>
      <c r="AE206" s="176"/>
    </row>
    <row r="207" spans="2:31">
      <c r="B207" s="1">
        <v>204</v>
      </c>
      <c r="C207" s="1" t="s">
        <v>526</v>
      </c>
      <c r="D207" s="1" t="s">
        <v>919</v>
      </c>
      <c r="E207" s="1" t="s">
        <v>1458</v>
      </c>
      <c r="F207" s="1" t="s">
        <v>80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920</v>
      </c>
      <c r="Q207" s="1"/>
      <c r="R207" s="1"/>
      <c r="S207" s="1"/>
      <c r="T207" s="1"/>
      <c r="U207" s="1"/>
      <c r="V207" s="1"/>
      <c r="W207" s="1"/>
      <c r="X207" s="1"/>
      <c r="AE207" s="176"/>
    </row>
    <row r="208" spans="2:31">
      <c r="B208" s="1">
        <v>205</v>
      </c>
      <c r="C208" s="1" t="s">
        <v>525</v>
      </c>
      <c r="D208" s="1" t="s">
        <v>920</v>
      </c>
      <c r="E208" s="1" t="s">
        <v>1458</v>
      </c>
      <c r="F208" s="1" t="s">
        <v>1882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80</v>
      </c>
      <c r="O208" s="1" t="s">
        <v>80</v>
      </c>
      <c r="P208" s="1"/>
      <c r="Q208" s="1"/>
      <c r="R208" s="1"/>
      <c r="S208" s="1"/>
      <c r="T208" s="1"/>
      <c r="U208" s="1"/>
      <c r="V208" s="1"/>
      <c r="W208" s="1"/>
      <c r="X208" s="1"/>
      <c r="AE208" s="176"/>
    </row>
    <row r="209" spans="2:31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80</v>
      </c>
      <c r="O209" s="1" t="s">
        <v>80</v>
      </c>
      <c r="P209" s="1"/>
      <c r="Q209" s="1"/>
      <c r="R209" s="1"/>
      <c r="S209" s="1"/>
      <c r="T209" s="1"/>
      <c r="U209" s="1"/>
      <c r="V209" s="1"/>
      <c r="W209" s="1"/>
      <c r="X209" s="1"/>
      <c r="AE209" s="176"/>
    </row>
    <row r="210" spans="2:31">
      <c r="B210" s="1">
        <v>207</v>
      </c>
      <c r="C210" s="1" t="s">
        <v>523</v>
      </c>
      <c r="D210" s="1" t="s">
        <v>922</v>
      </c>
      <c r="E210" s="1" t="s">
        <v>1448</v>
      </c>
      <c r="F210" s="1" t="s">
        <v>1453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65</v>
      </c>
      <c r="M210" s="1">
        <v>35</v>
      </c>
      <c r="N210" s="1">
        <v>30</v>
      </c>
      <c r="O210" s="1">
        <v>472</v>
      </c>
      <c r="P210" s="1" t="s">
        <v>1122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76"/>
    </row>
    <row r="211" spans="2:31">
      <c r="B211" s="1">
        <v>208</v>
      </c>
      <c r="C211" s="1" t="s">
        <v>522</v>
      </c>
      <c r="D211" s="1" t="s">
        <v>522</v>
      </c>
      <c r="E211" s="1" t="s">
        <v>1882</v>
      </c>
      <c r="F211" s="1" t="s">
        <v>1448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65</v>
      </c>
      <c r="M211" s="1">
        <v>55</v>
      </c>
      <c r="N211" s="1" t="s">
        <v>80</v>
      </c>
      <c r="O211" s="1" t="s">
        <v>80</v>
      </c>
      <c r="P211" s="1"/>
      <c r="Q211" s="1"/>
      <c r="R211" s="1"/>
      <c r="S211" s="1"/>
      <c r="T211" s="1"/>
      <c r="U211" s="1"/>
      <c r="V211" s="1"/>
      <c r="W211" s="1"/>
      <c r="X211" s="1"/>
      <c r="AE211" s="176"/>
    </row>
    <row r="212" spans="2:31">
      <c r="B212" s="1">
        <v>209</v>
      </c>
      <c r="C212" s="1" t="s">
        <v>521</v>
      </c>
      <c r="D212" s="1" t="s">
        <v>521</v>
      </c>
      <c r="E212" s="1" t="s">
        <v>1883</v>
      </c>
      <c r="F212" s="1" t="s">
        <v>80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520</v>
      </c>
      <c r="Q212" s="1"/>
      <c r="R212" s="1"/>
      <c r="S212" s="1"/>
      <c r="T212" s="1"/>
      <c r="U212" s="1"/>
      <c r="V212" s="1"/>
      <c r="W212" s="1"/>
      <c r="X212" s="1"/>
      <c r="AE212" s="176"/>
    </row>
    <row r="213" spans="2:31">
      <c r="B213" s="1">
        <v>210</v>
      </c>
      <c r="C213" s="1" t="s">
        <v>520</v>
      </c>
      <c r="D213" s="1" t="s">
        <v>520</v>
      </c>
      <c r="E213" s="1" t="s">
        <v>1883</v>
      </c>
      <c r="F213" s="1" t="s">
        <v>80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80</v>
      </c>
      <c r="O213" s="1" t="s">
        <v>80</v>
      </c>
      <c r="P213" s="1"/>
      <c r="Q213" s="1"/>
      <c r="R213" s="1"/>
      <c r="S213" s="1"/>
      <c r="T213" s="1"/>
      <c r="U213" s="1"/>
      <c r="V213" s="1"/>
      <c r="W213" s="1"/>
      <c r="X213" s="1"/>
      <c r="AE213" s="176"/>
    </row>
    <row r="214" spans="2:31">
      <c r="B214" s="1">
        <v>211</v>
      </c>
      <c r="C214" s="1" t="s">
        <v>519</v>
      </c>
      <c r="D214" s="1" t="s">
        <v>519</v>
      </c>
      <c r="E214" s="1" t="s">
        <v>1455</v>
      </c>
      <c r="F214" s="1" t="s">
        <v>742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80</v>
      </c>
      <c r="O214" s="1" t="s">
        <v>80</v>
      </c>
      <c r="P214" s="1"/>
      <c r="Q214" s="1"/>
      <c r="R214" s="1"/>
      <c r="S214" s="1"/>
      <c r="T214" s="1"/>
      <c r="U214" s="1"/>
      <c r="V214" s="1"/>
      <c r="W214" s="1"/>
      <c r="X214" s="1"/>
      <c r="AE214" s="176"/>
    </row>
    <row r="215" spans="2:31">
      <c r="B215" s="1">
        <v>212</v>
      </c>
      <c r="C215" s="1" t="s">
        <v>518</v>
      </c>
      <c r="D215" s="1" t="s">
        <v>923</v>
      </c>
      <c r="E215" s="1" t="s">
        <v>1458</v>
      </c>
      <c r="F215" s="1" t="s">
        <v>1882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80</v>
      </c>
      <c r="M215" s="1">
        <v>55</v>
      </c>
      <c r="N215" s="1" t="s">
        <v>80</v>
      </c>
      <c r="O215" s="1" t="s">
        <v>80</v>
      </c>
      <c r="P215" s="1" t="s">
        <v>80</v>
      </c>
      <c r="Q215" s="1"/>
      <c r="R215" s="1"/>
      <c r="S215" s="1"/>
      <c r="T215" s="1"/>
      <c r="U215" s="1"/>
      <c r="V215" s="1"/>
      <c r="W215" s="1"/>
      <c r="X215" s="1"/>
      <c r="AE215" s="176"/>
    </row>
    <row r="216" spans="2:31">
      <c r="B216" s="1">
        <v>213</v>
      </c>
      <c r="C216" s="1" t="s">
        <v>517</v>
      </c>
      <c r="D216" s="1" t="s">
        <v>924</v>
      </c>
      <c r="E216" s="1" t="s">
        <v>1458</v>
      </c>
      <c r="F216" s="1" t="s">
        <v>1457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230</v>
      </c>
      <c r="M216" s="1">
        <v>10</v>
      </c>
      <c r="N216" s="1" t="s">
        <v>80</v>
      </c>
      <c r="O216" s="1" t="s">
        <v>80</v>
      </c>
      <c r="P216" s="1"/>
      <c r="Q216" s="1"/>
      <c r="R216" s="1"/>
      <c r="S216" s="1"/>
      <c r="T216" s="1"/>
      <c r="U216" s="1"/>
      <c r="V216" s="1"/>
      <c r="W216" s="1"/>
      <c r="X216" s="1"/>
      <c r="AE216" s="176"/>
    </row>
    <row r="217" spans="2:31">
      <c r="B217" s="1">
        <v>214</v>
      </c>
      <c r="C217" s="1" t="s">
        <v>516</v>
      </c>
      <c r="D217" s="1" t="s">
        <v>925</v>
      </c>
      <c r="E217" s="1" t="s">
        <v>1458</v>
      </c>
      <c r="F217" s="1" t="s">
        <v>1881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95</v>
      </c>
      <c r="M217" s="1">
        <v>40</v>
      </c>
      <c r="N217" s="1" t="s">
        <v>80</v>
      </c>
      <c r="O217" s="1" t="s">
        <v>80</v>
      </c>
      <c r="P217" s="1"/>
      <c r="Q217" s="1"/>
      <c r="R217" s="1"/>
      <c r="S217" s="1"/>
      <c r="T217" s="1"/>
      <c r="U217" s="1"/>
      <c r="V217" s="1"/>
      <c r="W217" s="1"/>
      <c r="X217" s="1"/>
      <c r="AE217" s="176"/>
    </row>
    <row r="218" spans="2:31">
      <c r="B218" s="1">
        <v>215</v>
      </c>
      <c r="C218" s="1" t="s">
        <v>515</v>
      </c>
      <c r="D218" s="1" t="s">
        <v>926</v>
      </c>
      <c r="E218" s="1" t="s">
        <v>1444</v>
      </c>
      <c r="F218" s="1" t="s">
        <v>1460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75</v>
      </c>
      <c r="M218" s="1">
        <v>35</v>
      </c>
      <c r="N218" s="1">
        <v>35</v>
      </c>
      <c r="O218" s="1">
        <v>461</v>
      </c>
      <c r="P218" s="240" t="s">
        <v>1113</v>
      </c>
      <c r="Q218" s="1"/>
      <c r="R218" s="1"/>
      <c r="S218" s="1"/>
      <c r="T218" s="1"/>
      <c r="U218" s="1"/>
      <c r="V218" s="1"/>
      <c r="W218" s="1"/>
      <c r="X218" s="1"/>
      <c r="AE218" s="176"/>
    </row>
    <row r="219" spans="2:31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513</v>
      </c>
      <c r="Q219" s="1"/>
      <c r="R219" s="1"/>
      <c r="S219" s="1"/>
      <c r="T219" s="1"/>
      <c r="U219" s="1"/>
      <c r="V219" s="1"/>
      <c r="W219" s="1"/>
      <c r="X219" s="1"/>
      <c r="AE219" s="176"/>
    </row>
    <row r="220" spans="2:31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80</v>
      </c>
      <c r="O220" s="1" t="s">
        <v>80</v>
      </c>
      <c r="P220" s="1"/>
      <c r="Q220" s="1"/>
      <c r="R220" s="1"/>
      <c r="S220" s="1"/>
      <c r="T220" s="1"/>
      <c r="U220" s="1"/>
      <c r="V220" s="1"/>
      <c r="W220" s="1"/>
      <c r="X220" s="1"/>
      <c r="AE220" s="176"/>
    </row>
    <row r="221" spans="2:31">
      <c r="B221" s="1">
        <v>218</v>
      </c>
      <c r="C221" s="1" t="s">
        <v>512</v>
      </c>
      <c r="D221" s="1" t="s">
        <v>927</v>
      </c>
      <c r="E221" s="1" t="s">
        <v>1456</v>
      </c>
      <c r="F221" s="1" t="s">
        <v>80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40</v>
      </c>
      <c r="M221" s="1">
        <v>70</v>
      </c>
      <c r="N221" s="1">
        <v>38</v>
      </c>
      <c r="O221" s="1">
        <v>219</v>
      </c>
      <c r="P221" s="1" t="s">
        <v>928</v>
      </c>
      <c r="Q221" s="1"/>
      <c r="R221" s="1"/>
      <c r="S221" s="1"/>
      <c r="T221" s="1"/>
      <c r="U221" s="1"/>
      <c r="V221" s="1"/>
      <c r="W221" s="1"/>
      <c r="X221" s="1"/>
      <c r="AE221" s="176"/>
    </row>
    <row r="222" spans="2:31">
      <c r="B222" s="1">
        <v>219</v>
      </c>
      <c r="C222" s="1" t="s">
        <v>511</v>
      </c>
      <c r="D222" s="1" t="s">
        <v>928</v>
      </c>
      <c r="E222" s="1" t="s">
        <v>1456</v>
      </c>
      <c r="F222" s="1" t="s">
        <v>1457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80</v>
      </c>
      <c r="O222" s="1" t="s">
        <v>80</v>
      </c>
      <c r="P222" s="1"/>
      <c r="Q222" s="1"/>
      <c r="R222" s="1"/>
      <c r="S222" s="1"/>
      <c r="T222" s="1"/>
      <c r="U222" s="1"/>
      <c r="V222" s="1"/>
      <c r="W222" s="1"/>
      <c r="X222" s="1"/>
      <c r="AE222" s="176"/>
    </row>
    <row r="223" spans="2:31">
      <c r="B223" s="1">
        <v>220</v>
      </c>
      <c r="C223" s="1" t="s">
        <v>510</v>
      </c>
      <c r="D223" s="1" t="s">
        <v>929</v>
      </c>
      <c r="E223" s="1" t="s">
        <v>1460</v>
      </c>
      <c r="F223" s="1" t="s">
        <v>1448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930</v>
      </c>
      <c r="Q223" s="1"/>
      <c r="R223" s="1"/>
      <c r="S223" s="1"/>
      <c r="T223" s="1"/>
      <c r="U223" s="1"/>
      <c r="V223" s="1"/>
      <c r="W223" s="1"/>
      <c r="X223" s="1"/>
      <c r="AE223" s="176"/>
    </row>
    <row r="224" spans="2:31">
      <c r="B224" s="1">
        <v>221</v>
      </c>
      <c r="C224" s="1" t="s">
        <v>509</v>
      </c>
      <c r="D224" s="1" t="s">
        <v>930</v>
      </c>
      <c r="E224" s="1" t="s">
        <v>1460</v>
      </c>
      <c r="F224" s="1" t="s">
        <v>1448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1123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76"/>
    </row>
    <row r="225" spans="2:31">
      <c r="B225" s="1">
        <v>222</v>
      </c>
      <c r="C225" s="1" t="s">
        <v>508</v>
      </c>
      <c r="D225" s="1" t="s">
        <v>931</v>
      </c>
      <c r="E225" s="1" t="s">
        <v>1455</v>
      </c>
      <c r="F225" s="1" t="s">
        <v>1457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85</v>
      </c>
      <c r="M225" s="1">
        <v>65</v>
      </c>
      <c r="N225" s="1" t="s">
        <v>80</v>
      </c>
      <c r="O225" s="1" t="s">
        <v>80</v>
      </c>
      <c r="P225" s="1"/>
      <c r="Q225" s="1"/>
      <c r="R225" s="1"/>
      <c r="S225" s="1"/>
      <c r="T225" s="1"/>
      <c r="U225" s="1"/>
      <c r="V225" s="1"/>
      <c r="W225" s="1"/>
      <c r="X225" s="1"/>
      <c r="AE225" s="176"/>
    </row>
    <row r="226" spans="2:31">
      <c r="B226" s="1">
        <v>223</v>
      </c>
      <c r="C226" s="1" t="s">
        <v>507</v>
      </c>
      <c r="D226" s="1" t="s">
        <v>932</v>
      </c>
      <c r="E226" s="1" t="s">
        <v>1455</v>
      </c>
      <c r="F226" s="1" t="s">
        <v>80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35</v>
      </c>
      <c r="M226" s="1">
        <v>65</v>
      </c>
      <c r="N226" s="1">
        <v>25</v>
      </c>
      <c r="O226" s="1">
        <v>224</v>
      </c>
      <c r="P226" s="1" t="s">
        <v>506</v>
      </c>
      <c r="Q226" s="1"/>
      <c r="R226" s="1"/>
      <c r="S226" s="1"/>
      <c r="T226" s="1"/>
      <c r="U226" s="1"/>
      <c r="V226" s="1"/>
      <c r="W226" s="1"/>
      <c r="X226" s="1"/>
      <c r="AE226" s="176"/>
    </row>
    <row r="227" spans="2:31">
      <c r="B227" s="1">
        <v>224</v>
      </c>
      <c r="C227" s="1" t="s">
        <v>506</v>
      </c>
      <c r="D227" s="1" t="s">
        <v>506</v>
      </c>
      <c r="E227" s="1" t="s">
        <v>1455</v>
      </c>
      <c r="F227" s="1" t="s">
        <v>80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75</v>
      </c>
      <c r="M227" s="1">
        <v>105</v>
      </c>
      <c r="N227" s="1" t="s">
        <v>80</v>
      </c>
      <c r="O227" s="1" t="s">
        <v>80</v>
      </c>
      <c r="P227" s="1"/>
      <c r="Q227" s="1"/>
      <c r="R227" s="1"/>
      <c r="S227" s="1"/>
      <c r="T227" s="1"/>
      <c r="U227" s="1"/>
      <c r="V227" s="1"/>
      <c r="W227" s="1"/>
      <c r="X227" s="1"/>
      <c r="AE227" s="176"/>
    </row>
    <row r="228" spans="2:31">
      <c r="B228" s="1">
        <v>225</v>
      </c>
      <c r="C228" s="1" t="s">
        <v>505</v>
      </c>
      <c r="D228" s="1" t="s">
        <v>933</v>
      </c>
      <c r="E228" s="1" t="s">
        <v>1460</v>
      </c>
      <c r="F228" s="1" t="s">
        <v>1453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45</v>
      </c>
      <c r="M228" s="1">
        <v>65</v>
      </c>
      <c r="N228" s="1" t="s">
        <v>80</v>
      </c>
      <c r="O228" s="1" t="s">
        <v>80</v>
      </c>
      <c r="P228" s="1"/>
      <c r="Q228" s="1"/>
      <c r="R228" s="1"/>
      <c r="S228" s="1"/>
      <c r="T228" s="1"/>
      <c r="U228" s="1"/>
      <c r="V228" s="1"/>
      <c r="W228" s="1"/>
      <c r="X228" s="1"/>
      <c r="AE228" s="176"/>
    </row>
    <row r="229" spans="2:31">
      <c r="B229" s="1">
        <v>226</v>
      </c>
      <c r="C229" s="1" t="s">
        <v>504</v>
      </c>
      <c r="D229" s="1" t="s">
        <v>934</v>
      </c>
      <c r="E229" s="1" t="s">
        <v>1455</v>
      </c>
      <c r="F229" s="1" t="s">
        <v>1453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140</v>
      </c>
      <c r="M229" s="1">
        <v>80</v>
      </c>
      <c r="N229" s="1" t="s">
        <v>80</v>
      </c>
      <c r="O229" s="1" t="s">
        <v>80</v>
      </c>
      <c r="P229" s="1"/>
      <c r="Q229" s="1"/>
      <c r="R229" s="1"/>
      <c r="S229" s="1"/>
      <c r="T229" s="1"/>
      <c r="U229" s="1"/>
      <c r="V229" s="1"/>
      <c r="W229" s="1"/>
      <c r="X229" s="1"/>
      <c r="AE229" s="176"/>
    </row>
    <row r="230" spans="2:31">
      <c r="B230" s="1">
        <v>227</v>
      </c>
      <c r="C230" s="1" t="s">
        <v>503</v>
      </c>
      <c r="D230" s="1" t="s">
        <v>935</v>
      </c>
      <c r="E230" s="1" t="s">
        <v>1882</v>
      </c>
      <c r="F230" s="1" t="s">
        <v>1453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70</v>
      </c>
      <c r="M230" s="1">
        <v>40</v>
      </c>
      <c r="N230" s="1" t="s">
        <v>80</v>
      </c>
      <c r="O230" s="1" t="s">
        <v>80</v>
      </c>
      <c r="P230" s="1"/>
      <c r="Q230" s="1"/>
      <c r="R230" s="1"/>
      <c r="S230" s="1"/>
      <c r="T230" s="1"/>
      <c r="U230" s="1"/>
      <c r="V230" s="1"/>
      <c r="W230" s="1"/>
      <c r="X230" s="1"/>
      <c r="AE230" s="176"/>
    </row>
    <row r="231" spans="2:31">
      <c r="B231" s="1">
        <v>228</v>
      </c>
      <c r="C231" s="1" t="s">
        <v>502</v>
      </c>
      <c r="D231" s="1" t="s">
        <v>936</v>
      </c>
      <c r="E231" s="1" t="s">
        <v>1444</v>
      </c>
      <c r="F231" s="1" t="s">
        <v>1456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50</v>
      </c>
      <c r="M231" s="1">
        <v>80</v>
      </c>
      <c r="N231" s="1">
        <v>24</v>
      </c>
      <c r="O231" s="1">
        <v>229</v>
      </c>
      <c r="P231" s="1" t="s">
        <v>937</v>
      </c>
      <c r="Q231" s="1"/>
      <c r="R231" s="1"/>
      <c r="S231" s="1"/>
      <c r="T231" s="1"/>
      <c r="U231" s="1"/>
      <c r="V231" s="1"/>
      <c r="W231" s="1"/>
      <c r="X231" s="1"/>
      <c r="AE231" s="176"/>
    </row>
    <row r="232" spans="2:31">
      <c r="B232" s="1">
        <v>229</v>
      </c>
      <c r="C232" s="1" t="s">
        <v>501</v>
      </c>
      <c r="D232" s="1" t="s">
        <v>937</v>
      </c>
      <c r="E232" s="1" t="s">
        <v>1444</v>
      </c>
      <c r="F232" s="1" t="s">
        <v>1456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80</v>
      </c>
      <c r="M232" s="1">
        <v>110</v>
      </c>
      <c r="N232" s="1" t="s">
        <v>80</v>
      </c>
      <c r="O232" s="1" t="s">
        <v>80</v>
      </c>
      <c r="P232" s="1"/>
      <c r="Q232" s="1"/>
      <c r="R232" s="1"/>
      <c r="S232" s="1"/>
      <c r="T232" s="1"/>
      <c r="U232" s="1"/>
      <c r="V232" s="1"/>
      <c r="W232" s="1"/>
      <c r="X232" s="1"/>
      <c r="AE232" s="176"/>
    </row>
    <row r="233" spans="2:31">
      <c r="B233" s="1">
        <v>230</v>
      </c>
      <c r="C233" s="1" t="s">
        <v>500</v>
      </c>
      <c r="D233" s="1" t="s">
        <v>938</v>
      </c>
      <c r="E233" s="1" t="s">
        <v>1455</v>
      </c>
      <c r="F233" s="1" t="s">
        <v>750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80</v>
      </c>
      <c r="O233" s="1" t="s">
        <v>80</v>
      </c>
      <c r="P233" s="1" t="s">
        <v>80</v>
      </c>
      <c r="Q233" s="1"/>
      <c r="R233" s="1"/>
      <c r="S233" s="1"/>
      <c r="T233" s="1"/>
      <c r="U233" s="1"/>
      <c r="V233" s="1"/>
      <c r="W233" s="1"/>
      <c r="X233" s="1"/>
      <c r="AE233" s="176"/>
    </row>
    <row r="234" spans="2:31">
      <c r="B234" s="1">
        <v>231</v>
      </c>
      <c r="C234" s="1" t="s">
        <v>499</v>
      </c>
      <c r="D234" s="1" t="s">
        <v>499</v>
      </c>
      <c r="E234" s="1" t="s">
        <v>1448</v>
      </c>
      <c r="F234" s="1" t="s">
        <v>80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498</v>
      </c>
      <c r="Q234" s="1"/>
      <c r="R234" s="1"/>
      <c r="S234" s="1"/>
      <c r="T234" s="1"/>
      <c r="U234" s="1"/>
      <c r="V234" s="1"/>
      <c r="W234" s="1"/>
      <c r="X234" s="1"/>
      <c r="AE234" s="176"/>
    </row>
    <row r="235" spans="2:31">
      <c r="B235" s="1">
        <v>232</v>
      </c>
      <c r="C235" s="1" t="s">
        <v>498</v>
      </c>
      <c r="D235" s="1" t="s">
        <v>498</v>
      </c>
      <c r="E235" s="1" t="s">
        <v>1448</v>
      </c>
      <c r="F235" s="1" t="s">
        <v>80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80</v>
      </c>
      <c r="O235" s="1" t="s">
        <v>80</v>
      </c>
      <c r="P235" s="1"/>
      <c r="Q235" s="1"/>
      <c r="R235" s="1"/>
      <c r="S235" s="1"/>
      <c r="T235" s="1"/>
      <c r="U235" s="1"/>
      <c r="V235" s="1"/>
      <c r="W235" s="1"/>
      <c r="X235" s="1"/>
      <c r="AE235" s="176"/>
    </row>
    <row r="236" spans="2:31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95</v>
      </c>
      <c r="M236" s="1">
        <v>105</v>
      </c>
      <c r="N236" s="1">
        <v>30</v>
      </c>
      <c r="O236" s="1">
        <v>474</v>
      </c>
      <c r="P236" s="1" t="s">
        <v>256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76"/>
    </row>
    <row r="237" spans="2:31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65</v>
      </c>
      <c r="M237" s="1">
        <v>85</v>
      </c>
      <c r="N237" s="1" t="s">
        <v>80</v>
      </c>
      <c r="O237" s="1" t="s">
        <v>80</v>
      </c>
      <c r="P237" s="1"/>
      <c r="Q237" s="1"/>
      <c r="R237" s="1"/>
      <c r="S237" s="1"/>
      <c r="T237" s="1"/>
      <c r="U237" s="1"/>
      <c r="V237" s="1"/>
      <c r="W237" s="1"/>
      <c r="X237" s="1"/>
      <c r="AE237" s="176"/>
    </row>
    <row r="238" spans="2:31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45</v>
      </c>
      <c r="M238" s="1">
        <v>20</v>
      </c>
      <c r="N238" s="1" t="s">
        <v>80</v>
      </c>
      <c r="O238" s="1" t="s">
        <v>80</v>
      </c>
      <c r="P238" s="1"/>
      <c r="Q238" s="1"/>
      <c r="R238" s="1"/>
      <c r="S238" s="1"/>
      <c r="T238" s="1"/>
      <c r="U238" s="1"/>
      <c r="V238" s="1"/>
      <c r="W238" s="1"/>
      <c r="X238" s="1"/>
      <c r="AE238" s="176"/>
    </row>
    <row r="239" spans="2:31">
      <c r="B239" s="1">
        <v>236</v>
      </c>
      <c r="C239" s="1" t="s">
        <v>494</v>
      </c>
      <c r="D239" s="1" t="s">
        <v>941</v>
      </c>
      <c r="E239" s="1" t="s">
        <v>1459</v>
      </c>
      <c r="F239" s="1" t="s">
        <v>80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839</v>
      </c>
      <c r="Q239" s="1"/>
      <c r="R239" s="1"/>
      <c r="S239" s="1"/>
      <c r="T239" s="1"/>
      <c r="U239" s="1"/>
      <c r="V239" s="1"/>
      <c r="W239" s="1"/>
      <c r="X239" s="1"/>
      <c r="AE239" s="176"/>
    </row>
    <row r="240" spans="2:31">
      <c r="B240" s="1">
        <v>237</v>
      </c>
      <c r="C240" s="1" t="s">
        <v>493</v>
      </c>
      <c r="D240" s="1" t="s">
        <v>942</v>
      </c>
      <c r="E240" s="1" t="s">
        <v>1459</v>
      </c>
      <c r="F240" s="1" t="s">
        <v>80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110</v>
      </c>
      <c r="M240" s="1">
        <v>35</v>
      </c>
      <c r="N240" s="1" t="s">
        <v>80</v>
      </c>
      <c r="O240" s="1" t="s">
        <v>80</v>
      </c>
      <c r="P240" s="1" t="s">
        <v>80</v>
      </c>
      <c r="Q240" s="1"/>
      <c r="R240" s="1"/>
      <c r="S240" s="1"/>
      <c r="T240" s="1"/>
      <c r="U240" s="1"/>
      <c r="V240" s="1"/>
      <c r="W240" s="1"/>
      <c r="X240" s="1"/>
      <c r="AE240" s="176"/>
    </row>
    <row r="241" spans="2:31">
      <c r="B241" s="1">
        <v>238</v>
      </c>
      <c r="C241" s="1" t="s">
        <v>492</v>
      </c>
      <c r="D241" s="1" t="s">
        <v>943</v>
      </c>
      <c r="E241" s="1" t="s">
        <v>1460</v>
      </c>
      <c r="F241" s="1" t="s">
        <v>1454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65</v>
      </c>
      <c r="M241" s="1">
        <v>85</v>
      </c>
      <c r="N241" s="1">
        <v>30</v>
      </c>
      <c r="O241" s="1">
        <v>124</v>
      </c>
      <c r="P241" s="1" t="s">
        <v>857</v>
      </c>
      <c r="Q241" s="1"/>
      <c r="R241" s="1"/>
      <c r="S241" s="1"/>
      <c r="T241" s="1"/>
      <c r="U241" s="1"/>
      <c r="V241" s="1"/>
      <c r="W241" s="1"/>
      <c r="X241" s="1"/>
      <c r="AE241" s="176"/>
    </row>
    <row r="242" spans="2:31">
      <c r="B242" s="1">
        <v>239</v>
      </c>
      <c r="C242" s="1" t="s">
        <v>491</v>
      </c>
      <c r="D242" s="1" t="s">
        <v>944</v>
      </c>
      <c r="E242" s="1" t="s">
        <v>1880</v>
      </c>
      <c r="F242" s="1" t="s">
        <v>80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55</v>
      </c>
      <c r="M242" s="1">
        <v>65</v>
      </c>
      <c r="N242" s="1">
        <v>30</v>
      </c>
      <c r="O242" s="1">
        <v>125</v>
      </c>
      <c r="P242" s="1" t="s">
        <v>858</v>
      </c>
      <c r="Q242" s="1"/>
      <c r="R242" s="1"/>
      <c r="S242" s="1"/>
      <c r="T242" s="1"/>
      <c r="U242" s="1"/>
      <c r="V242" s="1"/>
      <c r="W242" s="1"/>
      <c r="X242" s="1"/>
      <c r="AE242" s="176"/>
    </row>
    <row r="243" spans="2:31">
      <c r="B243" s="1">
        <v>240</v>
      </c>
      <c r="C243" s="1" t="s">
        <v>490</v>
      </c>
      <c r="D243" s="1" t="s">
        <v>490</v>
      </c>
      <c r="E243" s="1" t="s">
        <v>1456</v>
      </c>
      <c r="F243" s="1" t="s">
        <v>80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55</v>
      </c>
      <c r="M243" s="1">
        <v>70</v>
      </c>
      <c r="N243" s="1">
        <v>30</v>
      </c>
      <c r="O243" s="1">
        <v>126</v>
      </c>
      <c r="P243" s="1" t="s">
        <v>604</v>
      </c>
      <c r="Q243" s="1"/>
      <c r="R243" s="1"/>
      <c r="S243" s="1"/>
      <c r="T243" s="1"/>
      <c r="U243" s="1"/>
      <c r="V243" s="1"/>
      <c r="W243" s="1"/>
      <c r="X243" s="1"/>
      <c r="AE243" s="176"/>
    </row>
    <row r="244" spans="2:31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70</v>
      </c>
      <c r="M244" s="1">
        <v>40</v>
      </c>
      <c r="N244" s="1" t="s">
        <v>80</v>
      </c>
      <c r="O244" s="1" t="s">
        <v>80</v>
      </c>
      <c r="P244" s="1"/>
      <c r="Q244" s="1"/>
      <c r="R244" s="1"/>
      <c r="S244" s="1"/>
      <c r="T244" s="1"/>
      <c r="U244" s="1"/>
      <c r="V244" s="1"/>
      <c r="W244" s="1"/>
      <c r="X244" s="1"/>
      <c r="AE244" s="176"/>
    </row>
    <row r="245" spans="2:31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135</v>
      </c>
      <c r="M245" s="1">
        <v>75</v>
      </c>
      <c r="N245" s="1" t="s">
        <v>80</v>
      </c>
      <c r="O245" s="1" t="s">
        <v>80</v>
      </c>
      <c r="P245" s="1" t="s">
        <v>80</v>
      </c>
      <c r="Q245" s="1"/>
      <c r="R245" s="1"/>
      <c r="S245" s="1"/>
      <c r="T245" s="1"/>
      <c r="U245" s="1"/>
      <c r="V245" s="1"/>
      <c r="W245" s="1"/>
      <c r="X245" s="1"/>
      <c r="AE245" s="176"/>
    </row>
    <row r="246" spans="2:31">
      <c r="B246" s="1">
        <v>243</v>
      </c>
      <c r="C246" s="1" t="s">
        <v>487</v>
      </c>
      <c r="D246" s="1" t="s">
        <v>487</v>
      </c>
      <c r="E246" s="1" t="s">
        <v>1880</v>
      </c>
      <c r="F246" s="1" t="s">
        <v>80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100</v>
      </c>
      <c r="M246" s="1">
        <v>115</v>
      </c>
      <c r="N246" s="1" t="s">
        <v>80</v>
      </c>
      <c r="O246" s="1" t="s">
        <v>80</v>
      </c>
      <c r="P246" s="1"/>
      <c r="Q246" s="1"/>
      <c r="R246" s="1"/>
      <c r="S246" s="1"/>
      <c r="T246" s="1"/>
      <c r="U246" s="1"/>
      <c r="V246" s="1"/>
      <c r="W246" s="1"/>
      <c r="X246" s="1"/>
      <c r="AE246" s="176"/>
    </row>
    <row r="247" spans="2:31">
      <c r="B247" s="1">
        <v>244</v>
      </c>
      <c r="C247" s="1" t="s">
        <v>486</v>
      </c>
      <c r="D247" s="1" t="s">
        <v>486</v>
      </c>
      <c r="E247" s="1" t="s">
        <v>1456</v>
      </c>
      <c r="F247" s="1" t="s">
        <v>80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75</v>
      </c>
      <c r="M247" s="1">
        <v>90</v>
      </c>
      <c r="N247" s="1" t="s">
        <v>80</v>
      </c>
      <c r="O247" s="1" t="s">
        <v>80</v>
      </c>
      <c r="P247" s="1"/>
      <c r="Q247" s="1"/>
      <c r="R247" s="1"/>
      <c r="S247" s="1"/>
      <c r="T247" s="1"/>
      <c r="U247" s="1"/>
      <c r="V247" s="1"/>
      <c r="W247" s="1"/>
      <c r="X247" s="1"/>
      <c r="AE247" s="176"/>
    </row>
    <row r="248" spans="2:31">
      <c r="B248" s="1">
        <v>245</v>
      </c>
      <c r="C248" s="1" t="s">
        <v>485</v>
      </c>
      <c r="D248" s="1" t="s">
        <v>485</v>
      </c>
      <c r="E248" s="1" t="s">
        <v>1455</v>
      </c>
      <c r="F248" s="1" t="s">
        <v>80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115</v>
      </c>
      <c r="M248" s="1">
        <v>90</v>
      </c>
      <c r="N248" s="1" t="s">
        <v>80</v>
      </c>
      <c r="O248" s="1" t="s">
        <v>80</v>
      </c>
      <c r="P248" s="1"/>
      <c r="Q248" s="1"/>
      <c r="R248" s="1"/>
      <c r="S248" s="1"/>
      <c r="T248" s="1"/>
      <c r="U248" s="1"/>
      <c r="V248" s="1"/>
      <c r="W248" s="1"/>
      <c r="X248" s="1"/>
      <c r="AE248" s="176"/>
    </row>
    <row r="249" spans="2:31">
      <c r="B249" s="1">
        <v>246</v>
      </c>
      <c r="C249" s="1" t="s">
        <v>484</v>
      </c>
      <c r="D249" s="1" t="s">
        <v>947</v>
      </c>
      <c r="E249" s="1" t="s">
        <v>1457</v>
      </c>
      <c r="F249" s="1" t="s">
        <v>1448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50</v>
      </c>
      <c r="M249" s="1">
        <v>45</v>
      </c>
      <c r="N249" s="1">
        <v>30</v>
      </c>
      <c r="O249" s="1">
        <v>247</v>
      </c>
      <c r="P249" s="1" t="s">
        <v>948</v>
      </c>
      <c r="Q249" s="1"/>
      <c r="R249" s="1"/>
      <c r="S249" s="1"/>
      <c r="T249" s="1"/>
      <c r="U249" s="1"/>
      <c r="V249" s="1"/>
      <c r="W249" s="1"/>
      <c r="X249" s="1"/>
      <c r="AE249" s="176"/>
    </row>
    <row r="250" spans="2:31">
      <c r="B250" s="1">
        <v>247</v>
      </c>
      <c r="C250" s="1" t="s">
        <v>483</v>
      </c>
      <c r="D250" s="1" t="s">
        <v>948</v>
      </c>
      <c r="E250" s="1" t="s">
        <v>1457</v>
      </c>
      <c r="F250" s="1" t="s">
        <v>1448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70</v>
      </c>
      <c r="M250" s="1">
        <v>65</v>
      </c>
      <c r="N250" s="1">
        <v>55</v>
      </c>
      <c r="O250" s="1">
        <v>248</v>
      </c>
      <c r="P250" s="1" t="s">
        <v>949</v>
      </c>
      <c r="Q250" s="1"/>
      <c r="R250" s="1"/>
      <c r="S250" s="1"/>
      <c r="T250" s="1"/>
      <c r="U250" s="1"/>
      <c r="V250" s="1"/>
      <c r="W250" s="1"/>
      <c r="X250" s="1"/>
      <c r="AE250" s="176"/>
    </row>
    <row r="251" spans="2:31">
      <c r="B251" s="1">
        <v>248</v>
      </c>
      <c r="C251" s="1" t="s">
        <v>482</v>
      </c>
      <c r="D251" s="1" t="s">
        <v>949</v>
      </c>
      <c r="E251" s="1" t="s">
        <v>1457</v>
      </c>
      <c r="F251" s="1" t="s">
        <v>1444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100</v>
      </c>
      <c r="M251" s="1">
        <v>95</v>
      </c>
      <c r="N251" s="1" t="s">
        <v>80</v>
      </c>
      <c r="O251" s="1" t="s">
        <v>80</v>
      </c>
      <c r="P251" s="1" t="s">
        <v>80</v>
      </c>
      <c r="Q251" s="1"/>
      <c r="R251" s="1"/>
      <c r="S251" s="1"/>
      <c r="T251" s="1"/>
      <c r="U251" s="1"/>
      <c r="V251" s="1"/>
      <c r="W251" s="1"/>
      <c r="X251" s="1"/>
      <c r="AE251" s="176"/>
    </row>
    <row r="252" spans="2:31">
      <c r="B252" s="1">
        <v>249</v>
      </c>
      <c r="C252" s="1" t="s">
        <v>481</v>
      </c>
      <c r="D252" s="1" t="s">
        <v>481</v>
      </c>
      <c r="E252" s="1" t="s">
        <v>1454</v>
      </c>
      <c r="F252" s="1" t="s">
        <v>1453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154</v>
      </c>
      <c r="M252" s="1">
        <v>90</v>
      </c>
      <c r="N252" s="1" t="s">
        <v>80</v>
      </c>
      <c r="O252" s="1" t="s">
        <v>80</v>
      </c>
      <c r="P252" s="1"/>
      <c r="Q252" s="1"/>
      <c r="R252" s="1"/>
      <c r="S252" s="1"/>
      <c r="T252" s="1"/>
      <c r="U252" s="1"/>
      <c r="V252" s="1"/>
      <c r="W252" s="1"/>
      <c r="X252" s="1"/>
      <c r="AE252" s="176"/>
    </row>
    <row r="253" spans="2:31">
      <c r="B253" s="1">
        <v>250</v>
      </c>
      <c r="C253" s="1" t="s">
        <v>480</v>
      </c>
      <c r="D253" s="1" t="s">
        <v>950</v>
      </c>
      <c r="E253" s="1" t="s">
        <v>1456</v>
      </c>
      <c r="F253" s="1" t="s">
        <v>1453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154</v>
      </c>
      <c r="M253" s="1">
        <v>110</v>
      </c>
      <c r="N253" s="1" t="s">
        <v>80</v>
      </c>
      <c r="O253" s="1" t="s">
        <v>80</v>
      </c>
      <c r="P253" s="1"/>
      <c r="Q253" s="1"/>
      <c r="R253" s="1"/>
      <c r="S253" s="1"/>
      <c r="T253" s="1"/>
      <c r="U253" s="1"/>
      <c r="V253" s="1"/>
      <c r="W253" s="1"/>
      <c r="X253" s="1"/>
      <c r="AE253" s="176"/>
    </row>
    <row r="254" spans="2:31">
      <c r="B254" s="1">
        <v>251</v>
      </c>
      <c r="C254" s="1" t="s">
        <v>479</v>
      </c>
      <c r="D254" s="1" t="s">
        <v>479</v>
      </c>
      <c r="E254" s="1" t="s">
        <v>1454</v>
      </c>
      <c r="F254" s="1" t="s">
        <v>1452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80</v>
      </c>
      <c r="O254" s="1" t="s">
        <v>80</v>
      </c>
      <c r="P254" s="1"/>
      <c r="Q254" s="1"/>
      <c r="R254" s="1"/>
      <c r="S254" s="1"/>
      <c r="T254" s="1"/>
      <c r="U254" s="1"/>
      <c r="V254" s="1"/>
      <c r="W254" s="1"/>
      <c r="X254" s="1"/>
      <c r="AE254" s="176"/>
    </row>
    <row r="255" spans="2:31">
      <c r="B255" s="1">
        <v>252</v>
      </c>
      <c r="C255" s="1" t="s">
        <v>478</v>
      </c>
      <c r="D255" s="1" t="s">
        <v>951</v>
      </c>
      <c r="E255" s="1" t="s">
        <v>1452</v>
      </c>
      <c r="F255" s="1" t="s">
        <v>80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55</v>
      </c>
      <c r="M255" s="1">
        <v>65</v>
      </c>
      <c r="N255" s="1">
        <v>16</v>
      </c>
      <c r="O255" s="1">
        <v>253</v>
      </c>
      <c r="P255" s="1" t="s">
        <v>952</v>
      </c>
      <c r="Q255" s="1"/>
      <c r="R255" s="1"/>
      <c r="S255" s="1"/>
      <c r="T255" s="1"/>
      <c r="U255" s="1"/>
      <c r="V255" s="1"/>
      <c r="W255" s="1"/>
      <c r="X255" s="1"/>
      <c r="AE255" s="176"/>
    </row>
    <row r="256" spans="2:31">
      <c r="B256" s="1">
        <v>253</v>
      </c>
      <c r="C256" s="1" t="s">
        <v>477</v>
      </c>
      <c r="D256" s="1" t="s">
        <v>952</v>
      </c>
      <c r="E256" s="1" t="s">
        <v>1452</v>
      </c>
      <c r="F256" s="1" t="s">
        <v>80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65</v>
      </c>
      <c r="M256" s="1">
        <v>85</v>
      </c>
      <c r="N256" s="1">
        <v>36</v>
      </c>
      <c r="O256" s="1">
        <v>254</v>
      </c>
      <c r="P256" s="1" t="s">
        <v>953</v>
      </c>
      <c r="Q256" s="1"/>
      <c r="R256" s="1"/>
      <c r="S256" s="1"/>
      <c r="T256" s="1"/>
      <c r="U256" s="1"/>
      <c r="V256" s="1"/>
      <c r="W256" s="1"/>
      <c r="X256" s="1"/>
      <c r="AE256" s="176"/>
    </row>
    <row r="257" spans="2:31">
      <c r="B257" s="1">
        <v>254</v>
      </c>
      <c r="C257" s="1" t="s">
        <v>476</v>
      </c>
      <c r="D257" s="1" t="s">
        <v>953</v>
      </c>
      <c r="E257" s="1" t="s">
        <v>1452</v>
      </c>
      <c r="F257" s="1" t="s">
        <v>80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85</v>
      </c>
      <c r="M257" s="1">
        <v>105</v>
      </c>
      <c r="N257" s="1" t="s">
        <v>80</v>
      </c>
      <c r="O257" s="1" t="s">
        <v>80</v>
      </c>
      <c r="P257" s="1" t="s">
        <v>80</v>
      </c>
      <c r="Q257" s="1"/>
      <c r="R257" s="1"/>
      <c r="S257" s="1"/>
      <c r="T257" s="1"/>
      <c r="U257" s="1"/>
      <c r="V257" s="1"/>
      <c r="W257" s="1"/>
      <c r="X257" s="1"/>
      <c r="AE257" s="176"/>
    </row>
    <row r="258" spans="2:31">
      <c r="B258" s="1">
        <v>255</v>
      </c>
      <c r="C258" s="1" t="s">
        <v>475</v>
      </c>
      <c r="D258" s="1" t="s">
        <v>954</v>
      </c>
      <c r="E258" s="1" t="s">
        <v>1456</v>
      </c>
      <c r="F258" s="1" t="s">
        <v>80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50</v>
      </c>
      <c r="M258" s="1">
        <v>70</v>
      </c>
      <c r="N258" s="1">
        <v>16</v>
      </c>
      <c r="O258" s="1">
        <v>256</v>
      </c>
      <c r="P258" s="1" t="s">
        <v>955</v>
      </c>
      <c r="Q258" s="1"/>
      <c r="R258" s="1"/>
      <c r="S258" s="1"/>
      <c r="T258" s="1"/>
      <c r="U258" s="1"/>
      <c r="V258" s="1"/>
      <c r="W258" s="1"/>
      <c r="X258" s="1"/>
      <c r="AE258" s="176"/>
    </row>
    <row r="259" spans="2:31">
      <c r="B259" s="1">
        <v>256</v>
      </c>
      <c r="C259" s="1" t="s">
        <v>474</v>
      </c>
      <c r="D259" s="1" t="s">
        <v>955</v>
      </c>
      <c r="E259" s="1" t="s">
        <v>1456</v>
      </c>
      <c r="F259" s="1" t="s">
        <v>1881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60</v>
      </c>
      <c r="M259" s="1">
        <v>85</v>
      </c>
      <c r="N259" s="1">
        <v>36</v>
      </c>
      <c r="O259" s="1">
        <v>257</v>
      </c>
      <c r="P259" s="1" t="s">
        <v>956</v>
      </c>
      <c r="Q259" s="1"/>
      <c r="R259" s="1"/>
      <c r="S259" s="1"/>
      <c r="T259" s="1"/>
      <c r="U259" s="1"/>
      <c r="V259" s="1"/>
      <c r="W259" s="1"/>
      <c r="X259" s="1"/>
      <c r="AE259" s="176"/>
    </row>
    <row r="260" spans="2:31">
      <c r="B260" s="1">
        <v>257</v>
      </c>
      <c r="C260" s="1" t="s">
        <v>473</v>
      </c>
      <c r="D260" s="1" t="s">
        <v>956</v>
      </c>
      <c r="E260" s="1" t="s">
        <v>1456</v>
      </c>
      <c r="F260" s="1" t="s">
        <v>1881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70</v>
      </c>
      <c r="M260" s="1">
        <v>110</v>
      </c>
      <c r="N260" s="1" t="s">
        <v>80</v>
      </c>
      <c r="O260" s="1" t="s">
        <v>80</v>
      </c>
      <c r="P260" s="1" t="s">
        <v>80</v>
      </c>
      <c r="Q260" s="1"/>
      <c r="R260" s="1"/>
      <c r="S260" s="1"/>
      <c r="T260" s="1"/>
      <c r="U260" s="1"/>
      <c r="V260" s="1"/>
      <c r="W260" s="1"/>
      <c r="X260" s="1"/>
      <c r="AE260" s="176"/>
    </row>
    <row r="261" spans="2:31">
      <c r="B261" s="1">
        <v>258</v>
      </c>
      <c r="C261" s="1" t="s">
        <v>472</v>
      </c>
      <c r="D261" s="1" t="s">
        <v>957</v>
      </c>
      <c r="E261" s="1" t="s">
        <v>1455</v>
      </c>
      <c r="F261" s="1" t="s">
        <v>80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958</v>
      </c>
      <c r="Q261" s="1"/>
      <c r="R261" s="1"/>
      <c r="S261" s="1"/>
      <c r="T261" s="1"/>
      <c r="U261" s="1"/>
      <c r="V261" s="1"/>
      <c r="W261" s="1"/>
      <c r="X261" s="1"/>
      <c r="AE261" s="176"/>
    </row>
    <row r="262" spans="2:31">
      <c r="B262" s="1">
        <v>259</v>
      </c>
      <c r="C262" s="1" t="s">
        <v>471</v>
      </c>
      <c r="D262" s="1" t="s">
        <v>958</v>
      </c>
      <c r="E262" s="1" t="s">
        <v>1455</v>
      </c>
      <c r="F262" s="1" t="s">
        <v>1448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70</v>
      </c>
      <c r="M262" s="1">
        <v>60</v>
      </c>
      <c r="N262" s="1">
        <v>36</v>
      </c>
      <c r="O262" s="1">
        <v>260</v>
      </c>
      <c r="P262" s="1" t="s">
        <v>959</v>
      </c>
      <c r="Q262" s="1"/>
      <c r="R262" s="1"/>
      <c r="S262" s="1"/>
      <c r="T262" s="1"/>
      <c r="U262" s="1"/>
      <c r="V262" s="1"/>
      <c r="W262" s="1"/>
      <c r="X262" s="1"/>
      <c r="AE262" s="176"/>
    </row>
    <row r="263" spans="2:31">
      <c r="B263" s="1">
        <v>260</v>
      </c>
      <c r="C263" s="1" t="s">
        <v>470</v>
      </c>
      <c r="D263" s="1" t="s">
        <v>959</v>
      </c>
      <c r="E263" s="1" t="s">
        <v>1455</v>
      </c>
      <c r="F263" s="1" t="s">
        <v>1448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90</v>
      </c>
      <c r="M263" s="1">
        <v>85</v>
      </c>
      <c r="N263" s="1" t="s">
        <v>80</v>
      </c>
      <c r="O263" s="1" t="s">
        <v>80</v>
      </c>
      <c r="P263" s="1" t="s">
        <v>80</v>
      </c>
      <c r="Q263" s="1"/>
      <c r="R263" s="1"/>
      <c r="S263" s="1"/>
      <c r="T263" s="1"/>
      <c r="U263" s="1"/>
      <c r="V263" s="1"/>
      <c r="W263" s="1"/>
      <c r="X263" s="1"/>
      <c r="AE263" s="176"/>
    </row>
    <row r="264" spans="2:31">
      <c r="B264" s="1">
        <v>261</v>
      </c>
      <c r="C264" s="1" t="s">
        <v>469</v>
      </c>
      <c r="D264" s="1" t="s">
        <v>960</v>
      </c>
      <c r="E264" s="1" t="s">
        <v>1444</v>
      </c>
      <c r="F264" s="1" t="s">
        <v>80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961</v>
      </c>
      <c r="Q264" s="1"/>
      <c r="R264" s="1"/>
      <c r="S264" s="1"/>
      <c r="T264" s="1"/>
      <c r="U264" s="1"/>
      <c r="V264" s="1"/>
      <c r="W264" s="1"/>
      <c r="X264" s="1"/>
      <c r="AE264" s="176"/>
    </row>
    <row r="265" spans="2:31">
      <c r="B265" s="1">
        <v>262</v>
      </c>
      <c r="C265" s="1" t="s">
        <v>468</v>
      </c>
      <c r="D265" s="1" t="s">
        <v>961</v>
      </c>
      <c r="E265" s="1" t="s">
        <v>1444</v>
      </c>
      <c r="F265" s="1" t="s">
        <v>80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80</v>
      </c>
      <c r="O265" s="1" t="s">
        <v>80</v>
      </c>
      <c r="P265" s="1"/>
      <c r="Q265" s="1"/>
      <c r="R265" s="1"/>
      <c r="S265" s="1"/>
      <c r="T265" s="1"/>
      <c r="U265" s="1"/>
      <c r="V265" s="1"/>
      <c r="W265" s="1"/>
      <c r="X265" s="1"/>
      <c r="AE265" s="176"/>
    </row>
    <row r="266" spans="2:31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41</v>
      </c>
      <c r="M266" s="1">
        <v>30</v>
      </c>
      <c r="N266" s="1">
        <v>20</v>
      </c>
      <c r="O266" s="1">
        <v>264</v>
      </c>
      <c r="P266" s="1" t="s">
        <v>963</v>
      </c>
      <c r="Q266" s="1"/>
      <c r="R266" s="1"/>
      <c r="S266" s="1"/>
      <c r="T266" s="1"/>
      <c r="U266" s="1"/>
      <c r="V266" s="1"/>
      <c r="W266" s="1"/>
      <c r="X266" s="1"/>
      <c r="AE266" s="176"/>
    </row>
    <row r="267" spans="2:31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61</v>
      </c>
      <c r="M267" s="1">
        <v>50</v>
      </c>
      <c r="N267" s="1" t="s">
        <v>80</v>
      </c>
      <c r="O267" s="1" t="s">
        <v>80</v>
      </c>
      <c r="P267" s="1"/>
      <c r="Q267" s="1"/>
      <c r="R267" s="1"/>
      <c r="S267" s="1"/>
      <c r="T267" s="1"/>
      <c r="U267" s="1"/>
      <c r="V267" s="1"/>
      <c r="W267" s="1"/>
      <c r="X267" s="1"/>
      <c r="AE267" s="176"/>
    </row>
    <row r="268" spans="2:31">
      <c r="B268" s="1">
        <v>265</v>
      </c>
      <c r="C268" s="1" t="s">
        <v>465</v>
      </c>
      <c r="D268" s="1" t="s">
        <v>964</v>
      </c>
      <c r="E268" s="1" t="s">
        <v>1458</v>
      </c>
      <c r="F268" s="1" t="s">
        <v>80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30</v>
      </c>
      <c r="M268" s="1">
        <v>20</v>
      </c>
      <c r="N268" s="1">
        <v>7</v>
      </c>
      <c r="O268" s="1">
        <v>266</v>
      </c>
      <c r="P268" s="1" t="s">
        <v>965</v>
      </c>
      <c r="Q268" s="1"/>
      <c r="R268" s="1"/>
      <c r="S268" s="1"/>
      <c r="T268" s="1"/>
      <c r="U268" s="1"/>
      <c r="V268" s="1"/>
      <c r="W268" s="1"/>
      <c r="X268" s="1"/>
      <c r="AE268" s="176"/>
    </row>
    <row r="269" spans="2:31">
      <c r="B269" s="1">
        <v>266</v>
      </c>
      <c r="C269" s="1" t="s">
        <v>464</v>
      </c>
      <c r="D269" s="1" t="s">
        <v>965</v>
      </c>
      <c r="E269" s="1" t="s">
        <v>1458</v>
      </c>
      <c r="F269" s="1" t="s">
        <v>80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80</v>
      </c>
      <c r="P269" s="1" t="s">
        <v>80</v>
      </c>
      <c r="Q269" s="1"/>
      <c r="R269" s="1"/>
      <c r="S269" s="1"/>
      <c r="T269" s="1"/>
      <c r="U269" s="1"/>
      <c r="V269" s="1"/>
      <c r="W269" s="1"/>
      <c r="X269" s="1"/>
      <c r="AE269" s="176"/>
    </row>
    <row r="270" spans="2:31">
      <c r="B270" s="1">
        <v>267</v>
      </c>
      <c r="C270" s="1" t="s">
        <v>463</v>
      </c>
      <c r="D270" s="1" t="s">
        <v>966</v>
      </c>
      <c r="E270" s="1" t="s">
        <v>1458</v>
      </c>
      <c r="F270" s="1" t="s">
        <v>1453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50</v>
      </c>
      <c r="M270" s="1">
        <v>100</v>
      </c>
      <c r="N270" s="1" t="s">
        <v>80</v>
      </c>
      <c r="O270" s="1" t="s">
        <v>80</v>
      </c>
      <c r="P270" s="1" t="s">
        <v>80</v>
      </c>
      <c r="Q270" s="1"/>
      <c r="R270" s="1"/>
      <c r="S270" s="1"/>
      <c r="T270" s="1"/>
      <c r="U270" s="1"/>
      <c r="V270" s="1"/>
      <c r="W270" s="1"/>
      <c r="X270" s="1"/>
      <c r="AE270" s="176"/>
    </row>
    <row r="271" spans="2:31">
      <c r="B271" s="1">
        <v>268</v>
      </c>
      <c r="C271" s="1" t="s">
        <v>462</v>
      </c>
      <c r="D271" s="1" t="s">
        <v>967</v>
      </c>
      <c r="E271" s="1" t="s">
        <v>1458</v>
      </c>
      <c r="F271" s="1" t="s">
        <v>80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80</v>
      </c>
      <c r="P271" s="1" t="s">
        <v>80</v>
      </c>
      <c r="Q271" s="1"/>
      <c r="R271" s="1"/>
      <c r="S271" s="1"/>
      <c r="T271" s="1"/>
      <c r="U271" s="1"/>
      <c r="V271" s="1"/>
      <c r="W271" s="1"/>
      <c r="X271" s="1"/>
      <c r="AE271" s="176"/>
    </row>
    <row r="272" spans="2:31">
      <c r="B272" s="1">
        <v>269</v>
      </c>
      <c r="C272" s="1" t="s">
        <v>461</v>
      </c>
      <c r="D272" s="1" t="s">
        <v>968</v>
      </c>
      <c r="E272" s="1" t="s">
        <v>1458</v>
      </c>
      <c r="F272" s="1" t="s">
        <v>742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90</v>
      </c>
      <c r="M272" s="1">
        <v>50</v>
      </c>
      <c r="N272" s="1" t="s">
        <v>80</v>
      </c>
      <c r="O272" s="1" t="s">
        <v>80</v>
      </c>
      <c r="P272" s="1" t="s">
        <v>80</v>
      </c>
      <c r="Q272" s="1"/>
      <c r="R272" s="1"/>
      <c r="S272" s="1"/>
      <c r="T272" s="1"/>
      <c r="U272" s="1"/>
      <c r="V272" s="1"/>
      <c r="W272" s="1"/>
      <c r="X272" s="1"/>
      <c r="AE272" s="176"/>
    </row>
    <row r="273" spans="2:31">
      <c r="B273" s="1">
        <v>270</v>
      </c>
      <c r="C273" s="1" t="s">
        <v>460</v>
      </c>
      <c r="D273" s="1" t="s">
        <v>969</v>
      </c>
      <c r="E273" s="1" t="s">
        <v>1455</v>
      </c>
      <c r="F273" s="1" t="s">
        <v>1452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50</v>
      </c>
      <c r="M273" s="1">
        <v>40</v>
      </c>
      <c r="N273" s="1">
        <v>14</v>
      </c>
      <c r="O273" s="1">
        <v>271</v>
      </c>
      <c r="P273" s="1" t="s">
        <v>459</v>
      </c>
      <c r="Q273" s="1"/>
      <c r="R273" s="1"/>
      <c r="S273" s="1"/>
      <c r="T273" s="1"/>
      <c r="U273" s="1"/>
      <c r="V273" s="1"/>
      <c r="W273" s="1"/>
      <c r="X273" s="1"/>
      <c r="AE273" s="176"/>
    </row>
    <row r="274" spans="2:31">
      <c r="B274" s="1">
        <v>271</v>
      </c>
      <c r="C274" s="1" t="s">
        <v>459</v>
      </c>
      <c r="D274" s="1" t="s">
        <v>459</v>
      </c>
      <c r="E274" s="1" t="s">
        <v>1455</v>
      </c>
      <c r="F274" s="1" t="s">
        <v>1452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70</v>
      </c>
      <c r="M274" s="1">
        <v>60</v>
      </c>
      <c r="N274" s="1">
        <v>30</v>
      </c>
      <c r="O274" s="1">
        <v>272</v>
      </c>
      <c r="P274" s="1" t="s">
        <v>458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76"/>
    </row>
    <row r="275" spans="2:31">
      <c r="B275" s="1">
        <v>272</v>
      </c>
      <c r="C275" s="1" t="s">
        <v>458</v>
      </c>
      <c r="D275" s="1" t="s">
        <v>458</v>
      </c>
      <c r="E275" s="1" t="s">
        <v>1455</v>
      </c>
      <c r="F275" s="1" t="s">
        <v>1452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100</v>
      </c>
      <c r="M275" s="1">
        <v>90</v>
      </c>
      <c r="N275" s="1" t="s">
        <v>80</v>
      </c>
      <c r="O275" s="1" t="s">
        <v>80</v>
      </c>
      <c r="P275" s="1" t="s">
        <v>80</v>
      </c>
      <c r="Q275" s="1"/>
      <c r="R275" s="1"/>
      <c r="S275" s="1"/>
      <c r="T275" s="1"/>
      <c r="U275" s="1"/>
      <c r="V275" s="1"/>
      <c r="W275" s="1"/>
      <c r="X275" s="1"/>
      <c r="AE275" s="176"/>
    </row>
    <row r="276" spans="2:31">
      <c r="B276" s="1">
        <v>273</v>
      </c>
      <c r="C276" s="1" t="s">
        <v>457</v>
      </c>
      <c r="D276" s="1" t="s">
        <v>970</v>
      </c>
      <c r="E276" s="1" t="s">
        <v>1452</v>
      </c>
      <c r="F276" s="1" t="s">
        <v>80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971</v>
      </c>
      <c r="Q276" s="1"/>
      <c r="R276" s="1"/>
      <c r="S276" s="1"/>
      <c r="T276" s="1"/>
      <c r="U276" s="1"/>
      <c r="V276" s="1"/>
      <c r="W276" s="1"/>
      <c r="X276" s="1"/>
      <c r="AE276" s="176"/>
    </row>
    <row r="277" spans="2:31">
      <c r="B277" s="1">
        <v>274</v>
      </c>
      <c r="C277" s="1" t="s">
        <v>456</v>
      </c>
      <c r="D277" s="1" t="s">
        <v>971</v>
      </c>
      <c r="E277" s="1" t="s">
        <v>1452</v>
      </c>
      <c r="F277" s="1" t="s">
        <v>1444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40</v>
      </c>
      <c r="M277" s="1">
        <v>60</v>
      </c>
      <c r="N277" s="1">
        <v>30</v>
      </c>
      <c r="O277" s="1">
        <v>275</v>
      </c>
      <c r="P277" s="1" t="s">
        <v>972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76"/>
    </row>
    <row r="278" spans="2:31">
      <c r="B278" s="1">
        <v>275</v>
      </c>
      <c r="C278" s="1" t="s">
        <v>455</v>
      </c>
      <c r="D278" s="1" t="s">
        <v>972</v>
      </c>
      <c r="E278" s="1" t="s">
        <v>1452</v>
      </c>
      <c r="F278" s="1" t="s">
        <v>1444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60</v>
      </c>
      <c r="M278" s="1">
        <v>90</v>
      </c>
      <c r="N278" s="1" t="s">
        <v>80</v>
      </c>
      <c r="O278" s="1" t="s">
        <v>80</v>
      </c>
      <c r="P278" s="1" t="s">
        <v>80</v>
      </c>
      <c r="Q278" s="1"/>
      <c r="R278" s="1"/>
      <c r="S278" s="1"/>
      <c r="T278" s="1"/>
      <c r="U278" s="1"/>
      <c r="V278" s="1"/>
      <c r="W278" s="1"/>
      <c r="X278" s="1"/>
      <c r="AE278" s="176"/>
    </row>
    <row r="279" spans="2:31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1453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974</v>
      </c>
      <c r="Q279" s="1"/>
      <c r="R279" s="1"/>
      <c r="S279" s="1"/>
      <c r="T279" s="1"/>
      <c r="U279" s="1"/>
      <c r="V279" s="1"/>
      <c r="W279" s="1"/>
      <c r="X279" s="1"/>
      <c r="AE279" s="176"/>
    </row>
    <row r="280" spans="2:31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1453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80</v>
      </c>
      <c r="O280" s="1" t="s">
        <v>80</v>
      </c>
      <c r="P280" s="1"/>
      <c r="Q280" s="1"/>
      <c r="R280" s="1"/>
      <c r="S280" s="1"/>
      <c r="T280" s="1"/>
      <c r="U280" s="1"/>
      <c r="V280" s="1"/>
      <c r="W280" s="1"/>
      <c r="X280" s="1"/>
      <c r="AE280" s="176"/>
    </row>
    <row r="281" spans="2:31">
      <c r="B281" s="1">
        <v>278</v>
      </c>
      <c r="C281" s="1" t="s">
        <v>452</v>
      </c>
      <c r="D281" s="1" t="s">
        <v>975</v>
      </c>
      <c r="E281" s="1" t="s">
        <v>1455</v>
      </c>
      <c r="F281" s="1" t="s">
        <v>1453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30</v>
      </c>
      <c r="M281" s="1">
        <v>55</v>
      </c>
      <c r="N281" s="1">
        <v>25</v>
      </c>
      <c r="O281" s="1">
        <v>279</v>
      </c>
      <c r="P281" s="1" t="s">
        <v>976</v>
      </c>
      <c r="Q281" s="1"/>
      <c r="R281" s="1"/>
      <c r="S281" s="1"/>
      <c r="T281" s="1"/>
      <c r="U281" s="1"/>
      <c r="V281" s="1"/>
      <c r="W281" s="1"/>
      <c r="X281" s="1"/>
      <c r="AE281" s="176"/>
    </row>
    <row r="282" spans="2:31">
      <c r="B282" s="1">
        <v>279</v>
      </c>
      <c r="C282" s="1" t="s">
        <v>451</v>
      </c>
      <c r="D282" s="1" t="s">
        <v>976</v>
      </c>
      <c r="E282" s="1" t="s">
        <v>1455</v>
      </c>
      <c r="F282" s="1" t="s">
        <v>1453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70</v>
      </c>
      <c r="M282" s="1">
        <v>85</v>
      </c>
      <c r="N282" s="1" t="s">
        <v>80</v>
      </c>
      <c r="O282" s="1" t="s">
        <v>80</v>
      </c>
      <c r="P282" s="1"/>
      <c r="Q282" s="1"/>
      <c r="R282" s="1"/>
      <c r="S282" s="1"/>
      <c r="T282" s="1"/>
      <c r="U282" s="1"/>
      <c r="V282" s="1"/>
      <c r="W282" s="1"/>
      <c r="X282" s="1"/>
      <c r="AE282" s="176"/>
    </row>
    <row r="283" spans="2:31">
      <c r="B283" s="1">
        <v>280</v>
      </c>
      <c r="C283" s="1" t="s">
        <v>450</v>
      </c>
      <c r="D283" s="1" t="s">
        <v>977</v>
      </c>
      <c r="E283" s="1" t="s">
        <v>1454</v>
      </c>
      <c r="F283" s="1" t="s">
        <v>1883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35</v>
      </c>
      <c r="M283" s="1">
        <v>45</v>
      </c>
      <c r="N283" s="1">
        <v>20</v>
      </c>
      <c r="O283" s="1">
        <v>281</v>
      </c>
      <c r="P283" s="1" t="s">
        <v>449</v>
      </c>
      <c r="Q283" s="1"/>
      <c r="R283" s="1"/>
      <c r="S283" s="1"/>
      <c r="T283" s="1"/>
      <c r="U283" s="1"/>
      <c r="V283" s="1"/>
      <c r="W283" s="1"/>
      <c r="X283" s="1"/>
      <c r="AE283" s="176"/>
    </row>
    <row r="284" spans="2:31">
      <c r="B284" s="1">
        <v>281</v>
      </c>
      <c r="C284" s="1" t="s">
        <v>449</v>
      </c>
      <c r="D284" s="1" t="s">
        <v>449</v>
      </c>
      <c r="E284" s="1" t="s">
        <v>1454</v>
      </c>
      <c r="F284" s="1" t="s">
        <v>1883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55</v>
      </c>
      <c r="M284" s="1">
        <v>65</v>
      </c>
      <c r="N284" s="1">
        <v>30</v>
      </c>
      <c r="O284" s="1">
        <v>282</v>
      </c>
      <c r="P284" s="1" t="s">
        <v>448</v>
      </c>
      <c r="Q284" s="1"/>
      <c r="R284" s="1"/>
      <c r="S284" s="1"/>
      <c r="T284" s="1"/>
      <c r="U284" s="1"/>
      <c r="V284" s="1"/>
      <c r="W284" s="1"/>
      <c r="X284" s="1"/>
      <c r="AE284" s="176"/>
    </row>
    <row r="285" spans="2:31">
      <c r="B285" s="1">
        <v>282</v>
      </c>
      <c r="C285" s="1" t="s">
        <v>448</v>
      </c>
      <c r="D285" s="1" t="s">
        <v>448</v>
      </c>
      <c r="E285" s="1" t="s">
        <v>1454</v>
      </c>
      <c r="F285" s="1" t="s">
        <v>1883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115</v>
      </c>
      <c r="M285" s="1">
        <v>125</v>
      </c>
      <c r="N285" s="1" t="s">
        <v>80</v>
      </c>
      <c r="O285" s="1" t="s">
        <v>80</v>
      </c>
      <c r="P285" s="1" t="s">
        <v>80</v>
      </c>
      <c r="Q285" s="1"/>
      <c r="R285" s="1"/>
      <c r="S285" s="1"/>
      <c r="T285" s="1"/>
      <c r="U285" s="1"/>
      <c r="V285" s="1"/>
      <c r="W285" s="1"/>
      <c r="X285" s="1"/>
      <c r="AE285" s="176"/>
    </row>
    <row r="286" spans="2:31">
      <c r="B286" s="1">
        <v>283</v>
      </c>
      <c r="C286" s="1" t="s">
        <v>447</v>
      </c>
      <c r="D286" s="1" t="s">
        <v>978</v>
      </c>
      <c r="E286" s="1" t="s">
        <v>1458</v>
      </c>
      <c r="F286" s="1" t="s">
        <v>1455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52</v>
      </c>
      <c r="M286" s="1">
        <v>50</v>
      </c>
      <c r="N286" s="1">
        <v>22</v>
      </c>
      <c r="O286" s="1">
        <v>284</v>
      </c>
      <c r="P286" s="1" t="s">
        <v>979</v>
      </c>
      <c r="Q286" s="1"/>
      <c r="R286" s="1"/>
      <c r="S286" s="1"/>
      <c r="T286" s="1"/>
      <c r="U286" s="1"/>
      <c r="V286" s="1"/>
      <c r="W286" s="1"/>
      <c r="X286" s="1"/>
      <c r="AE286" s="176"/>
    </row>
    <row r="287" spans="2:31">
      <c r="B287" s="1">
        <v>284</v>
      </c>
      <c r="C287" s="1" t="s">
        <v>446</v>
      </c>
      <c r="D287" s="1" t="s">
        <v>979</v>
      </c>
      <c r="E287" s="1" t="s">
        <v>1458</v>
      </c>
      <c r="F287" s="1" t="s">
        <v>1453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82</v>
      </c>
      <c r="M287" s="1">
        <v>80</v>
      </c>
      <c r="N287" s="1" t="s">
        <v>80</v>
      </c>
      <c r="O287" s="1" t="s">
        <v>80</v>
      </c>
      <c r="P287" s="1"/>
      <c r="Q287" s="1"/>
      <c r="R287" s="1"/>
      <c r="S287" s="1"/>
      <c r="T287" s="1"/>
      <c r="U287" s="1"/>
      <c r="V287" s="1"/>
      <c r="W287" s="1"/>
      <c r="X287" s="1"/>
      <c r="AE287" s="176"/>
    </row>
    <row r="288" spans="2:31">
      <c r="B288" s="1">
        <v>285</v>
      </c>
      <c r="C288" s="1" t="s">
        <v>445</v>
      </c>
      <c r="D288" s="1" t="s">
        <v>980</v>
      </c>
      <c r="E288" s="1" t="s">
        <v>1452</v>
      </c>
      <c r="F288" s="1" t="s">
        <v>80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60</v>
      </c>
      <c r="M288" s="1">
        <v>40</v>
      </c>
      <c r="N288" s="1">
        <v>23</v>
      </c>
      <c r="O288" s="1">
        <v>286</v>
      </c>
      <c r="P288" s="1" t="s">
        <v>981</v>
      </c>
      <c r="Q288" s="1"/>
      <c r="R288" s="1"/>
      <c r="S288" s="1"/>
      <c r="T288" s="1"/>
      <c r="U288" s="1"/>
      <c r="V288" s="1"/>
      <c r="W288" s="1"/>
      <c r="X288" s="1"/>
      <c r="AE288" s="176"/>
    </row>
    <row r="289" spans="2:31">
      <c r="B289" s="1">
        <v>286</v>
      </c>
      <c r="C289" s="1" t="s">
        <v>444</v>
      </c>
      <c r="D289" s="1" t="s">
        <v>981</v>
      </c>
      <c r="E289" s="1" t="s">
        <v>1452</v>
      </c>
      <c r="F289" s="1" t="s">
        <v>1881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80</v>
      </c>
      <c r="O289" s="1" t="s">
        <v>80</v>
      </c>
      <c r="P289" s="1"/>
      <c r="Q289" s="1"/>
      <c r="R289" s="1"/>
      <c r="S289" s="1"/>
      <c r="T289" s="1"/>
      <c r="U289" s="1"/>
      <c r="V289" s="1"/>
      <c r="W289" s="1"/>
      <c r="X289" s="1"/>
      <c r="AE289" s="176"/>
    </row>
    <row r="290" spans="2:31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442</v>
      </c>
      <c r="Q290" s="1"/>
      <c r="R290" s="1"/>
      <c r="S290" s="1"/>
      <c r="T290" s="1"/>
      <c r="U290" s="1"/>
      <c r="V290" s="1"/>
      <c r="W290" s="1"/>
      <c r="X290" s="1"/>
      <c r="AE290" s="176"/>
    </row>
    <row r="291" spans="2:31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983</v>
      </c>
      <c r="Q291" s="1"/>
      <c r="R291" s="1"/>
      <c r="S291" s="1"/>
      <c r="T291" s="1"/>
      <c r="U291" s="1"/>
      <c r="V291" s="1"/>
      <c r="W291" s="1"/>
      <c r="X291" s="1"/>
      <c r="AE291" s="176"/>
    </row>
    <row r="292" spans="2:31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65</v>
      </c>
      <c r="M292" s="1">
        <v>95</v>
      </c>
      <c r="N292" s="1" t="s">
        <v>80</v>
      </c>
      <c r="O292" s="1" t="s">
        <v>80</v>
      </c>
      <c r="P292" s="1" t="s">
        <v>80</v>
      </c>
      <c r="Q292" s="1"/>
      <c r="R292" s="1"/>
      <c r="S292" s="1"/>
      <c r="T292" s="1"/>
      <c r="U292" s="1"/>
      <c r="V292" s="1"/>
      <c r="W292" s="1"/>
      <c r="X292" s="1"/>
      <c r="AE292" s="176"/>
    </row>
    <row r="293" spans="2:31">
      <c r="B293" s="1">
        <v>290</v>
      </c>
      <c r="C293" s="1" t="s">
        <v>440</v>
      </c>
      <c r="D293" s="1" t="s">
        <v>984</v>
      </c>
      <c r="E293" s="1" t="s">
        <v>1458</v>
      </c>
      <c r="F293" s="1" t="s">
        <v>1448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439</v>
      </c>
      <c r="Q293" s="1"/>
      <c r="R293" s="1"/>
      <c r="S293" s="1"/>
      <c r="T293" s="1"/>
      <c r="U293" s="1"/>
      <c r="V293" s="1"/>
      <c r="W293" s="1"/>
      <c r="X293" s="1"/>
      <c r="AE293" s="176"/>
    </row>
    <row r="294" spans="2:31">
      <c r="B294" s="1">
        <v>291</v>
      </c>
      <c r="C294" s="1" t="s">
        <v>439</v>
      </c>
      <c r="D294" s="1" t="s">
        <v>439</v>
      </c>
      <c r="E294" s="1" t="s">
        <v>1458</v>
      </c>
      <c r="F294" s="1" t="s">
        <v>1453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80</v>
      </c>
      <c r="O294" s="1" t="s">
        <v>80</v>
      </c>
      <c r="P294" s="1" t="s">
        <v>80</v>
      </c>
      <c r="Q294" s="1"/>
      <c r="R294" s="1"/>
      <c r="S294" s="1"/>
      <c r="T294" s="1"/>
      <c r="U294" s="1"/>
      <c r="V294" s="1"/>
      <c r="W294" s="1"/>
      <c r="X294" s="1"/>
      <c r="AE294" s="176"/>
    </row>
    <row r="295" spans="2:31">
      <c r="B295" s="1">
        <v>292</v>
      </c>
      <c r="C295" s="1" t="s">
        <v>438</v>
      </c>
      <c r="D295" s="1" t="s">
        <v>985</v>
      </c>
      <c r="E295" s="1" t="s">
        <v>1458</v>
      </c>
      <c r="F295" s="1" t="s">
        <v>1463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80</v>
      </c>
      <c r="O295" s="1" t="s">
        <v>80</v>
      </c>
      <c r="P295" s="1" t="s">
        <v>80</v>
      </c>
      <c r="Q295" s="1"/>
      <c r="R295" s="1"/>
      <c r="S295" s="1"/>
      <c r="T295" s="1"/>
      <c r="U295" s="1"/>
      <c r="V295" s="1"/>
      <c r="W295" s="1"/>
      <c r="X295" s="1"/>
      <c r="AE295" s="176"/>
    </row>
    <row r="296" spans="2:31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23</v>
      </c>
      <c r="M296" s="1">
        <v>51</v>
      </c>
      <c r="N296" s="1">
        <v>20</v>
      </c>
      <c r="O296" s="1">
        <v>294</v>
      </c>
      <c r="P296" s="1" t="s">
        <v>987</v>
      </c>
      <c r="Q296" s="1"/>
      <c r="R296" s="1"/>
      <c r="S296" s="1"/>
      <c r="T296" s="1"/>
      <c r="U296" s="1"/>
      <c r="V296" s="1"/>
      <c r="W296" s="1"/>
      <c r="X296" s="1"/>
      <c r="AE296" s="176"/>
    </row>
    <row r="297" spans="2:31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43</v>
      </c>
      <c r="M297" s="1">
        <v>71</v>
      </c>
      <c r="N297" s="1">
        <v>40</v>
      </c>
      <c r="O297" s="1">
        <v>295</v>
      </c>
      <c r="P297" s="1" t="s">
        <v>988</v>
      </c>
      <c r="Q297" s="1"/>
      <c r="R297" s="1"/>
      <c r="S297" s="1"/>
      <c r="T297" s="1"/>
      <c r="U297" s="1"/>
      <c r="V297" s="1"/>
      <c r="W297" s="1"/>
      <c r="X297" s="1"/>
      <c r="AE297" s="176"/>
    </row>
    <row r="298" spans="2:31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73</v>
      </c>
      <c r="M298" s="1">
        <v>91</v>
      </c>
      <c r="N298" s="1" t="s">
        <v>80</v>
      </c>
      <c r="O298" s="1" t="s">
        <v>80</v>
      </c>
      <c r="P298" s="1" t="s">
        <v>80</v>
      </c>
      <c r="Q298" s="1"/>
      <c r="R298" s="1"/>
      <c r="S298" s="1"/>
      <c r="T298" s="1"/>
      <c r="U298" s="1"/>
      <c r="V298" s="1"/>
      <c r="W298" s="1"/>
      <c r="X298" s="1"/>
      <c r="AE298" s="176"/>
    </row>
    <row r="299" spans="2:31">
      <c r="B299" s="1">
        <v>296</v>
      </c>
      <c r="C299" s="1" t="s">
        <v>434</v>
      </c>
      <c r="D299" s="1" t="s">
        <v>434</v>
      </c>
      <c r="E299" s="1" t="s">
        <v>1459</v>
      </c>
      <c r="F299" s="1" t="s">
        <v>80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30</v>
      </c>
      <c r="M299" s="1">
        <v>20</v>
      </c>
      <c r="N299" s="1">
        <v>24</v>
      </c>
      <c r="O299" s="1">
        <v>297</v>
      </c>
      <c r="P299" s="1" t="s">
        <v>433</v>
      </c>
      <c r="Q299" s="1"/>
      <c r="R299" s="1"/>
      <c r="S299" s="1"/>
      <c r="T299" s="1"/>
      <c r="U299" s="1"/>
      <c r="V299" s="1"/>
      <c r="W299" s="1"/>
      <c r="X299" s="1"/>
      <c r="AE299" s="176"/>
    </row>
    <row r="300" spans="2:31">
      <c r="B300" s="1">
        <v>297</v>
      </c>
      <c r="C300" s="1" t="s">
        <v>433</v>
      </c>
      <c r="D300" s="1" t="s">
        <v>433</v>
      </c>
      <c r="E300" s="1" t="s">
        <v>1459</v>
      </c>
      <c r="F300" s="1" t="s">
        <v>80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60</v>
      </c>
      <c r="M300" s="1">
        <v>40</v>
      </c>
      <c r="N300" s="1" t="s">
        <v>80</v>
      </c>
      <c r="O300" s="1" t="s">
        <v>80</v>
      </c>
      <c r="P300" s="1"/>
      <c r="Q300" s="1"/>
      <c r="R300" s="1"/>
      <c r="S300" s="1"/>
      <c r="T300" s="1"/>
      <c r="U300" s="1"/>
      <c r="V300" s="1"/>
      <c r="W300" s="1"/>
      <c r="X300" s="1"/>
      <c r="AE300" s="176"/>
    </row>
    <row r="301" spans="2:31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1883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40</v>
      </c>
      <c r="M301" s="1">
        <v>20</v>
      </c>
      <c r="N301" s="1">
        <v>15</v>
      </c>
      <c r="O301" s="1">
        <v>183</v>
      </c>
      <c r="P301" s="1" t="s">
        <v>547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76"/>
    </row>
    <row r="302" spans="2:31">
      <c r="B302" s="1">
        <v>299</v>
      </c>
      <c r="C302" s="1" t="s">
        <v>431</v>
      </c>
      <c r="D302" s="1" t="s">
        <v>989</v>
      </c>
      <c r="E302" s="1" t="s">
        <v>1457</v>
      </c>
      <c r="F302" s="1" t="s">
        <v>80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90</v>
      </c>
      <c r="M302" s="1">
        <v>45</v>
      </c>
      <c r="N302" s="1">
        <v>30</v>
      </c>
      <c r="O302" s="1">
        <v>476</v>
      </c>
      <c r="P302" s="1" t="s">
        <v>1125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76"/>
    </row>
    <row r="303" spans="2:31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429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76"/>
    </row>
    <row r="304" spans="2:31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80</v>
      </c>
      <c r="O304" s="1" t="s">
        <v>80</v>
      </c>
      <c r="P304" s="1"/>
      <c r="Q304" s="1"/>
      <c r="R304" s="1"/>
      <c r="S304" s="1"/>
      <c r="T304" s="1"/>
      <c r="U304" s="1"/>
      <c r="V304" s="1"/>
      <c r="W304" s="1"/>
      <c r="X304" s="1"/>
      <c r="AE304" s="176"/>
    </row>
    <row r="305" spans="2:31">
      <c r="B305" s="1">
        <v>302</v>
      </c>
      <c r="C305" s="1" t="s">
        <v>428</v>
      </c>
      <c r="D305" s="1" t="s">
        <v>990</v>
      </c>
      <c r="E305" s="1" t="s">
        <v>1444</v>
      </c>
      <c r="F305" s="1" t="s">
        <v>1463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80</v>
      </c>
      <c r="O305" s="1" t="s">
        <v>80</v>
      </c>
      <c r="P305" s="1"/>
      <c r="Q305" s="1"/>
      <c r="R305" s="1"/>
      <c r="S305" s="1"/>
      <c r="T305" s="1"/>
      <c r="U305" s="1"/>
      <c r="V305" s="1"/>
      <c r="W305" s="1"/>
      <c r="X305" s="1"/>
      <c r="AE305" s="176"/>
    </row>
    <row r="306" spans="2:31">
      <c r="B306" s="1">
        <v>303</v>
      </c>
      <c r="C306" s="1" t="s">
        <v>427</v>
      </c>
      <c r="D306" s="1" t="s">
        <v>991</v>
      </c>
      <c r="E306" s="1" t="s">
        <v>1882</v>
      </c>
      <c r="F306" s="1" t="s">
        <v>1883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80</v>
      </c>
      <c r="O306" s="1" t="s">
        <v>80</v>
      </c>
      <c r="P306" s="1"/>
      <c r="Q306" s="1"/>
      <c r="R306" s="1"/>
      <c r="S306" s="1"/>
      <c r="T306" s="1"/>
      <c r="U306" s="1"/>
      <c r="V306" s="1"/>
      <c r="W306" s="1"/>
      <c r="X306" s="1"/>
      <c r="AE306" s="176"/>
    </row>
    <row r="307" spans="2:31">
      <c r="B307" s="1">
        <v>304</v>
      </c>
      <c r="C307" s="1" t="s">
        <v>426</v>
      </c>
      <c r="D307" s="1" t="s">
        <v>992</v>
      </c>
      <c r="E307" s="1" t="s">
        <v>1882</v>
      </c>
      <c r="F307" s="1" t="s">
        <v>1457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993</v>
      </c>
      <c r="Q307" s="1"/>
      <c r="R307" s="1"/>
      <c r="S307" s="1"/>
      <c r="T307" s="1"/>
      <c r="U307" s="1"/>
      <c r="V307" s="1"/>
      <c r="W307" s="1"/>
      <c r="X307" s="1"/>
      <c r="AE307" s="176"/>
    </row>
    <row r="308" spans="2:31">
      <c r="B308" s="1">
        <v>305</v>
      </c>
      <c r="C308" s="1" t="s">
        <v>425</v>
      </c>
      <c r="D308" s="1" t="s">
        <v>993</v>
      </c>
      <c r="E308" s="1" t="s">
        <v>1882</v>
      </c>
      <c r="F308" s="1" t="s">
        <v>1457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994</v>
      </c>
      <c r="Q308" s="1"/>
      <c r="R308" s="1"/>
      <c r="S308" s="1"/>
      <c r="T308" s="1"/>
      <c r="U308" s="1"/>
      <c r="V308" s="1"/>
      <c r="W308" s="1"/>
      <c r="X308" s="1"/>
      <c r="AE308" s="176"/>
    </row>
    <row r="309" spans="2:31">
      <c r="B309" s="1">
        <v>306</v>
      </c>
      <c r="C309" s="1" t="s">
        <v>424</v>
      </c>
      <c r="D309" s="1" t="s">
        <v>994</v>
      </c>
      <c r="E309" s="1" t="s">
        <v>1882</v>
      </c>
      <c r="F309" s="1" t="s">
        <v>1457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80</v>
      </c>
      <c r="O309" s="1" t="s">
        <v>80</v>
      </c>
      <c r="P309" s="1" t="s">
        <v>80</v>
      </c>
      <c r="Q309" s="1"/>
      <c r="R309" s="1"/>
      <c r="S309" s="1"/>
      <c r="T309" s="1"/>
      <c r="U309" s="1"/>
      <c r="V309" s="1"/>
      <c r="W309" s="1"/>
      <c r="X309" s="1"/>
      <c r="AE309" s="176"/>
    </row>
    <row r="310" spans="2:31">
      <c r="B310" s="1">
        <v>307</v>
      </c>
      <c r="C310" s="1" t="s">
        <v>423</v>
      </c>
      <c r="D310" s="1" t="s">
        <v>995</v>
      </c>
      <c r="E310" s="1" t="s">
        <v>1459</v>
      </c>
      <c r="F310" s="1" t="s">
        <v>1454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55</v>
      </c>
      <c r="M310" s="1">
        <v>40</v>
      </c>
      <c r="N310" s="1">
        <v>37</v>
      </c>
      <c r="O310" s="1">
        <v>308</v>
      </c>
      <c r="P310" s="1" t="s">
        <v>996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422</v>
      </c>
      <c r="D311" s="1" t="s">
        <v>996</v>
      </c>
      <c r="E311" s="1" t="s">
        <v>1459</v>
      </c>
      <c r="F311" s="1" t="s">
        <v>1454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75</v>
      </c>
      <c r="M311" s="1">
        <v>60</v>
      </c>
      <c r="N311" s="1" t="s">
        <v>80</v>
      </c>
      <c r="O311" s="1" t="s">
        <v>80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421</v>
      </c>
      <c r="D312" s="1" t="s">
        <v>997</v>
      </c>
      <c r="E312" s="1" t="s">
        <v>1880</v>
      </c>
      <c r="F312" s="1" t="s">
        <v>80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40</v>
      </c>
      <c r="M312" s="1">
        <v>65</v>
      </c>
      <c r="N312" s="1">
        <v>26</v>
      </c>
      <c r="O312" s="1">
        <v>310</v>
      </c>
      <c r="P312" s="1" t="s">
        <v>998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420</v>
      </c>
      <c r="D313" s="1" t="s">
        <v>998</v>
      </c>
      <c r="E313" s="1" t="s">
        <v>1880</v>
      </c>
      <c r="F313" s="1" t="s">
        <v>80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60</v>
      </c>
      <c r="M313" s="1">
        <v>105</v>
      </c>
      <c r="N313" s="1" t="s">
        <v>80</v>
      </c>
      <c r="O313" s="1" t="s">
        <v>80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419</v>
      </c>
      <c r="D314" s="1" t="s">
        <v>999</v>
      </c>
      <c r="E314" s="1" t="s">
        <v>1880</v>
      </c>
      <c r="F314" s="1" t="s">
        <v>80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75</v>
      </c>
      <c r="M314" s="1">
        <v>85</v>
      </c>
      <c r="N314" s="1" t="s">
        <v>80</v>
      </c>
      <c r="O314" s="1" t="s">
        <v>80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418</v>
      </c>
      <c r="D315" s="1" t="s">
        <v>1000</v>
      </c>
      <c r="E315" s="1" t="s">
        <v>1880</v>
      </c>
      <c r="F315" s="1" t="s">
        <v>80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85</v>
      </c>
      <c r="M315" s="1">
        <v>75</v>
      </c>
      <c r="N315" s="1" t="s">
        <v>80</v>
      </c>
      <c r="O315" s="1" t="s">
        <v>80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417</v>
      </c>
      <c r="D316" s="1" t="s">
        <v>1001</v>
      </c>
      <c r="E316" s="1" t="s">
        <v>1458</v>
      </c>
      <c r="F316" s="1" t="s">
        <v>80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75</v>
      </c>
      <c r="M316" s="1">
        <v>47</v>
      </c>
      <c r="N316" s="1" t="s">
        <v>80</v>
      </c>
      <c r="O316" s="1" t="s">
        <v>80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416</v>
      </c>
      <c r="D317" s="1" t="s">
        <v>1002</v>
      </c>
      <c r="E317" s="1" t="s">
        <v>1458</v>
      </c>
      <c r="F317" s="1" t="s">
        <v>80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75</v>
      </c>
      <c r="M317" s="1">
        <v>73</v>
      </c>
      <c r="N317" s="1" t="s">
        <v>80</v>
      </c>
      <c r="O317" s="1" t="s">
        <v>80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415</v>
      </c>
      <c r="D318" s="1" t="s">
        <v>1003</v>
      </c>
      <c r="E318" s="1" t="s">
        <v>1452</v>
      </c>
      <c r="F318" s="1" t="s">
        <v>742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80</v>
      </c>
      <c r="M318" s="1">
        <v>100</v>
      </c>
      <c r="N318" s="1">
        <v>30</v>
      </c>
      <c r="O318" s="1">
        <v>407</v>
      </c>
      <c r="P318" s="1" t="s">
        <v>323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53</v>
      </c>
      <c r="M319" s="1">
        <v>43</v>
      </c>
      <c r="N319" s="1">
        <v>26</v>
      </c>
      <c r="O319" s="1">
        <v>317</v>
      </c>
      <c r="P319" s="1" t="s">
        <v>1005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83</v>
      </c>
      <c r="M320" s="1">
        <v>73</v>
      </c>
      <c r="N320" s="1" t="s">
        <v>80</v>
      </c>
      <c r="O320" s="1" t="s">
        <v>80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412</v>
      </c>
      <c r="D321" s="1" t="s">
        <v>412</v>
      </c>
      <c r="E321" s="1" t="s">
        <v>1455</v>
      </c>
      <c r="F321" s="1" t="s">
        <v>1444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20</v>
      </c>
      <c r="M321" s="1">
        <v>65</v>
      </c>
      <c r="N321" s="1">
        <v>30</v>
      </c>
      <c r="O321" s="1">
        <v>319</v>
      </c>
      <c r="P321" s="1" t="s">
        <v>411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411</v>
      </c>
      <c r="D322" s="1" t="s">
        <v>411</v>
      </c>
      <c r="E322" s="1" t="s">
        <v>1455</v>
      </c>
      <c r="F322" s="1" t="s">
        <v>1444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40</v>
      </c>
      <c r="M322" s="1">
        <v>95</v>
      </c>
      <c r="N322" s="1" t="s">
        <v>80</v>
      </c>
      <c r="O322" s="1" t="s">
        <v>80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410</v>
      </c>
      <c r="D323" s="1" t="s">
        <v>410</v>
      </c>
      <c r="E323" s="1" t="s">
        <v>1455</v>
      </c>
      <c r="F323" s="1" t="s">
        <v>80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35</v>
      </c>
      <c r="M323" s="1">
        <v>70</v>
      </c>
      <c r="N323" s="1">
        <v>40</v>
      </c>
      <c r="O323" s="1">
        <v>321</v>
      </c>
      <c r="P323" s="1" t="s">
        <v>409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409</v>
      </c>
      <c r="D324" s="1" t="s">
        <v>409</v>
      </c>
      <c r="E324" s="1" t="s">
        <v>1455</v>
      </c>
      <c r="F324" s="1" t="s">
        <v>80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45</v>
      </c>
      <c r="M324" s="1">
        <v>90</v>
      </c>
      <c r="N324" s="1" t="s">
        <v>80</v>
      </c>
      <c r="O324" s="1" t="s">
        <v>80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408</v>
      </c>
      <c r="D325" s="1" t="s">
        <v>1006</v>
      </c>
      <c r="E325" s="1" t="s">
        <v>1456</v>
      </c>
      <c r="F325" s="1" t="s">
        <v>1448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45</v>
      </c>
      <c r="M325" s="1">
        <v>65</v>
      </c>
      <c r="N325" s="1">
        <v>33</v>
      </c>
      <c r="O325" s="1">
        <v>323</v>
      </c>
      <c r="P325" s="1" t="s">
        <v>1007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407</v>
      </c>
      <c r="D326" s="1" t="s">
        <v>1007</v>
      </c>
      <c r="E326" s="1" t="s">
        <v>1456</v>
      </c>
      <c r="F326" s="1" t="s">
        <v>1448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75</v>
      </c>
      <c r="M326" s="1">
        <v>105</v>
      </c>
      <c r="N326" s="1" t="s">
        <v>80</v>
      </c>
      <c r="O326" s="1" t="s">
        <v>80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406</v>
      </c>
      <c r="D327" s="1" t="s">
        <v>1008</v>
      </c>
      <c r="E327" s="1" t="s">
        <v>1456</v>
      </c>
      <c r="F327" s="1" t="s">
        <v>80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70</v>
      </c>
      <c r="M327" s="1">
        <v>85</v>
      </c>
      <c r="N327" s="1" t="s">
        <v>80</v>
      </c>
      <c r="O327" s="1" t="s">
        <v>80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405</v>
      </c>
      <c r="D328" s="1" t="s">
        <v>405</v>
      </c>
      <c r="E328" s="1" t="s">
        <v>1454</v>
      </c>
      <c r="F328" s="1" t="s">
        <v>80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80</v>
      </c>
      <c r="M328" s="1">
        <v>70</v>
      </c>
      <c r="N328" s="1">
        <v>32</v>
      </c>
      <c r="O328" s="1">
        <v>326</v>
      </c>
      <c r="P328" s="1" t="s">
        <v>1009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404</v>
      </c>
      <c r="D329" s="1" t="s">
        <v>1009</v>
      </c>
      <c r="E329" s="1" t="s">
        <v>1454</v>
      </c>
      <c r="F329" s="1" t="s">
        <v>80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110</v>
      </c>
      <c r="M329" s="1">
        <v>90</v>
      </c>
      <c r="N329" s="1" t="s">
        <v>80</v>
      </c>
      <c r="O329" s="1" t="s">
        <v>80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80</v>
      </c>
      <c r="O330" s="1" t="s">
        <v>80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402</v>
      </c>
      <c r="D331" s="1" t="s">
        <v>1010</v>
      </c>
      <c r="E331" s="1" t="s">
        <v>1448</v>
      </c>
      <c r="F331" s="1" t="s">
        <v>80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1011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401</v>
      </c>
      <c r="D332" s="1" t="s">
        <v>1011</v>
      </c>
      <c r="E332" s="1" t="s">
        <v>1448</v>
      </c>
      <c r="F332" s="1" t="s">
        <v>750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1012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400</v>
      </c>
      <c r="D333" s="1" t="s">
        <v>1012</v>
      </c>
      <c r="E333" s="1" t="s">
        <v>1448</v>
      </c>
      <c r="F333" s="1" t="s">
        <v>750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80</v>
      </c>
      <c r="O333" s="1" t="s">
        <v>80</v>
      </c>
      <c r="P333" s="1" t="s">
        <v>80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399</v>
      </c>
      <c r="D334" s="1" t="s">
        <v>399</v>
      </c>
      <c r="E334" s="1" t="s">
        <v>1452</v>
      </c>
      <c r="F334" s="1" t="s">
        <v>80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40</v>
      </c>
      <c r="M334" s="1">
        <v>85</v>
      </c>
      <c r="N334" s="1">
        <v>32</v>
      </c>
      <c r="O334" s="1">
        <v>332</v>
      </c>
      <c r="P334" s="1" t="s">
        <v>398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398</v>
      </c>
      <c r="D335" s="1" t="s">
        <v>398</v>
      </c>
      <c r="E335" s="1" t="s">
        <v>1452</v>
      </c>
      <c r="F335" s="1" t="s">
        <v>1444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60</v>
      </c>
      <c r="M335" s="1">
        <v>115</v>
      </c>
      <c r="N335" s="1" t="s">
        <v>80</v>
      </c>
      <c r="O335" s="1" t="s">
        <v>80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1453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75</v>
      </c>
      <c r="M336" s="1">
        <v>40</v>
      </c>
      <c r="N336" s="1">
        <v>35</v>
      </c>
      <c r="O336" s="1">
        <v>334</v>
      </c>
      <c r="P336" s="1" t="s">
        <v>396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1453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105</v>
      </c>
      <c r="M337" s="1">
        <v>70</v>
      </c>
      <c r="N337" s="1" t="s">
        <v>80</v>
      </c>
      <c r="O337" s="1" t="s">
        <v>80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80</v>
      </c>
      <c r="O338" s="1" t="s">
        <v>80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60</v>
      </c>
      <c r="M339" s="1">
        <v>100</v>
      </c>
      <c r="N339" s="1" t="s">
        <v>80</v>
      </c>
      <c r="O339" s="1" t="s">
        <v>80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393</v>
      </c>
      <c r="D340" s="1" t="s">
        <v>1016</v>
      </c>
      <c r="E340" s="1" t="s">
        <v>1457</v>
      </c>
      <c r="F340" s="1" t="s">
        <v>1454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85</v>
      </c>
      <c r="M340" s="1">
        <v>95</v>
      </c>
      <c r="N340" s="1" t="s">
        <v>80</v>
      </c>
      <c r="O340" s="1" t="s">
        <v>80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392</v>
      </c>
      <c r="D341" s="1" t="s">
        <v>1017</v>
      </c>
      <c r="E341" s="1" t="s">
        <v>1457</v>
      </c>
      <c r="F341" s="1" t="s">
        <v>1454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65</v>
      </c>
      <c r="M341" s="1">
        <v>55</v>
      </c>
      <c r="N341" s="1" t="s">
        <v>80</v>
      </c>
      <c r="O341" s="1" t="s">
        <v>80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391</v>
      </c>
      <c r="D342" s="1" t="s">
        <v>1018</v>
      </c>
      <c r="E342" s="1" t="s">
        <v>1455</v>
      </c>
      <c r="F342" s="1" t="s">
        <v>1448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41</v>
      </c>
      <c r="M342" s="1">
        <v>46</v>
      </c>
      <c r="N342" s="1">
        <v>30</v>
      </c>
      <c r="O342" s="1">
        <v>340</v>
      </c>
      <c r="P342" s="1" t="s">
        <v>1019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390</v>
      </c>
      <c r="D343" s="1" t="s">
        <v>1019</v>
      </c>
      <c r="E343" s="1" t="s">
        <v>1455</v>
      </c>
      <c r="F343" s="1" t="s">
        <v>1448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71</v>
      </c>
      <c r="M343" s="1">
        <v>76</v>
      </c>
      <c r="N343" s="1" t="s">
        <v>80</v>
      </c>
      <c r="O343" s="1" t="s">
        <v>80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389</v>
      </c>
      <c r="D344" s="1" t="s">
        <v>1020</v>
      </c>
      <c r="E344" s="1" t="s">
        <v>1455</v>
      </c>
      <c r="F344" s="1" t="s">
        <v>80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35</v>
      </c>
      <c r="M344" s="1">
        <v>50</v>
      </c>
      <c r="N344" s="1">
        <v>30</v>
      </c>
      <c r="O344" s="1">
        <v>342</v>
      </c>
      <c r="P344" s="1" t="s">
        <v>1021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388</v>
      </c>
      <c r="D345" s="1" t="s">
        <v>1021</v>
      </c>
      <c r="E345" s="1" t="s">
        <v>1455</v>
      </c>
      <c r="F345" s="1" t="s">
        <v>1444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55</v>
      </c>
      <c r="M345" s="1">
        <v>90</v>
      </c>
      <c r="N345" s="1" t="s">
        <v>80</v>
      </c>
      <c r="O345" s="1" t="s">
        <v>80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387</v>
      </c>
      <c r="D346" s="1" t="s">
        <v>1022</v>
      </c>
      <c r="E346" s="1" t="s">
        <v>1448</v>
      </c>
      <c r="F346" s="1" t="s">
        <v>1454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70</v>
      </c>
      <c r="M346" s="1">
        <v>40</v>
      </c>
      <c r="N346" s="1">
        <v>36</v>
      </c>
      <c r="O346" s="1">
        <v>344</v>
      </c>
      <c r="P346" s="1" t="s">
        <v>1023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386</v>
      </c>
      <c r="D347" s="1" t="s">
        <v>1023</v>
      </c>
      <c r="E347" s="1" t="s">
        <v>1448</v>
      </c>
      <c r="F347" s="1" t="s">
        <v>1454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120</v>
      </c>
      <c r="M347" s="1">
        <v>70</v>
      </c>
      <c r="N347" s="1" t="s">
        <v>80</v>
      </c>
      <c r="O347" s="1" t="s">
        <v>80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385</v>
      </c>
      <c r="D348" s="1" t="s">
        <v>1024</v>
      </c>
      <c r="E348" s="1" t="s">
        <v>1457</v>
      </c>
      <c r="F348" s="1" t="s">
        <v>1452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87</v>
      </c>
      <c r="M348" s="1">
        <v>61</v>
      </c>
      <c r="N348" s="1">
        <v>40</v>
      </c>
      <c r="O348" s="1">
        <v>346</v>
      </c>
      <c r="P348" s="1" t="s">
        <v>1025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384</v>
      </c>
      <c r="D349" s="1" t="s">
        <v>1025</v>
      </c>
      <c r="E349" s="1" t="s">
        <v>1457</v>
      </c>
      <c r="F349" s="1" t="s">
        <v>1452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107</v>
      </c>
      <c r="M349" s="1">
        <v>81</v>
      </c>
      <c r="N349" s="1" t="s">
        <v>80</v>
      </c>
      <c r="O349" s="1" t="s">
        <v>80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383</v>
      </c>
      <c r="D350" s="1" t="s">
        <v>383</v>
      </c>
      <c r="E350" s="1" t="s">
        <v>1457</v>
      </c>
      <c r="F350" s="1" t="s">
        <v>1458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50</v>
      </c>
      <c r="M350" s="1">
        <v>40</v>
      </c>
      <c r="N350" s="1">
        <v>40</v>
      </c>
      <c r="O350" s="1">
        <v>348</v>
      </c>
      <c r="P350" s="1" t="s">
        <v>382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382</v>
      </c>
      <c r="D351" s="1" t="s">
        <v>382</v>
      </c>
      <c r="E351" s="1" t="s">
        <v>1457</v>
      </c>
      <c r="F351" s="1" t="s">
        <v>1458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80</v>
      </c>
      <c r="M351" s="1">
        <v>70</v>
      </c>
      <c r="N351" s="1" t="s">
        <v>80</v>
      </c>
      <c r="O351" s="1" t="s">
        <v>80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381</v>
      </c>
      <c r="D352" s="1" t="s">
        <v>1026</v>
      </c>
      <c r="E352" s="1" t="s">
        <v>1455</v>
      </c>
      <c r="F352" s="1" t="s">
        <v>80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55</v>
      </c>
      <c r="M352" s="1">
        <v>10</v>
      </c>
      <c r="N352" s="1">
        <v>30</v>
      </c>
      <c r="O352" s="1">
        <v>350</v>
      </c>
      <c r="P352" s="1" t="s">
        <v>1027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380</v>
      </c>
      <c r="D353" s="1" t="s">
        <v>1027</v>
      </c>
      <c r="E353" s="1" t="s">
        <v>1455</v>
      </c>
      <c r="F353" s="1" t="s">
        <v>80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125</v>
      </c>
      <c r="M353" s="1">
        <v>100</v>
      </c>
      <c r="N353" s="1" t="s">
        <v>80</v>
      </c>
      <c r="O353" s="1" t="s">
        <v>80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80</v>
      </c>
      <c r="O354" s="1" t="s">
        <v>80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120</v>
      </c>
      <c r="M355" s="1">
        <v>60</v>
      </c>
      <c r="N355" s="1" t="s">
        <v>80</v>
      </c>
      <c r="O355" s="1" t="s">
        <v>80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377</v>
      </c>
      <c r="D356" s="1" t="s">
        <v>1029</v>
      </c>
      <c r="E356" s="1" t="s">
        <v>1463</v>
      </c>
      <c r="F356" s="1" t="s">
        <v>80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33</v>
      </c>
      <c r="M356" s="1">
        <v>63</v>
      </c>
      <c r="N356" s="1">
        <v>37</v>
      </c>
      <c r="O356" s="1">
        <v>354</v>
      </c>
      <c r="P356" s="1" t="s">
        <v>1030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376</v>
      </c>
      <c r="D357" s="1" t="s">
        <v>1030</v>
      </c>
      <c r="E357" s="1" t="s">
        <v>1463</v>
      </c>
      <c r="F357" s="1" t="s">
        <v>80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63</v>
      </c>
      <c r="M357" s="1">
        <v>83</v>
      </c>
      <c r="N357" s="1" t="s">
        <v>80</v>
      </c>
      <c r="O357" s="1" t="s">
        <v>80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375</v>
      </c>
      <c r="D358" s="1" t="s">
        <v>1031</v>
      </c>
      <c r="E358" s="1" t="s">
        <v>1463</v>
      </c>
      <c r="F358" s="1" t="s">
        <v>80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90</v>
      </c>
      <c r="M358" s="1">
        <v>30</v>
      </c>
      <c r="N358" s="1">
        <v>37</v>
      </c>
      <c r="O358" s="1">
        <v>356</v>
      </c>
      <c r="P358" s="1" t="s">
        <v>1032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374</v>
      </c>
      <c r="D359" s="1" t="s">
        <v>1032</v>
      </c>
      <c r="E359" s="1" t="s">
        <v>1463</v>
      </c>
      <c r="F359" s="1" t="s">
        <v>80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130</v>
      </c>
      <c r="M359" s="1">
        <v>60</v>
      </c>
      <c r="N359" s="1">
        <v>30</v>
      </c>
      <c r="O359" s="1">
        <v>477</v>
      </c>
      <c r="P359" s="1" t="s">
        <v>1126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373</v>
      </c>
      <c r="D360" s="1" t="s">
        <v>373</v>
      </c>
      <c r="E360" s="1" t="s">
        <v>1452</v>
      </c>
      <c r="F360" s="1" t="s">
        <v>1453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87</v>
      </c>
      <c r="M360" s="1">
        <v>72</v>
      </c>
      <c r="N360" s="1" t="s">
        <v>80</v>
      </c>
      <c r="O360" s="1" t="s">
        <v>80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372</v>
      </c>
      <c r="D361" s="1" t="s">
        <v>1033</v>
      </c>
      <c r="E361" s="1" t="s">
        <v>1454</v>
      </c>
      <c r="F361" s="1" t="s">
        <v>80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80</v>
      </c>
      <c r="M361" s="1">
        <v>95</v>
      </c>
      <c r="N361" s="1" t="s">
        <v>80</v>
      </c>
      <c r="O361" s="1" t="s">
        <v>80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371</v>
      </c>
      <c r="D362" s="1" t="s">
        <v>371</v>
      </c>
      <c r="E362" s="1" t="s">
        <v>1444</v>
      </c>
      <c r="F362" s="1" t="s">
        <v>80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60</v>
      </c>
      <c r="M362" s="1">
        <v>75</v>
      </c>
      <c r="N362" s="1" t="s">
        <v>80</v>
      </c>
      <c r="O362" s="1" t="s">
        <v>80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370</v>
      </c>
      <c r="D363" s="1" t="s">
        <v>1034</v>
      </c>
      <c r="E363" s="1" t="s">
        <v>1454</v>
      </c>
      <c r="F363" s="1" t="s">
        <v>80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48</v>
      </c>
      <c r="M363" s="1">
        <v>23</v>
      </c>
      <c r="N363" s="1">
        <v>15</v>
      </c>
      <c r="O363" s="1">
        <v>202</v>
      </c>
      <c r="P363" s="1" t="s">
        <v>918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369</v>
      </c>
      <c r="D364" s="1" t="s">
        <v>1035</v>
      </c>
      <c r="E364" s="1" t="s">
        <v>1460</v>
      </c>
      <c r="F364" s="1" t="s">
        <v>80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1036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368</v>
      </c>
      <c r="D365" s="1" t="s">
        <v>1036</v>
      </c>
      <c r="E365" s="1" t="s">
        <v>1460</v>
      </c>
      <c r="F365" s="1" t="s">
        <v>80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80</v>
      </c>
      <c r="O365" s="1" t="s">
        <v>80</v>
      </c>
      <c r="P365" s="1" t="s">
        <v>80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367</v>
      </c>
      <c r="D366" s="1" t="s">
        <v>1037</v>
      </c>
      <c r="E366" s="1" t="s">
        <v>1460</v>
      </c>
      <c r="F366" s="1" t="s">
        <v>1455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50</v>
      </c>
      <c r="M366" s="1">
        <v>55</v>
      </c>
      <c r="N366" s="1">
        <v>32</v>
      </c>
      <c r="O366" s="1">
        <v>364</v>
      </c>
      <c r="P366" s="1" t="s">
        <v>1038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366</v>
      </c>
      <c r="D367" s="1" t="s">
        <v>1038</v>
      </c>
      <c r="E367" s="1" t="s">
        <v>1460</v>
      </c>
      <c r="F367" s="1" t="s">
        <v>1455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70</v>
      </c>
      <c r="M367" s="1">
        <v>75</v>
      </c>
      <c r="N367" s="1">
        <v>44</v>
      </c>
      <c r="O367" s="1">
        <v>365</v>
      </c>
      <c r="P367" s="1" t="s">
        <v>1039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365</v>
      </c>
      <c r="D368" s="1" t="s">
        <v>1039</v>
      </c>
      <c r="E368" s="1" t="s">
        <v>1460</v>
      </c>
      <c r="F368" s="1" t="s">
        <v>1455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90</v>
      </c>
      <c r="M368" s="1">
        <v>95</v>
      </c>
      <c r="N368" s="1" t="s">
        <v>80</v>
      </c>
      <c r="O368" s="1" t="s">
        <v>80</v>
      </c>
      <c r="P368" s="1" t="s">
        <v>80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364</v>
      </c>
      <c r="D369" s="1" t="s">
        <v>1040</v>
      </c>
      <c r="E369" s="1" t="s">
        <v>1455</v>
      </c>
      <c r="F369" s="1" t="s">
        <v>80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55</v>
      </c>
      <c r="M369" s="1">
        <v>74</v>
      </c>
      <c r="N369" s="1">
        <v>30</v>
      </c>
      <c r="O369" s="1">
        <v>367</v>
      </c>
      <c r="P369" s="1" t="s">
        <v>1041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363</v>
      </c>
      <c r="D370" s="1" t="s">
        <v>1041</v>
      </c>
      <c r="E370" s="1" t="s">
        <v>1455</v>
      </c>
      <c r="F370" s="1" t="s">
        <v>80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75</v>
      </c>
      <c r="M370" s="1">
        <v>94</v>
      </c>
      <c r="N370" s="1" t="s">
        <v>80</v>
      </c>
      <c r="O370" s="1" t="s">
        <v>80</v>
      </c>
      <c r="P370" s="1" t="s">
        <v>80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362</v>
      </c>
      <c r="D371" s="1" t="s">
        <v>1042</v>
      </c>
      <c r="E371" s="1" t="s">
        <v>1455</v>
      </c>
      <c r="F371" s="1" t="s">
        <v>80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75</v>
      </c>
      <c r="M371" s="1">
        <v>114</v>
      </c>
      <c r="N371" s="1" t="s">
        <v>80</v>
      </c>
      <c r="O371" s="1" t="s">
        <v>80</v>
      </c>
      <c r="P371" s="1" t="s">
        <v>80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361</v>
      </c>
      <c r="D372" s="1" t="s">
        <v>361</v>
      </c>
      <c r="E372" s="1" t="s">
        <v>1455</v>
      </c>
      <c r="F372" s="1" t="s">
        <v>1457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65</v>
      </c>
      <c r="M372" s="1">
        <v>45</v>
      </c>
      <c r="N372" s="1" t="s">
        <v>80</v>
      </c>
      <c r="O372" s="1" t="s">
        <v>80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360</v>
      </c>
      <c r="D373" s="1" t="s">
        <v>1043</v>
      </c>
      <c r="E373" s="1" t="s">
        <v>1455</v>
      </c>
      <c r="F373" s="1" t="s">
        <v>80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65</v>
      </c>
      <c r="M373" s="1">
        <v>40</v>
      </c>
      <c r="N373" s="1" t="s">
        <v>80</v>
      </c>
      <c r="O373" s="1" t="s">
        <v>80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30</v>
      </c>
      <c r="M374" s="1">
        <v>40</v>
      </c>
      <c r="N374" s="1">
        <v>30</v>
      </c>
      <c r="O374" s="1">
        <v>372</v>
      </c>
      <c r="P374" s="1" t="s">
        <v>1045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50</v>
      </c>
      <c r="M375" s="1">
        <v>60</v>
      </c>
      <c r="N375" s="1">
        <v>50</v>
      </c>
      <c r="O375" s="1">
        <v>373</v>
      </c>
      <c r="P375" s="1" t="s">
        <v>1046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1453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80</v>
      </c>
      <c r="M376" s="1">
        <v>110</v>
      </c>
      <c r="N376" s="1" t="s">
        <v>80</v>
      </c>
      <c r="O376" s="1" t="s">
        <v>80</v>
      </c>
      <c r="P376" s="1" t="s">
        <v>80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356</v>
      </c>
      <c r="D377" s="1" t="s">
        <v>1047</v>
      </c>
      <c r="E377" s="1" t="s">
        <v>1882</v>
      </c>
      <c r="F377" s="1" t="s">
        <v>1454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60</v>
      </c>
      <c r="M377" s="1">
        <v>35</v>
      </c>
      <c r="N377" s="1">
        <v>20</v>
      </c>
      <c r="O377" s="1">
        <v>375</v>
      </c>
      <c r="P377" s="1" t="s">
        <v>1048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355</v>
      </c>
      <c r="D378" s="1" t="s">
        <v>1048</v>
      </c>
      <c r="E378" s="1" t="s">
        <v>1882</v>
      </c>
      <c r="F378" s="1" t="s">
        <v>1454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80</v>
      </c>
      <c r="M378" s="1">
        <v>55</v>
      </c>
      <c r="N378" s="1">
        <v>45</v>
      </c>
      <c r="O378" s="1">
        <v>376</v>
      </c>
      <c r="P378" s="1" t="s">
        <v>1049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354</v>
      </c>
      <c r="D379" s="1" t="s">
        <v>1049</v>
      </c>
      <c r="E379" s="1" t="s">
        <v>1882</v>
      </c>
      <c r="F379" s="1" t="s">
        <v>1454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90</v>
      </c>
      <c r="M379" s="1">
        <v>95</v>
      </c>
      <c r="N379" s="1" t="s">
        <v>80</v>
      </c>
      <c r="O379" s="1" t="s">
        <v>80</v>
      </c>
      <c r="P379" s="1" t="s">
        <v>80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353</v>
      </c>
      <c r="D380" s="1" t="s">
        <v>353</v>
      </c>
      <c r="E380" s="1" t="s">
        <v>1457</v>
      </c>
      <c r="F380" s="1" t="s">
        <v>80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100</v>
      </c>
      <c r="M380" s="1">
        <v>50</v>
      </c>
      <c r="N380" s="1" t="s">
        <v>80</v>
      </c>
      <c r="O380" s="1" t="s">
        <v>80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352</v>
      </c>
      <c r="D381" s="1" t="s">
        <v>352</v>
      </c>
      <c r="E381" s="1" t="s">
        <v>1460</v>
      </c>
      <c r="F381" s="1" t="s">
        <v>80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200</v>
      </c>
      <c r="M381" s="1">
        <v>100</v>
      </c>
      <c r="N381" s="1" t="s">
        <v>80</v>
      </c>
      <c r="O381" s="1" t="s">
        <v>80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351</v>
      </c>
      <c r="D382" s="1" t="s">
        <v>351</v>
      </c>
      <c r="E382" s="1" t="s">
        <v>1882</v>
      </c>
      <c r="F382" s="1" t="s">
        <v>80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150</v>
      </c>
      <c r="M382" s="1">
        <v>75</v>
      </c>
      <c r="N382" s="1" t="s">
        <v>80</v>
      </c>
      <c r="O382" s="1" t="s">
        <v>80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1454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130</v>
      </c>
      <c r="M383" s="1">
        <v>110</v>
      </c>
      <c r="N383" s="1" t="s">
        <v>80</v>
      </c>
      <c r="O383" s="1" t="s">
        <v>80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1454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110</v>
      </c>
      <c r="M384" s="1">
        <v>130</v>
      </c>
      <c r="N384" s="1" t="s">
        <v>80</v>
      </c>
      <c r="O384" s="1" t="s">
        <v>80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348</v>
      </c>
      <c r="D385" s="1" t="s">
        <v>348</v>
      </c>
      <c r="E385" s="1" t="s">
        <v>1455</v>
      </c>
      <c r="F385" s="1" t="s">
        <v>80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140</v>
      </c>
      <c r="M385" s="1">
        <v>150</v>
      </c>
      <c r="N385" s="1" t="s">
        <v>80</v>
      </c>
      <c r="O385" s="1" t="s">
        <v>80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347</v>
      </c>
      <c r="D386" s="1" t="s">
        <v>347</v>
      </c>
      <c r="E386" s="1" t="s">
        <v>1448</v>
      </c>
      <c r="F386" s="1" t="s">
        <v>80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90</v>
      </c>
      <c r="M386" s="1">
        <v>100</v>
      </c>
      <c r="N386" s="1" t="s">
        <v>80</v>
      </c>
      <c r="O386" s="1" t="s">
        <v>80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1453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90</v>
      </c>
      <c r="M387" s="1">
        <v>150</v>
      </c>
      <c r="N387" s="1" t="s">
        <v>80</v>
      </c>
      <c r="O387" s="1" t="s">
        <v>80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345</v>
      </c>
      <c r="D388" s="1" t="s">
        <v>345</v>
      </c>
      <c r="E388" s="1" t="s">
        <v>1882</v>
      </c>
      <c r="F388" s="1" t="s">
        <v>1454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80</v>
      </c>
      <c r="O388" s="1" t="s">
        <v>80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344</v>
      </c>
      <c r="D389" s="1" t="s">
        <v>1050</v>
      </c>
      <c r="E389" s="1" t="s">
        <v>1454</v>
      </c>
      <c r="F389" s="1" t="s">
        <v>80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50</v>
      </c>
      <c r="M389" s="1">
        <v>150</v>
      </c>
      <c r="N389" s="1" t="s">
        <v>80</v>
      </c>
      <c r="O389" s="1" t="s">
        <v>80</v>
      </c>
      <c r="P389" s="1" t="s">
        <v>80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343</v>
      </c>
      <c r="D390" s="1" t="s">
        <v>1051</v>
      </c>
      <c r="E390" s="1" t="s">
        <v>1452</v>
      </c>
      <c r="F390" s="1" t="s">
        <v>80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55</v>
      </c>
      <c r="M390" s="1">
        <v>45</v>
      </c>
      <c r="N390" s="1">
        <v>18</v>
      </c>
      <c r="O390" s="1">
        <v>388</v>
      </c>
      <c r="P390" s="1" t="s">
        <v>1052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342</v>
      </c>
      <c r="D391" s="1" t="s">
        <v>1052</v>
      </c>
      <c r="E391" s="1" t="s">
        <v>1452</v>
      </c>
      <c r="F391" s="1" t="s">
        <v>80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65</v>
      </c>
      <c r="M391" s="1">
        <v>55</v>
      </c>
      <c r="N391" s="1">
        <v>32</v>
      </c>
      <c r="O391" s="1">
        <v>389</v>
      </c>
      <c r="P391" s="1" t="s">
        <v>341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341</v>
      </c>
      <c r="D392" s="1" t="s">
        <v>341</v>
      </c>
      <c r="E392" s="1" t="s">
        <v>1452</v>
      </c>
      <c r="F392" s="1" t="s">
        <v>1448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85</v>
      </c>
      <c r="M392" s="1">
        <v>75</v>
      </c>
      <c r="N392" s="1" t="s">
        <v>80</v>
      </c>
      <c r="O392" s="1" t="s">
        <v>80</v>
      </c>
      <c r="P392" s="1" t="s">
        <v>80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340</v>
      </c>
      <c r="D393" s="1" t="s">
        <v>1053</v>
      </c>
      <c r="E393" s="1" t="s">
        <v>1456</v>
      </c>
      <c r="F393" s="1" t="s">
        <v>80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44</v>
      </c>
      <c r="M393" s="1">
        <v>58</v>
      </c>
      <c r="N393" s="1">
        <v>14</v>
      </c>
      <c r="O393" s="1">
        <v>391</v>
      </c>
      <c r="P393" s="1" t="s">
        <v>1054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339</v>
      </c>
      <c r="D394" s="1" t="s">
        <v>1054</v>
      </c>
      <c r="E394" s="1" t="s">
        <v>1456</v>
      </c>
      <c r="F394" s="1" t="s">
        <v>1881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52</v>
      </c>
      <c r="M394" s="1">
        <v>78</v>
      </c>
      <c r="N394" s="1">
        <v>36</v>
      </c>
      <c r="O394" s="1">
        <v>392</v>
      </c>
      <c r="P394" s="1" t="s">
        <v>1055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338</v>
      </c>
      <c r="D395" s="1" t="s">
        <v>1055</v>
      </c>
      <c r="E395" s="1" t="s">
        <v>1456</v>
      </c>
      <c r="F395" s="1" t="s">
        <v>1881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71</v>
      </c>
      <c r="M395" s="1">
        <v>104</v>
      </c>
      <c r="N395" s="1" t="s">
        <v>80</v>
      </c>
      <c r="O395" s="1" t="s">
        <v>80</v>
      </c>
      <c r="P395" s="1" t="s">
        <v>80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337</v>
      </c>
      <c r="D396" s="1" t="s">
        <v>1056</v>
      </c>
      <c r="E396" s="1" t="s">
        <v>1455</v>
      </c>
      <c r="F396" s="1" t="s">
        <v>80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56</v>
      </c>
      <c r="M396" s="1">
        <v>61</v>
      </c>
      <c r="N396" s="1">
        <v>16</v>
      </c>
      <c r="O396" s="1">
        <v>394</v>
      </c>
      <c r="P396" s="1" t="s">
        <v>1057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336</v>
      </c>
      <c r="D397" s="1" t="s">
        <v>1057</v>
      </c>
      <c r="E397" s="1" t="s">
        <v>1455</v>
      </c>
      <c r="F397" s="1" t="s">
        <v>80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76</v>
      </c>
      <c r="M397" s="1">
        <v>81</v>
      </c>
      <c r="N397" s="1">
        <v>36</v>
      </c>
      <c r="O397" s="1">
        <v>395</v>
      </c>
      <c r="P397" s="1" t="s">
        <v>1058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335</v>
      </c>
      <c r="D398" s="1" t="s">
        <v>1058</v>
      </c>
      <c r="E398" s="1" t="s">
        <v>1455</v>
      </c>
      <c r="F398" s="1" t="s">
        <v>1882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101</v>
      </c>
      <c r="M398" s="1">
        <v>111</v>
      </c>
      <c r="N398" s="1" t="s">
        <v>80</v>
      </c>
      <c r="O398" s="1" t="s">
        <v>80</v>
      </c>
      <c r="P398" s="1" t="s">
        <v>80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1453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1060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1453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1061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1453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60</v>
      </c>
      <c r="M401" s="1">
        <v>50</v>
      </c>
      <c r="N401" s="1" t="s">
        <v>80</v>
      </c>
      <c r="O401" s="1" t="s">
        <v>80</v>
      </c>
      <c r="P401" s="1" t="s">
        <v>80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40</v>
      </c>
      <c r="M402" s="1">
        <v>35</v>
      </c>
      <c r="N402" s="1">
        <v>15</v>
      </c>
      <c r="O402" s="1">
        <v>400</v>
      </c>
      <c r="P402" s="1" t="s">
        <v>1063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1455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60</v>
      </c>
      <c r="M403" s="1">
        <v>55</v>
      </c>
      <c r="N403" s="1" t="s">
        <v>80</v>
      </c>
      <c r="O403" s="1" t="s">
        <v>80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329</v>
      </c>
      <c r="D404" s="1" t="s">
        <v>1064</v>
      </c>
      <c r="E404" s="1" t="s">
        <v>1458</v>
      </c>
      <c r="F404" s="1" t="s">
        <v>80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41</v>
      </c>
      <c r="M404" s="1">
        <v>25</v>
      </c>
      <c r="N404" s="1">
        <v>10</v>
      </c>
      <c r="O404" s="1">
        <v>402</v>
      </c>
      <c r="P404" s="1" t="s">
        <v>1065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328</v>
      </c>
      <c r="D405" s="1" t="s">
        <v>1065</v>
      </c>
      <c r="E405" s="1" t="s">
        <v>1458</v>
      </c>
      <c r="F405" s="1" t="s">
        <v>80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51</v>
      </c>
      <c r="M405" s="1">
        <v>55</v>
      </c>
      <c r="N405" s="1" t="s">
        <v>80</v>
      </c>
      <c r="O405" s="1" t="s">
        <v>80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327</v>
      </c>
      <c r="D406" s="1" t="s">
        <v>1066</v>
      </c>
      <c r="E406" s="1" t="s">
        <v>1880</v>
      </c>
      <c r="F406" s="1" t="s">
        <v>80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34</v>
      </c>
      <c r="M406" s="1">
        <v>40</v>
      </c>
      <c r="N406" s="1">
        <v>15</v>
      </c>
      <c r="O406" s="1">
        <v>404</v>
      </c>
      <c r="P406" s="1" t="s">
        <v>326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326</v>
      </c>
      <c r="D407" s="1" t="s">
        <v>326</v>
      </c>
      <c r="E407" s="1" t="s">
        <v>1880</v>
      </c>
      <c r="F407" s="1" t="s">
        <v>80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49</v>
      </c>
      <c r="M407" s="1">
        <v>60</v>
      </c>
      <c r="N407" s="1">
        <v>30</v>
      </c>
      <c r="O407" s="1">
        <v>405</v>
      </c>
      <c r="P407" s="1" t="s">
        <v>325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325</v>
      </c>
      <c r="D408" s="1" t="s">
        <v>325</v>
      </c>
      <c r="E408" s="1" t="s">
        <v>1880</v>
      </c>
      <c r="F408" s="1" t="s">
        <v>80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79</v>
      </c>
      <c r="M408" s="1">
        <v>95</v>
      </c>
      <c r="N408" s="1" t="s">
        <v>80</v>
      </c>
      <c r="O408" s="1" t="s">
        <v>80</v>
      </c>
      <c r="P408" s="1" t="s">
        <v>80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324</v>
      </c>
      <c r="D409" s="1" t="s">
        <v>1067</v>
      </c>
      <c r="E409" s="1" t="s">
        <v>1452</v>
      </c>
      <c r="F409" s="1" t="s">
        <v>742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70</v>
      </c>
      <c r="M409" s="1">
        <v>50</v>
      </c>
      <c r="N409" s="1">
        <v>30</v>
      </c>
      <c r="O409" s="1">
        <v>315</v>
      </c>
      <c r="P409" s="1" t="s">
        <v>1003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323</v>
      </c>
      <c r="D410" s="1" t="s">
        <v>323</v>
      </c>
      <c r="E410" s="1" t="s">
        <v>1452</v>
      </c>
      <c r="F410" s="1" t="s">
        <v>742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105</v>
      </c>
      <c r="M410" s="1">
        <v>125</v>
      </c>
      <c r="N410" s="1" t="s">
        <v>80</v>
      </c>
      <c r="O410" s="1" t="s">
        <v>80</v>
      </c>
      <c r="P410" s="1" t="s">
        <v>80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322</v>
      </c>
      <c r="D411" s="1" t="s">
        <v>1068</v>
      </c>
      <c r="E411" s="1" t="s">
        <v>1457</v>
      </c>
      <c r="F411" s="1" t="s">
        <v>80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1069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321</v>
      </c>
      <c r="D412" s="1" t="s">
        <v>1069</v>
      </c>
      <c r="E412" s="1" t="s">
        <v>1457</v>
      </c>
      <c r="F412" s="1" t="s">
        <v>80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50</v>
      </c>
      <c r="M412" s="1">
        <v>65</v>
      </c>
      <c r="N412" s="1" t="s">
        <v>80</v>
      </c>
      <c r="O412" s="1" t="s">
        <v>80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320</v>
      </c>
      <c r="D413" s="1" t="s">
        <v>1070</v>
      </c>
      <c r="E413" s="1" t="s">
        <v>1457</v>
      </c>
      <c r="F413" s="1" t="s">
        <v>1882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88</v>
      </c>
      <c r="M413" s="1">
        <v>42</v>
      </c>
      <c r="N413" s="1">
        <v>30</v>
      </c>
      <c r="O413" s="1">
        <v>411</v>
      </c>
      <c r="P413" s="1" t="s">
        <v>319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319</v>
      </c>
      <c r="D414" s="1" t="s">
        <v>319</v>
      </c>
      <c r="E414" s="1" t="s">
        <v>1457</v>
      </c>
      <c r="F414" s="1" t="s">
        <v>1882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138</v>
      </c>
      <c r="M414" s="1">
        <v>47</v>
      </c>
      <c r="N414" s="1" t="s">
        <v>80</v>
      </c>
      <c r="O414" s="1" t="s">
        <v>80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318</v>
      </c>
      <c r="D415" s="1" t="s">
        <v>1071</v>
      </c>
      <c r="E415" s="1" t="s">
        <v>1458</v>
      </c>
      <c r="F415" s="1" t="s">
        <v>80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45</v>
      </c>
      <c r="M415" s="1">
        <v>29</v>
      </c>
      <c r="N415" s="1">
        <v>20</v>
      </c>
      <c r="O415" s="1">
        <v>413</v>
      </c>
      <c r="P415" s="1" t="s">
        <v>1287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317</v>
      </c>
      <c r="D416" s="1" t="s">
        <v>1287</v>
      </c>
      <c r="E416" s="1" t="s">
        <v>1458</v>
      </c>
      <c r="F416" s="1" t="s">
        <v>1452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105</v>
      </c>
      <c r="M416" s="1">
        <v>79</v>
      </c>
      <c r="N416" s="1" t="s">
        <v>80</v>
      </c>
      <c r="O416" s="1" t="s">
        <v>80</v>
      </c>
      <c r="P416" s="1" t="s">
        <v>80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316</v>
      </c>
      <c r="D417" s="1" t="s">
        <v>1072</v>
      </c>
      <c r="E417" s="1" t="s">
        <v>1458</v>
      </c>
      <c r="F417" s="1" t="s">
        <v>1453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50</v>
      </c>
      <c r="M417" s="1">
        <v>94</v>
      </c>
      <c r="N417" s="1" t="s">
        <v>80</v>
      </c>
      <c r="O417" s="1" t="s">
        <v>80</v>
      </c>
      <c r="P417" s="1" t="s">
        <v>80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315</v>
      </c>
      <c r="D418" s="1" t="s">
        <v>1073</v>
      </c>
      <c r="E418" s="1" t="s">
        <v>1458</v>
      </c>
      <c r="F418" s="1" t="s">
        <v>1453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42</v>
      </c>
      <c r="M418" s="1">
        <v>30</v>
      </c>
      <c r="N418" s="1">
        <v>21</v>
      </c>
      <c r="O418" s="1">
        <v>416</v>
      </c>
      <c r="P418" s="1" t="s">
        <v>1074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314</v>
      </c>
      <c r="D419" s="1" t="s">
        <v>1074</v>
      </c>
      <c r="E419" s="1" t="s">
        <v>1458</v>
      </c>
      <c r="F419" s="1" t="s">
        <v>1453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102</v>
      </c>
      <c r="M419" s="1">
        <v>80</v>
      </c>
      <c r="N419" s="1" t="s">
        <v>80</v>
      </c>
      <c r="O419" s="1" t="s">
        <v>80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313</v>
      </c>
      <c r="D420" s="1" t="s">
        <v>313</v>
      </c>
      <c r="E420" s="1" t="s">
        <v>1880</v>
      </c>
      <c r="F420" s="1" t="s">
        <v>80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90</v>
      </c>
      <c r="M420" s="1">
        <v>45</v>
      </c>
      <c r="N420" s="1" t="s">
        <v>80</v>
      </c>
      <c r="O420" s="1" t="s">
        <v>80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312</v>
      </c>
      <c r="D421" s="1" t="s">
        <v>1075</v>
      </c>
      <c r="E421" s="1" t="s">
        <v>1455</v>
      </c>
      <c r="F421" s="1" t="s">
        <v>80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30</v>
      </c>
      <c r="M421" s="1">
        <v>60</v>
      </c>
      <c r="N421" s="1">
        <v>26</v>
      </c>
      <c r="O421" s="1">
        <v>419</v>
      </c>
      <c r="P421" s="1" t="s">
        <v>1076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311</v>
      </c>
      <c r="D422" s="1" t="s">
        <v>1076</v>
      </c>
      <c r="E422" s="1" t="s">
        <v>1455</v>
      </c>
      <c r="F422" s="1" t="s">
        <v>80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50</v>
      </c>
      <c r="M422" s="1">
        <v>85</v>
      </c>
      <c r="N422" s="1" t="s">
        <v>80</v>
      </c>
      <c r="O422" s="1" t="s">
        <v>80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310</v>
      </c>
      <c r="D423" s="1" t="s">
        <v>1077</v>
      </c>
      <c r="E423" s="1" t="s">
        <v>1452</v>
      </c>
      <c r="F423" s="1" t="s">
        <v>80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53</v>
      </c>
      <c r="M423" s="1">
        <v>62</v>
      </c>
      <c r="N423" s="1">
        <v>25</v>
      </c>
      <c r="O423" s="1">
        <v>421</v>
      </c>
      <c r="P423" s="1" t="s">
        <v>1078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309</v>
      </c>
      <c r="D424" s="1" t="s">
        <v>1078</v>
      </c>
      <c r="E424" s="1" t="s">
        <v>1452</v>
      </c>
      <c r="F424" s="1" t="s">
        <v>80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78</v>
      </c>
      <c r="M424" s="1">
        <v>87</v>
      </c>
      <c r="N424" s="1" t="s">
        <v>80</v>
      </c>
      <c r="O424" s="1" t="s">
        <v>80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308</v>
      </c>
      <c r="D425" s="1" t="s">
        <v>1079</v>
      </c>
      <c r="E425" s="1" t="s">
        <v>1455</v>
      </c>
      <c r="F425" s="1" t="s">
        <v>80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62</v>
      </c>
      <c r="M425" s="1">
        <v>57</v>
      </c>
      <c r="N425" s="1">
        <v>30</v>
      </c>
      <c r="O425" s="1">
        <v>423</v>
      </c>
      <c r="P425" s="1" t="s">
        <v>1080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307</v>
      </c>
      <c r="D426" s="1" t="s">
        <v>1080</v>
      </c>
      <c r="E426" s="1" t="s">
        <v>1455</v>
      </c>
      <c r="F426" s="1" t="s">
        <v>1448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82</v>
      </c>
      <c r="M426" s="1">
        <v>92</v>
      </c>
      <c r="N426" s="1" t="s">
        <v>80</v>
      </c>
      <c r="O426" s="1" t="s">
        <v>80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66</v>
      </c>
      <c r="M427" s="1">
        <v>60</v>
      </c>
      <c r="N427" s="1" t="s">
        <v>80</v>
      </c>
      <c r="O427" s="1" t="s">
        <v>80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305</v>
      </c>
      <c r="D428" s="1" t="s">
        <v>1082</v>
      </c>
      <c r="E428" s="1" t="s">
        <v>1463</v>
      </c>
      <c r="F428" s="1" t="s">
        <v>1453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44</v>
      </c>
      <c r="M428" s="1">
        <v>60</v>
      </c>
      <c r="N428" s="1">
        <v>28</v>
      </c>
      <c r="O428" s="1">
        <v>426</v>
      </c>
      <c r="P428" s="1" t="s">
        <v>1083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304</v>
      </c>
      <c r="D429" s="1" t="s">
        <v>1083</v>
      </c>
      <c r="E429" s="1" t="s">
        <v>1463</v>
      </c>
      <c r="F429" s="1" t="s">
        <v>1453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54</v>
      </c>
      <c r="M429" s="1">
        <v>90</v>
      </c>
      <c r="N429" s="1" t="s">
        <v>80</v>
      </c>
      <c r="O429" s="1" t="s">
        <v>80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56</v>
      </c>
      <c r="M430" s="1">
        <v>44</v>
      </c>
      <c r="N430" s="1">
        <v>20</v>
      </c>
      <c r="O430" s="1">
        <v>428</v>
      </c>
      <c r="P430" s="1" t="s">
        <v>1085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96</v>
      </c>
      <c r="M431" s="1">
        <v>54</v>
      </c>
      <c r="N431" s="1" t="s">
        <v>80</v>
      </c>
      <c r="O431" s="1" t="s">
        <v>80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301</v>
      </c>
      <c r="D432" s="1" t="s">
        <v>1086</v>
      </c>
      <c r="E432" s="1" t="s">
        <v>1463</v>
      </c>
      <c r="F432" s="1" t="s">
        <v>80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80</v>
      </c>
      <c r="O432" s="1" t="s">
        <v>80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300</v>
      </c>
      <c r="D433" s="1" t="s">
        <v>1087</v>
      </c>
      <c r="E433" s="1" t="s">
        <v>1444</v>
      </c>
      <c r="F433" s="1" t="s">
        <v>1453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52</v>
      </c>
      <c r="M433" s="1">
        <v>105</v>
      </c>
      <c r="N433" s="1" t="s">
        <v>80</v>
      </c>
      <c r="O433" s="1" t="s">
        <v>80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37</v>
      </c>
      <c r="M434" s="1">
        <v>42</v>
      </c>
      <c r="N434" s="1">
        <v>38</v>
      </c>
      <c r="O434" s="1">
        <v>432</v>
      </c>
      <c r="P434" s="1" t="s">
        <v>1089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59</v>
      </c>
      <c r="M435" s="1">
        <v>64</v>
      </c>
      <c r="N435" s="1" t="s">
        <v>80</v>
      </c>
      <c r="O435" s="1" t="s">
        <v>80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297</v>
      </c>
      <c r="D436" s="1" t="s">
        <v>1090</v>
      </c>
      <c r="E436" s="1" t="s">
        <v>1454</v>
      </c>
      <c r="F436" s="1" t="s">
        <v>80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50</v>
      </c>
      <c r="M436" s="1">
        <v>65</v>
      </c>
      <c r="N436" s="1">
        <v>20</v>
      </c>
      <c r="O436" s="1">
        <v>358</v>
      </c>
      <c r="P436" s="1" t="s">
        <v>1033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1444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1092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1444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61</v>
      </c>
      <c r="M438" s="1">
        <v>71</v>
      </c>
      <c r="N438" s="1" t="s">
        <v>80</v>
      </c>
      <c r="O438" s="1" t="s">
        <v>80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294</v>
      </c>
      <c r="D439" s="1" t="s">
        <v>1093</v>
      </c>
      <c r="E439" s="1" t="s">
        <v>1882</v>
      </c>
      <c r="F439" s="1" t="s">
        <v>1454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86</v>
      </c>
      <c r="M439" s="1">
        <v>24</v>
      </c>
      <c r="N439" s="1">
        <v>33</v>
      </c>
      <c r="O439" s="1">
        <v>437</v>
      </c>
      <c r="P439" s="1" t="s">
        <v>1094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293</v>
      </c>
      <c r="D440" s="1" t="s">
        <v>1094</v>
      </c>
      <c r="E440" s="1" t="s">
        <v>1882</v>
      </c>
      <c r="F440" s="1" t="s">
        <v>1454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116</v>
      </c>
      <c r="M440" s="1">
        <v>79</v>
      </c>
      <c r="N440" s="1" t="s">
        <v>80</v>
      </c>
      <c r="O440" s="1" t="s">
        <v>80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292</v>
      </c>
      <c r="D441" s="1" t="s">
        <v>1095</v>
      </c>
      <c r="E441" s="1" t="s">
        <v>1457</v>
      </c>
      <c r="F441" s="1" t="s">
        <v>80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45</v>
      </c>
      <c r="M441" s="1">
        <v>10</v>
      </c>
      <c r="N441" s="1">
        <v>15</v>
      </c>
      <c r="O441" s="1">
        <v>185</v>
      </c>
      <c r="P441" s="1" t="s">
        <v>902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291</v>
      </c>
      <c r="D442" s="1" t="s">
        <v>291</v>
      </c>
      <c r="E442" s="1" t="s">
        <v>1454</v>
      </c>
      <c r="F442" s="1" t="s">
        <v>1883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90</v>
      </c>
      <c r="M442" s="1">
        <v>70</v>
      </c>
      <c r="N442" s="1">
        <v>15</v>
      </c>
      <c r="O442" s="1">
        <v>122</v>
      </c>
      <c r="P442" s="1" t="s">
        <v>855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65</v>
      </c>
      <c r="M443" s="1">
        <v>15</v>
      </c>
      <c r="N443" s="1">
        <v>15</v>
      </c>
      <c r="O443" s="1">
        <v>113</v>
      </c>
      <c r="P443" s="1" t="s">
        <v>846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1453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42</v>
      </c>
      <c r="M444" s="1">
        <v>92</v>
      </c>
      <c r="N444" s="1" t="s">
        <v>80</v>
      </c>
      <c r="O444" s="1" t="s">
        <v>80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288</v>
      </c>
      <c r="D445" s="1" t="s">
        <v>288</v>
      </c>
      <c r="E445" s="1" t="s">
        <v>1463</v>
      </c>
      <c r="F445" s="1" t="s">
        <v>1444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108</v>
      </c>
      <c r="M445" s="1">
        <v>92</v>
      </c>
      <c r="N445" s="1" t="s">
        <v>80</v>
      </c>
      <c r="O445" s="1" t="s">
        <v>80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1448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45</v>
      </c>
      <c r="M446" s="1">
        <v>40</v>
      </c>
      <c r="N446" s="1">
        <v>24</v>
      </c>
      <c r="O446" s="1">
        <v>444</v>
      </c>
      <c r="P446" s="1" t="s">
        <v>1099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1448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55</v>
      </c>
      <c r="M447" s="1">
        <v>50</v>
      </c>
      <c r="N447" s="1">
        <v>48</v>
      </c>
      <c r="O447" s="1">
        <v>445</v>
      </c>
      <c r="P447" s="1" t="s">
        <v>1100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1448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85</v>
      </c>
      <c r="M448" s="1">
        <v>80</v>
      </c>
      <c r="N448" s="1" t="s">
        <v>80</v>
      </c>
      <c r="O448" s="1" t="s">
        <v>80</v>
      </c>
      <c r="P448" s="1" t="s">
        <v>80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85</v>
      </c>
      <c r="M449" s="1">
        <v>40</v>
      </c>
      <c r="N449" s="1">
        <v>25</v>
      </c>
      <c r="O449" s="1">
        <v>143</v>
      </c>
      <c r="P449" s="1" t="s">
        <v>872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283</v>
      </c>
      <c r="D450" s="1" t="s">
        <v>283</v>
      </c>
      <c r="E450" s="1" t="s">
        <v>1459</v>
      </c>
      <c r="F450" s="1" t="s">
        <v>80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40</v>
      </c>
      <c r="M450" s="1">
        <v>35</v>
      </c>
      <c r="N450" s="1">
        <v>20</v>
      </c>
      <c r="O450" s="1">
        <v>448</v>
      </c>
      <c r="P450" s="1" t="s">
        <v>282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282</v>
      </c>
      <c r="D451" s="1" t="s">
        <v>282</v>
      </c>
      <c r="E451" s="1" t="s">
        <v>1459</v>
      </c>
      <c r="F451" s="1" t="s">
        <v>1882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70</v>
      </c>
      <c r="M451" s="1">
        <v>115</v>
      </c>
      <c r="N451" s="1" t="s">
        <v>80</v>
      </c>
      <c r="O451" s="1" t="s">
        <v>80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281</v>
      </c>
      <c r="D452" s="1" t="s">
        <v>281</v>
      </c>
      <c r="E452" s="1" t="s">
        <v>1448</v>
      </c>
      <c r="F452" s="1" t="s">
        <v>80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42</v>
      </c>
      <c r="M452" s="1">
        <v>38</v>
      </c>
      <c r="N452" s="1">
        <v>34</v>
      </c>
      <c r="O452" s="1">
        <v>450</v>
      </c>
      <c r="P452" s="1" t="s">
        <v>1102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280</v>
      </c>
      <c r="D453" s="1" t="s">
        <v>1102</v>
      </c>
      <c r="E453" s="1" t="s">
        <v>1448</v>
      </c>
      <c r="F453" s="1" t="s">
        <v>80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72</v>
      </c>
      <c r="M453" s="1">
        <v>68</v>
      </c>
      <c r="N453" s="1" t="s">
        <v>80</v>
      </c>
      <c r="O453" s="1" t="s">
        <v>80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1458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55</v>
      </c>
      <c r="M454" s="1">
        <v>30</v>
      </c>
      <c r="N454" s="1">
        <v>40</v>
      </c>
      <c r="O454" s="1">
        <v>452</v>
      </c>
      <c r="P454" s="1" t="s">
        <v>1104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1444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75</v>
      </c>
      <c r="M455" s="1">
        <v>60</v>
      </c>
      <c r="N455" s="1" t="s">
        <v>80</v>
      </c>
      <c r="O455" s="1" t="s">
        <v>80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1881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40</v>
      </c>
      <c r="M456" s="1">
        <v>61</v>
      </c>
      <c r="N456" s="1">
        <v>37</v>
      </c>
      <c r="O456" s="1">
        <v>454</v>
      </c>
      <c r="P456" s="1" t="s">
        <v>1106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1881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65</v>
      </c>
      <c r="M457" s="1">
        <v>86</v>
      </c>
      <c r="N457" s="1" t="s">
        <v>80</v>
      </c>
      <c r="O457" s="1" t="s">
        <v>80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275</v>
      </c>
      <c r="D458" s="1" t="s">
        <v>1107</v>
      </c>
      <c r="E458" s="1" t="s">
        <v>1452</v>
      </c>
      <c r="F458" s="1" t="s">
        <v>80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72</v>
      </c>
      <c r="M458" s="1">
        <v>90</v>
      </c>
      <c r="N458" s="1" t="s">
        <v>80</v>
      </c>
      <c r="O458" s="1" t="s">
        <v>80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274</v>
      </c>
      <c r="D459" s="1" t="s">
        <v>1108</v>
      </c>
      <c r="E459" s="1" t="s">
        <v>1455</v>
      </c>
      <c r="F459" s="1" t="s">
        <v>80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61</v>
      </c>
      <c r="M459" s="1">
        <v>49</v>
      </c>
      <c r="N459" s="1">
        <v>31</v>
      </c>
      <c r="O459" s="1">
        <v>457</v>
      </c>
      <c r="P459" s="1" t="s">
        <v>1109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273</v>
      </c>
      <c r="D460" s="1" t="s">
        <v>1109</v>
      </c>
      <c r="E460" s="1" t="s">
        <v>1455</v>
      </c>
      <c r="F460" s="1" t="s">
        <v>80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86</v>
      </c>
      <c r="M460" s="1">
        <v>69</v>
      </c>
      <c r="N460" s="1" t="s">
        <v>80</v>
      </c>
      <c r="O460" s="1" t="s">
        <v>80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272</v>
      </c>
      <c r="D461" s="1" t="s">
        <v>1110</v>
      </c>
      <c r="E461" s="1" t="s">
        <v>1455</v>
      </c>
      <c r="F461" s="1" t="s">
        <v>1453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120</v>
      </c>
      <c r="M461" s="1">
        <v>60</v>
      </c>
      <c r="N461" s="1">
        <v>30</v>
      </c>
      <c r="O461" s="1">
        <v>226</v>
      </c>
      <c r="P461" s="1" t="s">
        <v>934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271</v>
      </c>
      <c r="D462" s="1" t="s">
        <v>1111</v>
      </c>
      <c r="E462" s="1" t="s">
        <v>1452</v>
      </c>
      <c r="F462" s="1" t="s">
        <v>1460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60</v>
      </c>
      <c r="M462" s="1">
        <v>62</v>
      </c>
      <c r="N462" s="1">
        <v>40</v>
      </c>
      <c r="O462" s="1">
        <v>460</v>
      </c>
      <c r="P462" s="1" t="s">
        <v>1112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270</v>
      </c>
      <c r="D463" s="1" t="s">
        <v>1112</v>
      </c>
      <c r="E463" s="1" t="s">
        <v>1452</v>
      </c>
      <c r="F463" s="1" t="s">
        <v>1460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85</v>
      </c>
      <c r="M463" s="1">
        <v>92</v>
      </c>
      <c r="N463" s="1" t="s">
        <v>80</v>
      </c>
      <c r="O463" s="1" t="s">
        <v>80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269</v>
      </c>
      <c r="D464" s="1" t="s">
        <v>1113</v>
      </c>
      <c r="E464" s="1" t="s">
        <v>1444</v>
      </c>
      <c r="F464" s="1" t="s">
        <v>1460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85</v>
      </c>
      <c r="M464" s="1">
        <v>45</v>
      </c>
      <c r="N464" s="1" t="s">
        <v>80</v>
      </c>
      <c r="O464" s="1" t="s">
        <v>80</v>
      </c>
      <c r="P464" s="1" t="s">
        <v>80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268</v>
      </c>
      <c r="D465" s="1" t="s">
        <v>1114</v>
      </c>
      <c r="E465" s="1" t="s">
        <v>1880</v>
      </c>
      <c r="F465" s="1" t="s">
        <v>1882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90</v>
      </c>
      <c r="M465" s="1">
        <v>130</v>
      </c>
      <c r="N465" s="1" t="s">
        <v>80</v>
      </c>
      <c r="O465" s="1" t="s">
        <v>80</v>
      </c>
      <c r="P465" s="1" t="s">
        <v>80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95</v>
      </c>
      <c r="M466" s="1">
        <v>80</v>
      </c>
      <c r="N466" s="1" t="s">
        <v>80</v>
      </c>
      <c r="O466" s="1" t="s">
        <v>80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266</v>
      </c>
      <c r="D467" s="1" t="s">
        <v>1116</v>
      </c>
      <c r="E467" s="1" t="s">
        <v>1448</v>
      </c>
      <c r="F467" s="1" t="s">
        <v>1457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80</v>
      </c>
      <c r="O467" s="1" t="s">
        <v>80</v>
      </c>
      <c r="P467" s="1" t="s">
        <v>80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265</v>
      </c>
      <c r="D468" s="1" t="s">
        <v>1117</v>
      </c>
      <c r="E468" s="1" t="s">
        <v>1452</v>
      </c>
      <c r="F468" s="1" t="s">
        <v>80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50</v>
      </c>
      <c r="M468" s="1">
        <v>110</v>
      </c>
      <c r="N468" s="1" t="s">
        <v>80</v>
      </c>
      <c r="O468" s="1" t="s">
        <v>80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264</v>
      </c>
      <c r="D469" s="1" t="s">
        <v>1118</v>
      </c>
      <c r="E469" s="1" t="s">
        <v>1880</v>
      </c>
      <c r="F469" s="1" t="s">
        <v>80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85</v>
      </c>
      <c r="M469" s="1">
        <v>95</v>
      </c>
      <c r="N469" s="1" t="s">
        <v>80</v>
      </c>
      <c r="O469" s="1" t="s">
        <v>80</v>
      </c>
      <c r="P469" s="1" t="s">
        <v>80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263</v>
      </c>
      <c r="D470" s="1" t="s">
        <v>1119</v>
      </c>
      <c r="E470" s="1" t="s">
        <v>1456</v>
      </c>
      <c r="F470" s="1" t="s">
        <v>80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95</v>
      </c>
      <c r="M470" s="1">
        <v>125</v>
      </c>
      <c r="N470" s="1" t="s">
        <v>80</v>
      </c>
      <c r="O470" s="1" t="s">
        <v>80</v>
      </c>
      <c r="P470" s="1" t="s">
        <v>80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262</v>
      </c>
      <c r="D471" s="1" t="s">
        <v>262</v>
      </c>
      <c r="E471" s="1" t="s">
        <v>1883</v>
      </c>
      <c r="F471" s="1" t="s">
        <v>1453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115</v>
      </c>
      <c r="M471" s="1">
        <v>120</v>
      </c>
      <c r="N471" s="1" t="s">
        <v>80</v>
      </c>
      <c r="O471" s="1" t="s">
        <v>80</v>
      </c>
      <c r="P471" s="1" t="s">
        <v>80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261</v>
      </c>
      <c r="D472" s="1" t="s">
        <v>261</v>
      </c>
      <c r="E472" s="1" t="s">
        <v>1458</v>
      </c>
      <c r="F472" s="1" t="s">
        <v>1453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56</v>
      </c>
      <c r="M472" s="1">
        <v>116</v>
      </c>
      <c r="N472" s="1" t="s">
        <v>80</v>
      </c>
      <c r="O472" s="1" t="s">
        <v>80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260</v>
      </c>
      <c r="D473" s="1" t="s">
        <v>1120</v>
      </c>
      <c r="E473" s="1" t="s">
        <v>1452</v>
      </c>
      <c r="F473" s="1" t="s">
        <v>80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65</v>
      </c>
      <c r="M473" s="1">
        <v>60</v>
      </c>
      <c r="N473" s="1" t="s">
        <v>80</v>
      </c>
      <c r="O473" s="1" t="s">
        <v>80</v>
      </c>
      <c r="P473" s="1" t="s">
        <v>80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259</v>
      </c>
      <c r="D474" s="1" t="s">
        <v>1121</v>
      </c>
      <c r="E474" s="1" t="s">
        <v>1460</v>
      </c>
      <c r="F474" s="1" t="s">
        <v>80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95</v>
      </c>
      <c r="M474" s="1">
        <v>130</v>
      </c>
      <c r="N474" s="1" t="s">
        <v>80</v>
      </c>
      <c r="O474" s="1" t="s">
        <v>80</v>
      </c>
      <c r="P474" s="1" t="s">
        <v>80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258</v>
      </c>
      <c r="D475" s="1" t="s">
        <v>1122</v>
      </c>
      <c r="E475" s="1" t="s">
        <v>1448</v>
      </c>
      <c r="F475" s="1" t="s">
        <v>1453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75</v>
      </c>
      <c r="M475" s="1">
        <v>45</v>
      </c>
      <c r="N475" s="1" t="s">
        <v>80</v>
      </c>
      <c r="O475" s="1" t="s">
        <v>80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257</v>
      </c>
      <c r="D476" s="1" t="s">
        <v>1123</v>
      </c>
      <c r="E476" s="1" t="s">
        <v>1460</v>
      </c>
      <c r="F476" s="1" t="s">
        <v>1448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60</v>
      </c>
      <c r="M476" s="1">
        <v>70</v>
      </c>
      <c r="N476" s="1" t="s">
        <v>80</v>
      </c>
      <c r="O476" s="1" t="s">
        <v>80</v>
      </c>
      <c r="P476" s="1" t="s">
        <v>80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75</v>
      </c>
      <c r="M477" s="1">
        <v>135</v>
      </c>
      <c r="N477" s="1" t="s">
        <v>80</v>
      </c>
      <c r="O477" s="1" t="s">
        <v>80</v>
      </c>
      <c r="P477" s="1" t="s">
        <v>80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255</v>
      </c>
      <c r="D478" s="1" t="s">
        <v>1124</v>
      </c>
      <c r="E478" s="1" t="s">
        <v>1454</v>
      </c>
      <c r="F478" s="1" t="s">
        <v>1881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115</v>
      </c>
      <c r="M478" s="1">
        <v>65</v>
      </c>
      <c r="N478" s="1" t="s">
        <v>80</v>
      </c>
      <c r="O478" s="1" t="s">
        <v>80</v>
      </c>
      <c r="P478" s="1" t="s">
        <v>80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254</v>
      </c>
      <c r="D479" s="1" t="s">
        <v>1125</v>
      </c>
      <c r="E479" s="1" t="s">
        <v>1457</v>
      </c>
      <c r="F479" s="1" t="s">
        <v>1882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150</v>
      </c>
      <c r="M479" s="1">
        <v>75</v>
      </c>
      <c r="N479" s="1" t="s">
        <v>80</v>
      </c>
      <c r="O479" s="1" t="s">
        <v>80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253</v>
      </c>
      <c r="D480" s="1" t="s">
        <v>1126</v>
      </c>
      <c r="E480" s="1" t="s">
        <v>1463</v>
      </c>
      <c r="F480" s="1" t="s">
        <v>80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135</v>
      </c>
      <c r="M480" s="1">
        <v>65</v>
      </c>
      <c r="N480" s="1" t="s">
        <v>80</v>
      </c>
      <c r="O480" s="1" t="s">
        <v>80</v>
      </c>
      <c r="P480" s="1" t="s">
        <v>80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252</v>
      </c>
      <c r="D481" s="1" t="s">
        <v>1127</v>
      </c>
      <c r="E481" s="1" t="s">
        <v>1460</v>
      </c>
      <c r="F481" s="1" t="s">
        <v>1463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70</v>
      </c>
      <c r="M481" s="1">
        <v>80</v>
      </c>
      <c r="N481" s="1" t="s">
        <v>80</v>
      </c>
      <c r="O481" s="1" t="s">
        <v>80</v>
      </c>
      <c r="P481" s="1" t="s">
        <v>80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251</v>
      </c>
      <c r="D482" s="1" t="s">
        <v>1128</v>
      </c>
      <c r="E482" s="1" t="s">
        <v>1880</v>
      </c>
      <c r="F482" s="1" t="s">
        <v>1463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77</v>
      </c>
      <c r="M482" s="1">
        <v>95</v>
      </c>
      <c r="N482" s="1" t="s">
        <v>80</v>
      </c>
      <c r="O482" s="1" t="s">
        <v>80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250</v>
      </c>
      <c r="D483" s="1" t="s">
        <v>1129</v>
      </c>
      <c r="E483" s="1" t="s">
        <v>1454</v>
      </c>
      <c r="F483" s="1" t="s">
        <v>80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130</v>
      </c>
      <c r="M483" s="1">
        <v>75</v>
      </c>
      <c r="N483" s="1" t="s">
        <v>80</v>
      </c>
      <c r="O483" s="1" t="s">
        <v>80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249</v>
      </c>
      <c r="D484" s="1" t="s">
        <v>1130</v>
      </c>
      <c r="E484" s="1" t="s">
        <v>1454</v>
      </c>
      <c r="F484" s="1" t="s">
        <v>80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80</v>
      </c>
      <c r="O484" s="1" t="s">
        <v>80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248</v>
      </c>
      <c r="D485" s="1" t="s">
        <v>1131</v>
      </c>
      <c r="E485" s="1" t="s">
        <v>1454</v>
      </c>
      <c r="F485" s="1" t="s">
        <v>80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70</v>
      </c>
      <c r="M485" s="1">
        <v>125</v>
      </c>
      <c r="N485" s="1" t="s">
        <v>80</v>
      </c>
      <c r="O485" s="1" t="s">
        <v>80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247</v>
      </c>
      <c r="D486" s="1" t="s">
        <v>247</v>
      </c>
      <c r="E486" s="1" t="s">
        <v>1882</v>
      </c>
      <c r="F486" s="1" t="s">
        <v>750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100</v>
      </c>
      <c r="M486" s="1">
        <v>150</v>
      </c>
      <c r="N486" s="1" t="s">
        <v>80</v>
      </c>
      <c r="O486" s="1" t="s">
        <v>80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246</v>
      </c>
      <c r="D487" s="1" t="s">
        <v>246</v>
      </c>
      <c r="E487" s="1" t="s">
        <v>1455</v>
      </c>
      <c r="F487" s="1" t="s">
        <v>750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120</v>
      </c>
      <c r="M487" s="1">
        <v>150</v>
      </c>
      <c r="N487" s="1" t="s">
        <v>80</v>
      </c>
      <c r="O487" s="1" t="s">
        <v>80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245</v>
      </c>
      <c r="D488" s="1" t="s">
        <v>245</v>
      </c>
      <c r="E488" s="1" t="s">
        <v>1456</v>
      </c>
      <c r="F488" s="1" t="s">
        <v>1882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106</v>
      </c>
      <c r="M488" s="1">
        <v>130</v>
      </c>
      <c r="N488" s="1" t="s">
        <v>80</v>
      </c>
      <c r="O488" s="1" t="s">
        <v>80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110</v>
      </c>
      <c r="M489" s="1">
        <v>80</v>
      </c>
      <c r="N489" s="1" t="s">
        <v>80</v>
      </c>
      <c r="O489" s="1" t="s">
        <v>80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243</v>
      </c>
      <c r="D490" s="1" t="s">
        <v>1132</v>
      </c>
      <c r="E490" s="1" t="s">
        <v>1463</v>
      </c>
      <c r="F490" s="1" t="s">
        <v>750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120</v>
      </c>
      <c r="M490" s="1">
        <v>100</v>
      </c>
      <c r="N490" s="1" t="s">
        <v>80</v>
      </c>
      <c r="O490" s="1" t="s">
        <v>80</v>
      </c>
      <c r="P490" s="1" t="s">
        <v>80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242</v>
      </c>
      <c r="D491" s="1" t="s">
        <v>242</v>
      </c>
      <c r="E491" s="1" t="s">
        <v>1454</v>
      </c>
      <c r="F491" s="1" t="s">
        <v>80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130</v>
      </c>
      <c r="M491" s="1">
        <v>75</v>
      </c>
      <c r="N491" s="1" t="s">
        <v>80</v>
      </c>
      <c r="O491" s="1" t="s">
        <v>80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241</v>
      </c>
      <c r="D492" s="1" t="s">
        <v>241</v>
      </c>
      <c r="E492" s="1" t="s">
        <v>1455</v>
      </c>
      <c r="F492" s="1" t="s">
        <v>80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80</v>
      </c>
      <c r="O492" s="1" t="s">
        <v>80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240</v>
      </c>
      <c r="D493" s="1" t="s">
        <v>240</v>
      </c>
      <c r="E493" s="1" t="s">
        <v>1455</v>
      </c>
      <c r="F493" s="1" t="s">
        <v>80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80</v>
      </c>
      <c r="O493" s="1" t="s">
        <v>80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239</v>
      </c>
      <c r="D494" s="1" t="s">
        <v>239</v>
      </c>
      <c r="E494" s="1" t="s">
        <v>1444</v>
      </c>
      <c r="F494" s="1" t="s">
        <v>80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90</v>
      </c>
      <c r="M494" s="1">
        <v>135</v>
      </c>
      <c r="N494" s="1" t="s">
        <v>80</v>
      </c>
      <c r="O494" s="1" t="s">
        <v>80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238</v>
      </c>
      <c r="D495" s="1" t="s">
        <v>1133</v>
      </c>
      <c r="E495" s="1" t="s">
        <v>1452</v>
      </c>
      <c r="F495" s="1" t="s">
        <v>80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80</v>
      </c>
      <c r="O495" s="1" t="s">
        <v>80</v>
      </c>
      <c r="P495" s="1" t="s">
        <v>80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80</v>
      </c>
      <c r="O496" s="1" t="s">
        <v>80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236</v>
      </c>
      <c r="D497" s="1" t="s">
        <v>236</v>
      </c>
      <c r="E497" s="1" t="s">
        <v>1454</v>
      </c>
      <c r="F497" s="1" t="s">
        <v>1456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80</v>
      </c>
      <c r="O497" s="1" t="s">
        <v>80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235</v>
      </c>
      <c r="D498" s="1" t="s">
        <v>1134</v>
      </c>
      <c r="E498" s="1" t="s">
        <v>1452</v>
      </c>
      <c r="F498" s="1" t="s">
        <v>80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55</v>
      </c>
      <c r="M498" s="1">
        <v>45</v>
      </c>
      <c r="N498" s="1">
        <v>17</v>
      </c>
      <c r="O498" s="1">
        <v>496</v>
      </c>
      <c r="P498" s="1" t="s">
        <v>1135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234</v>
      </c>
      <c r="D499" s="1" t="s">
        <v>1135</v>
      </c>
      <c r="E499" s="1" t="s">
        <v>1452</v>
      </c>
      <c r="F499" s="1" t="s">
        <v>80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75</v>
      </c>
      <c r="M499" s="1">
        <v>60</v>
      </c>
      <c r="N499" s="1">
        <v>36</v>
      </c>
      <c r="O499" s="1">
        <v>497</v>
      </c>
      <c r="P499" s="1" t="s">
        <v>1136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233</v>
      </c>
      <c r="D500" s="1" t="s">
        <v>1136</v>
      </c>
      <c r="E500" s="1" t="s">
        <v>1452</v>
      </c>
      <c r="F500" s="1" t="s">
        <v>80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95</v>
      </c>
      <c r="M500" s="1">
        <v>75</v>
      </c>
      <c r="N500" s="1" t="s">
        <v>80</v>
      </c>
      <c r="O500" s="1" t="s">
        <v>80</v>
      </c>
      <c r="P500" s="1" t="s">
        <v>80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232</v>
      </c>
      <c r="D501" s="1" t="s">
        <v>1137</v>
      </c>
      <c r="E501" s="1" t="s">
        <v>1456</v>
      </c>
      <c r="F501" s="1" t="s">
        <v>80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1138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231</v>
      </c>
      <c r="D502" s="1" t="s">
        <v>1138</v>
      </c>
      <c r="E502" s="1" t="s">
        <v>1456</v>
      </c>
      <c r="F502" s="1" t="s">
        <v>1881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55</v>
      </c>
      <c r="M502" s="1">
        <v>70</v>
      </c>
      <c r="N502" s="1">
        <v>36</v>
      </c>
      <c r="O502" s="1">
        <v>500</v>
      </c>
      <c r="P502" s="1" t="s">
        <v>1139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230</v>
      </c>
      <c r="D503" s="1" t="s">
        <v>1139</v>
      </c>
      <c r="E503" s="1" t="s">
        <v>1456</v>
      </c>
      <c r="F503" s="1" t="s">
        <v>1881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65</v>
      </c>
      <c r="M503" s="1">
        <v>100</v>
      </c>
      <c r="N503" s="1" t="s">
        <v>80</v>
      </c>
      <c r="O503" s="1" t="s">
        <v>80</v>
      </c>
      <c r="P503" s="1" t="s">
        <v>80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229</v>
      </c>
      <c r="D504" s="1" t="s">
        <v>1140</v>
      </c>
      <c r="E504" s="1" t="s">
        <v>1455</v>
      </c>
      <c r="F504" s="1" t="s">
        <v>80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45</v>
      </c>
      <c r="M504" s="1">
        <v>63</v>
      </c>
      <c r="N504" s="1">
        <v>17</v>
      </c>
      <c r="O504" s="1">
        <v>502</v>
      </c>
      <c r="P504" s="1" t="s">
        <v>1141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228</v>
      </c>
      <c r="D505" s="1" t="s">
        <v>1141</v>
      </c>
      <c r="E505" s="1" t="s">
        <v>1455</v>
      </c>
      <c r="F505" s="1" t="s">
        <v>80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60</v>
      </c>
      <c r="M505" s="1">
        <v>83</v>
      </c>
      <c r="N505" s="1">
        <v>36</v>
      </c>
      <c r="O505" s="1">
        <v>503</v>
      </c>
      <c r="P505" s="1" t="s">
        <v>1142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227</v>
      </c>
      <c r="D506" s="1" t="s">
        <v>1142</v>
      </c>
      <c r="E506" s="1" t="s">
        <v>1455</v>
      </c>
      <c r="F506" s="1" t="s">
        <v>80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70</v>
      </c>
      <c r="M506" s="1">
        <v>108</v>
      </c>
      <c r="N506" s="1" t="s">
        <v>80</v>
      </c>
      <c r="O506" s="1" t="s">
        <v>80</v>
      </c>
      <c r="P506" s="1" t="s">
        <v>80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39</v>
      </c>
      <c r="M507" s="1">
        <v>35</v>
      </c>
      <c r="N507" s="1">
        <v>20</v>
      </c>
      <c r="O507" s="1">
        <v>505</v>
      </c>
      <c r="P507" s="1" t="s">
        <v>1144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69</v>
      </c>
      <c r="M508" s="1">
        <v>60</v>
      </c>
      <c r="N508" s="1" t="s">
        <v>80</v>
      </c>
      <c r="O508" s="1" t="s">
        <v>80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45</v>
      </c>
      <c r="M509" s="1">
        <v>25</v>
      </c>
      <c r="N509" s="1">
        <v>16</v>
      </c>
      <c r="O509" s="1">
        <v>507</v>
      </c>
      <c r="P509" s="1" t="s">
        <v>1146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65</v>
      </c>
      <c r="M510" s="1">
        <v>35</v>
      </c>
      <c r="N510" s="1">
        <v>32</v>
      </c>
      <c r="O510" s="1">
        <v>508</v>
      </c>
      <c r="P510" s="1" t="s">
        <v>1147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90</v>
      </c>
      <c r="M511" s="1">
        <v>45</v>
      </c>
      <c r="N511" s="1" t="s">
        <v>80</v>
      </c>
      <c r="O511" s="1" t="s">
        <v>80</v>
      </c>
      <c r="P511" s="1" t="s">
        <v>80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221</v>
      </c>
      <c r="D512" s="1" t="s">
        <v>1148</v>
      </c>
      <c r="E512" s="1" t="s">
        <v>1444</v>
      </c>
      <c r="F512" s="1" t="s">
        <v>80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37</v>
      </c>
      <c r="M512" s="1">
        <v>50</v>
      </c>
      <c r="N512" s="1">
        <v>20</v>
      </c>
      <c r="O512" s="1">
        <v>510</v>
      </c>
      <c r="P512" s="1" t="s">
        <v>1149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220</v>
      </c>
      <c r="D513" s="1" t="s">
        <v>1149</v>
      </c>
      <c r="E513" s="1" t="s">
        <v>1444</v>
      </c>
      <c r="F513" s="1" t="s">
        <v>80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50</v>
      </c>
      <c r="M513" s="1">
        <v>88</v>
      </c>
      <c r="N513" s="1" t="s">
        <v>80</v>
      </c>
      <c r="O513" s="1" t="s">
        <v>80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219</v>
      </c>
      <c r="D514" s="1" t="s">
        <v>1150</v>
      </c>
      <c r="E514" s="1" t="s">
        <v>1452</v>
      </c>
      <c r="F514" s="1" t="s">
        <v>80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48</v>
      </c>
      <c r="M514" s="1">
        <v>53</v>
      </c>
      <c r="N514" s="1">
        <v>25</v>
      </c>
      <c r="O514" s="1">
        <v>512</v>
      </c>
      <c r="P514" s="1" t="s">
        <v>1151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218</v>
      </c>
      <c r="D515" s="1" t="s">
        <v>1151</v>
      </c>
      <c r="E515" s="1" t="s">
        <v>1452</v>
      </c>
      <c r="F515" s="1" t="s">
        <v>80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63</v>
      </c>
      <c r="M515" s="1">
        <v>98</v>
      </c>
      <c r="N515" s="1" t="s">
        <v>80</v>
      </c>
      <c r="O515" s="1" t="s">
        <v>80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217</v>
      </c>
      <c r="D516" s="1" t="s">
        <v>1152</v>
      </c>
      <c r="E516" s="1" t="s">
        <v>1456</v>
      </c>
      <c r="F516" s="1" t="s">
        <v>80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48</v>
      </c>
      <c r="M516" s="1">
        <v>53</v>
      </c>
      <c r="N516" s="1">
        <v>25</v>
      </c>
      <c r="O516" s="1">
        <v>514</v>
      </c>
      <c r="P516" s="1" t="s">
        <v>1153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216</v>
      </c>
      <c r="D517" s="1" t="s">
        <v>1153</v>
      </c>
      <c r="E517" s="1" t="s">
        <v>1456</v>
      </c>
      <c r="F517" s="1" t="s">
        <v>80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63</v>
      </c>
      <c r="M517" s="1">
        <v>98</v>
      </c>
      <c r="N517" s="1" t="s">
        <v>80</v>
      </c>
      <c r="O517" s="1" t="s">
        <v>80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215</v>
      </c>
      <c r="D518" s="1" t="s">
        <v>1154</v>
      </c>
      <c r="E518" s="1" t="s">
        <v>1455</v>
      </c>
      <c r="F518" s="1" t="s">
        <v>80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48</v>
      </c>
      <c r="M518" s="1">
        <v>53</v>
      </c>
      <c r="N518" s="1">
        <v>25</v>
      </c>
      <c r="O518" s="1">
        <v>516</v>
      </c>
      <c r="P518" s="1" t="s">
        <v>1155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214</v>
      </c>
      <c r="D519" s="1" t="s">
        <v>1155</v>
      </c>
      <c r="E519" s="1" t="s">
        <v>1455</v>
      </c>
      <c r="F519" s="1" t="s">
        <v>80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63</v>
      </c>
      <c r="M519" s="1">
        <v>98</v>
      </c>
      <c r="N519" s="1" t="s">
        <v>80</v>
      </c>
      <c r="O519" s="1" t="s">
        <v>80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213</v>
      </c>
      <c r="D520" s="1" t="s">
        <v>213</v>
      </c>
      <c r="E520" s="1" t="s">
        <v>1454</v>
      </c>
      <c r="F520" s="1" t="s">
        <v>80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55</v>
      </c>
      <c r="M520" s="1">
        <v>67</v>
      </c>
      <c r="N520" s="1">
        <v>30</v>
      </c>
      <c r="O520" s="1">
        <v>518</v>
      </c>
      <c r="P520" s="1" t="s">
        <v>1156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212</v>
      </c>
      <c r="D521" s="1" t="s">
        <v>1156</v>
      </c>
      <c r="E521" s="1" t="s">
        <v>1454</v>
      </c>
      <c r="F521" s="1" t="s">
        <v>80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95</v>
      </c>
      <c r="M521" s="1">
        <v>107</v>
      </c>
      <c r="N521" s="1" t="s">
        <v>80</v>
      </c>
      <c r="O521" s="1" t="s">
        <v>80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1453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30</v>
      </c>
      <c r="M522" s="1">
        <v>36</v>
      </c>
      <c r="N522" s="1">
        <v>21</v>
      </c>
      <c r="O522" s="1">
        <v>520</v>
      </c>
      <c r="P522" s="1" t="s">
        <v>1158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1453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42</v>
      </c>
      <c r="M523" s="1">
        <v>50</v>
      </c>
      <c r="N523" s="1">
        <v>32</v>
      </c>
      <c r="O523" s="1">
        <v>521</v>
      </c>
      <c r="P523" s="1" t="s">
        <v>1159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1453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55</v>
      </c>
      <c r="M524" s="1">
        <v>65</v>
      </c>
      <c r="N524" s="1" t="s">
        <v>80</v>
      </c>
      <c r="O524" s="1" t="s">
        <v>80</v>
      </c>
      <c r="P524" s="1" t="s">
        <v>80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208</v>
      </c>
      <c r="D525" s="1" t="s">
        <v>1160</v>
      </c>
      <c r="E525" s="1" t="s">
        <v>1880</v>
      </c>
      <c r="F525" s="1" t="s">
        <v>80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32</v>
      </c>
      <c r="M525" s="1">
        <v>50</v>
      </c>
      <c r="N525" s="1">
        <v>27</v>
      </c>
      <c r="O525" s="1">
        <v>523</v>
      </c>
      <c r="P525" s="1" t="s">
        <v>1161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207</v>
      </c>
      <c r="D526" s="1" t="s">
        <v>1161</v>
      </c>
      <c r="E526" s="1" t="s">
        <v>1880</v>
      </c>
      <c r="F526" s="1" t="s">
        <v>80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63</v>
      </c>
      <c r="M526" s="1">
        <v>80</v>
      </c>
      <c r="N526" s="1" t="s">
        <v>80</v>
      </c>
      <c r="O526" s="1" t="s">
        <v>80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206</v>
      </c>
      <c r="D527" s="1" t="s">
        <v>1162</v>
      </c>
      <c r="E527" s="1" t="s">
        <v>1457</v>
      </c>
      <c r="F527" s="1" t="s">
        <v>80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1163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205</v>
      </c>
      <c r="D528" s="1" t="s">
        <v>1163</v>
      </c>
      <c r="E528" s="1" t="s">
        <v>1457</v>
      </c>
      <c r="F528" s="1" t="s">
        <v>80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40</v>
      </c>
      <c r="M528" s="1">
        <v>50</v>
      </c>
      <c r="N528" s="1">
        <v>30</v>
      </c>
      <c r="O528" s="1">
        <v>526</v>
      </c>
      <c r="P528" s="1" t="s">
        <v>1164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204</v>
      </c>
      <c r="D529" s="1" t="s">
        <v>1164</v>
      </c>
      <c r="E529" s="1" t="s">
        <v>1457</v>
      </c>
      <c r="F529" s="1" t="s">
        <v>80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80</v>
      </c>
      <c r="M529" s="1">
        <v>60</v>
      </c>
      <c r="N529" s="1" t="s">
        <v>80</v>
      </c>
      <c r="O529" s="1" t="s">
        <v>80</v>
      </c>
      <c r="P529" s="1" t="s">
        <v>80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203</v>
      </c>
      <c r="D530" s="1" t="s">
        <v>1165</v>
      </c>
      <c r="E530" s="1" t="s">
        <v>1454</v>
      </c>
      <c r="F530" s="1" t="s">
        <v>1453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43</v>
      </c>
      <c r="M530" s="1">
        <v>55</v>
      </c>
      <c r="N530" s="1">
        <v>30</v>
      </c>
      <c r="O530" s="1">
        <v>528</v>
      </c>
      <c r="P530" s="1" t="s">
        <v>1166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202</v>
      </c>
      <c r="D531" s="1" t="s">
        <v>1166</v>
      </c>
      <c r="E531" s="1" t="s">
        <v>1454</v>
      </c>
      <c r="F531" s="1" t="s">
        <v>1453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55</v>
      </c>
      <c r="M531" s="1">
        <v>77</v>
      </c>
      <c r="N531" s="1" t="s">
        <v>80</v>
      </c>
      <c r="O531" s="1" t="s">
        <v>80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201</v>
      </c>
      <c r="D532" s="1" t="s">
        <v>1167</v>
      </c>
      <c r="E532" s="1" t="s">
        <v>1448</v>
      </c>
      <c r="F532" s="1" t="s">
        <v>80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45</v>
      </c>
      <c r="M532" s="1">
        <v>30</v>
      </c>
      <c r="N532" s="1">
        <v>31</v>
      </c>
      <c r="O532" s="1">
        <v>530</v>
      </c>
      <c r="P532" s="1" t="s">
        <v>1168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200</v>
      </c>
      <c r="D533" s="1" t="s">
        <v>1168</v>
      </c>
      <c r="E533" s="1" t="s">
        <v>1448</v>
      </c>
      <c r="F533" s="1" t="s">
        <v>1882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65</v>
      </c>
      <c r="M533" s="1">
        <v>50</v>
      </c>
      <c r="N533" s="1" t="s">
        <v>80</v>
      </c>
      <c r="O533" s="1" t="s">
        <v>80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86</v>
      </c>
      <c r="M534" s="1">
        <v>60</v>
      </c>
      <c r="N534" s="1" t="s">
        <v>80</v>
      </c>
      <c r="O534" s="1" t="s">
        <v>80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198</v>
      </c>
      <c r="D535" s="1" t="s">
        <v>1170</v>
      </c>
      <c r="E535" s="1" t="s">
        <v>1459</v>
      </c>
      <c r="F535" s="1" t="s">
        <v>80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35</v>
      </c>
      <c r="M535" s="1">
        <v>25</v>
      </c>
      <c r="N535" s="1">
        <v>25</v>
      </c>
      <c r="O535" s="1">
        <v>533</v>
      </c>
      <c r="P535" s="1" t="s">
        <v>1171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197</v>
      </c>
      <c r="D536" s="1" t="s">
        <v>1171</v>
      </c>
      <c r="E536" s="1" t="s">
        <v>1459</v>
      </c>
      <c r="F536" s="1" t="s">
        <v>80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50</v>
      </c>
      <c r="M536" s="1">
        <v>40</v>
      </c>
      <c r="N536" s="1">
        <v>30</v>
      </c>
      <c r="O536" s="1">
        <v>534</v>
      </c>
      <c r="P536" s="1" t="s">
        <v>1172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196</v>
      </c>
      <c r="D537" s="1" t="s">
        <v>1172</v>
      </c>
      <c r="E537" s="1" t="s">
        <v>1459</v>
      </c>
      <c r="F537" s="1" t="s">
        <v>80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65</v>
      </c>
      <c r="M537" s="1">
        <v>55</v>
      </c>
      <c r="N537" s="1" t="s">
        <v>80</v>
      </c>
      <c r="O537" s="1" t="s">
        <v>80</v>
      </c>
      <c r="P537" s="1" t="s">
        <v>80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195</v>
      </c>
      <c r="D538" s="1" t="s">
        <v>1173</v>
      </c>
      <c r="E538" s="1" t="s">
        <v>1455</v>
      </c>
      <c r="F538" s="1" t="s">
        <v>80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40</v>
      </c>
      <c r="M538" s="1">
        <v>50</v>
      </c>
      <c r="N538" s="1">
        <v>25</v>
      </c>
      <c r="O538" s="1">
        <v>536</v>
      </c>
      <c r="P538" s="1" t="s">
        <v>1174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194</v>
      </c>
      <c r="D539" s="1" t="s">
        <v>1174</v>
      </c>
      <c r="E539" s="1" t="s">
        <v>1455</v>
      </c>
      <c r="F539" s="1" t="s">
        <v>1448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55</v>
      </c>
      <c r="M539" s="1">
        <v>65</v>
      </c>
      <c r="N539" s="1">
        <v>36</v>
      </c>
      <c r="O539" s="1">
        <v>537</v>
      </c>
      <c r="P539" s="1" t="s">
        <v>1175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193</v>
      </c>
      <c r="D540" s="1" t="s">
        <v>1175</v>
      </c>
      <c r="E540" s="1" t="s">
        <v>1455</v>
      </c>
      <c r="F540" s="1" t="s">
        <v>1448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75</v>
      </c>
      <c r="M540" s="1">
        <v>85</v>
      </c>
      <c r="N540" s="1" t="s">
        <v>80</v>
      </c>
      <c r="O540" s="1" t="s">
        <v>80</v>
      </c>
      <c r="P540" s="1" t="s">
        <v>80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192</v>
      </c>
      <c r="D541" s="1" t="s">
        <v>1176</v>
      </c>
      <c r="E541" s="1" t="s">
        <v>1459</v>
      </c>
      <c r="F541" s="1" t="s">
        <v>80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85</v>
      </c>
      <c r="M541" s="1">
        <v>30</v>
      </c>
      <c r="N541" s="1" t="s">
        <v>80</v>
      </c>
      <c r="O541" s="1" t="s">
        <v>80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191</v>
      </c>
      <c r="D542" s="1" t="s">
        <v>1177</v>
      </c>
      <c r="E542" s="1" t="s">
        <v>1459</v>
      </c>
      <c r="F542" s="1" t="s">
        <v>80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75</v>
      </c>
      <c r="M542" s="1">
        <v>30</v>
      </c>
      <c r="N542" s="1" t="s">
        <v>80</v>
      </c>
      <c r="O542" s="1" t="s">
        <v>80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190</v>
      </c>
      <c r="D543" s="1" t="s">
        <v>1178</v>
      </c>
      <c r="E543" s="1" t="s">
        <v>1458</v>
      </c>
      <c r="F543" s="1" t="s">
        <v>1452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60</v>
      </c>
      <c r="M543" s="1">
        <v>40</v>
      </c>
      <c r="N543" s="1">
        <v>20</v>
      </c>
      <c r="O543" s="1">
        <v>541</v>
      </c>
      <c r="P543" s="1" t="s">
        <v>1179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189</v>
      </c>
      <c r="D544" s="1" t="s">
        <v>1179</v>
      </c>
      <c r="E544" s="1" t="s">
        <v>1458</v>
      </c>
      <c r="F544" s="1" t="s">
        <v>1452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80</v>
      </c>
      <c r="M544" s="1">
        <v>50</v>
      </c>
      <c r="N544" s="1">
        <v>30</v>
      </c>
      <c r="O544" s="1">
        <v>542</v>
      </c>
      <c r="P544" s="1" t="s">
        <v>1180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188</v>
      </c>
      <c r="D545" s="1" t="s">
        <v>1180</v>
      </c>
      <c r="E545" s="1" t="s">
        <v>1458</v>
      </c>
      <c r="F545" s="1" t="s">
        <v>1452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80</v>
      </c>
      <c r="M545" s="1">
        <v>70</v>
      </c>
      <c r="N545" s="1" t="s">
        <v>80</v>
      </c>
      <c r="O545" s="1" t="s">
        <v>80</v>
      </c>
      <c r="P545" s="1" t="s">
        <v>80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187</v>
      </c>
      <c r="D546" s="1" t="s">
        <v>1181</v>
      </c>
      <c r="E546" s="1" t="s">
        <v>1458</v>
      </c>
      <c r="F546" s="1" t="s">
        <v>742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39</v>
      </c>
      <c r="M546" s="1">
        <v>30</v>
      </c>
      <c r="N546" s="1">
        <v>22</v>
      </c>
      <c r="O546" s="1">
        <v>544</v>
      </c>
      <c r="P546" s="1" t="s">
        <v>1182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186</v>
      </c>
      <c r="D547" s="1" t="s">
        <v>1182</v>
      </c>
      <c r="E547" s="1" t="s">
        <v>1458</v>
      </c>
      <c r="F547" s="1" t="s">
        <v>742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79</v>
      </c>
      <c r="M547" s="1">
        <v>40</v>
      </c>
      <c r="N547" s="1">
        <v>30</v>
      </c>
      <c r="O547" s="1">
        <v>545</v>
      </c>
      <c r="P547" s="1" t="s">
        <v>1183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185</v>
      </c>
      <c r="D548" s="1" t="s">
        <v>1183</v>
      </c>
      <c r="E548" s="1" t="s">
        <v>1458</v>
      </c>
      <c r="F548" s="1" t="s">
        <v>742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69</v>
      </c>
      <c r="M548" s="1">
        <v>55</v>
      </c>
      <c r="N548" s="1" t="s">
        <v>80</v>
      </c>
      <c r="O548" s="1" t="s">
        <v>80</v>
      </c>
      <c r="P548" s="1" t="s">
        <v>80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184</v>
      </c>
      <c r="D549" s="1" t="s">
        <v>1184</v>
      </c>
      <c r="E549" s="1" t="s">
        <v>1452</v>
      </c>
      <c r="F549" s="1" t="s">
        <v>1883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50</v>
      </c>
      <c r="M549" s="1">
        <v>37</v>
      </c>
      <c r="N549" s="1">
        <v>30</v>
      </c>
      <c r="O549" s="1">
        <v>547</v>
      </c>
      <c r="P549" s="1" t="s">
        <v>1185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183</v>
      </c>
      <c r="D550" s="1" t="s">
        <v>1185</v>
      </c>
      <c r="E550" s="1" t="s">
        <v>1452</v>
      </c>
      <c r="F550" s="1" t="s">
        <v>1883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75</v>
      </c>
      <c r="M550" s="1">
        <v>77</v>
      </c>
      <c r="N550" s="1" t="s">
        <v>80</v>
      </c>
      <c r="O550" s="1" t="s">
        <v>80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182</v>
      </c>
      <c r="D551" s="1" t="s">
        <v>1186</v>
      </c>
      <c r="E551" s="1" t="s">
        <v>1452</v>
      </c>
      <c r="F551" s="1" t="s">
        <v>80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50</v>
      </c>
      <c r="M551" s="1">
        <v>70</v>
      </c>
      <c r="N551" s="1">
        <v>15</v>
      </c>
      <c r="O551" s="1">
        <v>549</v>
      </c>
      <c r="P551" s="1" t="s">
        <v>1187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181</v>
      </c>
      <c r="D552" s="1" t="s">
        <v>1187</v>
      </c>
      <c r="E552" s="1" t="s">
        <v>1452</v>
      </c>
      <c r="F552" s="1" t="s">
        <v>80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75</v>
      </c>
      <c r="M552" s="1">
        <v>110</v>
      </c>
      <c r="N552" s="1" t="s">
        <v>80</v>
      </c>
      <c r="O552" s="1" t="s">
        <v>80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180</v>
      </c>
      <c r="D553" s="1" t="s">
        <v>1188</v>
      </c>
      <c r="E553" s="1" t="s">
        <v>1455</v>
      </c>
      <c r="F553" s="1" t="s">
        <v>80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55</v>
      </c>
      <c r="M553" s="1">
        <v>80</v>
      </c>
      <c r="N553" s="1" t="s">
        <v>80</v>
      </c>
      <c r="O553" s="1" t="s">
        <v>80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179</v>
      </c>
      <c r="D554" s="1" t="s">
        <v>1189</v>
      </c>
      <c r="E554" s="1" t="s">
        <v>1448</v>
      </c>
      <c r="F554" s="1" t="s">
        <v>1444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1190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178</v>
      </c>
      <c r="D555" s="1" t="s">
        <v>1190</v>
      </c>
      <c r="E555" s="1" t="s">
        <v>1448</v>
      </c>
      <c r="F555" s="1" t="s">
        <v>1444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1191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177</v>
      </c>
      <c r="D556" s="1" t="s">
        <v>1191</v>
      </c>
      <c r="E556" s="1" t="s">
        <v>1448</v>
      </c>
      <c r="F556" s="1" t="s">
        <v>1444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70</v>
      </c>
      <c r="M556" s="1">
        <v>65</v>
      </c>
      <c r="N556" s="1" t="s">
        <v>80</v>
      </c>
      <c r="O556" s="1" t="s">
        <v>80</v>
      </c>
      <c r="P556" s="1" t="s">
        <v>80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176</v>
      </c>
      <c r="D557" s="1" t="s">
        <v>1192</v>
      </c>
      <c r="E557" s="1" t="s">
        <v>1456</v>
      </c>
      <c r="F557" s="1" t="s">
        <v>80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45</v>
      </c>
      <c r="M557" s="1">
        <v>15</v>
      </c>
      <c r="N557" s="1">
        <v>35</v>
      </c>
      <c r="O557" s="1">
        <v>555</v>
      </c>
      <c r="P557" s="1" t="s">
        <v>1286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175</v>
      </c>
      <c r="D558" s="1" t="s">
        <v>1286</v>
      </c>
      <c r="E558" s="1" t="s">
        <v>1456</v>
      </c>
      <c r="F558" s="1" t="s">
        <v>80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55</v>
      </c>
      <c r="M558" s="1">
        <v>30</v>
      </c>
      <c r="N558" s="1" t="s">
        <v>80</v>
      </c>
      <c r="O558" s="1" t="s">
        <v>80</v>
      </c>
      <c r="P558" s="1" t="s">
        <v>80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174</v>
      </c>
      <c r="D559" s="1" t="s">
        <v>1193</v>
      </c>
      <c r="E559" s="1" t="s">
        <v>1452</v>
      </c>
      <c r="F559" s="1" t="s">
        <v>80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67</v>
      </c>
      <c r="M559" s="1">
        <v>106</v>
      </c>
      <c r="N559" s="1" t="s">
        <v>80</v>
      </c>
      <c r="O559" s="1" t="s">
        <v>80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173</v>
      </c>
      <c r="D560" s="1" t="s">
        <v>1194</v>
      </c>
      <c r="E560" s="1" t="s">
        <v>1458</v>
      </c>
      <c r="F560" s="1" t="s">
        <v>1457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1195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172</v>
      </c>
      <c r="D561" s="1" t="s">
        <v>1195</v>
      </c>
      <c r="E561" s="1" t="s">
        <v>1458</v>
      </c>
      <c r="F561" s="1" t="s">
        <v>1457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75</v>
      </c>
      <c r="M561" s="1">
        <v>65</v>
      </c>
      <c r="N561" s="1" t="s">
        <v>80</v>
      </c>
      <c r="O561" s="1" t="s">
        <v>80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171</v>
      </c>
      <c r="D562" s="1" t="s">
        <v>1196</v>
      </c>
      <c r="E562" s="1" t="s">
        <v>1444</v>
      </c>
      <c r="F562" s="1" t="s">
        <v>1881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70</v>
      </c>
      <c r="M562" s="1">
        <v>35</v>
      </c>
      <c r="N562" s="1">
        <v>39</v>
      </c>
      <c r="O562" s="1">
        <v>560</v>
      </c>
      <c r="P562" s="1" t="s">
        <v>1197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170</v>
      </c>
      <c r="D563" s="1" t="s">
        <v>1197</v>
      </c>
      <c r="E563" s="1" t="s">
        <v>1444</v>
      </c>
      <c r="F563" s="1" t="s">
        <v>1881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115</v>
      </c>
      <c r="M563" s="1">
        <v>45</v>
      </c>
      <c r="N563" s="1" t="s">
        <v>80</v>
      </c>
      <c r="O563" s="1" t="s">
        <v>80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169</v>
      </c>
      <c r="D564" s="1" t="s">
        <v>1198</v>
      </c>
      <c r="E564" s="1" t="s">
        <v>1454</v>
      </c>
      <c r="F564" s="1" t="s">
        <v>1453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80</v>
      </c>
      <c r="M564" s="1">
        <v>103</v>
      </c>
      <c r="N564" s="1" t="s">
        <v>80</v>
      </c>
      <c r="O564" s="1" t="s">
        <v>80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168</v>
      </c>
      <c r="D565" s="1" t="s">
        <v>1199</v>
      </c>
      <c r="E565" s="1" t="s">
        <v>1463</v>
      </c>
      <c r="F565" s="1" t="s">
        <v>80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65</v>
      </c>
      <c r="M565" s="1">
        <v>55</v>
      </c>
      <c r="N565" s="1">
        <v>34</v>
      </c>
      <c r="O565" s="1">
        <v>563</v>
      </c>
      <c r="P565" s="1" t="s">
        <v>1200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167</v>
      </c>
      <c r="D566" s="1" t="s">
        <v>1200</v>
      </c>
      <c r="E566" s="1" t="s">
        <v>1463</v>
      </c>
      <c r="F566" s="1" t="s">
        <v>80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105</v>
      </c>
      <c r="M566" s="1">
        <v>95</v>
      </c>
      <c r="N566" s="1" t="s">
        <v>80</v>
      </c>
      <c r="O566" s="1" t="s">
        <v>80</v>
      </c>
      <c r="P566" s="1" t="s">
        <v>80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166</v>
      </c>
      <c r="D567" s="1" t="s">
        <v>1201</v>
      </c>
      <c r="E567" s="1" t="s">
        <v>1455</v>
      </c>
      <c r="F567" s="1" t="s">
        <v>1457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45</v>
      </c>
      <c r="M567" s="1">
        <v>53</v>
      </c>
      <c r="N567" s="1">
        <v>37</v>
      </c>
      <c r="O567" s="1">
        <v>565</v>
      </c>
      <c r="P567" s="1" t="s">
        <v>1202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165</v>
      </c>
      <c r="D568" s="1" t="s">
        <v>1202</v>
      </c>
      <c r="E568" s="1" t="s">
        <v>1455</v>
      </c>
      <c r="F568" s="1" t="s">
        <v>1457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65</v>
      </c>
      <c r="M568" s="1">
        <v>83</v>
      </c>
      <c r="N568" s="1" t="s">
        <v>80</v>
      </c>
      <c r="O568" s="1" t="s">
        <v>80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164</v>
      </c>
      <c r="D569" s="1" t="s">
        <v>1203</v>
      </c>
      <c r="E569" s="1" t="s">
        <v>1457</v>
      </c>
      <c r="F569" s="1" t="s">
        <v>1453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45</v>
      </c>
      <c r="M569" s="1">
        <v>74</v>
      </c>
      <c r="N569" s="1">
        <v>37</v>
      </c>
      <c r="O569" s="1">
        <v>567</v>
      </c>
      <c r="P569" s="1" t="s">
        <v>1204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163</v>
      </c>
      <c r="D570" s="1" t="s">
        <v>1204</v>
      </c>
      <c r="E570" s="1" t="s">
        <v>1457</v>
      </c>
      <c r="F570" s="1" t="s">
        <v>1453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65</v>
      </c>
      <c r="M570" s="1">
        <v>112</v>
      </c>
      <c r="N570" s="1" t="s">
        <v>80</v>
      </c>
      <c r="O570" s="1" t="s">
        <v>80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62</v>
      </c>
      <c r="M571" s="1">
        <v>40</v>
      </c>
      <c r="N571" s="1">
        <v>36</v>
      </c>
      <c r="O571" s="1">
        <v>569</v>
      </c>
      <c r="P571" s="1" t="s">
        <v>1206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82</v>
      </c>
      <c r="M572" s="1">
        <v>60</v>
      </c>
      <c r="N572" s="1" t="s">
        <v>80</v>
      </c>
      <c r="O572" s="1" t="s">
        <v>80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160</v>
      </c>
      <c r="D573" s="1" t="s">
        <v>160</v>
      </c>
      <c r="E573" s="1" t="s">
        <v>1444</v>
      </c>
      <c r="F573" s="1" t="s">
        <v>80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40</v>
      </c>
      <c r="M573" s="1">
        <v>80</v>
      </c>
      <c r="N573" s="1">
        <v>30</v>
      </c>
      <c r="O573" s="1">
        <v>571</v>
      </c>
      <c r="P573" s="1" t="s">
        <v>159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159</v>
      </c>
      <c r="D574" s="1" t="s">
        <v>159</v>
      </c>
      <c r="E574" s="1" t="s">
        <v>1444</v>
      </c>
      <c r="F574" s="1" t="s">
        <v>80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60</v>
      </c>
      <c r="M574" s="1">
        <v>120</v>
      </c>
      <c r="N574" s="1" t="s">
        <v>80</v>
      </c>
      <c r="O574" s="1" t="s">
        <v>80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1208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60</v>
      </c>
      <c r="M576" s="1">
        <v>65</v>
      </c>
      <c r="N576" s="1" t="s">
        <v>80</v>
      </c>
      <c r="O576" s="1" t="s">
        <v>80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156</v>
      </c>
      <c r="D577" s="1" t="s">
        <v>1209</v>
      </c>
      <c r="E577" s="1" t="s">
        <v>1454</v>
      </c>
      <c r="F577" s="1" t="s">
        <v>80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65</v>
      </c>
      <c r="M577" s="1">
        <v>55</v>
      </c>
      <c r="N577" s="1">
        <v>32</v>
      </c>
      <c r="O577" s="1">
        <v>575</v>
      </c>
      <c r="P577" s="1" t="s">
        <v>1210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155</v>
      </c>
      <c r="D578" s="1" t="s">
        <v>1210</v>
      </c>
      <c r="E578" s="1" t="s">
        <v>1454</v>
      </c>
      <c r="F578" s="1" t="s">
        <v>80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85</v>
      </c>
      <c r="M578" s="1">
        <v>75</v>
      </c>
      <c r="N578" s="1">
        <v>41</v>
      </c>
      <c r="O578" s="1">
        <v>576</v>
      </c>
      <c r="P578" s="1" t="s">
        <v>1211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154</v>
      </c>
      <c r="D579" s="1" t="s">
        <v>1211</v>
      </c>
      <c r="E579" s="1" t="s">
        <v>1454</v>
      </c>
      <c r="F579" s="1" t="s">
        <v>80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110</v>
      </c>
      <c r="M579" s="1">
        <v>95</v>
      </c>
      <c r="N579" s="1" t="s">
        <v>80</v>
      </c>
      <c r="O579" s="1" t="s">
        <v>80</v>
      </c>
      <c r="P579" s="1" t="s">
        <v>80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153</v>
      </c>
      <c r="D580" s="1" t="s">
        <v>1212</v>
      </c>
      <c r="E580" s="1" t="s">
        <v>1454</v>
      </c>
      <c r="F580" s="1" t="s">
        <v>80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50</v>
      </c>
      <c r="M580" s="1">
        <v>105</v>
      </c>
      <c r="N580" s="1">
        <v>32</v>
      </c>
      <c r="O580" s="1">
        <v>578</v>
      </c>
      <c r="P580" s="1" t="s">
        <v>1213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152</v>
      </c>
      <c r="D581" s="1" t="s">
        <v>1213</v>
      </c>
      <c r="E581" s="1" t="s">
        <v>1454</v>
      </c>
      <c r="F581" s="1" t="s">
        <v>80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60</v>
      </c>
      <c r="M581" s="1">
        <v>125</v>
      </c>
      <c r="N581" s="1">
        <v>41</v>
      </c>
      <c r="O581" s="1">
        <v>579</v>
      </c>
      <c r="P581" s="1" t="s">
        <v>1214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151</v>
      </c>
      <c r="D582" s="1" t="s">
        <v>1214</v>
      </c>
      <c r="E582" s="1" t="s">
        <v>1454</v>
      </c>
      <c r="F582" s="1" t="s">
        <v>80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85</v>
      </c>
      <c r="M582" s="1">
        <v>125</v>
      </c>
      <c r="N582" s="1" t="s">
        <v>80</v>
      </c>
      <c r="O582" s="1" t="s">
        <v>80</v>
      </c>
      <c r="P582" s="1" t="s">
        <v>80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150</v>
      </c>
      <c r="D583" s="1" t="s">
        <v>1215</v>
      </c>
      <c r="E583" s="1" t="s">
        <v>1455</v>
      </c>
      <c r="F583" s="1" t="s">
        <v>1453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50</v>
      </c>
      <c r="M583" s="1">
        <v>44</v>
      </c>
      <c r="N583" s="1">
        <v>35</v>
      </c>
      <c r="O583" s="1">
        <v>581</v>
      </c>
      <c r="P583" s="1" t="s">
        <v>1216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149</v>
      </c>
      <c r="D584" s="1" t="s">
        <v>1216</v>
      </c>
      <c r="E584" s="1" t="s">
        <v>1455</v>
      </c>
      <c r="F584" s="1" t="s">
        <v>1453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63</v>
      </c>
      <c r="M584" s="1">
        <v>87</v>
      </c>
      <c r="N584" s="1" t="s">
        <v>80</v>
      </c>
      <c r="O584" s="1" t="s">
        <v>80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148</v>
      </c>
      <c r="D585" s="1" t="s">
        <v>1217</v>
      </c>
      <c r="E585" s="1" t="s">
        <v>1460</v>
      </c>
      <c r="F585" s="1" t="s">
        <v>80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60</v>
      </c>
      <c r="M585" s="1">
        <v>65</v>
      </c>
      <c r="N585" s="1">
        <v>35</v>
      </c>
      <c r="O585" s="1">
        <v>583</v>
      </c>
      <c r="P585" s="1" t="s">
        <v>1218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147</v>
      </c>
      <c r="D586" s="1" t="s">
        <v>1218</v>
      </c>
      <c r="E586" s="1" t="s">
        <v>1460</v>
      </c>
      <c r="F586" s="1" t="s">
        <v>80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75</v>
      </c>
      <c r="M586" s="1">
        <v>80</v>
      </c>
      <c r="N586" s="1">
        <v>47</v>
      </c>
      <c r="O586" s="1">
        <v>584</v>
      </c>
      <c r="P586" s="1" t="s">
        <v>1219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146</v>
      </c>
      <c r="D587" s="1" t="s">
        <v>1219</v>
      </c>
      <c r="E587" s="1" t="s">
        <v>1460</v>
      </c>
      <c r="F587" s="1" t="s">
        <v>80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95</v>
      </c>
      <c r="M587" s="1">
        <v>110</v>
      </c>
      <c r="N587" s="1" t="s">
        <v>80</v>
      </c>
      <c r="O587" s="1" t="s">
        <v>80</v>
      </c>
      <c r="P587" s="1" t="s">
        <v>80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1452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50</v>
      </c>
      <c r="M588" s="1">
        <v>40</v>
      </c>
      <c r="N588" s="1">
        <v>34</v>
      </c>
      <c r="O588" s="1">
        <v>586</v>
      </c>
      <c r="P588" s="1" t="s">
        <v>1221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1452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70</v>
      </c>
      <c r="M589" s="1">
        <v>60</v>
      </c>
      <c r="N589" s="1" t="s">
        <v>80</v>
      </c>
      <c r="O589" s="1" t="s">
        <v>80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143</v>
      </c>
      <c r="D590" s="1" t="s">
        <v>143</v>
      </c>
      <c r="E590" s="1" t="s">
        <v>1880</v>
      </c>
      <c r="F590" s="1" t="s">
        <v>1453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60</v>
      </c>
      <c r="M590" s="1">
        <v>75</v>
      </c>
      <c r="N590" s="1" t="s">
        <v>80</v>
      </c>
      <c r="O590" s="1" t="s">
        <v>80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142</v>
      </c>
      <c r="D591" s="1" t="s">
        <v>1222</v>
      </c>
      <c r="E591" s="1" t="s">
        <v>1458</v>
      </c>
      <c r="F591" s="1" t="s">
        <v>80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45</v>
      </c>
      <c r="M591" s="1">
        <v>40</v>
      </c>
      <c r="N591" s="1">
        <v>25</v>
      </c>
      <c r="O591" s="1">
        <v>589</v>
      </c>
      <c r="P591" s="1" t="s">
        <v>1223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141</v>
      </c>
      <c r="D592" s="1" t="s">
        <v>1223</v>
      </c>
      <c r="E592" s="1" t="s">
        <v>1458</v>
      </c>
      <c r="F592" s="1" t="s">
        <v>1882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105</v>
      </c>
      <c r="M592" s="1">
        <v>60</v>
      </c>
      <c r="N592" s="1" t="s">
        <v>80</v>
      </c>
      <c r="O592" s="1" t="s">
        <v>80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140</v>
      </c>
      <c r="D593" s="1" t="s">
        <v>1224</v>
      </c>
      <c r="E593" s="1" t="s">
        <v>1452</v>
      </c>
      <c r="F593" s="1" t="s">
        <v>742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1225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139</v>
      </c>
      <c r="D594" s="1" t="s">
        <v>1225</v>
      </c>
      <c r="E594" s="1" t="s">
        <v>1452</v>
      </c>
      <c r="F594" s="1" t="s">
        <v>742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80</v>
      </c>
      <c r="M594" s="1">
        <v>85</v>
      </c>
      <c r="N594" s="1" t="s">
        <v>80</v>
      </c>
      <c r="O594" s="1" t="s">
        <v>80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138</v>
      </c>
      <c r="D595" s="1" t="s">
        <v>1226</v>
      </c>
      <c r="E595" s="1" t="s">
        <v>1455</v>
      </c>
      <c r="F595" s="1" t="s">
        <v>1463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85</v>
      </c>
      <c r="M595" s="1">
        <v>65</v>
      </c>
      <c r="N595" s="1">
        <v>40</v>
      </c>
      <c r="O595" s="1">
        <v>593</v>
      </c>
      <c r="P595" s="1" t="s">
        <v>1227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137</v>
      </c>
      <c r="D596" s="1" t="s">
        <v>1227</v>
      </c>
      <c r="E596" s="1" t="s">
        <v>1455</v>
      </c>
      <c r="F596" s="1" t="s">
        <v>1463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105</v>
      </c>
      <c r="M596" s="1">
        <v>85</v>
      </c>
      <c r="N596" s="1" t="s">
        <v>80</v>
      </c>
      <c r="O596" s="1" t="s">
        <v>80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136</v>
      </c>
      <c r="D597" s="1" t="s">
        <v>1228</v>
      </c>
      <c r="E597" s="1" t="s">
        <v>1455</v>
      </c>
      <c r="F597" s="1" t="s">
        <v>80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45</v>
      </c>
      <c r="M597" s="1">
        <v>40</v>
      </c>
      <c r="N597" s="1" t="s">
        <v>80</v>
      </c>
      <c r="O597" s="1" t="s">
        <v>80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135</v>
      </c>
      <c r="D598" s="1" t="s">
        <v>1229</v>
      </c>
      <c r="E598" s="1" t="s">
        <v>1458</v>
      </c>
      <c r="F598" s="1" t="s">
        <v>1880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50</v>
      </c>
      <c r="M598" s="1">
        <v>57</v>
      </c>
      <c r="N598" s="1">
        <v>36</v>
      </c>
      <c r="O598" s="1">
        <v>596</v>
      </c>
      <c r="P598" s="1" t="s">
        <v>1230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134</v>
      </c>
      <c r="D599" s="1" t="s">
        <v>1230</v>
      </c>
      <c r="E599" s="1" t="s">
        <v>1458</v>
      </c>
      <c r="F599" s="1" t="s">
        <v>1880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60</v>
      </c>
      <c r="M599" s="1">
        <v>97</v>
      </c>
      <c r="N599" s="1" t="s">
        <v>80</v>
      </c>
      <c r="O599" s="1" t="s">
        <v>80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133</v>
      </c>
      <c r="D600" s="1" t="s">
        <v>1231</v>
      </c>
      <c r="E600" s="1" t="s">
        <v>1452</v>
      </c>
      <c r="F600" s="1" t="s">
        <v>1882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86</v>
      </c>
      <c r="M600" s="1">
        <v>24</v>
      </c>
      <c r="N600" s="1">
        <v>40</v>
      </c>
      <c r="O600" s="1">
        <v>598</v>
      </c>
      <c r="P600" s="1" t="s">
        <v>1232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132</v>
      </c>
      <c r="D601" s="1" t="s">
        <v>1232</v>
      </c>
      <c r="E601" s="1" t="s">
        <v>1452</v>
      </c>
      <c r="F601" s="1" t="s">
        <v>1882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116</v>
      </c>
      <c r="M601" s="1">
        <v>54</v>
      </c>
      <c r="N601" s="1" t="s">
        <v>80</v>
      </c>
      <c r="O601" s="1" t="s">
        <v>80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131</v>
      </c>
      <c r="D602" s="1" t="s">
        <v>1233</v>
      </c>
      <c r="E602" s="1" t="s">
        <v>1882</v>
      </c>
      <c r="F602" s="1" t="s">
        <v>80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60</v>
      </c>
      <c r="M602" s="1">
        <v>45</v>
      </c>
      <c r="N602" s="1">
        <v>38</v>
      </c>
      <c r="O602" s="1">
        <v>600</v>
      </c>
      <c r="P602" s="1" t="s">
        <v>1234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130</v>
      </c>
      <c r="D603" s="1" t="s">
        <v>1234</v>
      </c>
      <c r="E603" s="1" t="s">
        <v>1882</v>
      </c>
      <c r="F603" s="1" t="s">
        <v>80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85</v>
      </c>
      <c r="M603" s="1">
        <v>70</v>
      </c>
      <c r="N603" s="1">
        <v>49</v>
      </c>
      <c r="O603" s="1">
        <v>601</v>
      </c>
      <c r="P603" s="1" t="s">
        <v>1235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129</v>
      </c>
      <c r="D604" s="1" t="s">
        <v>1235</v>
      </c>
      <c r="E604" s="1" t="s">
        <v>1882</v>
      </c>
      <c r="F604" s="1" t="s">
        <v>80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85</v>
      </c>
      <c r="M604" s="1">
        <v>70</v>
      </c>
      <c r="N604" s="1" t="s">
        <v>80</v>
      </c>
      <c r="O604" s="1" t="s">
        <v>80</v>
      </c>
      <c r="P604" s="1" t="s">
        <v>80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128</v>
      </c>
      <c r="D605" s="1" t="s">
        <v>1236</v>
      </c>
      <c r="E605" s="1" t="s">
        <v>1880</v>
      </c>
      <c r="F605" s="1" t="s">
        <v>80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40</v>
      </c>
      <c r="M605" s="1">
        <v>45</v>
      </c>
      <c r="N605" s="1">
        <v>39</v>
      </c>
      <c r="O605" s="1">
        <v>603</v>
      </c>
      <c r="P605" s="1" t="s">
        <v>1237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127</v>
      </c>
      <c r="D606" s="1" t="s">
        <v>1237</v>
      </c>
      <c r="E606" s="1" t="s">
        <v>1880</v>
      </c>
      <c r="F606" s="1" t="s">
        <v>80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70</v>
      </c>
      <c r="M606" s="1">
        <v>75</v>
      </c>
      <c r="N606" s="1">
        <v>25</v>
      </c>
      <c r="O606" s="1">
        <v>604</v>
      </c>
      <c r="P606" s="1" t="s">
        <v>1238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126</v>
      </c>
      <c r="D607" s="1" t="s">
        <v>1238</v>
      </c>
      <c r="E607" s="1" t="s">
        <v>1880</v>
      </c>
      <c r="F607" s="1" t="s">
        <v>80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80</v>
      </c>
      <c r="M607" s="1">
        <v>105</v>
      </c>
      <c r="N607" s="1" t="s">
        <v>80</v>
      </c>
      <c r="O607" s="1" t="s">
        <v>80</v>
      </c>
      <c r="P607" s="1" t="s">
        <v>80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125</v>
      </c>
      <c r="D608" s="1" t="s">
        <v>1239</v>
      </c>
      <c r="E608" s="1" t="s">
        <v>1454</v>
      </c>
      <c r="F608" s="1" t="s">
        <v>80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55</v>
      </c>
      <c r="M608" s="1">
        <v>85</v>
      </c>
      <c r="N608" s="1">
        <v>42</v>
      </c>
      <c r="O608" s="1">
        <v>606</v>
      </c>
      <c r="P608" s="1" t="s">
        <v>1240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124</v>
      </c>
      <c r="D609" s="1" t="s">
        <v>1240</v>
      </c>
      <c r="E609" s="1" t="s">
        <v>1454</v>
      </c>
      <c r="F609" s="1" t="s">
        <v>80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95</v>
      </c>
      <c r="M609" s="1">
        <v>125</v>
      </c>
      <c r="N609" s="1" t="s">
        <v>80</v>
      </c>
      <c r="O609" s="1" t="s">
        <v>80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123</v>
      </c>
      <c r="D610" s="1" t="s">
        <v>1241</v>
      </c>
      <c r="E610" s="1" t="s">
        <v>1463</v>
      </c>
      <c r="F610" s="1" t="s">
        <v>1456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55</v>
      </c>
      <c r="M610" s="1">
        <v>65</v>
      </c>
      <c r="N610" s="1">
        <v>41</v>
      </c>
      <c r="O610" s="1">
        <v>608</v>
      </c>
      <c r="P610" s="1" t="s">
        <v>1242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122</v>
      </c>
      <c r="D611" s="1" t="s">
        <v>1242</v>
      </c>
      <c r="E611" s="1" t="s">
        <v>1463</v>
      </c>
      <c r="F611" s="1" t="s">
        <v>1456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60</v>
      </c>
      <c r="M611" s="1">
        <v>95</v>
      </c>
      <c r="N611" s="1">
        <v>30</v>
      </c>
      <c r="O611" s="1">
        <v>609</v>
      </c>
      <c r="P611" s="1" t="s">
        <v>1243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121</v>
      </c>
      <c r="D612" s="1" t="s">
        <v>1243</v>
      </c>
      <c r="E612" s="1" t="s">
        <v>1463</v>
      </c>
      <c r="F612" s="1" t="s">
        <v>1456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90</v>
      </c>
      <c r="M612" s="1">
        <v>145</v>
      </c>
      <c r="N612" s="1" t="s">
        <v>80</v>
      </c>
      <c r="O612" s="1" t="s">
        <v>80</v>
      </c>
      <c r="P612" s="1" t="s">
        <v>80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40</v>
      </c>
      <c r="M613" s="1">
        <v>30</v>
      </c>
      <c r="N613" s="1">
        <v>38</v>
      </c>
      <c r="O613" s="1">
        <v>611</v>
      </c>
      <c r="P613" s="1" t="s">
        <v>1245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50</v>
      </c>
      <c r="M614" s="1">
        <v>40</v>
      </c>
      <c r="N614" s="1">
        <v>48</v>
      </c>
      <c r="O614" s="1">
        <v>612</v>
      </c>
      <c r="P614" s="1" t="s">
        <v>1246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70</v>
      </c>
      <c r="M615" s="1">
        <v>60</v>
      </c>
      <c r="N615" s="1" t="s">
        <v>80</v>
      </c>
      <c r="O615" s="1" t="s">
        <v>80</v>
      </c>
      <c r="P615" s="1" t="s">
        <v>80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117</v>
      </c>
      <c r="D616" s="1" t="s">
        <v>1247</v>
      </c>
      <c r="E616" s="1" t="s">
        <v>1460</v>
      </c>
      <c r="F616" s="1" t="s">
        <v>80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40</v>
      </c>
      <c r="M616" s="1">
        <v>60</v>
      </c>
      <c r="N616" s="1">
        <v>37</v>
      </c>
      <c r="O616" s="1">
        <v>614</v>
      </c>
      <c r="P616" s="1" t="s">
        <v>1248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116</v>
      </c>
      <c r="D617" s="1" t="s">
        <v>1248</v>
      </c>
      <c r="E617" s="1" t="s">
        <v>1460</v>
      </c>
      <c r="F617" s="1" t="s">
        <v>80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80</v>
      </c>
      <c r="M617" s="1">
        <v>70</v>
      </c>
      <c r="N617" s="1" t="s">
        <v>80</v>
      </c>
      <c r="O617" s="1" t="s">
        <v>80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115</v>
      </c>
      <c r="D618" s="1" t="s">
        <v>1249</v>
      </c>
      <c r="E618" s="1" t="s">
        <v>1460</v>
      </c>
      <c r="F618" s="1" t="s">
        <v>80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135</v>
      </c>
      <c r="M618" s="1">
        <v>95</v>
      </c>
      <c r="N618" s="1" t="s">
        <v>80</v>
      </c>
      <c r="O618" s="1" t="s">
        <v>80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114</v>
      </c>
      <c r="D619" s="1" t="s">
        <v>1250</v>
      </c>
      <c r="E619" s="1" t="s">
        <v>1458</v>
      </c>
      <c r="F619" s="1" t="s">
        <v>80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65</v>
      </c>
      <c r="M619" s="1">
        <v>40</v>
      </c>
      <c r="N619" s="1">
        <v>30</v>
      </c>
      <c r="O619" s="1">
        <v>617</v>
      </c>
      <c r="P619" s="1" t="s">
        <v>1251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113</v>
      </c>
      <c r="D620" s="1" t="s">
        <v>1251</v>
      </c>
      <c r="E620" s="1" t="s">
        <v>1458</v>
      </c>
      <c r="F620" s="1" t="s">
        <v>80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60</v>
      </c>
      <c r="M620" s="1">
        <v>100</v>
      </c>
      <c r="N620" s="1" t="s">
        <v>80</v>
      </c>
      <c r="O620" s="1" t="s">
        <v>80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112</v>
      </c>
      <c r="D621" s="1" t="s">
        <v>1252</v>
      </c>
      <c r="E621" s="1" t="s">
        <v>1448</v>
      </c>
      <c r="F621" s="1" t="s">
        <v>1880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99</v>
      </c>
      <c r="M621" s="1">
        <v>81</v>
      </c>
      <c r="N621" s="1" t="s">
        <v>80</v>
      </c>
      <c r="O621" s="1" t="s">
        <v>80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111</v>
      </c>
      <c r="D622" s="1" t="s">
        <v>1253</v>
      </c>
      <c r="E622" s="1" t="s">
        <v>1459</v>
      </c>
      <c r="F622" s="1" t="s">
        <v>80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50</v>
      </c>
      <c r="M622" s="1">
        <v>55</v>
      </c>
      <c r="N622" s="1">
        <v>50</v>
      </c>
      <c r="O622" s="1">
        <v>620</v>
      </c>
      <c r="P622" s="1" t="s">
        <v>1254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110</v>
      </c>
      <c r="D623" s="1" t="s">
        <v>1254</v>
      </c>
      <c r="E623" s="1" t="s">
        <v>1459</v>
      </c>
      <c r="F623" s="1" t="s">
        <v>80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60</v>
      </c>
      <c r="M623" s="1">
        <v>95</v>
      </c>
      <c r="N623" s="1" t="s">
        <v>80</v>
      </c>
      <c r="O623" s="1" t="s">
        <v>80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90</v>
      </c>
      <c r="M624" s="1">
        <v>60</v>
      </c>
      <c r="N624" s="1" t="s">
        <v>80</v>
      </c>
      <c r="O624" s="1" t="s">
        <v>80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108</v>
      </c>
      <c r="D625" s="1" t="s">
        <v>1256</v>
      </c>
      <c r="E625" s="1" t="s">
        <v>1448</v>
      </c>
      <c r="F625" s="1" t="s">
        <v>1463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50</v>
      </c>
      <c r="M625" s="1">
        <v>35</v>
      </c>
      <c r="N625" s="1">
        <v>43</v>
      </c>
      <c r="O625" s="1">
        <v>623</v>
      </c>
      <c r="P625" s="1" t="s">
        <v>1257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107</v>
      </c>
      <c r="D626" s="1" t="s">
        <v>1257</v>
      </c>
      <c r="E626" s="1" t="s">
        <v>1448</v>
      </c>
      <c r="F626" s="1" t="s">
        <v>1463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80</v>
      </c>
      <c r="M626" s="1">
        <v>55</v>
      </c>
      <c r="N626" s="1" t="s">
        <v>80</v>
      </c>
      <c r="O626" s="1" t="s">
        <v>80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106</v>
      </c>
      <c r="D627" s="1" t="s">
        <v>1258</v>
      </c>
      <c r="E627" s="1" t="s">
        <v>1444</v>
      </c>
      <c r="F627" s="1" t="s">
        <v>1882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1259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105</v>
      </c>
      <c r="D628" s="1" t="s">
        <v>1259</v>
      </c>
      <c r="E628" s="1" t="s">
        <v>1444</v>
      </c>
      <c r="F628" s="1" t="s">
        <v>1882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70</v>
      </c>
      <c r="M628" s="1">
        <v>60</v>
      </c>
      <c r="N628" s="1" t="s">
        <v>80</v>
      </c>
      <c r="O628" s="1" t="s">
        <v>80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95</v>
      </c>
      <c r="M629" s="1">
        <v>40</v>
      </c>
      <c r="N629" s="1" t="s">
        <v>80</v>
      </c>
      <c r="O629" s="1" t="s">
        <v>80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1453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50</v>
      </c>
      <c r="M630" s="1">
        <v>37</v>
      </c>
      <c r="N630" s="1">
        <v>54</v>
      </c>
      <c r="O630" s="1">
        <v>628</v>
      </c>
      <c r="P630" s="1" t="s">
        <v>1262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1453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75</v>
      </c>
      <c r="M631" s="1">
        <v>57</v>
      </c>
      <c r="N631" s="1" t="s">
        <v>80</v>
      </c>
      <c r="O631" s="1" t="s">
        <v>80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101</v>
      </c>
      <c r="D632" s="1" t="s">
        <v>1263</v>
      </c>
      <c r="E632" s="1" t="s">
        <v>1444</v>
      </c>
      <c r="F632" s="1" t="s">
        <v>1453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65</v>
      </c>
      <c r="M632" s="1">
        <v>45</v>
      </c>
      <c r="N632" s="1">
        <v>54</v>
      </c>
      <c r="O632" s="1">
        <v>630</v>
      </c>
      <c r="P632" s="1" t="s">
        <v>1264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100</v>
      </c>
      <c r="D633" s="1" t="s">
        <v>1264</v>
      </c>
      <c r="E633" s="1" t="s">
        <v>1444</v>
      </c>
      <c r="F633" s="1" t="s">
        <v>1453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95</v>
      </c>
      <c r="M633" s="1">
        <v>55</v>
      </c>
      <c r="N633" s="1" t="s">
        <v>80</v>
      </c>
      <c r="O633" s="1" t="s">
        <v>80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99</v>
      </c>
      <c r="D634" s="1" t="s">
        <v>1265</v>
      </c>
      <c r="E634" s="1" t="s">
        <v>1456</v>
      </c>
      <c r="F634" s="1" t="s">
        <v>80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66</v>
      </c>
      <c r="M634" s="1">
        <v>105</v>
      </c>
      <c r="N634" s="1" t="s">
        <v>80</v>
      </c>
      <c r="O634" s="1" t="s">
        <v>80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98</v>
      </c>
      <c r="D635" s="1" t="s">
        <v>1266</v>
      </c>
      <c r="E635" s="1" t="s">
        <v>1458</v>
      </c>
      <c r="F635" s="1" t="s">
        <v>1882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80</v>
      </c>
      <c r="O635" s="1" t="s">
        <v>80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97</v>
      </c>
      <c r="D636" s="1" t="s">
        <v>1267</v>
      </c>
      <c r="E636" s="1" t="s">
        <v>1444</v>
      </c>
      <c r="F636" s="1" t="s">
        <v>750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50</v>
      </c>
      <c r="M636" s="1">
        <v>45</v>
      </c>
      <c r="N636" s="1">
        <v>50</v>
      </c>
      <c r="O636" s="1">
        <v>634</v>
      </c>
      <c r="P636" s="1" t="s">
        <v>1268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96</v>
      </c>
      <c r="D637" s="1" t="s">
        <v>1268</v>
      </c>
      <c r="E637" s="1" t="s">
        <v>1444</v>
      </c>
      <c r="F637" s="1" t="s">
        <v>750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70</v>
      </c>
      <c r="M637" s="1">
        <v>65</v>
      </c>
      <c r="N637" s="1">
        <v>64</v>
      </c>
      <c r="O637" s="1">
        <v>635</v>
      </c>
      <c r="P637" s="1" t="s">
        <v>1269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95</v>
      </c>
      <c r="D638" s="1" t="s">
        <v>1269</v>
      </c>
      <c r="E638" s="1" t="s">
        <v>1444</v>
      </c>
      <c r="F638" s="1" t="s">
        <v>750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90</v>
      </c>
      <c r="M638" s="1">
        <v>125</v>
      </c>
      <c r="N638" s="1" t="s">
        <v>80</v>
      </c>
      <c r="O638" s="1" t="s">
        <v>80</v>
      </c>
      <c r="P638" s="1" t="s">
        <v>80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94</v>
      </c>
      <c r="D639" s="1" t="s">
        <v>1270</v>
      </c>
      <c r="E639" s="1" t="s">
        <v>1458</v>
      </c>
      <c r="F639" s="1" t="s">
        <v>1456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55</v>
      </c>
      <c r="M639" s="1">
        <v>50</v>
      </c>
      <c r="N639" s="1">
        <v>59</v>
      </c>
      <c r="O639" s="1">
        <v>637</v>
      </c>
      <c r="P639" s="1" t="s">
        <v>1271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93</v>
      </c>
      <c r="D640" s="1" t="s">
        <v>1271</v>
      </c>
      <c r="E640" s="1" t="s">
        <v>1458</v>
      </c>
      <c r="F640" s="1" t="s">
        <v>1456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105</v>
      </c>
      <c r="M640" s="1">
        <v>135</v>
      </c>
      <c r="N640" s="1" t="s">
        <v>80</v>
      </c>
      <c r="O640" s="1" t="s">
        <v>80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92</v>
      </c>
      <c r="D641" s="1" t="s">
        <v>1272</v>
      </c>
      <c r="E641" s="1" t="s">
        <v>1882</v>
      </c>
      <c r="F641" s="1" t="s">
        <v>1881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72</v>
      </c>
      <c r="M641" s="1">
        <v>90</v>
      </c>
      <c r="N641" s="1" t="s">
        <v>80</v>
      </c>
      <c r="O641" s="1" t="s">
        <v>80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91</v>
      </c>
      <c r="D642" s="1" t="s">
        <v>1273</v>
      </c>
      <c r="E642" s="1" t="s">
        <v>1457</v>
      </c>
      <c r="F642" s="1" t="s">
        <v>1881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90</v>
      </c>
      <c r="M642" s="1">
        <v>72</v>
      </c>
      <c r="N642" s="1" t="s">
        <v>80</v>
      </c>
      <c r="O642" s="1" t="s">
        <v>80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90</v>
      </c>
      <c r="D643" s="1" t="s">
        <v>1274</v>
      </c>
      <c r="E643" s="1" t="s">
        <v>1452</v>
      </c>
      <c r="F643" s="1" t="s">
        <v>1881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129</v>
      </c>
      <c r="M643" s="1">
        <v>90</v>
      </c>
      <c r="N643" s="1" t="s">
        <v>80</v>
      </c>
      <c r="O643" s="1" t="s">
        <v>80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89</v>
      </c>
      <c r="D644" s="1" t="s">
        <v>1275</v>
      </c>
      <c r="E644" s="1" t="s">
        <v>1453</v>
      </c>
      <c r="F644" s="1" t="s">
        <v>80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80</v>
      </c>
      <c r="M644" s="1">
        <v>125</v>
      </c>
      <c r="N644" s="1" t="s">
        <v>80</v>
      </c>
      <c r="O644" s="1" t="s">
        <v>80</v>
      </c>
      <c r="P644" s="1" t="s">
        <v>80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88</v>
      </c>
      <c r="D645" s="1" t="s">
        <v>1276</v>
      </c>
      <c r="E645" s="1" t="s">
        <v>1880</v>
      </c>
      <c r="F645" s="1" t="s">
        <v>1453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80</v>
      </c>
      <c r="M645" s="1">
        <v>125</v>
      </c>
      <c r="N645" s="1" t="s">
        <v>80</v>
      </c>
      <c r="O645" s="1" t="s">
        <v>80</v>
      </c>
      <c r="P645" s="1" t="s">
        <v>80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1456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120</v>
      </c>
      <c r="M646" s="1">
        <v>150</v>
      </c>
      <c r="N646" s="1" t="s">
        <v>80</v>
      </c>
      <c r="O646" s="1" t="s">
        <v>80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1880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100</v>
      </c>
      <c r="M647" s="1">
        <v>120</v>
      </c>
      <c r="N647" s="1" t="s">
        <v>80</v>
      </c>
      <c r="O647" s="1" t="s">
        <v>80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85</v>
      </c>
      <c r="D648" s="1" t="s">
        <v>1277</v>
      </c>
      <c r="E648" s="1" t="s">
        <v>1448</v>
      </c>
      <c r="F648" s="1" t="s">
        <v>1453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80</v>
      </c>
      <c r="M648" s="1">
        <v>115</v>
      </c>
      <c r="N648" s="1" t="s">
        <v>80</v>
      </c>
      <c r="O648" s="1" t="s">
        <v>80</v>
      </c>
      <c r="P648" s="1" t="s">
        <v>80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1460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90</v>
      </c>
      <c r="M649" s="1">
        <v>130</v>
      </c>
      <c r="N649" s="1" t="s">
        <v>80</v>
      </c>
      <c r="O649" s="1" t="s">
        <v>80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83</v>
      </c>
      <c r="D650" s="1" t="s">
        <v>1278</v>
      </c>
      <c r="E650" s="1" t="s">
        <v>1455</v>
      </c>
      <c r="F650" s="1" t="s">
        <v>1881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90</v>
      </c>
      <c r="M650" s="1">
        <v>129</v>
      </c>
      <c r="N650" s="1" t="s">
        <v>80</v>
      </c>
      <c r="O650" s="1" t="s">
        <v>80</v>
      </c>
      <c r="P650" s="1" t="s">
        <v>80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1454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80</v>
      </c>
      <c r="O651" s="1" t="s">
        <v>80</v>
      </c>
      <c r="P651" s="1" t="s">
        <v>80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81</v>
      </c>
      <c r="D652" s="1" t="s">
        <v>81</v>
      </c>
      <c r="E652" s="1" t="s">
        <v>1458</v>
      </c>
      <c r="F652" s="1" t="s">
        <v>1882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95</v>
      </c>
      <c r="M652" s="1">
        <v>120</v>
      </c>
      <c r="N652" s="1" t="s">
        <v>80</v>
      </c>
      <c r="O652" s="1" t="s">
        <v>80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1280</v>
      </c>
      <c r="D653" s="1" t="s">
        <v>1280</v>
      </c>
      <c r="E653" s="1" t="s">
        <v>1880</v>
      </c>
      <c r="F653" s="1" t="s">
        <v>750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80</v>
      </c>
      <c r="P653" s="1" t="s">
        <v>80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N7:BN34"/>
  </mergeCells>
  <phoneticPr fontId="24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AZ4" r:id="rId2" display="https://www.pokebip.com/pokedex/4eme_generation_attaque326__Tranche.html" xr:uid="{8DF13F7A-0F7E-4989-94A1-F3C66CCE6791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CD89"/>
  <sheetViews>
    <sheetView topLeftCell="BR1" zoomScale="144" zoomScaleNormal="70" workbookViewId="0">
      <selection activeCell="C4" sqref="C4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20" width="15" customWidth="1"/>
    <col min="21" max="21" width="19.21875" bestFit="1" customWidth="1"/>
    <col min="22" max="22" width="27.21875" bestFit="1" customWidth="1"/>
    <col min="24" max="24" width="28.6640625" customWidth="1"/>
    <col min="25" max="26" width="11.77734375" customWidth="1"/>
    <col min="27" max="27" width="12.77734375" customWidth="1"/>
    <col min="28" max="29" width="16.77734375" customWidth="1"/>
    <col min="30" max="32" width="14.77734375" customWidth="1"/>
    <col min="33" max="33" width="10.44140625" bestFit="1" customWidth="1"/>
    <col min="34" max="35" width="10" customWidth="1"/>
    <col min="36" max="39" width="12.77734375" customWidth="1"/>
    <col min="40" max="50" width="14.77734375" customWidth="1"/>
    <col min="51" max="52" width="20.77734375" customWidth="1"/>
    <col min="54" max="56" width="11.77734375" customWidth="1"/>
    <col min="57" max="57" width="12.77734375" customWidth="1"/>
    <col min="58" max="59" width="16.77734375" customWidth="1"/>
    <col min="60" max="62" width="14.77734375" customWidth="1"/>
    <col min="63" max="63" width="10.44140625" bestFit="1" customWidth="1"/>
    <col min="64" max="65" width="10" customWidth="1"/>
    <col min="66" max="69" width="12.77734375" customWidth="1"/>
    <col min="70" max="80" width="14.77734375" customWidth="1"/>
    <col min="81" max="82" width="20.77734375" customWidth="1"/>
  </cols>
  <sheetData>
    <row r="1" spans="2:82" ht="15" thickBot="1">
      <c r="B1" s="1"/>
      <c r="E1" s="165"/>
      <c r="L1" s="1"/>
      <c r="M1" s="1"/>
      <c r="N1" s="1"/>
      <c r="O1" s="1"/>
    </row>
    <row r="2" spans="2:82" ht="15" thickBot="1">
      <c r="B2" s="177" t="s">
        <v>1312</v>
      </c>
      <c r="C2" s="200" t="s">
        <v>1313</v>
      </c>
      <c r="E2" s="236" t="s">
        <v>31</v>
      </c>
      <c r="F2" s="237" t="s">
        <v>1322</v>
      </c>
      <c r="G2" s="237" t="s">
        <v>1889</v>
      </c>
      <c r="H2" s="237" t="s">
        <v>1332</v>
      </c>
      <c r="I2" s="237" t="s">
        <v>1890</v>
      </c>
      <c r="J2" s="238" t="s">
        <v>1323</v>
      </c>
      <c r="L2" s="45" t="s">
        <v>1419</v>
      </c>
      <c r="M2" s="338" t="s">
        <v>1420</v>
      </c>
      <c r="N2" s="45" t="s">
        <v>1421</v>
      </c>
      <c r="O2" s="45" t="s">
        <v>1422</v>
      </c>
      <c r="Q2" s="45" t="s">
        <v>1425</v>
      </c>
      <c r="R2" s="46" t="s">
        <v>1323</v>
      </c>
      <c r="S2" s="343" t="s">
        <v>1898</v>
      </c>
      <c r="T2" s="46" t="s">
        <v>1902</v>
      </c>
      <c r="U2" s="343" t="s">
        <v>1903</v>
      </c>
      <c r="V2" s="45" t="s">
        <v>1426</v>
      </c>
      <c r="X2" s="236" t="s">
        <v>1691</v>
      </c>
      <c r="Y2" s="237" t="s">
        <v>1289</v>
      </c>
      <c r="Z2" s="237" t="s">
        <v>1696</v>
      </c>
      <c r="AA2" s="239" t="s">
        <v>1432</v>
      </c>
      <c r="AB2" s="237" t="s">
        <v>31</v>
      </c>
      <c r="AC2" s="237" t="s">
        <v>730</v>
      </c>
      <c r="AD2" s="241" t="s">
        <v>1284</v>
      </c>
      <c r="AE2" s="237" t="s">
        <v>1694</v>
      </c>
      <c r="AF2" s="239" t="s">
        <v>1704</v>
      </c>
      <c r="AG2" s="244" t="s">
        <v>1695</v>
      </c>
      <c r="AH2" s="241" t="s">
        <v>731</v>
      </c>
      <c r="AI2" s="237" t="s">
        <v>732</v>
      </c>
      <c r="AJ2" s="241" t="s">
        <v>1876</v>
      </c>
      <c r="AK2" s="237" t="s">
        <v>1877</v>
      </c>
      <c r="AL2" s="237" t="s">
        <v>1878</v>
      </c>
      <c r="AM2" s="237" t="s">
        <v>1879</v>
      </c>
      <c r="AN2" s="241" t="s">
        <v>1434</v>
      </c>
      <c r="AO2" s="237" t="s">
        <v>1435</v>
      </c>
      <c r="AP2" s="237" t="s">
        <v>1436</v>
      </c>
      <c r="AQ2" s="237" t="s">
        <v>1437</v>
      </c>
      <c r="AR2" s="237" t="s">
        <v>1438</v>
      </c>
      <c r="AS2" s="237" t="s">
        <v>1874</v>
      </c>
      <c r="AT2" s="242" t="s">
        <v>1439</v>
      </c>
      <c r="AU2" s="237" t="s">
        <v>1440</v>
      </c>
      <c r="AV2" s="237" t="s">
        <v>1441</v>
      </c>
      <c r="AW2" s="237" t="s">
        <v>1875</v>
      </c>
      <c r="AX2" s="237" t="s">
        <v>1442</v>
      </c>
      <c r="AY2" s="237" t="s">
        <v>1692</v>
      </c>
      <c r="AZ2" s="238" t="s">
        <v>1693</v>
      </c>
      <c r="BB2" s="236" t="s">
        <v>1691</v>
      </c>
      <c r="BC2" s="237" t="s">
        <v>1289</v>
      </c>
      <c r="BD2" s="345" t="s">
        <v>1696</v>
      </c>
      <c r="BE2" s="347" t="s">
        <v>1907</v>
      </c>
      <c r="BF2" s="345" t="s">
        <v>31</v>
      </c>
      <c r="BG2" s="237" t="s">
        <v>730</v>
      </c>
      <c r="BH2" s="346" t="s">
        <v>1284</v>
      </c>
      <c r="BI2" s="237" t="s">
        <v>1694</v>
      </c>
      <c r="BJ2" s="239" t="s">
        <v>1704</v>
      </c>
      <c r="BK2" s="244" t="s">
        <v>1695</v>
      </c>
      <c r="BL2" s="241" t="s">
        <v>731</v>
      </c>
      <c r="BM2" s="237" t="s">
        <v>732</v>
      </c>
      <c r="BN2" s="241" t="s">
        <v>1876</v>
      </c>
      <c r="BO2" s="345" t="s">
        <v>1877</v>
      </c>
      <c r="BP2" s="345" t="s">
        <v>1878</v>
      </c>
      <c r="BQ2" s="345" t="s">
        <v>1879</v>
      </c>
      <c r="BR2" s="241" t="s">
        <v>1434</v>
      </c>
      <c r="BS2" s="237" t="s">
        <v>1435</v>
      </c>
      <c r="BT2" s="237" t="s">
        <v>1436</v>
      </c>
      <c r="BU2" s="237" t="s">
        <v>1437</v>
      </c>
      <c r="BV2" s="237" t="s">
        <v>1438</v>
      </c>
      <c r="BW2" s="237" t="s">
        <v>1874</v>
      </c>
      <c r="BX2" s="242" t="s">
        <v>1439</v>
      </c>
      <c r="BY2" s="237" t="s">
        <v>1440</v>
      </c>
      <c r="BZ2" s="237" t="s">
        <v>1441</v>
      </c>
      <c r="CA2" s="237" t="s">
        <v>1875</v>
      </c>
      <c r="CB2" s="237" t="s">
        <v>1442</v>
      </c>
      <c r="CC2" s="237" t="s">
        <v>1692</v>
      </c>
      <c r="CD2" s="238" t="s">
        <v>1693</v>
      </c>
    </row>
    <row r="3" spans="2:82" ht="15" thickBot="1">
      <c r="B3" s="203" t="s">
        <v>1316</v>
      </c>
      <c r="C3" s="202">
        <v>8</v>
      </c>
      <c r="E3" s="1" t="s">
        <v>1324</v>
      </c>
      <c r="F3" s="1" t="s">
        <v>1331</v>
      </c>
      <c r="G3" s="1" t="b">
        <v>1</v>
      </c>
      <c r="H3" s="1" t="s">
        <v>1317</v>
      </c>
      <c r="I3" s="1" t="b">
        <v>1</v>
      </c>
      <c r="J3" s="1" t="b" cm="1">
        <f t="array" ref="J3">IsVisible(TabMapElement[[#This Row],[Emplacement]],TabMapElement[[#This Row],[Nom]])</f>
        <v>0</v>
      </c>
      <c r="L3" s="1" t="s">
        <v>1423</v>
      </c>
      <c r="M3" s="339" t="s">
        <v>1424</v>
      </c>
      <c r="N3" s="1" t="s">
        <v>1416</v>
      </c>
      <c r="O3" s="1" t="s">
        <v>1330</v>
      </c>
      <c r="Q3" s="1" t="s">
        <v>1892</v>
      </c>
      <c r="R3" s="43" t="s">
        <v>1896</v>
      </c>
      <c r="S3" s="44" t="s">
        <v>1896</v>
      </c>
      <c r="T3" s="43" t="s">
        <v>1904</v>
      </c>
      <c r="U3" s="44" t="s">
        <v>1905</v>
      </c>
      <c r="V3" s="1" t="s">
        <v>1893</v>
      </c>
      <c r="X3" s="1" t="s">
        <v>1909</v>
      </c>
      <c r="Y3" s="1">
        <v>4</v>
      </c>
      <c r="Z3" s="1" t="s">
        <v>1697</v>
      </c>
      <c r="AA3" s="44" t="b">
        <f>ISBLANK(TableauPokemonCapturé[[#This Row],[PokeID]])=FALSE</f>
        <v>1</v>
      </c>
      <c r="AB3" s="1" t="s">
        <v>726</v>
      </c>
      <c r="AC3" s="1" t="s">
        <v>745</v>
      </c>
      <c r="AD3" s="43">
        <v>5</v>
      </c>
      <c r="AE3" s="1">
        <v>100</v>
      </c>
      <c r="AF3" s="44">
        <v>73</v>
      </c>
      <c r="AG3" s="1">
        <v>45</v>
      </c>
      <c r="AH3" s="43" t="s">
        <v>1456</v>
      </c>
      <c r="AI3" s="1"/>
      <c r="AJ3" s="43" t="s">
        <v>1456</v>
      </c>
      <c r="AK3" s="1" t="s">
        <v>763</v>
      </c>
      <c r="AL3" s="1" t="s">
        <v>1881</v>
      </c>
      <c r="AM3" s="44" t="s">
        <v>1882</v>
      </c>
      <c r="AN3" s="43">
        <v>20</v>
      </c>
      <c r="AO3" s="1">
        <v>20</v>
      </c>
      <c r="AP3" s="1">
        <v>11</v>
      </c>
      <c r="AQ3" s="1">
        <v>10</v>
      </c>
      <c r="AR3" s="1">
        <v>13</v>
      </c>
      <c r="AS3" s="1">
        <v>11</v>
      </c>
      <c r="AT3" s="243">
        <v>39</v>
      </c>
      <c r="AU3" s="1">
        <v>52</v>
      </c>
      <c r="AV3" s="1">
        <v>43</v>
      </c>
      <c r="AW3" s="1">
        <v>50</v>
      </c>
      <c r="AX3" s="44">
        <v>65</v>
      </c>
      <c r="AY3" s="1">
        <v>16</v>
      </c>
      <c r="AZ3" s="1">
        <v>5</v>
      </c>
      <c r="BB3" s="1" t="str">
        <f>TableauPokemonCapturé18[[#This Row],[Slot]]&amp;TableauPokemonCapturé18[[#This Row],[Order]]</f>
        <v>Dresseur_</v>
      </c>
      <c r="BC3" s="1" cm="1">
        <f t="array" ref="BC3">_xlfn.XLOOKUP(BC$2,'Data Pokemon'!$B$3:$Q$3,_xlfn.XLOOKUP($BF3,'Data Pokemon'!$C:$C,'Data Pokemon'!$B:$Q))</f>
        <v>6</v>
      </c>
      <c r="BD3" s="1" t="s">
        <v>1906</v>
      </c>
      <c r="BE3" s="44"/>
      <c r="BF3" s="243" t="s">
        <v>724</v>
      </c>
      <c r="BG3" s="1" t="str" cm="1">
        <f t="array" ref="BG3">_xlfn.XLOOKUP(BG$2,'Data Pokemon'!$B$3:$Q$3,_xlfn.XLOOKUP($BF3,'Data Pokemon'!$C:$C,'Data Pokemon'!$B:$Q))</f>
        <v>Charizard</v>
      </c>
      <c r="BH3" s="43">
        <v>50</v>
      </c>
      <c r="BI3" s="1" cm="1">
        <f t="array" ref="BI3">GetNeededExperience(TableauPokemonCapturé18[[#This Row],[Level]])</f>
        <v>100000</v>
      </c>
      <c r="BJ3" s="44" cm="1">
        <f t="array" ref="BJ3">GetNeededExperience(TableauPokemonCapturé18[[#This Row],[Level]]+1)-GetNeededExperience(TableauPokemonCapturé18[[#This Row],[Level]])</f>
        <v>6121</v>
      </c>
      <c r="BK3" s="1" cm="1">
        <f t="array" ref="BK3">_xlfn.XLOOKUP(BK$2,'Data Pokemon'!$B$3:$Q$3,_xlfn.XLOOKUP($BF3,'Data Pokemon'!$C:$C,'Data Pokemon'!$B:$Q))</f>
        <v>45</v>
      </c>
      <c r="BL3" s="1" t="str" cm="1">
        <f t="array" ref="BL3">_xlfn.XLOOKUP(BL$2,'Data Pokemon'!$B$3:$Q$3,_xlfn.XLOOKUP($BF3,'Data Pokemon'!$C:$C,'Data Pokemon'!$B:$Q))</f>
        <v>Feu</v>
      </c>
      <c r="BM3" s="1" t="str" cm="1">
        <f t="array" ref="BM3">_xlfn.XLOOKUP(BM$2,'Data Pokemon'!$B$3:$Q$3,_xlfn.XLOOKUP($BF3,'Data Pokemon'!$C:$C,'Data Pokemon'!$B:$Q))</f>
        <v>Vol</v>
      </c>
      <c r="BN3" s="43" t="str">
        <f>TableauPokemonCapturé18[[#This Row],[Type 1]]</f>
        <v>Feu</v>
      </c>
      <c r="BO3" s="1"/>
      <c r="BP3" s="1"/>
      <c r="BQ3" s="44"/>
      <c r="BR3" s="43">
        <f>TableauPokemonCapturé18[[#This Row],[STAT HP]]</f>
        <v>153</v>
      </c>
      <c r="BS3" s="1">
        <f>INT((15+TableauPokemonCapturé18[[#This Row],[BASE HP]]+50+SQRT(42)/8)*TableauPokemonCapturé18[[#This Row],[Level]]/50)+10</f>
        <v>153</v>
      </c>
      <c r="BT3" s="1">
        <f>INT((15+TableauPokemonCapturé18[[#This Row],[BASE Attack]]+SQRT(42)/8)*TableauPokemonCapturé18[[#This Row],[Level]]/50)+5</f>
        <v>104</v>
      </c>
      <c r="BU3" s="1">
        <f>INT((15+TableauPokemonCapturé18[[#This Row],[BASE Defense]]+SQRT(42)/8)*TableauPokemonCapturé18[[#This Row],[Level]]/50)+5</f>
        <v>98</v>
      </c>
      <c r="BV3" s="1">
        <f>INT((15+TableauPokemonCapturé18[[#This Row],[BASE Speed]]+SQRT(42)/8)*TableauPokemonCapturé18[[#This Row],[Level]]/50)+5</f>
        <v>120</v>
      </c>
      <c r="BW3" s="1">
        <f>INT((15+TableauPokemonCapturé18[[#This Row],[BASE Special]]+SQRT(42)/8)*TableauPokemonCapturé18[[#This Row],[Level]]/50)+5</f>
        <v>105</v>
      </c>
      <c r="BX3" s="243" cm="1">
        <f t="array" ref="BX3">_xlfn.XLOOKUP(BX$2,'Data Pokemon'!$C$3:$Q$3,_xlfn.XLOOKUP($BC3,'Data Pokemon'!$B:$B,'Data Pokemon'!$C:$Q))</f>
        <v>78</v>
      </c>
      <c r="BY3" s="243" cm="1">
        <f t="array" ref="BY3">_xlfn.XLOOKUP(BY$2,'Data Pokemon'!$C$3:$Q$3,_xlfn.XLOOKUP($BC3,'Data Pokemon'!$B:$B,'Data Pokemon'!$C:$Q))</f>
        <v>84</v>
      </c>
      <c r="BZ3" s="243" cm="1">
        <f t="array" ref="BZ3">_xlfn.XLOOKUP(BZ$2,'Data Pokemon'!$C$3:$Q$3,_xlfn.XLOOKUP($BC3,'Data Pokemon'!$B:$B,'Data Pokemon'!$C:$Q))</f>
        <v>78</v>
      </c>
      <c r="CA3" s="243" cm="1">
        <f t="array" ref="CA3">_xlfn.XLOOKUP(CA$2,'Data Pokemon'!$C$3:$Q$3,_xlfn.XLOOKUP($BC3,'Data Pokemon'!$B:$B,'Data Pokemon'!$C:$Q))</f>
        <v>85</v>
      </c>
      <c r="CB3" s="243" cm="1">
        <f t="array" ref="CB3">_xlfn.XLOOKUP(CB$2,'Data Pokemon'!$C$3:$Q$3,_xlfn.XLOOKUP($BC3,'Data Pokemon'!$B:$B,'Data Pokemon'!$C:$Q))</f>
        <v>100</v>
      </c>
      <c r="CC3" s="243" t="str" cm="1">
        <f t="array" ref="CC3">_xlfn.XLOOKUP(CC$2,'Data Pokemon'!$C$3:$Q$3,_xlfn.XLOOKUP($BC3,'Data Pokemon'!$B:$B,'Data Pokemon'!$C:$Q))</f>
        <v/>
      </c>
      <c r="CD3" s="243" cm="1">
        <f t="array" ref="CD3">_xlfn.XLOOKUP(CD$2,'Data Pokemon'!$C$3:$Q$3,_xlfn.XLOOKUP($BC3,'Data Pokemon'!$B:$B,'Data Pokemon'!$C:$Q))</f>
        <v>0</v>
      </c>
    </row>
    <row r="4" spans="2:82" ht="15" thickTop="1">
      <c r="B4" s="204" t="s">
        <v>1310</v>
      </c>
      <c r="C4" s="205" t="b">
        <v>1</v>
      </c>
      <c r="E4" s="1" t="s">
        <v>1325</v>
      </c>
      <c r="F4" s="1" t="s">
        <v>1331</v>
      </c>
      <c r="G4" s="1" t="b">
        <v>1</v>
      </c>
      <c r="H4" s="1" t="s">
        <v>1317</v>
      </c>
      <c r="I4" s="1" t="b">
        <v>1</v>
      </c>
      <c r="J4" s="1" t="b" cm="1">
        <f t="array" ref="J4">IsVisible(TabMapElement[[#This Row],[Emplacement]],TabMapElement[[#This Row],[Nom]])</f>
        <v>0</v>
      </c>
      <c r="L4" s="340" t="s">
        <v>1427</v>
      </c>
      <c r="M4" s="341" t="s">
        <v>1429</v>
      </c>
      <c r="N4" s="340" t="s">
        <v>1324</v>
      </c>
      <c r="O4" s="340" t="s">
        <v>1327</v>
      </c>
      <c r="Q4" s="1"/>
      <c r="R4" s="1"/>
      <c r="S4" s="1"/>
      <c r="T4" s="1"/>
      <c r="U4" s="1"/>
      <c r="V4" s="1"/>
      <c r="X4" s="1"/>
      <c r="Y4" s="1"/>
      <c r="Z4" s="1" t="s">
        <v>1698</v>
      </c>
      <c r="AA4" s="44" t="b">
        <f>ISBLANK(TableauPokemonCapturé[[#This Row],[PokeID]])=FALSE</f>
        <v>0</v>
      </c>
      <c r="AB4" s="1"/>
      <c r="AC4" s="1"/>
      <c r="AD4" s="43"/>
      <c r="AE4" s="1"/>
      <c r="AF4" s="44"/>
      <c r="AG4" s="1"/>
      <c r="AH4" s="43"/>
      <c r="AI4" s="1"/>
      <c r="AJ4" s="43"/>
      <c r="AK4" s="1"/>
      <c r="AL4" s="1"/>
      <c r="AM4" s="44"/>
      <c r="AN4" s="43"/>
      <c r="AO4" s="1"/>
      <c r="AP4" s="1"/>
      <c r="AQ4" s="1"/>
      <c r="AR4" s="1"/>
      <c r="AS4" s="1"/>
      <c r="AT4" s="243"/>
      <c r="AU4" s="1"/>
      <c r="AV4" s="1"/>
      <c r="AW4" s="1"/>
      <c r="AX4" s="44"/>
      <c r="AY4" s="1"/>
      <c r="AZ4" s="1"/>
    </row>
    <row r="5" spans="2:82" ht="15" thickBot="1">
      <c r="B5" s="203" t="s">
        <v>1311</v>
      </c>
      <c r="C5" s="201" t="b">
        <v>1</v>
      </c>
      <c r="E5" s="1" t="s">
        <v>1329</v>
      </c>
      <c r="F5" s="1" t="s">
        <v>1331</v>
      </c>
      <c r="G5" s="1" t="b">
        <v>1</v>
      </c>
      <c r="H5" s="1" t="s">
        <v>1317</v>
      </c>
      <c r="I5" s="1" t="b">
        <v>1</v>
      </c>
      <c r="J5" s="1" t="b" cm="1">
        <f t="array" ref="J5">IsVisible(TabMapElement[[#This Row],[Emplacement]],TabMapElement[[#This Row],[Nom]])</f>
        <v>0</v>
      </c>
      <c r="L5" s="245" t="s">
        <v>1428</v>
      </c>
      <c r="M5" s="342" t="s">
        <v>1430</v>
      </c>
      <c r="N5" s="245" t="s">
        <v>1324</v>
      </c>
      <c r="O5" s="245" t="s">
        <v>1327</v>
      </c>
      <c r="Q5" s="1"/>
      <c r="R5" s="1"/>
      <c r="S5" s="1"/>
      <c r="T5" s="1"/>
      <c r="U5" s="1"/>
      <c r="V5" s="1"/>
      <c r="X5" s="1"/>
      <c r="Y5" s="1"/>
      <c r="Z5" s="1" t="s">
        <v>1699</v>
      </c>
      <c r="AA5" s="44" t="b">
        <f>ISBLANK(TableauPokemonCapturé[[#This Row],[PokeID]])=FALSE</f>
        <v>0</v>
      </c>
      <c r="AB5" s="1"/>
      <c r="AC5" s="1"/>
      <c r="AD5" s="43"/>
      <c r="AE5" s="1"/>
      <c r="AF5" s="44"/>
      <c r="AG5" s="1"/>
      <c r="AH5" s="43"/>
      <c r="AI5" s="1"/>
      <c r="AJ5" s="43"/>
      <c r="AK5" s="1"/>
      <c r="AL5" s="1"/>
      <c r="AM5" s="44"/>
      <c r="AN5" s="43"/>
      <c r="AO5" s="1"/>
      <c r="AP5" s="1"/>
      <c r="AQ5" s="1"/>
      <c r="AR5" s="1"/>
      <c r="AS5" s="1"/>
      <c r="AT5" s="243"/>
      <c r="AU5" s="1"/>
      <c r="AV5" s="1"/>
      <c r="AW5" s="1"/>
      <c r="AX5" s="44"/>
      <c r="AY5" s="1"/>
      <c r="AZ5" s="1"/>
      <c r="BS5" s="344"/>
    </row>
    <row r="6" spans="2:82" ht="15.6" thickTop="1" thickBot="1">
      <c r="B6" s="218" t="s">
        <v>1314</v>
      </c>
      <c r="C6" s="219" t="b">
        <v>1</v>
      </c>
      <c r="E6" s="1" t="s">
        <v>1330</v>
      </c>
      <c r="F6" s="1" t="s">
        <v>1331</v>
      </c>
      <c r="G6" s="1" t="b">
        <v>1</v>
      </c>
      <c r="H6" s="1" t="s">
        <v>1317</v>
      </c>
      <c r="I6" s="1" t="b">
        <v>1</v>
      </c>
      <c r="J6" s="1" t="b" cm="1">
        <f t="array" ref="J6">IsVisible(TabMapElement[[#This Row],[Emplacement]],TabMapElement[[#This Row],[Nom]])</f>
        <v>0</v>
      </c>
      <c r="L6" s="1" t="s">
        <v>1884</v>
      </c>
      <c r="M6" s="341" t="s">
        <v>1885</v>
      </c>
      <c r="N6" s="1" t="s">
        <v>1324</v>
      </c>
      <c r="O6" s="1" t="s">
        <v>1327</v>
      </c>
      <c r="Q6" s="1"/>
      <c r="R6" s="1"/>
      <c r="S6" s="1"/>
      <c r="T6" s="1"/>
      <c r="U6" s="1"/>
      <c r="V6" s="1"/>
      <c r="X6" s="1"/>
      <c r="Y6" s="1"/>
      <c r="Z6" s="1" t="s">
        <v>1700</v>
      </c>
      <c r="AA6" s="44" t="b">
        <f>ISBLANK(TableauPokemonCapturé[[#This Row],[PokeID]])=FALSE</f>
        <v>0</v>
      </c>
      <c r="AB6" s="1"/>
      <c r="AC6" s="1"/>
      <c r="AD6" s="43"/>
      <c r="AE6" s="1"/>
      <c r="AF6" s="44"/>
      <c r="AG6" s="1"/>
      <c r="AH6" s="43"/>
      <c r="AI6" s="1"/>
      <c r="AJ6" s="43"/>
      <c r="AK6" s="1"/>
      <c r="AL6" s="1"/>
      <c r="AM6" s="44"/>
      <c r="AN6" s="43"/>
      <c r="AO6" s="1"/>
      <c r="AP6" s="1"/>
      <c r="AQ6" s="1"/>
      <c r="AR6" s="1"/>
      <c r="AS6" s="1"/>
      <c r="AT6" s="243"/>
      <c r="AU6" s="1"/>
      <c r="AV6" s="1"/>
      <c r="AW6" s="1"/>
      <c r="AX6" s="44"/>
      <c r="AY6" s="1"/>
      <c r="AZ6" s="1"/>
    </row>
    <row r="7" spans="2:82">
      <c r="E7" s="1" t="s">
        <v>1326</v>
      </c>
      <c r="F7" s="1" t="s">
        <v>1331</v>
      </c>
      <c r="G7" s="1" t="b">
        <v>1</v>
      </c>
      <c r="H7" s="1" t="s">
        <v>1317</v>
      </c>
      <c r="I7" s="1" t="b">
        <v>1</v>
      </c>
      <c r="J7" s="1" t="b" cm="1">
        <f t="array" ref="J7">IsVisible(TabMapElement[[#This Row],[Emplacement]],TabMapElement[[#This Row],[Nom]])</f>
        <v>0</v>
      </c>
      <c r="K7" s="1"/>
      <c r="L7" s="1"/>
      <c r="M7" s="1"/>
      <c r="N7" s="1"/>
      <c r="O7" s="1"/>
      <c r="P7" s="1"/>
      <c r="X7" s="1"/>
      <c r="Y7" s="1"/>
      <c r="Z7" s="1" t="s">
        <v>1701</v>
      </c>
      <c r="AA7" s="44" t="b">
        <f>ISBLANK(TableauPokemonCapturé[[#This Row],[PokeID]])=FALSE</f>
        <v>0</v>
      </c>
      <c r="AB7" s="1"/>
      <c r="AC7" s="1"/>
      <c r="AD7" s="43"/>
      <c r="AE7" s="1"/>
      <c r="AF7" s="44"/>
      <c r="AG7" s="1"/>
      <c r="AH7" s="43"/>
      <c r="AI7" s="1"/>
      <c r="AJ7" s="43"/>
      <c r="AK7" s="1"/>
      <c r="AL7" s="1"/>
      <c r="AM7" s="44"/>
      <c r="AN7" s="43"/>
      <c r="AO7" s="1"/>
      <c r="AP7" s="1"/>
      <c r="AQ7" s="1"/>
      <c r="AR7" s="1"/>
      <c r="AS7" s="1"/>
      <c r="AT7" s="243"/>
      <c r="AU7" s="1"/>
      <c r="AV7" s="1"/>
      <c r="AW7" s="1"/>
      <c r="AX7" s="44"/>
      <c r="AY7" s="1"/>
      <c r="AZ7" s="1"/>
    </row>
    <row r="8" spans="2:82" ht="15" thickBot="1">
      <c r="E8" s="1" t="s">
        <v>1327</v>
      </c>
      <c r="F8" s="1" t="s">
        <v>1331</v>
      </c>
      <c r="G8" s="1" t="b">
        <v>1</v>
      </c>
      <c r="H8" s="1" t="s">
        <v>1317</v>
      </c>
      <c r="I8" s="1" t="b">
        <v>1</v>
      </c>
      <c r="J8" s="1" t="b" cm="1">
        <f t="array" ref="J8">IsVisible(TabMapElement[[#This Row],[Emplacement]],TabMapElement[[#This Row],[Nom]])</f>
        <v>0</v>
      </c>
      <c r="L8" s="1"/>
      <c r="M8" s="1"/>
      <c r="N8" s="1"/>
      <c r="O8" s="1"/>
      <c r="X8" s="245"/>
      <c r="Y8" s="245"/>
      <c r="Z8" s="245" t="s">
        <v>1702</v>
      </c>
      <c r="AA8" s="246" t="b">
        <f>ISBLANK(TableauPokemonCapturé[[#This Row],[PokeID]])=FALSE</f>
        <v>0</v>
      </c>
      <c r="AB8" s="245"/>
      <c r="AC8" s="245"/>
      <c r="AD8" s="247"/>
      <c r="AE8" s="245"/>
      <c r="AF8" s="246"/>
      <c r="AG8" s="245"/>
      <c r="AH8" s="247"/>
      <c r="AI8" s="245"/>
      <c r="AJ8" s="247"/>
      <c r="AK8" s="245"/>
      <c r="AL8" s="245"/>
      <c r="AM8" s="246"/>
      <c r="AN8" s="247"/>
      <c r="AO8" s="245"/>
      <c r="AP8" s="245"/>
      <c r="AQ8" s="245"/>
      <c r="AR8" s="245"/>
      <c r="AS8" s="245"/>
      <c r="AT8" s="248"/>
      <c r="AU8" s="245"/>
      <c r="AV8" s="245"/>
      <c r="AW8" s="245"/>
      <c r="AX8" s="246"/>
      <c r="AY8" s="245"/>
      <c r="AZ8" s="245"/>
    </row>
    <row r="9" spans="2:82" ht="15" thickTop="1">
      <c r="E9" s="1" t="s">
        <v>1328</v>
      </c>
      <c r="F9" s="1" t="s">
        <v>1331</v>
      </c>
      <c r="G9" s="1" t="b">
        <v>1</v>
      </c>
      <c r="H9" s="1" t="s">
        <v>1317</v>
      </c>
      <c r="I9" s="1" t="b">
        <v>1</v>
      </c>
      <c r="J9" s="1" t="b" cm="1">
        <f t="array" ref="J9">IsVisible(TabMapElement[[#This Row],[Emplacement]],TabMapElement[[#This Row],[Nom]])</f>
        <v>0</v>
      </c>
      <c r="M9" s="1"/>
      <c r="N9" s="1"/>
      <c r="O9" s="1"/>
      <c r="X9" s="1"/>
      <c r="Y9" s="1"/>
      <c r="Z9" s="1" t="s">
        <v>1703</v>
      </c>
      <c r="AA9" s="44" t="b">
        <f>ISBLANK(TableauPokemonCapturé[[#This Row],[PokeID]])=FALSE</f>
        <v>0</v>
      </c>
      <c r="AB9" s="1"/>
      <c r="AC9" s="1"/>
      <c r="AD9" s="43"/>
      <c r="AE9" s="1"/>
      <c r="AF9" s="44"/>
      <c r="AG9" s="1"/>
      <c r="AH9" s="43"/>
      <c r="AI9" s="1"/>
      <c r="AJ9" s="43"/>
      <c r="AK9" s="1"/>
      <c r="AL9" s="1"/>
      <c r="AM9" s="44"/>
      <c r="AN9" s="43"/>
      <c r="AO9" s="1"/>
      <c r="AP9" s="1"/>
      <c r="AQ9" s="1"/>
      <c r="AR9" s="1"/>
      <c r="AS9" s="1"/>
      <c r="AT9" s="243"/>
      <c r="AU9" s="1"/>
      <c r="AV9" s="1"/>
      <c r="AW9" s="1"/>
      <c r="AX9" s="44"/>
      <c r="AY9" s="1"/>
      <c r="AZ9" s="1"/>
    </row>
    <row r="10" spans="2:82">
      <c r="E10" s="1" t="s">
        <v>1416</v>
      </c>
      <c r="F10" s="1" t="s">
        <v>1417</v>
      </c>
      <c r="G10" s="1" t="b">
        <v>0</v>
      </c>
      <c r="H10" s="1" t="s">
        <v>1317</v>
      </c>
      <c r="I10" s="1" t="b">
        <v>1</v>
      </c>
      <c r="J10" s="1" t="b" cm="1">
        <f t="array" ref="J10">IsVisible(TabMapElement[[#This Row],[Emplacement]],TabMapElement[[#This Row],[Nom]])</f>
        <v>0</v>
      </c>
      <c r="L10" s="1"/>
      <c r="M10" s="1"/>
      <c r="N10" s="1"/>
      <c r="O10" s="1"/>
      <c r="X10" s="1"/>
      <c r="Y10" s="1"/>
      <c r="Z10" s="1" t="s">
        <v>1705</v>
      </c>
      <c r="AA10" s="44" t="b">
        <f>ISBLANK(TableauPokemonCapturé[[#This Row],[PokeID]])=FALSE</f>
        <v>0</v>
      </c>
      <c r="AB10" s="1"/>
      <c r="AC10" s="1"/>
      <c r="AD10" s="43"/>
      <c r="AE10" s="1"/>
      <c r="AF10" s="44"/>
      <c r="AG10" s="1"/>
      <c r="AH10" s="43"/>
      <c r="AI10" s="1"/>
      <c r="AJ10" s="43"/>
      <c r="AK10" s="1"/>
      <c r="AL10" s="1"/>
      <c r="AM10" s="44"/>
      <c r="AN10" s="43"/>
      <c r="AO10" s="1"/>
      <c r="AP10" s="1"/>
      <c r="AQ10" s="1"/>
      <c r="AR10" s="1"/>
      <c r="AS10" s="1"/>
      <c r="AT10" s="243"/>
      <c r="AU10" s="1"/>
      <c r="AV10" s="1"/>
      <c r="AW10" s="1"/>
      <c r="AX10" s="44"/>
      <c r="AY10" s="1"/>
      <c r="AZ10" s="1"/>
    </row>
    <row r="11" spans="2:82">
      <c r="E11" s="1" t="s">
        <v>1888</v>
      </c>
      <c r="F11" s="1" t="s">
        <v>1891</v>
      </c>
      <c r="G11" s="1" t="b">
        <v>0</v>
      </c>
      <c r="H11" s="1" t="s">
        <v>1317</v>
      </c>
      <c r="I11" s="1" t="b">
        <v>1</v>
      </c>
      <c r="J11" s="1" t="b" cm="1">
        <f t="array" ref="J11">IsVisible(TabMapElement[[#This Row],[Emplacement]],TabMapElement[[#This Row],[Nom]])</f>
        <v>0</v>
      </c>
      <c r="M11" s="1"/>
      <c r="N11" s="1"/>
      <c r="X11" s="1"/>
      <c r="Y11" s="1"/>
      <c r="Z11" s="1" t="s">
        <v>1706</v>
      </c>
      <c r="AA11" s="44" t="b">
        <f>ISBLANK(TableauPokemonCapturé[[#This Row],[PokeID]])=FALSE</f>
        <v>0</v>
      </c>
      <c r="AB11" s="1"/>
      <c r="AC11" s="1"/>
      <c r="AD11" s="43"/>
      <c r="AE11" s="1"/>
      <c r="AF11" s="44"/>
      <c r="AG11" s="1"/>
      <c r="AH11" s="43"/>
      <c r="AI11" s="1"/>
      <c r="AJ11" s="43"/>
      <c r="AK11" s="1"/>
      <c r="AL11" s="1"/>
      <c r="AM11" s="44"/>
      <c r="AN11" s="43"/>
      <c r="AO11" s="1"/>
      <c r="AP11" s="1"/>
      <c r="AQ11" s="1"/>
      <c r="AR11" s="1"/>
      <c r="AS11" s="1"/>
      <c r="AT11" s="243"/>
      <c r="AU11" s="1"/>
      <c r="AV11" s="1"/>
      <c r="AW11" s="1"/>
      <c r="AX11" s="44"/>
      <c r="AY11" s="1"/>
      <c r="AZ11" s="1"/>
    </row>
    <row r="12" spans="2:82">
      <c r="E12" s="1" t="s">
        <v>1887</v>
      </c>
      <c r="F12" s="1" t="s">
        <v>1891</v>
      </c>
      <c r="G12" s="1" t="b">
        <v>0</v>
      </c>
      <c r="H12" s="1" t="s">
        <v>1317</v>
      </c>
      <c r="I12" s="1" t="b">
        <v>1</v>
      </c>
      <c r="J12" s="1" t="b" cm="1">
        <f t="array" ref="J12">IsVisible(TabMapElement[[#This Row],[Emplacement]],TabMapElement[[#This Row],[Nom]])</f>
        <v>0</v>
      </c>
      <c r="M12" s="1"/>
      <c r="N12" s="1"/>
      <c r="X12" s="1"/>
      <c r="Y12" s="1"/>
      <c r="Z12" s="1" t="s">
        <v>1707</v>
      </c>
      <c r="AA12" s="44" t="b">
        <f>ISBLANK(TableauPokemonCapturé[[#This Row],[PokeID]])=FALSE</f>
        <v>0</v>
      </c>
      <c r="AB12" s="1"/>
      <c r="AC12" s="1"/>
      <c r="AD12" s="43"/>
      <c r="AE12" s="1"/>
      <c r="AF12" s="44"/>
      <c r="AG12" s="1"/>
      <c r="AH12" s="43"/>
      <c r="AI12" s="1"/>
      <c r="AJ12" s="43"/>
      <c r="AK12" s="1"/>
      <c r="AL12" s="1"/>
      <c r="AM12" s="44"/>
      <c r="AN12" s="43"/>
      <c r="AO12" s="1"/>
      <c r="AP12" s="1"/>
      <c r="AQ12" s="1"/>
      <c r="AR12" s="1"/>
      <c r="AS12" s="1"/>
      <c r="AT12" s="243"/>
      <c r="AU12" s="1"/>
      <c r="AV12" s="1"/>
      <c r="AW12" s="1"/>
      <c r="AX12" s="44"/>
      <c r="AY12" s="1"/>
      <c r="AZ12" s="1"/>
    </row>
    <row r="13" spans="2:82">
      <c r="E13" s="1" t="s">
        <v>1886</v>
      </c>
      <c r="F13" s="1" t="s">
        <v>1891</v>
      </c>
      <c r="G13" s="1" t="b">
        <v>0</v>
      </c>
      <c r="H13" s="1" t="s">
        <v>1317</v>
      </c>
      <c r="I13" s="1" t="b">
        <v>1</v>
      </c>
      <c r="J13" s="1" t="b" cm="1">
        <f t="array" ref="J13">IsVisible(TabMapElement[[#This Row],[Emplacement]],TabMapElement[[#This Row],[Nom]])</f>
        <v>0</v>
      </c>
      <c r="M13" s="1"/>
      <c r="N13" s="1"/>
      <c r="X13" s="1"/>
      <c r="Y13" s="1"/>
      <c r="Z13" s="1" t="s">
        <v>1708</v>
      </c>
      <c r="AA13" s="44" t="b">
        <f>ISBLANK(TableauPokemonCapturé[[#This Row],[PokeID]])=FALSE</f>
        <v>0</v>
      </c>
      <c r="AB13" s="1"/>
      <c r="AC13" s="1"/>
      <c r="AD13" s="43"/>
      <c r="AE13" s="1"/>
      <c r="AF13" s="44"/>
      <c r="AG13" s="1"/>
      <c r="AH13" s="43"/>
      <c r="AI13" s="1"/>
      <c r="AJ13" s="43"/>
      <c r="AK13" s="1"/>
      <c r="AL13" s="1"/>
      <c r="AM13" s="44"/>
      <c r="AN13" s="43"/>
      <c r="AO13" s="1"/>
      <c r="AP13" s="1"/>
      <c r="AQ13" s="1"/>
      <c r="AR13" s="1"/>
      <c r="AS13" s="1"/>
      <c r="AT13" s="243"/>
      <c r="AU13" s="1"/>
      <c r="AV13" s="1"/>
      <c r="AW13" s="1"/>
      <c r="AX13" s="44"/>
      <c r="AY13" s="1"/>
      <c r="AZ13" s="1"/>
    </row>
    <row r="14" spans="2:82">
      <c r="X14" s="1"/>
      <c r="Y14" s="1"/>
      <c r="Z14" s="1" t="s">
        <v>1709</v>
      </c>
      <c r="AA14" s="44" t="b">
        <f>ISBLANK(TableauPokemonCapturé[[#This Row],[PokeID]])=FALSE</f>
        <v>0</v>
      </c>
      <c r="AB14" s="1"/>
      <c r="AC14" s="1"/>
      <c r="AD14" s="43"/>
      <c r="AE14" s="1"/>
      <c r="AF14" s="44"/>
      <c r="AG14" s="1"/>
      <c r="AH14" s="43"/>
      <c r="AI14" s="1"/>
      <c r="AJ14" s="43"/>
      <c r="AK14" s="1"/>
      <c r="AL14" s="1"/>
      <c r="AM14" s="44"/>
      <c r="AN14" s="43"/>
      <c r="AO14" s="1"/>
      <c r="AP14" s="1"/>
      <c r="AQ14" s="1"/>
      <c r="AR14" s="1"/>
      <c r="AS14" s="1"/>
      <c r="AT14" s="243"/>
      <c r="AU14" s="1"/>
      <c r="AV14" s="1"/>
      <c r="AW14" s="1"/>
      <c r="AX14" s="44"/>
      <c r="AY14" s="1"/>
      <c r="AZ14" s="1"/>
    </row>
    <row r="15" spans="2:82">
      <c r="X15" s="1"/>
      <c r="Y15" s="1"/>
      <c r="Z15" s="1" t="s">
        <v>1710</v>
      </c>
      <c r="AA15" s="44" t="b">
        <f>ISBLANK(TableauPokemonCapturé[[#This Row],[PokeID]])=FALSE</f>
        <v>0</v>
      </c>
      <c r="AB15" s="1"/>
      <c r="AC15" s="1"/>
      <c r="AD15" s="43"/>
      <c r="AE15" s="1"/>
      <c r="AF15" s="44"/>
      <c r="AG15" s="1"/>
      <c r="AH15" s="43"/>
      <c r="AI15" s="1"/>
      <c r="AJ15" s="43"/>
      <c r="AK15" s="1"/>
      <c r="AL15" s="1"/>
      <c r="AM15" s="44"/>
      <c r="AN15" s="43"/>
      <c r="AO15" s="1"/>
      <c r="AP15" s="1"/>
      <c r="AQ15" s="1"/>
      <c r="AR15" s="1"/>
      <c r="AS15" s="1"/>
      <c r="AT15" s="243"/>
      <c r="AU15" s="1"/>
      <c r="AV15" s="1"/>
      <c r="AW15" s="1"/>
      <c r="AX15" s="44"/>
      <c r="AY15" s="1"/>
      <c r="AZ15" s="1"/>
    </row>
    <row r="16" spans="2:82">
      <c r="X16" s="1"/>
      <c r="Y16" s="1"/>
      <c r="Z16" s="1" t="s">
        <v>1711</v>
      </c>
      <c r="AA16" s="44" t="b">
        <f>ISBLANK(TableauPokemonCapturé[[#This Row],[PokeID]])=FALSE</f>
        <v>0</v>
      </c>
      <c r="AB16" s="1"/>
      <c r="AC16" s="1"/>
      <c r="AD16" s="43"/>
      <c r="AE16" s="1"/>
      <c r="AF16" s="44"/>
      <c r="AG16" s="1"/>
      <c r="AH16" s="43"/>
      <c r="AI16" s="1"/>
      <c r="AJ16" s="43"/>
      <c r="AK16" s="1"/>
      <c r="AL16" s="1"/>
      <c r="AM16" s="44"/>
      <c r="AN16" s="43"/>
      <c r="AO16" s="1"/>
      <c r="AP16" s="1"/>
      <c r="AQ16" s="1"/>
      <c r="AR16" s="1"/>
      <c r="AS16" s="1"/>
      <c r="AT16" s="243"/>
      <c r="AU16" s="1"/>
      <c r="AV16" s="1"/>
      <c r="AW16" s="1"/>
      <c r="AX16" s="44"/>
      <c r="AY16" s="1"/>
      <c r="AZ16" s="1"/>
    </row>
    <row r="17" spans="24:52">
      <c r="X17" s="1"/>
      <c r="Y17" s="1"/>
      <c r="Z17" s="1" t="s">
        <v>1712</v>
      </c>
      <c r="AA17" s="44" t="b">
        <f>ISBLANK(TableauPokemonCapturé[[#This Row],[PokeID]])=FALSE</f>
        <v>0</v>
      </c>
      <c r="AB17" s="1"/>
      <c r="AC17" s="1"/>
      <c r="AD17" s="43"/>
      <c r="AE17" s="1"/>
      <c r="AF17" s="44"/>
      <c r="AG17" s="1"/>
      <c r="AH17" s="43"/>
      <c r="AI17" s="1"/>
      <c r="AJ17" s="43"/>
      <c r="AK17" s="1"/>
      <c r="AL17" s="1"/>
      <c r="AM17" s="44"/>
      <c r="AN17" s="43"/>
      <c r="AO17" s="1"/>
      <c r="AP17" s="1"/>
      <c r="AQ17" s="1"/>
      <c r="AR17" s="1"/>
      <c r="AS17" s="1"/>
      <c r="AT17" s="243"/>
      <c r="AU17" s="1"/>
      <c r="AV17" s="1"/>
      <c r="AW17" s="1"/>
      <c r="AX17" s="44"/>
      <c r="AY17" s="1"/>
      <c r="AZ17" s="1"/>
    </row>
    <row r="18" spans="24:52">
      <c r="X18" s="1"/>
      <c r="Y18" s="1"/>
      <c r="Z18" s="1" t="s">
        <v>1713</v>
      </c>
      <c r="AA18" s="44" t="b">
        <f>ISBLANK(TableauPokemonCapturé[[#This Row],[PokeID]])=FALSE</f>
        <v>0</v>
      </c>
      <c r="AB18" s="1"/>
      <c r="AC18" s="1"/>
      <c r="AD18" s="43"/>
      <c r="AE18" s="1"/>
      <c r="AF18" s="44"/>
      <c r="AG18" s="1"/>
      <c r="AH18" s="43"/>
      <c r="AI18" s="1"/>
      <c r="AJ18" s="43"/>
      <c r="AK18" s="1"/>
      <c r="AL18" s="1"/>
      <c r="AM18" s="44"/>
      <c r="AN18" s="43"/>
      <c r="AO18" s="1"/>
      <c r="AP18" s="1"/>
      <c r="AQ18" s="1"/>
      <c r="AR18" s="1"/>
      <c r="AS18" s="1"/>
      <c r="AT18" s="243"/>
      <c r="AU18" s="1"/>
      <c r="AV18" s="1"/>
      <c r="AW18" s="1"/>
      <c r="AX18" s="44"/>
      <c r="AY18" s="1"/>
      <c r="AZ18" s="1"/>
    </row>
    <row r="19" spans="24:52">
      <c r="X19" s="1"/>
      <c r="Y19" s="1"/>
      <c r="Z19" s="1" t="s">
        <v>1714</v>
      </c>
      <c r="AA19" s="44" t="b">
        <f>ISBLANK(TableauPokemonCapturé[[#This Row],[PokeID]])=FALSE</f>
        <v>0</v>
      </c>
      <c r="AB19" s="1"/>
      <c r="AC19" s="1"/>
      <c r="AD19" s="43"/>
      <c r="AE19" s="1"/>
      <c r="AF19" s="44"/>
      <c r="AG19" s="1"/>
      <c r="AH19" s="43"/>
      <c r="AI19" s="1"/>
      <c r="AJ19" s="43"/>
      <c r="AK19" s="1"/>
      <c r="AL19" s="1"/>
      <c r="AM19" s="44"/>
      <c r="AN19" s="43"/>
      <c r="AO19" s="1"/>
      <c r="AP19" s="1"/>
      <c r="AQ19" s="1"/>
      <c r="AR19" s="1"/>
      <c r="AS19" s="1"/>
      <c r="AT19" s="243"/>
      <c r="AU19" s="1"/>
      <c r="AV19" s="1"/>
      <c r="AW19" s="1"/>
      <c r="AX19" s="44"/>
      <c r="AY19" s="1"/>
      <c r="AZ19" s="1"/>
    </row>
    <row r="20" spans="24:52">
      <c r="X20" s="1"/>
      <c r="Y20" s="1"/>
      <c r="Z20" s="1" t="s">
        <v>1715</v>
      </c>
      <c r="AA20" s="44" t="b">
        <f>ISBLANK(TableauPokemonCapturé[[#This Row],[PokeID]])=FALSE</f>
        <v>0</v>
      </c>
      <c r="AB20" s="1"/>
      <c r="AC20" s="1"/>
      <c r="AD20" s="43"/>
      <c r="AE20" s="1"/>
      <c r="AF20" s="44"/>
      <c r="AG20" s="1"/>
      <c r="AH20" s="43"/>
      <c r="AI20" s="1"/>
      <c r="AJ20" s="43"/>
      <c r="AK20" s="1"/>
      <c r="AL20" s="1"/>
      <c r="AM20" s="44"/>
      <c r="AN20" s="43"/>
      <c r="AO20" s="1"/>
      <c r="AP20" s="1"/>
      <c r="AQ20" s="1"/>
      <c r="AR20" s="1"/>
      <c r="AS20" s="1"/>
      <c r="AT20" s="243"/>
      <c r="AU20" s="1"/>
      <c r="AV20" s="1"/>
      <c r="AW20" s="1"/>
      <c r="AX20" s="44"/>
      <c r="AY20" s="1"/>
      <c r="AZ20" s="1"/>
    </row>
    <row r="21" spans="24:52">
      <c r="X21" s="1"/>
      <c r="Y21" s="1"/>
      <c r="Z21" s="1" t="s">
        <v>1716</v>
      </c>
      <c r="AA21" s="44" t="b">
        <f>ISBLANK(TableauPokemonCapturé[[#This Row],[PokeID]])=FALSE</f>
        <v>0</v>
      </c>
      <c r="AB21" s="1"/>
      <c r="AC21" s="1"/>
      <c r="AD21" s="43"/>
      <c r="AE21" s="1"/>
      <c r="AF21" s="44"/>
      <c r="AG21" s="1"/>
      <c r="AH21" s="43"/>
      <c r="AI21" s="1"/>
      <c r="AJ21" s="43"/>
      <c r="AK21" s="1"/>
      <c r="AL21" s="1"/>
      <c r="AM21" s="44"/>
      <c r="AN21" s="43"/>
      <c r="AO21" s="1"/>
      <c r="AP21" s="1"/>
      <c r="AQ21" s="1"/>
      <c r="AR21" s="1"/>
      <c r="AS21" s="1"/>
      <c r="AT21" s="243"/>
      <c r="AU21" s="1"/>
      <c r="AV21" s="1"/>
      <c r="AW21" s="1"/>
      <c r="AX21" s="44"/>
      <c r="AY21" s="1"/>
      <c r="AZ21" s="1"/>
    </row>
    <row r="22" spans="24:52">
      <c r="X22" s="1"/>
      <c r="Y22" s="1"/>
      <c r="Z22" s="1" t="s">
        <v>1717</v>
      </c>
      <c r="AA22" s="44" t="b">
        <f>ISBLANK(TableauPokemonCapturé[[#This Row],[PokeID]])=FALSE</f>
        <v>0</v>
      </c>
      <c r="AB22" s="1"/>
      <c r="AC22" s="1"/>
      <c r="AD22" s="43"/>
      <c r="AE22" s="1"/>
      <c r="AF22" s="44"/>
      <c r="AG22" s="1"/>
      <c r="AH22" s="43"/>
      <c r="AI22" s="1"/>
      <c r="AJ22" s="43"/>
      <c r="AK22" s="1"/>
      <c r="AL22" s="1"/>
      <c r="AM22" s="44"/>
      <c r="AN22" s="43"/>
      <c r="AO22" s="1"/>
      <c r="AP22" s="1"/>
      <c r="AQ22" s="1"/>
      <c r="AR22" s="1"/>
      <c r="AS22" s="1"/>
      <c r="AT22" s="243"/>
      <c r="AU22" s="1"/>
      <c r="AV22" s="1"/>
      <c r="AW22" s="1"/>
      <c r="AX22" s="44"/>
      <c r="AY22" s="1"/>
      <c r="AZ22" s="1"/>
    </row>
    <row r="23" spans="24:52">
      <c r="X23" s="1"/>
      <c r="Y23" s="1"/>
      <c r="Z23" s="1" t="s">
        <v>1718</v>
      </c>
      <c r="AA23" s="44" t="b">
        <f>ISBLANK(TableauPokemonCapturé[[#This Row],[PokeID]])=FALSE</f>
        <v>0</v>
      </c>
      <c r="AB23" s="1"/>
      <c r="AC23" s="1"/>
      <c r="AD23" s="43"/>
      <c r="AE23" s="1"/>
      <c r="AF23" s="44"/>
      <c r="AG23" s="1"/>
      <c r="AH23" s="43"/>
      <c r="AI23" s="1"/>
      <c r="AJ23" s="43"/>
      <c r="AK23" s="1"/>
      <c r="AL23" s="1"/>
      <c r="AM23" s="44"/>
      <c r="AN23" s="43"/>
      <c r="AO23" s="1"/>
      <c r="AP23" s="1"/>
      <c r="AQ23" s="1"/>
      <c r="AR23" s="1"/>
      <c r="AS23" s="1"/>
      <c r="AT23" s="243"/>
      <c r="AU23" s="1"/>
      <c r="AV23" s="1"/>
      <c r="AW23" s="1"/>
      <c r="AX23" s="44"/>
      <c r="AY23" s="1"/>
      <c r="AZ23" s="1"/>
    </row>
    <row r="24" spans="24:52">
      <c r="X24" s="1"/>
      <c r="Y24" s="1"/>
      <c r="Z24" s="1" t="s">
        <v>1719</v>
      </c>
      <c r="AA24" s="44" t="b">
        <f>ISBLANK(TableauPokemonCapturé[[#This Row],[PokeID]])=FALSE</f>
        <v>0</v>
      </c>
      <c r="AB24" s="1"/>
      <c r="AC24" s="1"/>
      <c r="AD24" s="43"/>
      <c r="AE24" s="1"/>
      <c r="AF24" s="44"/>
      <c r="AG24" s="1"/>
      <c r="AH24" s="43"/>
      <c r="AI24" s="1"/>
      <c r="AJ24" s="43"/>
      <c r="AK24" s="1"/>
      <c r="AL24" s="1"/>
      <c r="AM24" s="44"/>
      <c r="AN24" s="43"/>
      <c r="AO24" s="1"/>
      <c r="AP24" s="1"/>
      <c r="AQ24" s="1"/>
      <c r="AR24" s="1"/>
      <c r="AS24" s="1"/>
      <c r="AT24" s="243"/>
      <c r="AU24" s="1"/>
      <c r="AV24" s="1"/>
      <c r="AW24" s="1"/>
      <c r="AX24" s="44"/>
      <c r="AY24" s="1"/>
      <c r="AZ24" s="1"/>
    </row>
    <row r="25" spans="24:52">
      <c r="X25" s="1"/>
      <c r="Y25" s="1"/>
      <c r="Z25" s="1" t="s">
        <v>1720</v>
      </c>
      <c r="AA25" s="44" t="b">
        <f>ISBLANK(TableauPokemonCapturé[[#This Row],[PokeID]])=FALSE</f>
        <v>0</v>
      </c>
      <c r="AB25" s="1"/>
      <c r="AC25" s="1"/>
      <c r="AD25" s="43"/>
      <c r="AE25" s="1"/>
      <c r="AF25" s="44"/>
      <c r="AG25" s="1"/>
      <c r="AH25" s="43"/>
      <c r="AI25" s="1"/>
      <c r="AJ25" s="43"/>
      <c r="AK25" s="1"/>
      <c r="AL25" s="1"/>
      <c r="AM25" s="44"/>
      <c r="AN25" s="43"/>
      <c r="AO25" s="1"/>
      <c r="AP25" s="1"/>
      <c r="AQ25" s="1"/>
      <c r="AR25" s="1"/>
      <c r="AS25" s="1"/>
      <c r="AT25" s="243"/>
      <c r="AU25" s="1"/>
      <c r="AV25" s="1"/>
      <c r="AW25" s="1"/>
      <c r="AX25" s="44"/>
      <c r="AY25" s="1"/>
      <c r="AZ25" s="1"/>
    </row>
    <row r="26" spans="24:52">
      <c r="X26" s="1"/>
      <c r="Y26" s="1"/>
      <c r="Z26" s="1" t="s">
        <v>1721</v>
      </c>
      <c r="AA26" s="44" t="b">
        <f>ISBLANK(TableauPokemonCapturé[[#This Row],[PokeID]])=FALSE</f>
        <v>0</v>
      </c>
      <c r="AB26" s="1"/>
      <c r="AC26" s="1"/>
      <c r="AD26" s="43"/>
      <c r="AE26" s="1"/>
      <c r="AF26" s="44"/>
      <c r="AG26" s="1"/>
      <c r="AH26" s="43"/>
      <c r="AI26" s="1"/>
      <c r="AJ26" s="43"/>
      <c r="AK26" s="1"/>
      <c r="AL26" s="1"/>
      <c r="AM26" s="44"/>
      <c r="AN26" s="43"/>
      <c r="AO26" s="1"/>
      <c r="AP26" s="1"/>
      <c r="AQ26" s="1"/>
      <c r="AR26" s="1"/>
      <c r="AS26" s="1"/>
      <c r="AT26" s="243"/>
      <c r="AU26" s="1"/>
      <c r="AV26" s="1"/>
      <c r="AW26" s="1"/>
      <c r="AX26" s="44"/>
      <c r="AY26" s="1"/>
      <c r="AZ26" s="1"/>
    </row>
    <row r="27" spans="24:52">
      <c r="X27" s="1"/>
      <c r="Y27" s="1"/>
      <c r="Z27" s="1" t="s">
        <v>1722</v>
      </c>
      <c r="AA27" s="44" t="b">
        <f>ISBLANK(TableauPokemonCapturé[[#This Row],[PokeID]])=FALSE</f>
        <v>0</v>
      </c>
      <c r="AB27" s="1"/>
      <c r="AC27" s="1"/>
      <c r="AD27" s="43"/>
      <c r="AE27" s="1"/>
      <c r="AF27" s="44"/>
      <c r="AG27" s="1"/>
      <c r="AH27" s="43"/>
      <c r="AI27" s="1"/>
      <c r="AJ27" s="43"/>
      <c r="AK27" s="1"/>
      <c r="AL27" s="1"/>
      <c r="AM27" s="44"/>
      <c r="AN27" s="43"/>
      <c r="AO27" s="1"/>
      <c r="AP27" s="1"/>
      <c r="AQ27" s="1"/>
      <c r="AR27" s="1"/>
      <c r="AS27" s="1"/>
      <c r="AT27" s="243"/>
      <c r="AU27" s="1"/>
      <c r="AV27" s="1"/>
      <c r="AW27" s="1"/>
      <c r="AX27" s="44"/>
      <c r="AY27" s="1"/>
      <c r="AZ27" s="1"/>
    </row>
    <row r="28" spans="24:52">
      <c r="X28" s="1"/>
      <c r="Y28" s="1"/>
      <c r="Z28" s="1" t="s">
        <v>1723</v>
      </c>
      <c r="AA28" s="44" t="b">
        <f>ISBLANK(TableauPokemonCapturé[[#This Row],[PokeID]])=FALSE</f>
        <v>0</v>
      </c>
      <c r="AB28" s="1"/>
      <c r="AC28" s="1"/>
      <c r="AD28" s="43"/>
      <c r="AE28" s="1"/>
      <c r="AF28" s="44"/>
      <c r="AG28" s="1"/>
      <c r="AH28" s="43"/>
      <c r="AI28" s="1"/>
      <c r="AJ28" s="43"/>
      <c r="AK28" s="1"/>
      <c r="AL28" s="1"/>
      <c r="AM28" s="44"/>
      <c r="AN28" s="43"/>
      <c r="AO28" s="1"/>
      <c r="AP28" s="1"/>
      <c r="AQ28" s="1"/>
      <c r="AR28" s="1"/>
      <c r="AS28" s="1"/>
      <c r="AT28" s="243"/>
      <c r="AU28" s="1"/>
      <c r="AV28" s="1"/>
      <c r="AW28" s="1"/>
      <c r="AX28" s="44"/>
      <c r="AY28" s="1"/>
      <c r="AZ28" s="1"/>
    </row>
    <row r="29" spans="24:52">
      <c r="X29" s="1"/>
      <c r="Y29" s="1"/>
      <c r="Z29" s="1" t="s">
        <v>1724</v>
      </c>
      <c r="AA29" s="44" t="b">
        <f>ISBLANK(TableauPokemonCapturé[[#This Row],[PokeID]])=FALSE</f>
        <v>0</v>
      </c>
      <c r="AB29" s="1"/>
      <c r="AC29" s="1"/>
      <c r="AD29" s="43"/>
      <c r="AE29" s="1"/>
      <c r="AF29" s="44"/>
      <c r="AG29" s="1"/>
      <c r="AH29" s="43"/>
      <c r="AI29" s="1"/>
      <c r="AJ29" s="43"/>
      <c r="AK29" s="1"/>
      <c r="AL29" s="1"/>
      <c r="AM29" s="44"/>
      <c r="AN29" s="43"/>
      <c r="AO29" s="1"/>
      <c r="AP29" s="1"/>
      <c r="AQ29" s="1"/>
      <c r="AR29" s="1"/>
      <c r="AS29" s="1"/>
      <c r="AT29" s="243"/>
      <c r="AU29" s="1"/>
      <c r="AV29" s="1"/>
      <c r="AW29" s="1"/>
      <c r="AX29" s="44"/>
      <c r="AY29" s="1"/>
      <c r="AZ29" s="1"/>
    </row>
    <row r="30" spans="24:52">
      <c r="X30" s="1"/>
      <c r="Y30" s="1"/>
      <c r="Z30" s="1" t="s">
        <v>1725</v>
      </c>
      <c r="AA30" s="44" t="b">
        <f>ISBLANK(TableauPokemonCapturé[[#This Row],[PokeID]])=FALSE</f>
        <v>0</v>
      </c>
      <c r="AB30" s="1"/>
      <c r="AC30" s="1"/>
      <c r="AD30" s="43"/>
      <c r="AE30" s="1"/>
      <c r="AF30" s="44"/>
      <c r="AG30" s="1"/>
      <c r="AH30" s="43"/>
      <c r="AI30" s="1"/>
      <c r="AJ30" s="43"/>
      <c r="AK30" s="1"/>
      <c r="AL30" s="1"/>
      <c r="AM30" s="44"/>
      <c r="AN30" s="43"/>
      <c r="AO30" s="1"/>
      <c r="AP30" s="1"/>
      <c r="AQ30" s="1"/>
      <c r="AR30" s="1"/>
      <c r="AS30" s="1"/>
      <c r="AT30" s="243"/>
      <c r="AU30" s="1"/>
      <c r="AV30" s="1"/>
      <c r="AW30" s="1"/>
      <c r="AX30" s="44"/>
      <c r="AY30" s="1"/>
      <c r="AZ30" s="1"/>
    </row>
    <row r="31" spans="24:52">
      <c r="X31" s="1"/>
      <c r="Y31" s="1"/>
      <c r="Z31" s="1" t="s">
        <v>1726</v>
      </c>
      <c r="AA31" s="44" t="b">
        <f>ISBLANK(TableauPokemonCapturé[[#This Row],[PokeID]])=FALSE</f>
        <v>0</v>
      </c>
      <c r="AB31" s="1"/>
      <c r="AC31" s="1"/>
      <c r="AD31" s="43"/>
      <c r="AE31" s="1"/>
      <c r="AF31" s="44"/>
      <c r="AG31" s="1"/>
      <c r="AH31" s="43"/>
      <c r="AI31" s="1"/>
      <c r="AJ31" s="43"/>
      <c r="AK31" s="1"/>
      <c r="AL31" s="1"/>
      <c r="AM31" s="44"/>
      <c r="AN31" s="43"/>
      <c r="AO31" s="1"/>
      <c r="AP31" s="1"/>
      <c r="AQ31" s="1"/>
      <c r="AR31" s="1"/>
      <c r="AS31" s="1"/>
      <c r="AT31" s="243"/>
      <c r="AU31" s="1"/>
      <c r="AV31" s="1"/>
      <c r="AW31" s="1"/>
      <c r="AX31" s="44"/>
      <c r="AY31" s="1"/>
      <c r="AZ31" s="1"/>
    </row>
    <row r="32" spans="24:52">
      <c r="X32" s="1"/>
      <c r="Y32" s="1"/>
      <c r="Z32" s="1" t="s">
        <v>1727</v>
      </c>
      <c r="AA32" s="44" t="b">
        <f>ISBLANK(TableauPokemonCapturé[[#This Row],[PokeID]])=FALSE</f>
        <v>0</v>
      </c>
      <c r="AB32" s="1"/>
      <c r="AC32" s="1"/>
      <c r="AD32" s="43"/>
      <c r="AE32" s="1"/>
      <c r="AF32" s="44"/>
      <c r="AG32" s="1"/>
      <c r="AH32" s="43"/>
      <c r="AI32" s="1"/>
      <c r="AJ32" s="43"/>
      <c r="AK32" s="1"/>
      <c r="AL32" s="1"/>
      <c r="AM32" s="44"/>
      <c r="AN32" s="43"/>
      <c r="AO32" s="1"/>
      <c r="AP32" s="1"/>
      <c r="AQ32" s="1"/>
      <c r="AR32" s="1"/>
      <c r="AS32" s="1"/>
      <c r="AT32" s="243"/>
      <c r="AU32" s="1"/>
      <c r="AV32" s="1"/>
      <c r="AW32" s="1"/>
      <c r="AX32" s="44"/>
      <c r="AY32" s="1"/>
      <c r="AZ32" s="1"/>
    </row>
    <row r="33" spans="24:52">
      <c r="X33" s="1"/>
      <c r="Y33" s="1"/>
      <c r="Z33" s="1" t="s">
        <v>1728</v>
      </c>
      <c r="AA33" s="44" t="b">
        <f>ISBLANK(TableauPokemonCapturé[[#This Row],[PokeID]])=FALSE</f>
        <v>0</v>
      </c>
      <c r="AB33" s="1"/>
      <c r="AC33" s="1"/>
      <c r="AD33" s="43"/>
      <c r="AE33" s="1"/>
      <c r="AF33" s="44"/>
      <c r="AG33" s="1"/>
      <c r="AH33" s="43"/>
      <c r="AI33" s="1"/>
      <c r="AJ33" s="43"/>
      <c r="AK33" s="1"/>
      <c r="AL33" s="1"/>
      <c r="AM33" s="44"/>
      <c r="AN33" s="43"/>
      <c r="AO33" s="1"/>
      <c r="AP33" s="1"/>
      <c r="AQ33" s="1"/>
      <c r="AR33" s="1"/>
      <c r="AS33" s="1"/>
      <c r="AT33" s="243"/>
      <c r="AU33" s="1"/>
      <c r="AV33" s="1"/>
      <c r="AW33" s="1"/>
      <c r="AX33" s="44"/>
      <c r="AY33" s="1"/>
      <c r="AZ33" s="1"/>
    </row>
    <row r="34" spans="24:52">
      <c r="X34" s="1"/>
      <c r="Y34" s="1"/>
      <c r="Z34" s="1" t="s">
        <v>1729</v>
      </c>
      <c r="AA34" s="44" t="b">
        <f>ISBLANK(TableauPokemonCapturé[[#This Row],[PokeID]])=FALSE</f>
        <v>0</v>
      </c>
      <c r="AB34" s="1"/>
      <c r="AC34" s="1"/>
      <c r="AD34" s="43"/>
      <c r="AE34" s="1"/>
      <c r="AF34" s="44"/>
      <c r="AG34" s="1"/>
      <c r="AH34" s="43"/>
      <c r="AI34" s="1"/>
      <c r="AJ34" s="43"/>
      <c r="AK34" s="1"/>
      <c r="AL34" s="1"/>
      <c r="AM34" s="44"/>
      <c r="AN34" s="43"/>
      <c r="AO34" s="1"/>
      <c r="AP34" s="1"/>
      <c r="AQ34" s="1"/>
      <c r="AR34" s="1"/>
      <c r="AS34" s="1"/>
      <c r="AT34" s="243"/>
      <c r="AU34" s="1"/>
      <c r="AV34" s="1"/>
      <c r="AW34" s="1"/>
      <c r="AX34" s="44"/>
      <c r="AY34" s="1"/>
      <c r="AZ34" s="1"/>
    </row>
    <row r="35" spans="24:52">
      <c r="X35" s="1"/>
      <c r="Y35" s="1"/>
      <c r="Z35" s="1" t="s">
        <v>1730</v>
      </c>
      <c r="AA35" s="44" t="b">
        <f>ISBLANK(TableauPokemonCapturé[[#This Row],[PokeID]])=FALSE</f>
        <v>0</v>
      </c>
      <c r="AB35" s="1"/>
      <c r="AC35" s="1"/>
      <c r="AD35" s="43"/>
      <c r="AE35" s="1"/>
      <c r="AF35" s="44"/>
      <c r="AG35" s="1"/>
      <c r="AH35" s="43"/>
      <c r="AI35" s="1"/>
      <c r="AJ35" s="43"/>
      <c r="AK35" s="1"/>
      <c r="AL35" s="1"/>
      <c r="AM35" s="44"/>
      <c r="AN35" s="43"/>
      <c r="AO35" s="1"/>
      <c r="AP35" s="1"/>
      <c r="AQ35" s="1"/>
      <c r="AR35" s="1"/>
      <c r="AS35" s="1"/>
      <c r="AT35" s="243"/>
      <c r="AU35" s="1"/>
      <c r="AV35" s="1"/>
      <c r="AW35" s="1"/>
      <c r="AX35" s="44"/>
      <c r="AY35" s="1"/>
      <c r="AZ35" s="1"/>
    </row>
    <row r="36" spans="24:52">
      <c r="X36" s="1"/>
      <c r="Y36" s="1"/>
      <c r="Z36" s="1" t="s">
        <v>1731</v>
      </c>
      <c r="AA36" s="44" t="b">
        <f>ISBLANK(TableauPokemonCapturé[[#This Row],[PokeID]])=FALSE</f>
        <v>0</v>
      </c>
      <c r="AB36" s="1"/>
      <c r="AC36" s="1"/>
      <c r="AD36" s="43"/>
      <c r="AE36" s="1"/>
      <c r="AF36" s="44"/>
      <c r="AG36" s="1"/>
      <c r="AH36" s="43"/>
      <c r="AI36" s="1"/>
      <c r="AJ36" s="43"/>
      <c r="AK36" s="1"/>
      <c r="AL36" s="1"/>
      <c r="AM36" s="44"/>
      <c r="AN36" s="43"/>
      <c r="AO36" s="1"/>
      <c r="AP36" s="1"/>
      <c r="AQ36" s="1"/>
      <c r="AR36" s="1"/>
      <c r="AS36" s="1"/>
      <c r="AT36" s="243"/>
      <c r="AU36" s="1"/>
      <c r="AV36" s="1"/>
      <c r="AW36" s="1"/>
      <c r="AX36" s="44"/>
      <c r="AY36" s="1"/>
      <c r="AZ36" s="1"/>
    </row>
    <row r="37" spans="24:52">
      <c r="X37" s="1"/>
      <c r="Y37" s="1"/>
      <c r="Z37" s="1" t="s">
        <v>1732</v>
      </c>
      <c r="AA37" s="44" t="b">
        <f>ISBLANK(TableauPokemonCapturé[[#This Row],[PokeID]])=FALSE</f>
        <v>0</v>
      </c>
      <c r="AB37" s="1"/>
      <c r="AC37" s="1"/>
      <c r="AD37" s="43"/>
      <c r="AE37" s="1"/>
      <c r="AF37" s="44"/>
      <c r="AG37" s="1"/>
      <c r="AH37" s="43"/>
      <c r="AI37" s="1"/>
      <c r="AJ37" s="43"/>
      <c r="AK37" s="1"/>
      <c r="AL37" s="1"/>
      <c r="AM37" s="44"/>
      <c r="AN37" s="43"/>
      <c r="AO37" s="1"/>
      <c r="AP37" s="1"/>
      <c r="AQ37" s="1"/>
      <c r="AR37" s="1"/>
      <c r="AS37" s="1"/>
      <c r="AT37" s="243"/>
      <c r="AU37" s="1"/>
      <c r="AV37" s="1"/>
      <c r="AW37" s="1"/>
      <c r="AX37" s="44"/>
      <c r="AY37" s="1"/>
      <c r="AZ37" s="1"/>
    </row>
    <row r="38" spans="24:52">
      <c r="X38" s="1"/>
      <c r="Y38" s="1"/>
      <c r="Z38" s="1" t="s">
        <v>1733</v>
      </c>
      <c r="AA38" s="44" t="b">
        <f>ISBLANK(TableauPokemonCapturé[[#This Row],[PokeID]])=FALSE</f>
        <v>0</v>
      </c>
      <c r="AB38" s="1"/>
      <c r="AC38" s="1"/>
      <c r="AD38" s="43"/>
      <c r="AE38" s="1"/>
      <c r="AF38" s="44"/>
      <c r="AG38" s="1"/>
      <c r="AH38" s="43"/>
      <c r="AI38" s="1"/>
      <c r="AJ38" s="43"/>
      <c r="AK38" s="1"/>
      <c r="AL38" s="1"/>
      <c r="AM38" s="44"/>
      <c r="AN38" s="43"/>
      <c r="AO38" s="1"/>
      <c r="AP38" s="1"/>
      <c r="AQ38" s="1"/>
      <c r="AR38" s="1"/>
      <c r="AS38" s="1"/>
      <c r="AT38" s="243"/>
      <c r="AU38" s="1"/>
      <c r="AV38" s="1"/>
      <c r="AW38" s="1"/>
      <c r="AX38" s="44"/>
      <c r="AY38" s="1"/>
      <c r="AZ38" s="1"/>
    </row>
    <row r="39" spans="24:52">
      <c r="X39" s="1"/>
      <c r="Y39" s="1"/>
      <c r="Z39" s="1" t="s">
        <v>1734</v>
      </c>
      <c r="AA39" s="44" t="b">
        <f>ISBLANK(TableauPokemonCapturé[[#This Row],[PokeID]])=FALSE</f>
        <v>0</v>
      </c>
      <c r="AB39" s="1"/>
      <c r="AC39" s="1"/>
      <c r="AD39" s="43"/>
      <c r="AE39" s="1"/>
      <c r="AF39" s="44"/>
      <c r="AG39" s="1"/>
      <c r="AH39" s="43"/>
      <c r="AI39" s="1"/>
      <c r="AJ39" s="43"/>
      <c r="AK39" s="1"/>
      <c r="AL39" s="1"/>
      <c r="AM39" s="44"/>
      <c r="AN39" s="43"/>
      <c r="AO39" s="1"/>
      <c r="AP39" s="1"/>
      <c r="AQ39" s="1"/>
      <c r="AR39" s="1"/>
      <c r="AS39" s="1"/>
      <c r="AT39" s="243"/>
      <c r="AU39" s="1"/>
      <c r="AV39" s="1"/>
      <c r="AW39" s="1"/>
      <c r="AX39" s="44"/>
      <c r="AY39" s="1"/>
      <c r="AZ39" s="1"/>
    </row>
    <row r="40" spans="24:52">
      <c r="X40" s="1"/>
      <c r="Y40" s="1"/>
      <c r="Z40" s="1" t="s">
        <v>1735</v>
      </c>
      <c r="AA40" s="44" t="b">
        <f>ISBLANK(TableauPokemonCapturé[[#This Row],[PokeID]])=FALSE</f>
        <v>0</v>
      </c>
      <c r="AB40" s="1"/>
      <c r="AC40" s="1"/>
      <c r="AD40" s="43"/>
      <c r="AE40" s="1"/>
      <c r="AF40" s="44"/>
      <c r="AG40" s="1"/>
      <c r="AH40" s="43"/>
      <c r="AI40" s="1"/>
      <c r="AJ40" s="43"/>
      <c r="AK40" s="1"/>
      <c r="AL40" s="1"/>
      <c r="AM40" s="44"/>
      <c r="AN40" s="43"/>
      <c r="AO40" s="1"/>
      <c r="AP40" s="1"/>
      <c r="AQ40" s="1"/>
      <c r="AR40" s="1"/>
      <c r="AS40" s="1"/>
      <c r="AT40" s="243"/>
      <c r="AU40" s="1"/>
      <c r="AV40" s="1"/>
      <c r="AW40" s="1"/>
      <c r="AX40" s="44"/>
      <c r="AY40" s="1"/>
      <c r="AZ40" s="1"/>
    </row>
    <row r="41" spans="24:52">
      <c r="X41" s="1"/>
      <c r="Y41" s="1"/>
      <c r="Z41" s="1" t="s">
        <v>1736</v>
      </c>
      <c r="AA41" s="44" t="b">
        <f>ISBLANK(TableauPokemonCapturé[[#This Row],[PokeID]])=FALSE</f>
        <v>0</v>
      </c>
      <c r="AB41" s="1"/>
      <c r="AC41" s="1"/>
      <c r="AD41" s="43"/>
      <c r="AE41" s="1"/>
      <c r="AF41" s="44"/>
      <c r="AG41" s="1"/>
      <c r="AH41" s="43"/>
      <c r="AI41" s="1"/>
      <c r="AJ41" s="43"/>
      <c r="AK41" s="1"/>
      <c r="AL41" s="1"/>
      <c r="AM41" s="44"/>
      <c r="AN41" s="43"/>
      <c r="AO41" s="1"/>
      <c r="AP41" s="1"/>
      <c r="AQ41" s="1"/>
      <c r="AR41" s="1"/>
      <c r="AS41" s="1"/>
      <c r="AT41" s="243"/>
      <c r="AU41" s="1"/>
      <c r="AV41" s="1"/>
      <c r="AW41" s="1"/>
      <c r="AX41" s="44"/>
      <c r="AY41" s="1"/>
      <c r="AZ41" s="1"/>
    </row>
    <row r="42" spans="24:52">
      <c r="X42" s="1"/>
      <c r="Y42" s="1"/>
      <c r="Z42" s="1" t="s">
        <v>1737</v>
      </c>
      <c r="AA42" s="44" t="b">
        <f>ISBLANK(TableauPokemonCapturé[[#This Row],[PokeID]])=FALSE</f>
        <v>0</v>
      </c>
      <c r="AB42" s="1"/>
      <c r="AC42" s="1"/>
      <c r="AD42" s="43"/>
      <c r="AE42" s="1"/>
      <c r="AF42" s="44"/>
      <c r="AG42" s="1"/>
      <c r="AH42" s="43"/>
      <c r="AI42" s="1"/>
      <c r="AJ42" s="43"/>
      <c r="AK42" s="1"/>
      <c r="AL42" s="1"/>
      <c r="AM42" s="44"/>
      <c r="AN42" s="43"/>
      <c r="AO42" s="1"/>
      <c r="AP42" s="1"/>
      <c r="AQ42" s="1"/>
      <c r="AR42" s="1"/>
      <c r="AS42" s="1"/>
      <c r="AT42" s="243"/>
      <c r="AU42" s="1"/>
      <c r="AV42" s="1"/>
      <c r="AW42" s="1"/>
      <c r="AX42" s="44"/>
      <c r="AY42" s="1"/>
      <c r="AZ42" s="1"/>
    </row>
    <row r="43" spans="24:52">
      <c r="X43" s="1"/>
      <c r="Y43" s="1"/>
      <c r="Z43" s="1" t="s">
        <v>1738</v>
      </c>
      <c r="AA43" s="44" t="b">
        <f>ISBLANK(TableauPokemonCapturé[[#This Row],[PokeID]])=FALSE</f>
        <v>0</v>
      </c>
      <c r="AB43" s="1"/>
      <c r="AC43" s="1"/>
      <c r="AD43" s="43"/>
      <c r="AE43" s="1"/>
      <c r="AF43" s="44"/>
      <c r="AG43" s="1"/>
      <c r="AH43" s="43"/>
      <c r="AI43" s="1"/>
      <c r="AJ43" s="43"/>
      <c r="AK43" s="1"/>
      <c r="AL43" s="1"/>
      <c r="AM43" s="44"/>
      <c r="AN43" s="43"/>
      <c r="AO43" s="1"/>
      <c r="AP43" s="1"/>
      <c r="AQ43" s="1"/>
      <c r="AR43" s="1"/>
      <c r="AS43" s="1"/>
      <c r="AT43" s="243"/>
      <c r="AU43" s="1"/>
      <c r="AV43" s="1"/>
      <c r="AW43" s="1"/>
      <c r="AX43" s="44"/>
      <c r="AY43" s="1"/>
      <c r="AZ43" s="1"/>
    </row>
    <row r="44" spans="24:52">
      <c r="X44" s="1"/>
      <c r="Y44" s="1"/>
      <c r="Z44" s="1" t="s">
        <v>1739</v>
      </c>
      <c r="AA44" s="44" t="b">
        <f>ISBLANK(TableauPokemonCapturé[[#This Row],[PokeID]])=FALSE</f>
        <v>0</v>
      </c>
      <c r="AB44" s="1"/>
      <c r="AC44" s="1"/>
      <c r="AD44" s="43"/>
      <c r="AE44" s="1"/>
      <c r="AF44" s="44"/>
      <c r="AG44" s="1"/>
      <c r="AH44" s="43"/>
      <c r="AI44" s="1"/>
      <c r="AJ44" s="43"/>
      <c r="AK44" s="1"/>
      <c r="AL44" s="1"/>
      <c r="AM44" s="44"/>
      <c r="AN44" s="43"/>
      <c r="AO44" s="1"/>
      <c r="AP44" s="1"/>
      <c r="AQ44" s="1"/>
      <c r="AR44" s="1"/>
      <c r="AS44" s="1"/>
      <c r="AT44" s="243"/>
      <c r="AU44" s="1"/>
      <c r="AV44" s="1"/>
      <c r="AW44" s="1"/>
      <c r="AX44" s="44"/>
      <c r="AY44" s="1"/>
      <c r="AZ44" s="1"/>
    </row>
    <row r="45" spans="24:52">
      <c r="X45" s="1"/>
      <c r="Y45" s="1"/>
      <c r="Z45" s="1" t="s">
        <v>1740</v>
      </c>
      <c r="AA45" s="44" t="b">
        <f>ISBLANK(TableauPokemonCapturé[[#This Row],[PokeID]])=FALSE</f>
        <v>0</v>
      </c>
      <c r="AB45" s="1"/>
      <c r="AC45" s="1"/>
      <c r="AD45" s="43"/>
      <c r="AE45" s="1"/>
      <c r="AF45" s="44"/>
      <c r="AG45" s="1"/>
      <c r="AH45" s="43"/>
      <c r="AI45" s="1"/>
      <c r="AJ45" s="43"/>
      <c r="AK45" s="1"/>
      <c r="AL45" s="1"/>
      <c r="AM45" s="44"/>
      <c r="AN45" s="43"/>
      <c r="AO45" s="1"/>
      <c r="AP45" s="1"/>
      <c r="AQ45" s="1"/>
      <c r="AR45" s="1"/>
      <c r="AS45" s="1"/>
      <c r="AT45" s="243"/>
      <c r="AU45" s="1"/>
      <c r="AV45" s="1"/>
      <c r="AW45" s="1"/>
      <c r="AX45" s="44"/>
      <c r="AY45" s="1"/>
      <c r="AZ45" s="1"/>
    </row>
    <row r="46" spans="24:52">
      <c r="X46" s="1"/>
      <c r="Y46" s="1"/>
      <c r="Z46" s="1" t="s">
        <v>1741</v>
      </c>
      <c r="AA46" s="44" t="b">
        <f>ISBLANK(TableauPokemonCapturé[[#This Row],[PokeID]])=FALSE</f>
        <v>0</v>
      </c>
      <c r="AB46" s="1"/>
      <c r="AC46" s="1"/>
      <c r="AD46" s="43"/>
      <c r="AE46" s="1"/>
      <c r="AF46" s="44"/>
      <c r="AG46" s="1"/>
      <c r="AH46" s="43"/>
      <c r="AI46" s="1"/>
      <c r="AJ46" s="43"/>
      <c r="AK46" s="1"/>
      <c r="AL46" s="1"/>
      <c r="AM46" s="44"/>
      <c r="AN46" s="43"/>
      <c r="AO46" s="1"/>
      <c r="AP46" s="1"/>
      <c r="AQ46" s="1"/>
      <c r="AR46" s="1"/>
      <c r="AS46" s="1"/>
      <c r="AT46" s="243"/>
      <c r="AU46" s="1"/>
      <c r="AV46" s="1"/>
      <c r="AW46" s="1"/>
      <c r="AX46" s="44"/>
      <c r="AY46" s="1"/>
      <c r="AZ46" s="1"/>
    </row>
    <row r="47" spans="24:52">
      <c r="X47" s="1"/>
      <c r="Y47" s="1"/>
      <c r="Z47" s="1" t="s">
        <v>1742</v>
      </c>
      <c r="AA47" s="44" t="b">
        <f>ISBLANK(TableauPokemonCapturé[[#This Row],[PokeID]])=FALSE</f>
        <v>0</v>
      </c>
      <c r="AB47" s="1"/>
      <c r="AC47" s="1"/>
      <c r="AD47" s="43"/>
      <c r="AE47" s="1"/>
      <c r="AF47" s="44"/>
      <c r="AG47" s="1"/>
      <c r="AH47" s="43"/>
      <c r="AI47" s="1"/>
      <c r="AJ47" s="43"/>
      <c r="AK47" s="1"/>
      <c r="AL47" s="1"/>
      <c r="AM47" s="44"/>
      <c r="AN47" s="43"/>
      <c r="AO47" s="1"/>
      <c r="AP47" s="1"/>
      <c r="AQ47" s="1"/>
      <c r="AR47" s="1"/>
      <c r="AS47" s="1"/>
      <c r="AT47" s="243"/>
      <c r="AU47" s="1"/>
      <c r="AV47" s="1"/>
      <c r="AW47" s="1"/>
      <c r="AX47" s="44"/>
      <c r="AY47" s="1"/>
      <c r="AZ47" s="1"/>
    </row>
    <row r="48" spans="24:52">
      <c r="X48" s="1"/>
      <c r="Y48" s="1"/>
      <c r="Z48" s="1" t="s">
        <v>1743</v>
      </c>
      <c r="AA48" s="44" t="b">
        <f>ISBLANK(TableauPokemonCapturé[[#This Row],[PokeID]])=FALSE</f>
        <v>0</v>
      </c>
      <c r="AB48" s="1"/>
      <c r="AC48" s="1"/>
      <c r="AD48" s="43"/>
      <c r="AE48" s="1"/>
      <c r="AF48" s="44"/>
      <c r="AG48" s="1"/>
      <c r="AH48" s="43"/>
      <c r="AI48" s="1"/>
      <c r="AJ48" s="43"/>
      <c r="AK48" s="1"/>
      <c r="AL48" s="1"/>
      <c r="AM48" s="44"/>
      <c r="AN48" s="43"/>
      <c r="AO48" s="1"/>
      <c r="AP48" s="1"/>
      <c r="AQ48" s="1"/>
      <c r="AR48" s="1"/>
      <c r="AS48" s="1"/>
      <c r="AT48" s="243"/>
      <c r="AU48" s="1"/>
      <c r="AV48" s="1"/>
      <c r="AW48" s="1"/>
      <c r="AX48" s="44"/>
      <c r="AY48" s="1"/>
      <c r="AZ48" s="1"/>
    </row>
    <row r="49" spans="24:52">
      <c r="X49" s="1"/>
      <c r="Y49" s="1"/>
      <c r="Z49" s="1" t="s">
        <v>1744</v>
      </c>
      <c r="AA49" s="44" t="b">
        <f>ISBLANK(TableauPokemonCapturé[[#This Row],[PokeID]])=FALSE</f>
        <v>0</v>
      </c>
      <c r="AB49" s="1"/>
      <c r="AC49" s="1"/>
      <c r="AD49" s="43"/>
      <c r="AE49" s="1"/>
      <c r="AF49" s="44"/>
      <c r="AG49" s="1"/>
      <c r="AH49" s="43"/>
      <c r="AI49" s="1"/>
      <c r="AJ49" s="43"/>
      <c r="AK49" s="1"/>
      <c r="AL49" s="1"/>
      <c r="AM49" s="44"/>
      <c r="AN49" s="43"/>
      <c r="AO49" s="1"/>
      <c r="AP49" s="1"/>
      <c r="AQ49" s="1"/>
      <c r="AR49" s="1"/>
      <c r="AS49" s="1"/>
      <c r="AT49" s="243"/>
      <c r="AU49" s="1"/>
      <c r="AV49" s="1"/>
      <c r="AW49" s="1"/>
      <c r="AX49" s="44"/>
      <c r="AY49" s="1"/>
      <c r="AZ49" s="1"/>
    </row>
    <row r="50" spans="24:52">
      <c r="X50" s="1"/>
      <c r="Y50" s="1"/>
      <c r="Z50" s="1" t="s">
        <v>1745</v>
      </c>
      <c r="AA50" s="44" t="b">
        <f>ISBLANK(TableauPokemonCapturé[[#This Row],[PokeID]])=FALSE</f>
        <v>0</v>
      </c>
      <c r="AB50" s="1"/>
      <c r="AC50" s="1"/>
      <c r="AD50" s="43"/>
      <c r="AE50" s="1"/>
      <c r="AF50" s="44"/>
      <c r="AG50" s="1"/>
      <c r="AH50" s="43"/>
      <c r="AI50" s="1"/>
      <c r="AJ50" s="43"/>
      <c r="AK50" s="1"/>
      <c r="AL50" s="1"/>
      <c r="AM50" s="44"/>
      <c r="AN50" s="43"/>
      <c r="AO50" s="1"/>
      <c r="AP50" s="1"/>
      <c r="AQ50" s="1"/>
      <c r="AR50" s="1"/>
      <c r="AS50" s="1"/>
      <c r="AT50" s="243"/>
      <c r="AU50" s="1"/>
      <c r="AV50" s="1"/>
      <c r="AW50" s="1"/>
      <c r="AX50" s="44"/>
      <c r="AY50" s="1"/>
      <c r="AZ50" s="1"/>
    </row>
    <row r="51" spans="24:52">
      <c r="X51" s="1"/>
      <c r="Y51" s="1"/>
      <c r="Z51" s="1" t="s">
        <v>1746</v>
      </c>
      <c r="AA51" s="44" t="b">
        <f>ISBLANK(TableauPokemonCapturé[[#This Row],[PokeID]])=FALSE</f>
        <v>0</v>
      </c>
      <c r="AB51" s="1"/>
      <c r="AC51" s="1"/>
      <c r="AD51" s="43"/>
      <c r="AE51" s="1"/>
      <c r="AF51" s="44"/>
      <c r="AG51" s="1"/>
      <c r="AH51" s="43"/>
      <c r="AI51" s="1"/>
      <c r="AJ51" s="43"/>
      <c r="AK51" s="1"/>
      <c r="AL51" s="1"/>
      <c r="AM51" s="44"/>
      <c r="AN51" s="43"/>
      <c r="AO51" s="1"/>
      <c r="AP51" s="1"/>
      <c r="AQ51" s="1"/>
      <c r="AR51" s="1"/>
      <c r="AS51" s="1"/>
      <c r="AT51" s="243"/>
      <c r="AU51" s="1"/>
      <c r="AV51" s="1"/>
      <c r="AW51" s="1"/>
      <c r="AX51" s="44"/>
      <c r="AY51" s="1"/>
      <c r="AZ51" s="1"/>
    </row>
    <row r="52" spans="24:52">
      <c r="X52" s="1"/>
      <c r="Y52" s="1"/>
      <c r="Z52" s="1" t="s">
        <v>1747</v>
      </c>
      <c r="AA52" s="44" t="b">
        <f>ISBLANK(TableauPokemonCapturé[[#This Row],[PokeID]])=FALSE</f>
        <v>0</v>
      </c>
      <c r="AB52" s="1"/>
      <c r="AC52" s="1"/>
      <c r="AD52" s="43"/>
      <c r="AE52" s="1"/>
      <c r="AF52" s="44"/>
      <c r="AG52" s="1"/>
      <c r="AH52" s="43"/>
      <c r="AI52" s="1"/>
      <c r="AJ52" s="43"/>
      <c r="AK52" s="1"/>
      <c r="AL52" s="1"/>
      <c r="AM52" s="44"/>
      <c r="AN52" s="43"/>
      <c r="AO52" s="1"/>
      <c r="AP52" s="1"/>
      <c r="AQ52" s="1"/>
      <c r="AR52" s="1"/>
      <c r="AS52" s="1"/>
      <c r="AT52" s="243"/>
      <c r="AU52" s="1"/>
      <c r="AV52" s="1"/>
      <c r="AW52" s="1"/>
      <c r="AX52" s="44"/>
      <c r="AY52" s="1"/>
      <c r="AZ52" s="1"/>
    </row>
    <row r="53" spans="24:52">
      <c r="X53" s="1"/>
      <c r="Y53" s="1"/>
      <c r="Z53" s="1" t="s">
        <v>1748</v>
      </c>
      <c r="AA53" s="44" t="b">
        <f>ISBLANK(TableauPokemonCapturé[[#This Row],[PokeID]])=FALSE</f>
        <v>0</v>
      </c>
      <c r="AB53" s="1"/>
      <c r="AC53" s="1"/>
      <c r="AD53" s="43"/>
      <c r="AE53" s="1"/>
      <c r="AF53" s="44"/>
      <c r="AG53" s="1"/>
      <c r="AH53" s="43"/>
      <c r="AI53" s="1"/>
      <c r="AJ53" s="43"/>
      <c r="AK53" s="1"/>
      <c r="AL53" s="1"/>
      <c r="AM53" s="44"/>
      <c r="AN53" s="43"/>
      <c r="AO53" s="1"/>
      <c r="AP53" s="1"/>
      <c r="AQ53" s="1"/>
      <c r="AR53" s="1"/>
      <c r="AS53" s="1"/>
      <c r="AT53" s="243"/>
      <c r="AU53" s="1"/>
      <c r="AV53" s="1"/>
      <c r="AW53" s="1"/>
      <c r="AX53" s="44"/>
      <c r="AY53" s="1"/>
      <c r="AZ53" s="1"/>
    </row>
    <row r="54" spans="24:52">
      <c r="X54" s="1"/>
      <c r="Y54" s="1"/>
      <c r="Z54" s="1" t="s">
        <v>1749</v>
      </c>
      <c r="AA54" s="44" t="b">
        <f>ISBLANK(TableauPokemonCapturé[[#This Row],[PokeID]])=FALSE</f>
        <v>0</v>
      </c>
      <c r="AB54" s="1"/>
      <c r="AC54" s="1"/>
      <c r="AD54" s="43"/>
      <c r="AE54" s="1"/>
      <c r="AF54" s="44"/>
      <c r="AG54" s="1"/>
      <c r="AH54" s="43"/>
      <c r="AI54" s="1"/>
      <c r="AJ54" s="43"/>
      <c r="AK54" s="1"/>
      <c r="AL54" s="1"/>
      <c r="AM54" s="44"/>
      <c r="AN54" s="43"/>
      <c r="AO54" s="1"/>
      <c r="AP54" s="1"/>
      <c r="AQ54" s="1"/>
      <c r="AR54" s="1"/>
      <c r="AS54" s="1"/>
      <c r="AT54" s="243"/>
      <c r="AU54" s="1"/>
      <c r="AV54" s="1"/>
      <c r="AW54" s="1"/>
      <c r="AX54" s="44"/>
      <c r="AY54" s="1"/>
      <c r="AZ54" s="1"/>
    </row>
    <row r="55" spans="24:52">
      <c r="X55" s="1"/>
      <c r="Y55" s="1"/>
      <c r="Z55" s="1" t="s">
        <v>1750</v>
      </c>
      <c r="AA55" s="44" t="b">
        <f>ISBLANK(TableauPokemonCapturé[[#This Row],[PokeID]])=FALSE</f>
        <v>0</v>
      </c>
      <c r="AB55" s="1"/>
      <c r="AC55" s="1"/>
      <c r="AD55" s="43"/>
      <c r="AE55" s="1"/>
      <c r="AF55" s="44"/>
      <c r="AG55" s="1"/>
      <c r="AH55" s="43"/>
      <c r="AI55" s="1"/>
      <c r="AJ55" s="43"/>
      <c r="AK55" s="1"/>
      <c r="AL55" s="1"/>
      <c r="AM55" s="44"/>
      <c r="AN55" s="43"/>
      <c r="AO55" s="1"/>
      <c r="AP55" s="1"/>
      <c r="AQ55" s="1"/>
      <c r="AR55" s="1"/>
      <c r="AS55" s="1"/>
      <c r="AT55" s="243"/>
      <c r="AU55" s="1"/>
      <c r="AV55" s="1"/>
      <c r="AW55" s="1"/>
      <c r="AX55" s="44"/>
      <c r="AY55" s="1"/>
      <c r="AZ55" s="1"/>
    </row>
    <row r="56" spans="24:52">
      <c r="X56" s="1"/>
      <c r="Y56" s="1"/>
      <c r="Z56" s="1" t="s">
        <v>1751</v>
      </c>
      <c r="AA56" s="44" t="b">
        <f>ISBLANK(TableauPokemonCapturé[[#This Row],[PokeID]])=FALSE</f>
        <v>0</v>
      </c>
      <c r="AB56" s="1"/>
      <c r="AC56" s="1"/>
      <c r="AD56" s="43"/>
      <c r="AE56" s="1"/>
      <c r="AF56" s="44"/>
      <c r="AG56" s="1"/>
      <c r="AH56" s="43"/>
      <c r="AI56" s="1"/>
      <c r="AJ56" s="43"/>
      <c r="AK56" s="1"/>
      <c r="AL56" s="1"/>
      <c r="AM56" s="44"/>
      <c r="AN56" s="43"/>
      <c r="AO56" s="1"/>
      <c r="AP56" s="1"/>
      <c r="AQ56" s="1"/>
      <c r="AR56" s="1"/>
      <c r="AS56" s="1"/>
      <c r="AT56" s="243"/>
      <c r="AU56" s="1"/>
      <c r="AV56" s="1"/>
      <c r="AW56" s="1"/>
      <c r="AX56" s="44"/>
      <c r="AY56" s="1"/>
      <c r="AZ56" s="1"/>
    </row>
    <row r="57" spans="24:52">
      <c r="X57" s="1"/>
      <c r="Y57" s="1"/>
      <c r="Z57" s="1" t="s">
        <v>1752</v>
      </c>
      <c r="AA57" s="44" t="b">
        <f>ISBLANK(TableauPokemonCapturé[[#This Row],[PokeID]])=FALSE</f>
        <v>0</v>
      </c>
      <c r="AB57" s="1"/>
      <c r="AC57" s="1"/>
      <c r="AD57" s="43"/>
      <c r="AE57" s="1"/>
      <c r="AF57" s="44"/>
      <c r="AG57" s="1"/>
      <c r="AH57" s="43"/>
      <c r="AI57" s="1"/>
      <c r="AJ57" s="43"/>
      <c r="AK57" s="1"/>
      <c r="AL57" s="1"/>
      <c r="AM57" s="44"/>
      <c r="AN57" s="43"/>
      <c r="AO57" s="1"/>
      <c r="AP57" s="1"/>
      <c r="AQ57" s="1"/>
      <c r="AR57" s="1"/>
      <c r="AS57" s="1"/>
      <c r="AT57" s="243"/>
      <c r="AU57" s="1"/>
      <c r="AV57" s="1"/>
      <c r="AW57" s="1"/>
      <c r="AX57" s="44"/>
      <c r="AY57" s="1"/>
      <c r="AZ57" s="1"/>
    </row>
    <row r="58" spans="24:52">
      <c r="X58" s="1"/>
      <c r="Y58" s="1"/>
      <c r="Z58" s="1" t="s">
        <v>1753</v>
      </c>
      <c r="AA58" s="44" t="b">
        <f>ISBLANK(TableauPokemonCapturé[[#This Row],[PokeID]])=FALSE</f>
        <v>0</v>
      </c>
      <c r="AB58" s="1"/>
      <c r="AC58" s="1"/>
      <c r="AD58" s="43"/>
      <c r="AE58" s="1"/>
      <c r="AF58" s="44"/>
      <c r="AG58" s="1"/>
      <c r="AH58" s="43"/>
      <c r="AI58" s="1"/>
      <c r="AJ58" s="43"/>
      <c r="AK58" s="1"/>
      <c r="AL58" s="1"/>
      <c r="AM58" s="44"/>
      <c r="AN58" s="43"/>
      <c r="AO58" s="1"/>
      <c r="AP58" s="1"/>
      <c r="AQ58" s="1"/>
      <c r="AR58" s="1"/>
      <c r="AS58" s="1"/>
      <c r="AT58" s="243"/>
      <c r="AU58" s="1"/>
      <c r="AV58" s="1"/>
      <c r="AW58" s="1"/>
      <c r="AX58" s="44"/>
      <c r="AY58" s="1"/>
      <c r="AZ58" s="1"/>
    </row>
    <row r="59" spans="24:52">
      <c r="X59" s="1"/>
      <c r="Y59" s="1"/>
      <c r="Z59" s="1" t="s">
        <v>1754</v>
      </c>
      <c r="AA59" s="44" t="b">
        <f>ISBLANK(TableauPokemonCapturé[[#This Row],[PokeID]])=FALSE</f>
        <v>0</v>
      </c>
      <c r="AB59" s="1"/>
      <c r="AC59" s="1"/>
      <c r="AD59" s="43"/>
      <c r="AE59" s="1"/>
      <c r="AF59" s="44"/>
      <c r="AG59" s="1"/>
      <c r="AH59" s="43"/>
      <c r="AI59" s="1"/>
      <c r="AJ59" s="43"/>
      <c r="AK59" s="1"/>
      <c r="AL59" s="1"/>
      <c r="AM59" s="44"/>
      <c r="AN59" s="43"/>
      <c r="AO59" s="1"/>
      <c r="AP59" s="1"/>
      <c r="AQ59" s="1"/>
      <c r="AR59" s="1"/>
      <c r="AS59" s="1"/>
      <c r="AT59" s="243"/>
      <c r="AU59" s="1"/>
      <c r="AV59" s="1"/>
      <c r="AW59" s="1"/>
      <c r="AX59" s="44"/>
      <c r="AY59" s="1"/>
      <c r="AZ59" s="1"/>
    </row>
    <row r="60" spans="24:52">
      <c r="X60" s="1"/>
      <c r="Y60" s="1"/>
      <c r="Z60" s="1" t="s">
        <v>1755</v>
      </c>
      <c r="AA60" s="44" t="b">
        <f>ISBLANK(TableauPokemonCapturé[[#This Row],[PokeID]])=FALSE</f>
        <v>0</v>
      </c>
      <c r="AB60" s="1"/>
      <c r="AC60" s="1"/>
      <c r="AD60" s="43"/>
      <c r="AE60" s="1"/>
      <c r="AF60" s="44"/>
      <c r="AG60" s="1"/>
      <c r="AH60" s="43"/>
      <c r="AI60" s="1"/>
      <c r="AJ60" s="43"/>
      <c r="AK60" s="1"/>
      <c r="AL60" s="1"/>
      <c r="AM60" s="44"/>
      <c r="AN60" s="43"/>
      <c r="AO60" s="1"/>
      <c r="AP60" s="1"/>
      <c r="AQ60" s="1"/>
      <c r="AR60" s="1"/>
      <c r="AS60" s="1"/>
      <c r="AT60" s="243"/>
      <c r="AU60" s="1"/>
      <c r="AV60" s="1"/>
      <c r="AW60" s="1"/>
      <c r="AX60" s="44"/>
      <c r="AY60" s="1"/>
      <c r="AZ60" s="1"/>
    </row>
    <row r="61" spans="24:52">
      <c r="X61" s="1"/>
      <c r="Y61" s="1"/>
      <c r="Z61" s="1" t="s">
        <v>1756</v>
      </c>
      <c r="AA61" s="44" t="b">
        <f>ISBLANK(TableauPokemonCapturé[[#This Row],[PokeID]])=FALSE</f>
        <v>0</v>
      </c>
      <c r="AB61" s="1"/>
      <c r="AC61" s="1"/>
      <c r="AD61" s="43"/>
      <c r="AE61" s="1"/>
      <c r="AF61" s="44"/>
      <c r="AG61" s="1"/>
      <c r="AH61" s="43"/>
      <c r="AI61" s="1"/>
      <c r="AJ61" s="43"/>
      <c r="AK61" s="1"/>
      <c r="AL61" s="1"/>
      <c r="AM61" s="44"/>
      <c r="AN61" s="43"/>
      <c r="AO61" s="1"/>
      <c r="AP61" s="1"/>
      <c r="AQ61" s="1"/>
      <c r="AR61" s="1"/>
      <c r="AS61" s="1"/>
      <c r="AT61" s="243"/>
      <c r="AU61" s="1"/>
      <c r="AV61" s="1"/>
      <c r="AW61" s="1"/>
      <c r="AX61" s="44"/>
      <c r="AY61" s="1"/>
      <c r="AZ61" s="1"/>
    </row>
    <row r="62" spans="24:52">
      <c r="X62" s="1"/>
      <c r="Y62" s="1"/>
      <c r="Z62" s="1" t="s">
        <v>1757</v>
      </c>
      <c r="AA62" s="44" t="b">
        <f>ISBLANK(TableauPokemonCapturé[[#This Row],[PokeID]])=FALSE</f>
        <v>0</v>
      </c>
      <c r="AB62" s="1"/>
      <c r="AC62" s="1"/>
      <c r="AD62" s="43"/>
      <c r="AE62" s="1"/>
      <c r="AF62" s="44"/>
      <c r="AG62" s="1"/>
      <c r="AH62" s="43"/>
      <c r="AI62" s="1"/>
      <c r="AJ62" s="43"/>
      <c r="AK62" s="1"/>
      <c r="AL62" s="1"/>
      <c r="AM62" s="44"/>
      <c r="AN62" s="43"/>
      <c r="AO62" s="1"/>
      <c r="AP62" s="1"/>
      <c r="AQ62" s="1"/>
      <c r="AR62" s="1"/>
      <c r="AS62" s="1"/>
      <c r="AT62" s="243"/>
      <c r="AU62" s="1"/>
      <c r="AV62" s="1"/>
      <c r="AW62" s="1"/>
      <c r="AX62" s="44"/>
      <c r="AY62" s="1"/>
      <c r="AZ62" s="1"/>
    </row>
    <row r="63" spans="24:52">
      <c r="X63" s="1"/>
      <c r="Y63" s="1"/>
      <c r="Z63" s="1" t="s">
        <v>1758</v>
      </c>
      <c r="AA63" s="44" t="b">
        <f>ISBLANK(TableauPokemonCapturé[[#This Row],[PokeID]])=FALSE</f>
        <v>0</v>
      </c>
      <c r="AB63" s="1"/>
      <c r="AC63" s="1"/>
      <c r="AD63" s="43"/>
      <c r="AE63" s="1"/>
      <c r="AF63" s="44"/>
      <c r="AG63" s="1"/>
      <c r="AH63" s="43"/>
      <c r="AI63" s="1"/>
      <c r="AJ63" s="43"/>
      <c r="AK63" s="1"/>
      <c r="AL63" s="1"/>
      <c r="AM63" s="44"/>
      <c r="AN63" s="43"/>
      <c r="AO63" s="1"/>
      <c r="AP63" s="1"/>
      <c r="AQ63" s="1"/>
      <c r="AR63" s="1"/>
      <c r="AS63" s="1"/>
      <c r="AT63" s="243"/>
      <c r="AU63" s="1"/>
      <c r="AV63" s="1"/>
      <c r="AW63" s="1"/>
      <c r="AX63" s="44"/>
      <c r="AY63" s="1"/>
      <c r="AZ63" s="1"/>
    </row>
    <row r="64" spans="24:52">
      <c r="X64" s="1"/>
      <c r="Y64" s="1"/>
      <c r="Z64" s="1" t="s">
        <v>1759</v>
      </c>
      <c r="AA64" s="44" t="b">
        <f>ISBLANK(TableauPokemonCapturé[[#This Row],[PokeID]])=FALSE</f>
        <v>0</v>
      </c>
      <c r="AB64" s="1"/>
      <c r="AC64" s="1"/>
      <c r="AD64" s="43"/>
      <c r="AE64" s="1"/>
      <c r="AF64" s="44"/>
      <c r="AG64" s="1"/>
      <c r="AH64" s="43"/>
      <c r="AI64" s="1"/>
      <c r="AJ64" s="43"/>
      <c r="AK64" s="1"/>
      <c r="AL64" s="1"/>
      <c r="AM64" s="44"/>
      <c r="AN64" s="43"/>
      <c r="AO64" s="1"/>
      <c r="AP64" s="1"/>
      <c r="AQ64" s="1"/>
      <c r="AR64" s="1"/>
      <c r="AS64" s="1"/>
      <c r="AT64" s="243"/>
      <c r="AU64" s="1"/>
      <c r="AV64" s="1"/>
      <c r="AW64" s="1"/>
      <c r="AX64" s="44"/>
      <c r="AY64" s="1"/>
      <c r="AZ64" s="1"/>
    </row>
    <row r="65" spans="24:52">
      <c r="X65" s="1"/>
      <c r="Y65" s="1"/>
      <c r="Z65" s="1" t="s">
        <v>1760</v>
      </c>
      <c r="AA65" s="44" t="b">
        <f>ISBLANK(TableauPokemonCapturé[[#This Row],[PokeID]])=FALSE</f>
        <v>0</v>
      </c>
      <c r="AB65" s="1"/>
      <c r="AC65" s="1"/>
      <c r="AD65" s="43"/>
      <c r="AE65" s="1"/>
      <c r="AF65" s="44"/>
      <c r="AG65" s="1"/>
      <c r="AH65" s="43"/>
      <c r="AI65" s="1"/>
      <c r="AJ65" s="43"/>
      <c r="AK65" s="1"/>
      <c r="AL65" s="1"/>
      <c r="AM65" s="44"/>
      <c r="AN65" s="43"/>
      <c r="AO65" s="1"/>
      <c r="AP65" s="1"/>
      <c r="AQ65" s="1"/>
      <c r="AR65" s="1"/>
      <c r="AS65" s="1"/>
      <c r="AT65" s="243"/>
      <c r="AU65" s="1"/>
      <c r="AV65" s="1"/>
      <c r="AW65" s="1"/>
      <c r="AX65" s="44"/>
      <c r="AY65" s="1"/>
      <c r="AZ65" s="1"/>
    </row>
    <row r="66" spans="24:52">
      <c r="X66" s="1"/>
      <c r="Y66" s="1"/>
      <c r="Z66" s="1" t="s">
        <v>1761</v>
      </c>
      <c r="AA66" s="44" t="b">
        <f>ISBLANK(TableauPokemonCapturé[[#This Row],[PokeID]])=FALSE</f>
        <v>0</v>
      </c>
      <c r="AB66" s="1"/>
      <c r="AC66" s="1"/>
      <c r="AD66" s="43"/>
      <c r="AE66" s="1"/>
      <c r="AF66" s="44"/>
      <c r="AG66" s="1"/>
      <c r="AH66" s="43"/>
      <c r="AI66" s="1"/>
      <c r="AJ66" s="43"/>
      <c r="AK66" s="1"/>
      <c r="AL66" s="1"/>
      <c r="AM66" s="44"/>
      <c r="AN66" s="43"/>
      <c r="AO66" s="1"/>
      <c r="AP66" s="1"/>
      <c r="AQ66" s="1"/>
      <c r="AR66" s="1"/>
      <c r="AS66" s="1"/>
      <c r="AT66" s="243"/>
      <c r="AU66" s="1"/>
      <c r="AV66" s="1"/>
      <c r="AW66" s="1"/>
      <c r="AX66" s="44"/>
      <c r="AY66" s="1"/>
      <c r="AZ66" s="1"/>
    </row>
    <row r="67" spans="24:52">
      <c r="X67" s="1"/>
      <c r="Y67" s="1"/>
      <c r="Z67" s="1" t="s">
        <v>1762</v>
      </c>
      <c r="AA67" s="44" t="b">
        <f>ISBLANK(TableauPokemonCapturé[[#This Row],[PokeID]])=FALSE</f>
        <v>0</v>
      </c>
      <c r="AB67" s="1"/>
      <c r="AC67" s="1"/>
      <c r="AD67" s="43"/>
      <c r="AE67" s="1"/>
      <c r="AF67" s="44"/>
      <c r="AG67" s="1"/>
      <c r="AH67" s="43"/>
      <c r="AI67" s="1"/>
      <c r="AJ67" s="43"/>
      <c r="AK67" s="1"/>
      <c r="AL67" s="1"/>
      <c r="AM67" s="44"/>
      <c r="AN67" s="43"/>
      <c r="AO67" s="1"/>
      <c r="AP67" s="1"/>
      <c r="AQ67" s="1"/>
      <c r="AR67" s="1"/>
      <c r="AS67" s="1"/>
      <c r="AT67" s="243"/>
      <c r="AU67" s="1"/>
      <c r="AV67" s="1"/>
      <c r="AW67" s="1"/>
      <c r="AX67" s="44"/>
      <c r="AY67" s="1"/>
      <c r="AZ67" s="1"/>
    </row>
    <row r="68" spans="24:52">
      <c r="X68" s="1"/>
      <c r="Y68" s="1"/>
      <c r="Z68" s="1" t="s">
        <v>1763</v>
      </c>
      <c r="AA68" s="44" t="b">
        <f>ISBLANK(TableauPokemonCapturé[[#This Row],[PokeID]])=FALSE</f>
        <v>0</v>
      </c>
      <c r="AB68" s="1"/>
      <c r="AC68" s="1"/>
      <c r="AD68" s="43"/>
      <c r="AE68" s="1"/>
      <c r="AF68" s="44"/>
      <c r="AG68" s="1"/>
      <c r="AH68" s="43"/>
      <c r="AI68" s="1"/>
      <c r="AJ68" s="43"/>
      <c r="AK68" s="1"/>
      <c r="AL68" s="1"/>
      <c r="AM68" s="44"/>
      <c r="AN68" s="43"/>
      <c r="AO68" s="1"/>
      <c r="AP68" s="1"/>
      <c r="AQ68" s="1"/>
      <c r="AR68" s="1"/>
      <c r="AS68" s="1"/>
      <c r="AT68" s="243"/>
      <c r="AU68" s="1"/>
      <c r="AV68" s="1"/>
      <c r="AW68" s="1"/>
      <c r="AX68" s="44"/>
      <c r="AY68" s="1"/>
      <c r="AZ68" s="1"/>
    </row>
    <row r="69" spans="24:52">
      <c r="X69" s="1"/>
      <c r="Y69" s="1"/>
      <c r="Z69" s="1" t="s">
        <v>1764</v>
      </c>
      <c r="AA69" s="44" t="b">
        <f>ISBLANK(TableauPokemonCapturé[[#This Row],[PokeID]])=FALSE</f>
        <v>0</v>
      </c>
      <c r="AB69" s="1"/>
      <c r="AC69" s="1"/>
      <c r="AD69" s="43"/>
      <c r="AE69" s="1"/>
      <c r="AF69" s="44"/>
      <c r="AG69" s="1"/>
      <c r="AH69" s="43"/>
      <c r="AI69" s="1"/>
      <c r="AJ69" s="43"/>
      <c r="AK69" s="1"/>
      <c r="AL69" s="1"/>
      <c r="AM69" s="44"/>
      <c r="AN69" s="43"/>
      <c r="AO69" s="1"/>
      <c r="AP69" s="1"/>
      <c r="AQ69" s="1"/>
      <c r="AR69" s="1"/>
      <c r="AS69" s="1"/>
      <c r="AT69" s="243"/>
      <c r="AU69" s="1"/>
      <c r="AV69" s="1"/>
      <c r="AW69" s="1"/>
      <c r="AX69" s="44"/>
      <c r="AY69" s="1"/>
      <c r="AZ69" s="1"/>
    </row>
    <row r="70" spans="24:52">
      <c r="X70" s="1"/>
      <c r="Y70" s="1"/>
      <c r="Z70" s="1" t="s">
        <v>1765</v>
      </c>
      <c r="AA70" s="44" t="b">
        <f>ISBLANK(TableauPokemonCapturé[[#This Row],[PokeID]])=FALSE</f>
        <v>0</v>
      </c>
      <c r="AB70" s="1"/>
      <c r="AC70" s="1"/>
      <c r="AD70" s="43"/>
      <c r="AE70" s="1"/>
      <c r="AF70" s="44"/>
      <c r="AG70" s="1"/>
      <c r="AH70" s="43"/>
      <c r="AI70" s="1"/>
      <c r="AJ70" s="43"/>
      <c r="AK70" s="1"/>
      <c r="AL70" s="1"/>
      <c r="AM70" s="44"/>
      <c r="AN70" s="43"/>
      <c r="AO70" s="1"/>
      <c r="AP70" s="1"/>
      <c r="AQ70" s="1"/>
      <c r="AR70" s="1"/>
      <c r="AS70" s="1"/>
      <c r="AT70" s="243"/>
      <c r="AU70" s="1"/>
      <c r="AV70" s="1"/>
      <c r="AW70" s="1"/>
      <c r="AX70" s="44"/>
      <c r="AY70" s="1"/>
      <c r="AZ70" s="1"/>
    </row>
    <row r="71" spans="24:52">
      <c r="X71" s="1"/>
      <c r="Y71" s="1"/>
      <c r="Z71" s="1" t="s">
        <v>1766</v>
      </c>
      <c r="AA71" s="44" t="b">
        <f>ISBLANK(TableauPokemonCapturé[[#This Row],[PokeID]])=FALSE</f>
        <v>0</v>
      </c>
      <c r="AB71" s="1"/>
      <c r="AC71" s="1"/>
      <c r="AD71" s="43"/>
      <c r="AE71" s="1"/>
      <c r="AF71" s="44"/>
      <c r="AG71" s="1"/>
      <c r="AH71" s="43"/>
      <c r="AI71" s="1"/>
      <c r="AJ71" s="43"/>
      <c r="AK71" s="1"/>
      <c r="AL71" s="1"/>
      <c r="AM71" s="44"/>
      <c r="AN71" s="43"/>
      <c r="AO71" s="1"/>
      <c r="AP71" s="1"/>
      <c r="AQ71" s="1"/>
      <c r="AR71" s="1"/>
      <c r="AS71" s="1"/>
      <c r="AT71" s="243"/>
      <c r="AU71" s="1"/>
      <c r="AV71" s="1"/>
      <c r="AW71" s="1"/>
      <c r="AX71" s="44"/>
      <c r="AY71" s="1"/>
      <c r="AZ71" s="1"/>
    </row>
    <row r="72" spans="24:52">
      <c r="X72" s="1"/>
      <c r="Y72" s="1"/>
      <c r="Z72" s="1" t="s">
        <v>1767</v>
      </c>
      <c r="AA72" s="44" t="b">
        <f>ISBLANK(TableauPokemonCapturé[[#This Row],[PokeID]])=FALSE</f>
        <v>0</v>
      </c>
      <c r="AB72" s="1"/>
      <c r="AC72" s="1"/>
      <c r="AD72" s="43"/>
      <c r="AE72" s="1"/>
      <c r="AF72" s="44"/>
      <c r="AG72" s="1"/>
      <c r="AH72" s="43"/>
      <c r="AI72" s="1"/>
      <c r="AJ72" s="43"/>
      <c r="AK72" s="1"/>
      <c r="AL72" s="1"/>
      <c r="AM72" s="44"/>
      <c r="AN72" s="43"/>
      <c r="AO72" s="1"/>
      <c r="AP72" s="1"/>
      <c r="AQ72" s="1"/>
      <c r="AR72" s="1"/>
      <c r="AS72" s="1"/>
      <c r="AT72" s="243"/>
      <c r="AU72" s="1"/>
      <c r="AV72" s="1"/>
      <c r="AW72" s="1"/>
      <c r="AX72" s="44"/>
      <c r="AY72" s="1"/>
      <c r="AZ72" s="1"/>
    </row>
    <row r="73" spans="24:52">
      <c r="X73" s="1"/>
      <c r="Y73" s="1"/>
      <c r="Z73" s="1" t="s">
        <v>1768</v>
      </c>
      <c r="AA73" s="44" t="b">
        <f>ISBLANK(TableauPokemonCapturé[[#This Row],[PokeID]])=FALSE</f>
        <v>0</v>
      </c>
      <c r="AB73" s="1"/>
      <c r="AC73" s="1"/>
      <c r="AD73" s="43"/>
      <c r="AE73" s="1"/>
      <c r="AF73" s="44"/>
      <c r="AG73" s="1"/>
      <c r="AH73" s="43"/>
      <c r="AI73" s="1"/>
      <c r="AJ73" s="43"/>
      <c r="AK73" s="1"/>
      <c r="AL73" s="1"/>
      <c r="AM73" s="44"/>
      <c r="AN73" s="43"/>
      <c r="AO73" s="1"/>
      <c r="AP73" s="1"/>
      <c r="AQ73" s="1"/>
      <c r="AR73" s="1"/>
      <c r="AS73" s="1"/>
      <c r="AT73" s="243"/>
      <c r="AU73" s="1"/>
      <c r="AV73" s="1"/>
      <c r="AW73" s="1"/>
      <c r="AX73" s="44"/>
      <c r="AY73" s="1"/>
      <c r="AZ73" s="1"/>
    </row>
    <row r="74" spans="24:52">
      <c r="X74" s="1"/>
      <c r="Y74" s="1"/>
      <c r="Z74" s="1" t="s">
        <v>1769</v>
      </c>
      <c r="AA74" s="44" t="b">
        <f>ISBLANK(TableauPokemonCapturé[[#This Row],[PokeID]])=FALSE</f>
        <v>0</v>
      </c>
      <c r="AB74" s="1"/>
      <c r="AC74" s="1"/>
      <c r="AD74" s="43"/>
      <c r="AE74" s="1"/>
      <c r="AF74" s="44"/>
      <c r="AG74" s="1"/>
      <c r="AH74" s="43"/>
      <c r="AI74" s="1"/>
      <c r="AJ74" s="43"/>
      <c r="AK74" s="1"/>
      <c r="AL74" s="1"/>
      <c r="AM74" s="44"/>
      <c r="AN74" s="43"/>
      <c r="AO74" s="1"/>
      <c r="AP74" s="1"/>
      <c r="AQ74" s="1"/>
      <c r="AR74" s="1"/>
      <c r="AS74" s="1"/>
      <c r="AT74" s="243"/>
      <c r="AU74" s="1"/>
      <c r="AV74" s="1"/>
      <c r="AW74" s="1"/>
      <c r="AX74" s="44"/>
      <c r="AY74" s="1"/>
      <c r="AZ74" s="1"/>
    </row>
    <row r="75" spans="24:52">
      <c r="X75" s="1"/>
      <c r="Y75" s="1"/>
      <c r="Z75" s="1" t="s">
        <v>1770</v>
      </c>
      <c r="AA75" s="44" t="b">
        <f>ISBLANK(TableauPokemonCapturé[[#This Row],[PokeID]])=FALSE</f>
        <v>0</v>
      </c>
      <c r="AB75" s="1"/>
      <c r="AC75" s="1"/>
      <c r="AD75" s="43"/>
      <c r="AE75" s="1"/>
      <c r="AF75" s="44"/>
      <c r="AG75" s="1"/>
      <c r="AH75" s="43"/>
      <c r="AI75" s="1"/>
      <c r="AJ75" s="43"/>
      <c r="AK75" s="1"/>
      <c r="AL75" s="1"/>
      <c r="AM75" s="44"/>
      <c r="AN75" s="43"/>
      <c r="AO75" s="1"/>
      <c r="AP75" s="1"/>
      <c r="AQ75" s="1"/>
      <c r="AR75" s="1"/>
      <c r="AS75" s="1"/>
      <c r="AT75" s="243"/>
      <c r="AU75" s="1"/>
      <c r="AV75" s="1"/>
      <c r="AW75" s="1"/>
      <c r="AX75" s="44"/>
      <c r="AY75" s="1"/>
      <c r="AZ75" s="1"/>
    </row>
    <row r="76" spans="24:52">
      <c r="X76" s="1"/>
      <c r="Y76" s="1"/>
      <c r="Z76" s="1" t="s">
        <v>1771</v>
      </c>
      <c r="AA76" s="44" t="b">
        <f>ISBLANK(TableauPokemonCapturé[[#This Row],[PokeID]])=FALSE</f>
        <v>0</v>
      </c>
      <c r="AB76" s="1"/>
      <c r="AC76" s="1"/>
      <c r="AD76" s="43"/>
      <c r="AE76" s="1"/>
      <c r="AF76" s="44"/>
      <c r="AG76" s="1"/>
      <c r="AH76" s="43"/>
      <c r="AI76" s="1"/>
      <c r="AJ76" s="43"/>
      <c r="AK76" s="1"/>
      <c r="AL76" s="1"/>
      <c r="AM76" s="44"/>
      <c r="AN76" s="43"/>
      <c r="AO76" s="1"/>
      <c r="AP76" s="1"/>
      <c r="AQ76" s="1"/>
      <c r="AR76" s="1"/>
      <c r="AS76" s="1"/>
      <c r="AT76" s="243"/>
      <c r="AU76" s="1"/>
      <c r="AV76" s="1"/>
      <c r="AW76" s="1"/>
      <c r="AX76" s="44"/>
      <c r="AY76" s="1"/>
      <c r="AZ76" s="1"/>
    </row>
    <row r="77" spans="24:52">
      <c r="X77" s="1"/>
      <c r="Y77" s="1"/>
      <c r="Z77" s="1" t="s">
        <v>1772</v>
      </c>
      <c r="AA77" s="44" t="b">
        <f>ISBLANK(TableauPokemonCapturé[[#This Row],[PokeID]])=FALSE</f>
        <v>0</v>
      </c>
      <c r="AB77" s="1"/>
      <c r="AC77" s="1"/>
      <c r="AD77" s="43"/>
      <c r="AE77" s="1"/>
      <c r="AF77" s="44"/>
      <c r="AG77" s="1"/>
      <c r="AH77" s="43"/>
      <c r="AI77" s="1"/>
      <c r="AJ77" s="43"/>
      <c r="AK77" s="1"/>
      <c r="AL77" s="1"/>
      <c r="AM77" s="44"/>
      <c r="AN77" s="43"/>
      <c r="AO77" s="1"/>
      <c r="AP77" s="1"/>
      <c r="AQ77" s="1"/>
      <c r="AR77" s="1"/>
      <c r="AS77" s="1"/>
      <c r="AT77" s="243"/>
      <c r="AU77" s="1"/>
      <c r="AV77" s="1"/>
      <c r="AW77" s="1"/>
      <c r="AX77" s="44"/>
      <c r="AY77" s="1"/>
      <c r="AZ77" s="1"/>
    </row>
    <row r="78" spans="24:52">
      <c r="X78" s="1"/>
      <c r="Y78" s="1"/>
      <c r="Z78" s="1" t="s">
        <v>1773</v>
      </c>
      <c r="AA78" s="44" t="b">
        <f>ISBLANK(TableauPokemonCapturé[[#This Row],[PokeID]])=FALSE</f>
        <v>0</v>
      </c>
      <c r="AB78" s="1"/>
      <c r="AC78" s="1"/>
      <c r="AD78" s="43"/>
      <c r="AE78" s="1"/>
      <c r="AF78" s="44"/>
      <c r="AG78" s="1"/>
      <c r="AH78" s="43"/>
      <c r="AI78" s="1"/>
      <c r="AJ78" s="43"/>
      <c r="AK78" s="1"/>
      <c r="AL78" s="1"/>
      <c r="AM78" s="44"/>
      <c r="AN78" s="43"/>
      <c r="AO78" s="1"/>
      <c r="AP78" s="1"/>
      <c r="AQ78" s="1"/>
      <c r="AR78" s="1"/>
      <c r="AS78" s="1"/>
      <c r="AT78" s="243"/>
      <c r="AU78" s="1"/>
      <c r="AV78" s="1"/>
      <c r="AW78" s="1"/>
      <c r="AX78" s="44"/>
      <c r="AY78" s="1"/>
      <c r="AZ78" s="1"/>
    </row>
    <row r="79" spans="24:52">
      <c r="X79" s="1"/>
      <c r="Y79" s="1"/>
      <c r="Z79" s="1" t="s">
        <v>1774</v>
      </c>
      <c r="AA79" s="44" t="b">
        <f>ISBLANK(TableauPokemonCapturé[[#This Row],[PokeID]])=FALSE</f>
        <v>0</v>
      </c>
      <c r="AB79" s="1"/>
      <c r="AC79" s="1"/>
      <c r="AD79" s="43"/>
      <c r="AE79" s="1"/>
      <c r="AF79" s="44"/>
      <c r="AG79" s="1"/>
      <c r="AH79" s="43"/>
      <c r="AI79" s="1"/>
      <c r="AJ79" s="43"/>
      <c r="AK79" s="1"/>
      <c r="AL79" s="1"/>
      <c r="AM79" s="44"/>
      <c r="AN79" s="43"/>
      <c r="AO79" s="1"/>
      <c r="AP79" s="1"/>
      <c r="AQ79" s="1"/>
      <c r="AR79" s="1"/>
      <c r="AS79" s="1"/>
      <c r="AT79" s="243"/>
      <c r="AU79" s="1"/>
      <c r="AV79" s="1"/>
      <c r="AW79" s="1"/>
      <c r="AX79" s="44"/>
      <c r="AY79" s="1"/>
      <c r="AZ79" s="1"/>
    </row>
    <row r="80" spans="24:52">
      <c r="X80" s="1"/>
      <c r="Y80" s="1"/>
      <c r="Z80" s="1" t="s">
        <v>1775</v>
      </c>
      <c r="AA80" s="44" t="b">
        <f>ISBLANK(TableauPokemonCapturé[[#This Row],[PokeID]])=FALSE</f>
        <v>0</v>
      </c>
      <c r="AB80" s="1"/>
      <c r="AC80" s="1"/>
      <c r="AD80" s="43"/>
      <c r="AE80" s="1"/>
      <c r="AF80" s="44"/>
      <c r="AG80" s="1"/>
      <c r="AH80" s="43"/>
      <c r="AI80" s="1"/>
      <c r="AJ80" s="43"/>
      <c r="AK80" s="1"/>
      <c r="AL80" s="1"/>
      <c r="AM80" s="44"/>
      <c r="AN80" s="43"/>
      <c r="AO80" s="1"/>
      <c r="AP80" s="1"/>
      <c r="AQ80" s="1"/>
      <c r="AR80" s="1"/>
      <c r="AS80" s="1"/>
      <c r="AT80" s="243"/>
      <c r="AU80" s="1"/>
      <c r="AV80" s="1"/>
      <c r="AW80" s="1"/>
      <c r="AX80" s="44"/>
      <c r="AY80" s="1"/>
      <c r="AZ80" s="1"/>
    </row>
    <row r="81" spans="24:52">
      <c r="X81" s="1"/>
      <c r="Y81" s="1"/>
      <c r="Z81" s="1" t="s">
        <v>1776</v>
      </c>
      <c r="AA81" s="44" t="b">
        <f>ISBLANK(TableauPokemonCapturé[[#This Row],[PokeID]])=FALSE</f>
        <v>0</v>
      </c>
      <c r="AB81" s="1"/>
      <c r="AC81" s="1"/>
      <c r="AD81" s="43"/>
      <c r="AE81" s="1"/>
      <c r="AF81" s="44"/>
      <c r="AG81" s="1"/>
      <c r="AH81" s="43"/>
      <c r="AI81" s="1"/>
      <c r="AJ81" s="43"/>
      <c r="AK81" s="1"/>
      <c r="AL81" s="1"/>
      <c r="AM81" s="44"/>
      <c r="AN81" s="43"/>
      <c r="AO81" s="1"/>
      <c r="AP81" s="1"/>
      <c r="AQ81" s="1"/>
      <c r="AR81" s="1"/>
      <c r="AS81" s="1"/>
      <c r="AT81" s="243"/>
      <c r="AU81" s="1"/>
      <c r="AV81" s="1"/>
      <c r="AW81" s="1"/>
      <c r="AX81" s="44"/>
      <c r="AY81" s="1"/>
      <c r="AZ81" s="1"/>
    </row>
    <row r="82" spans="24:52">
      <c r="X82" s="1"/>
      <c r="Y82" s="1"/>
      <c r="Z82" s="1" t="s">
        <v>1777</v>
      </c>
      <c r="AA82" s="44" t="b">
        <f>ISBLANK(TableauPokemonCapturé[[#This Row],[PokeID]])=FALSE</f>
        <v>0</v>
      </c>
      <c r="AB82" s="1"/>
      <c r="AC82" s="1"/>
      <c r="AD82" s="43"/>
      <c r="AE82" s="1"/>
      <c r="AF82" s="44"/>
      <c r="AG82" s="1"/>
      <c r="AH82" s="43"/>
      <c r="AI82" s="1"/>
      <c r="AJ82" s="43"/>
      <c r="AK82" s="1"/>
      <c r="AL82" s="1"/>
      <c r="AM82" s="44"/>
      <c r="AN82" s="43"/>
      <c r="AO82" s="1"/>
      <c r="AP82" s="1"/>
      <c r="AQ82" s="1"/>
      <c r="AR82" s="1"/>
      <c r="AS82" s="1"/>
      <c r="AT82" s="243"/>
      <c r="AU82" s="1"/>
      <c r="AV82" s="1"/>
      <c r="AW82" s="1"/>
      <c r="AX82" s="44"/>
      <c r="AY82" s="1"/>
      <c r="AZ82" s="1"/>
    </row>
    <row r="83" spans="24:52">
      <c r="X83" s="1"/>
      <c r="Y83" s="1"/>
      <c r="Z83" s="1" t="s">
        <v>1778</v>
      </c>
      <c r="AA83" s="44" t="b">
        <f>ISBLANK(TableauPokemonCapturé[[#This Row],[PokeID]])=FALSE</f>
        <v>0</v>
      </c>
      <c r="AB83" s="1"/>
      <c r="AC83" s="1"/>
      <c r="AD83" s="43"/>
      <c r="AE83" s="1"/>
      <c r="AF83" s="44"/>
      <c r="AG83" s="1"/>
      <c r="AH83" s="43"/>
      <c r="AI83" s="1"/>
      <c r="AJ83" s="43"/>
      <c r="AK83" s="1"/>
      <c r="AL83" s="1"/>
      <c r="AM83" s="44"/>
      <c r="AN83" s="43"/>
      <c r="AO83" s="1"/>
      <c r="AP83" s="1"/>
      <c r="AQ83" s="1"/>
      <c r="AR83" s="1"/>
      <c r="AS83" s="1"/>
      <c r="AT83" s="243"/>
      <c r="AU83" s="1"/>
      <c r="AV83" s="1"/>
      <c r="AW83" s="1"/>
      <c r="AX83" s="44"/>
      <c r="AY83" s="1"/>
      <c r="AZ83" s="1"/>
    </row>
    <row r="84" spans="24:52">
      <c r="X84" s="1"/>
      <c r="Y84" s="1"/>
      <c r="Z84" s="1" t="s">
        <v>1779</v>
      </c>
      <c r="AA84" s="44" t="b">
        <f>ISBLANK(TableauPokemonCapturé[[#This Row],[PokeID]])=FALSE</f>
        <v>0</v>
      </c>
      <c r="AB84" s="1"/>
      <c r="AC84" s="1"/>
      <c r="AD84" s="43"/>
      <c r="AE84" s="1"/>
      <c r="AF84" s="44"/>
      <c r="AG84" s="1"/>
      <c r="AH84" s="43"/>
      <c r="AI84" s="1"/>
      <c r="AJ84" s="43"/>
      <c r="AK84" s="1"/>
      <c r="AL84" s="1"/>
      <c r="AM84" s="44"/>
      <c r="AN84" s="43"/>
      <c r="AO84" s="1"/>
      <c r="AP84" s="1"/>
      <c r="AQ84" s="1"/>
      <c r="AR84" s="1"/>
      <c r="AS84" s="1"/>
      <c r="AT84" s="243"/>
      <c r="AU84" s="1"/>
      <c r="AV84" s="1"/>
      <c r="AW84" s="1"/>
      <c r="AX84" s="44"/>
      <c r="AY84" s="1"/>
      <c r="AZ84" s="1"/>
    </row>
    <row r="85" spans="24:52">
      <c r="X85" s="1"/>
      <c r="Y85" s="1"/>
      <c r="Z85" s="1" t="s">
        <v>1780</v>
      </c>
      <c r="AA85" s="44" t="b">
        <f>ISBLANK(TableauPokemonCapturé[[#This Row],[PokeID]])=FALSE</f>
        <v>0</v>
      </c>
      <c r="AB85" s="1"/>
      <c r="AC85" s="1"/>
      <c r="AD85" s="43"/>
      <c r="AE85" s="1"/>
      <c r="AF85" s="44"/>
      <c r="AG85" s="1"/>
      <c r="AH85" s="43"/>
      <c r="AI85" s="1"/>
      <c r="AJ85" s="43"/>
      <c r="AK85" s="1"/>
      <c r="AL85" s="1"/>
      <c r="AM85" s="44"/>
      <c r="AN85" s="43"/>
      <c r="AO85" s="1"/>
      <c r="AP85" s="1"/>
      <c r="AQ85" s="1"/>
      <c r="AR85" s="1"/>
      <c r="AS85" s="1"/>
      <c r="AT85" s="243"/>
      <c r="AU85" s="1"/>
      <c r="AV85" s="1"/>
      <c r="AW85" s="1"/>
      <c r="AX85" s="44"/>
      <c r="AY85" s="1"/>
      <c r="AZ85" s="1"/>
    </row>
    <row r="86" spans="24:52">
      <c r="X86" s="1"/>
      <c r="Y86" s="1"/>
      <c r="Z86" s="1" t="s">
        <v>1781</v>
      </c>
      <c r="AA86" s="44" t="b">
        <f>ISBLANK(TableauPokemonCapturé[[#This Row],[PokeID]])=FALSE</f>
        <v>0</v>
      </c>
      <c r="AB86" s="1"/>
      <c r="AC86" s="1"/>
      <c r="AD86" s="43"/>
      <c r="AE86" s="1"/>
      <c r="AF86" s="44"/>
      <c r="AG86" s="1"/>
      <c r="AH86" s="43"/>
      <c r="AI86" s="1"/>
      <c r="AJ86" s="43"/>
      <c r="AK86" s="1"/>
      <c r="AL86" s="1"/>
      <c r="AM86" s="44"/>
      <c r="AN86" s="43"/>
      <c r="AO86" s="1"/>
      <c r="AP86" s="1"/>
      <c r="AQ86" s="1"/>
      <c r="AR86" s="1"/>
      <c r="AS86" s="1"/>
      <c r="AT86" s="243"/>
      <c r="AU86" s="1"/>
      <c r="AV86" s="1"/>
      <c r="AW86" s="1"/>
      <c r="AX86" s="44"/>
      <c r="AY86" s="1"/>
      <c r="AZ86" s="1"/>
    </row>
    <row r="87" spans="24:52">
      <c r="X87" s="1"/>
      <c r="Y87" s="1"/>
      <c r="Z87" s="1" t="s">
        <v>1782</v>
      </c>
      <c r="AA87" s="44" t="b">
        <f>ISBLANK(TableauPokemonCapturé[[#This Row],[PokeID]])=FALSE</f>
        <v>0</v>
      </c>
      <c r="AB87" s="1"/>
      <c r="AC87" s="1"/>
      <c r="AD87" s="43"/>
      <c r="AE87" s="1"/>
      <c r="AF87" s="44"/>
      <c r="AG87" s="1"/>
      <c r="AH87" s="43"/>
      <c r="AI87" s="1"/>
      <c r="AJ87" s="43"/>
      <c r="AK87" s="1"/>
      <c r="AL87" s="1"/>
      <c r="AM87" s="44"/>
      <c r="AN87" s="43"/>
      <c r="AO87" s="1"/>
      <c r="AP87" s="1"/>
      <c r="AQ87" s="1"/>
      <c r="AR87" s="1"/>
      <c r="AS87" s="1"/>
      <c r="AT87" s="243"/>
      <c r="AU87" s="1"/>
      <c r="AV87" s="1"/>
      <c r="AW87" s="1"/>
      <c r="AX87" s="44"/>
      <c r="AY87" s="1"/>
      <c r="AZ87" s="1"/>
    </row>
    <row r="88" spans="24:52">
      <c r="X88" s="1"/>
      <c r="Y88" s="1"/>
      <c r="Z88" s="1" t="s">
        <v>1783</v>
      </c>
      <c r="AA88" s="44" t="b">
        <f>ISBLANK(TableauPokemonCapturé[[#This Row],[PokeID]])=FALSE</f>
        <v>0</v>
      </c>
      <c r="AB88" s="1"/>
      <c r="AC88" s="1"/>
      <c r="AD88" s="43"/>
      <c r="AE88" s="1"/>
      <c r="AF88" s="44"/>
      <c r="AG88" s="1"/>
      <c r="AH88" s="43"/>
      <c r="AI88" s="1"/>
      <c r="AJ88" s="43"/>
      <c r="AK88" s="1"/>
      <c r="AL88" s="1"/>
      <c r="AM88" s="44"/>
      <c r="AN88" s="43"/>
      <c r="AO88" s="1"/>
      <c r="AP88" s="1"/>
      <c r="AQ88" s="1"/>
      <c r="AR88" s="1"/>
      <c r="AS88" s="1"/>
      <c r="AT88" s="243"/>
      <c r="AU88" s="1"/>
      <c r="AV88" s="1"/>
      <c r="AW88" s="1"/>
      <c r="AX88" s="44"/>
      <c r="AY88" s="1"/>
      <c r="AZ88" s="1"/>
    </row>
    <row r="89" spans="24:52">
      <c r="X89" s="1"/>
      <c r="Y89" s="1"/>
      <c r="Z89" s="1"/>
      <c r="AA89" s="368"/>
      <c r="AB89" s="1"/>
      <c r="AC89" s="1"/>
      <c r="AD89" s="43"/>
      <c r="AE89" s="1"/>
      <c r="AF89" s="44"/>
      <c r="AG89" s="1"/>
      <c r="AH89" s="43"/>
      <c r="AI89" s="1"/>
      <c r="AJ89" s="43"/>
      <c r="AK89" s="1"/>
      <c r="AL89" s="1"/>
      <c r="AM89" s="44"/>
      <c r="AN89" s="43"/>
      <c r="AO89" s="1"/>
      <c r="AP89" s="1"/>
      <c r="AQ89" s="1"/>
      <c r="AR89" s="1"/>
      <c r="AS89" s="1"/>
      <c r="AT89" s="243"/>
      <c r="AU89" s="1"/>
      <c r="AV89" s="1"/>
      <c r="AW89" s="1"/>
      <c r="AX89" s="44"/>
      <c r="AY89" s="1"/>
      <c r="AZ89" s="1"/>
    </row>
  </sheetData>
  <phoneticPr fontId="24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7" name="Button 32">
              <controlPr defaultSize="0" print="0" autoFill="0" autoPict="0" macro="[0]!AA1_ResetAllEvents">
                <anchor moveWithCells="1" sizeWithCells="1">
                  <from>
                    <xdr:col>16</xdr:col>
                    <xdr:colOff>198120</xdr:colOff>
                    <xdr:row>4</xdr:row>
                    <xdr:rowOff>129540</xdr:rowOff>
                  </from>
                  <to>
                    <xdr:col>17</xdr:col>
                    <xdr:colOff>198120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  <x14:dataValidation type="list" allowBlank="1" showInputMessage="1" showErrorMessage="1" xr:uid="{3EE5D7B7-EA85-4EAD-907E-61650FCF968E}">
          <x14:formula1>
            <xm:f>'Data Pokemon'!$C$4:$C$653</xm:f>
          </x14:formula1>
          <xm:sqref>BF3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opLeftCell="AG272" zoomScale="119" zoomScaleNormal="370" workbookViewId="0">
      <selection activeCell="CJ207" sqref="CJ207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194" t="s">
        <v>73</v>
      </c>
      <c r="Y2" s="207" t="s">
        <v>73</v>
      </c>
      <c r="Z2" s="207" t="s">
        <v>73</v>
      </c>
      <c r="AA2" s="207" t="s">
        <v>73</v>
      </c>
      <c r="AB2" s="207" t="s">
        <v>73</v>
      </c>
      <c r="AC2" s="207" t="s">
        <v>73</v>
      </c>
      <c r="AD2" s="207" t="s">
        <v>73</v>
      </c>
      <c r="AE2" s="207" t="s">
        <v>73</v>
      </c>
      <c r="AF2" s="207" t="s">
        <v>73</v>
      </c>
      <c r="AG2" s="207" t="s">
        <v>73</v>
      </c>
      <c r="AH2" s="207" t="s">
        <v>73</v>
      </c>
      <c r="AI2" s="207" t="s">
        <v>73</v>
      </c>
      <c r="AJ2" s="207" t="s">
        <v>73</v>
      </c>
      <c r="AK2" s="207" t="s">
        <v>73</v>
      </c>
      <c r="AL2" s="207" t="s">
        <v>73</v>
      </c>
      <c r="AM2" s="207" t="s">
        <v>73</v>
      </c>
      <c r="AN2" s="207" t="s">
        <v>73</v>
      </c>
      <c r="AO2" s="207" t="s">
        <v>73</v>
      </c>
      <c r="AP2" s="207" t="s">
        <v>73</v>
      </c>
      <c r="AQ2" s="207" t="s">
        <v>73</v>
      </c>
      <c r="AR2" s="207" t="s">
        <v>73</v>
      </c>
      <c r="AS2" s="207" t="s">
        <v>73</v>
      </c>
      <c r="AT2" s="207" t="s">
        <v>73</v>
      </c>
      <c r="AU2" s="207" t="s">
        <v>73</v>
      </c>
      <c r="AV2" s="207" t="s">
        <v>73</v>
      </c>
      <c r="AW2" s="207" t="s">
        <v>73</v>
      </c>
      <c r="AX2" s="207" t="s">
        <v>73</v>
      </c>
      <c r="AY2" s="207" t="s">
        <v>73</v>
      </c>
      <c r="AZ2" s="207" t="s">
        <v>73</v>
      </c>
      <c r="BA2" s="207" t="s">
        <v>73</v>
      </c>
      <c r="BB2" s="207" t="s">
        <v>73</v>
      </c>
      <c r="BC2" s="207" t="s">
        <v>73</v>
      </c>
      <c r="BD2" s="207" t="s">
        <v>73</v>
      </c>
      <c r="BE2" s="207" t="s">
        <v>73</v>
      </c>
      <c r="BF2" s="207" t="s">
        <v>73</v>
      </c>
      <c r="BG2" s="207" t="s">
        <v>73</v>
      </c>
      <c r="BH2" s="207" t="s">
        <v>73</v>
      </c>
      <c r="BI2" s="207" t="s">
        <v>73</v>
      </c>
      <c r="BJ2" s="207" t="s">
        <v>73</v>
      </c>
      <c r="BK2" s="207" t="s">
        <v>73</v>
      </c>
      <c r="BL2" s="207" t="s">
        <v>73</v>
      </c>
      <c r="BM2" s="207" t="s">
        <v>73</v>
      </c>
      <c r="BN2" s="207" t="s">
        <v>73</v>
      </c>
      <c r="BO2" s="207" t="s">
        <v>73</v>
      </c>
      <c r="BP2" s="207" t="s">
        <v>73</v>
      </c>
      <c r="BQ2" s="207" t="s">
        <v>73</v>
      </c>
      <c r="BR2" s="207" t="s">
        <v>73</v>
      </c>
      <c r="BS2" s="207" t="s">
        <v>73</v>
      </c>
      <c r="BT2" s="207" t="s">
        <v>73</v>
      </c>
      <c r="BU2" s="207" t="s">
        <v>73</v>
      </c>
      <c r="BV2" s="207" t="s">
        <v>73</v>
      </c>
      <c r="BW2" s="207" t="s">
        <v>73</v>
      </c>
      <c r="BX2" s="207" t="s">
        <v>73</v>
      </c>
      <c r="BY2" s="195" t="s">
        <v>73</v>
      </c>
    </row>
    <row r="3" spans="24:120" ht="9" customHeight="1">
      <c r="X3" s="196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197" t="s">
        <v>73</v>
      </c>
      <c r="DD3" s="230" t="s">
        <v>73</v>
      </c>
      <c r="DE3" s="233" t="s">
        <v>73</v>
      </c>
      <c r="DF3" s="233" t="s">
        <v>73</v>
      </c>
      <c r="DG3" s="233" t="s">
        <v>73</v>
      </c>
      <c r="DH3" s="233" t="s">
        <v>73</v>
      </c>
      <c r="DI3" s="233" t="s">
        <v>73</v>
      </c>
      <c r="DJ3" s="233" t="s">
        <v>73</v>
      </c>
      <c r="DK3" s="233" t="s">
        <v>73</v>
      </c>
      <c r="DL3" s="233" t="s">
        <v>73</v>
      </c>
      <c r="DM3" s="233" t="s">
        <v>73</v>
      </c>
      <c r="DN3" s="233" t="s">
        <v>73</v>
      </c>
      <c r="DO3" s="233" t="s">
        <v>73</v>
      </c>
      <c r="DP3" s="234" t="s">
        <v>73</v>
      </c>
    </row>
    <row r="4" spans="24:120" ht="9" customHeight="1">
      <c r="X4" s="196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197" t="s">
        <v>73</v>
      </c>
      <c r="DD4" s="231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35" t="s">
        <v>73</v>
      </c>
    </row>
    <row r="5" spans="24:120" ht="9" customHeight="1">
      <c r="X5" s="196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197" t="s">
        <v>73</v>
      </c>
      <c r="DD5" s="231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35" t="s">
        <v>73</v>
      </c>
    </row>
    <row r="6" spans="24:120" ht="9" customHeight="1">
      <c r="X6" s="19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197" t="s">
        <v>73</v>
      </c>
      <c r="DD6" s="231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35" t="s">
        <v>73</v>
      </c>
    </row>
    <row r="7" spans="24:120" ht="9" customHeight="1">
      <c r="X7" s="196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197" t="s">
        <v>73</v>
      </c>
      <c r="DD7" s="231" t="s">
        <v>73</v>
      </c>
      <c r="DJ7" t="s">
        <v>73</v>
      </c>
      <c r="DP7" s="235" t="s">
        <v>73</v>
      </c>
    </row>
    <row r="8" spans="24:120" ht="9" customHeight="1">
      <c r="X8" s="196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197" t="s">
        <v>73</v>
      </c>
      <c r="DD8" s="231" t="s">
        <v>73</v>
      </c>
      <c r="DL8" s="229" t="s">
        <v>1888</v>
      </c>
      <c r="DM8" s="229" t="s">
        <v>1887</v>
      </c>
      <c r="DN8" s="229" t="s">
        <v>1886</v>
      </c>
      <c r="DP8" s="235" t="s">
        <v>73</v>
      </c>
    </row>
    <row r="9" spans="24:120" ht="9" customHeight="1">
      <c r="X9" s="196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197" t="s">
        <v>73</v>
      </c>
      <c r="DD9" s="231" t="s">
        <v>73</v>
      </c>
      <c r="DG9" t="s">
        <v>73</v>
      </c>
      <c r="DH9" t="s">
        <v>73</v>
      </c>
      <c r="DL9" s="229" t="s">
        <v>1888</v>
      </c>
      <c r="DM9" s="229" t="s">
        <v>1887</v>
      </c>
      <c r="DN9" s="229" t="s">
        <v>1886</v>
      </c>
      <c r="DP9" s="235" t="s">
        <v>73</v>
      </c>
    </row>
    <row r="10" spans="24:120" ht="9" customHeight="1">
      <c r="X10" s="196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197" t="s">
        <v>73</v>
      </c>
      <c r="DD10" s="231" t="s">
        <v>73</v>
      </c>
      <c r="DE10" t="s">
        <v>73</v>
      </c>
      <c r="DF10" t="s">
        <v>73</v>
      </c>
      <c r="DG10" t="s">
        <v>73</v>
      </c>
      <c r="DH10" t="s">
        <v>73</v>
      </c>
      <c r="DP10" s="235" t="s">
        <v>73</v>
      </c>
    </row>
    <row r="11" spans="24:120" ht="9" customHeight="1">
      <c r="X11" s="196" t="s">
        <v>73</v>
      </c>
      <c r="Y11" t="s">
        <v>73</v>
      </c>
      <c r="Z11" t="s">
        <v>73</v>
      </c>
      <c r="AA11" t="s">
        <v>73</v>
      </c>
      <c r="AB11" t="s">
        <v>1430</v>
      </c>
      <c r="AC11" t="s">
        <v>1430</v>
      </c>
      <c r="AD11" t="s">
        <v>1430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197" t="s">
        <v>73</v>
      </c>
      <c r="DD11" s="231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35" t="s">
        <v>73</v>
      </c>
    </row>
    <row r="12" spans="24:120" ht="9" customHeight="1">
      <c r="X12" s="196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197" t="s">
        <v>73</v>
      </c>
      <c r="DD12" s="231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35" t="s">
        <v>73</v>
      </c>
    </row>
    <row r="13" spans="24:120" ht="9" customHeight="1">
      <c r="X13" s="196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197" t="s">
        <v>73</v>
      </c>
      <c r="DD13" s="231" t="s">
        <v>73</v>
      </c>
      <c r="DE13" s="229" t="s">
        <v>1418</v>
      </c>
      <c r="DF13" s="229" t="s">
        <v>1418</v>
      </c>
      <c r="DL13" t="s">
        <v>73</v>
      </c>
      <c r="DO13" t="s">
        <v>73</v>
      </c>
      <c r="DP13" s="235" t="s">
        <v>73</v>
      </c>
    </row>
    <row r="14" spans="24:120" ht="9" customHeight="1">
      <c r="X14" s="196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1346</v>
      </c>
      <c r="AJ14" t="s">
        <v>1346</v>
      </c>
      <c r="AK14" t="s">
        <v>1346</v>
      </c>
      <c r="AL14" t="s">
        <v>1346</v>
      </c>
      <c r="AM14" t="s">
        <v>1346</v>
      </c>
      <c r="AN14" t="s">
        <v>73</v>
      </c>
      <c r="AO14" t="s">
        <v>73</v>
      </c>
      <c r="AP14" t="s">
        <v>73</v>
      </c>
      <c r="AQ14" t="s">
        <v>1346</v>
      </c>
      <c r="AR14" t="s">
        <v>1346</v>
      </c>
      <c r="AS14" t="s">
        <v>1346</v>
      </c>
      <c r="AT14" t="s">
        <v>1346</v>
      </c>
      <c r="AU14" t="s">
        <v>1346</v>
      </c>
      <c r="AV14" t="s">
        <v>73</v>
      </c>
      <c r="AW14" t="s">
        <v>73</v>
      </c>
      <c r="AX14" t="s">
        <v>73</v>
      </c>
      <c r="AY14" t="s">
        <v>1346</v>
      </c>
      <c r="AZ14" t="s">
        <v>1346</v>
      </c>
      <c r="BA14" t="s">
        <v>1346</v>
      </c>
      <c r="BB14" t="s">
        <v>1346</v>
      </c>
      <c r="BC14" t="s">
        <v>1346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197" t="s">
        <v>73</v>
      </c>
      <c r="DD14" s="231" t="s">
        <v>73</v>
      </c>
      <c r="DE14" s="229" t="s">
        <v>1418</v>
      </c>
      <c r="DF14" s="229" t="s">
        <v>1418</v>
      </c>
      <c r="DO14" t="s">
        <v>73</v>
      </c>
      <c r="DP14" s="235" t="s">
        <v>73</v>
      </c>
    </row>
    <row r="15" spans="24:120" ht="9" customHeight="1">
      <c r="X15" s="196" t="s">
        <v>73</v>
      </c>
      <c r="Y15" t="s">
        <v>73</v>
      </c>
      <c r="Z15" t="s">
        <v>73</v>
      </c>
      <c r="AA15" t="s">
        <v>1346</v>
      </c>
      <c r="AB15" t="s">
        <v>1346</v>
      </c>
      <c r="AC15" t="s">
        <v>1346</v>
      </c>
      <c r="AD15" t="s">
        <v>1346</v>
      </c>
      <c r="AE15" t="s">
        <v>1346</v>
      </c>
      <c r="AF15" t="s">
        <v>73</v>
      </c>
      <c r="AG15" t="s">
        <v>73</v>
      </c>
      <c r="AH15" t="s">
        <v>73</v>
      </c>
      <c r="AI15" t="s">
        <v>1346</v>
      </c>
      <c r="AJ15" t="s">
        <v>1346</v>
      </c>
      <c r="AK15" t="s">
        <v>1346</v>
      </c>
      <c r="AL15" t="s">
        <v>1346</v>
      </c>
      <c r="AM15" t="s">
        <v>1346</v>
      </c>
      <c r="AN15" t="s">
        <v>73</v>
      </c>
      <c r="AO15" t="s">
        <v>73</v>
      </c>
      <c r="AP15" t="s">
        <v>73</v>
      </c>
      <c r="AQ15" t="s">
        <v>1346</v>
      </c>
      <c r="AR15" t="s">
        <v>1346</v>
      </c>
      <c r="AS15" t="s">
        <v>1346</v>
      </c>
      <c r="AT15" t="s">
        <v>1346</v>
      </c>
      <c r="AU15" t="s">
        <v>1346</v>
      </c>
      <c r="AV15" t="s">
        <v>73</v>
      </c>
      <c r="AW15" t="s">
        <v>73</v>
      </c>
      <c r="AX15" t="s">
        <v>73</v>
      </c>
      <c r="AY15" t="s">
        <v>1346</v>
      </c>
      <c r="AZ15" t="s">
        <v>1346</v>
      </c>
      <c r="BA15" t="s">
        <v>1346</v>
      </c>
      <c r="BB15" t="s">
        <v>1346</v>
      </c>
      <c r="BC15" t="s">
        <v>1346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197" t="s">
        <v>73</v>
      </c>
      <c r="DD15" s="231" t="s">
        <v>73</v>
      </c>
      <c r="DP15" s="235" t="s">
        <v>73</v>
      </c>
    </row>
    <row r="16" spans="24:120" ht="9" customHeight="1" thickBot="1">
      <c r="X16" s="196" t="s">
        <v>73</v>
      </c>
      <c r="Y16" t="s">
        <v>73</v>
      </c>
      <c r="Z16" t="s">
        <v>73</v>
      </c>
      <c r="AA16" t="s">
        <v>1346</v>
      </c>
      <c r="AB16" t="s">
        <v>1346</v>
      </c>
      <c r="AC16" t="s">
        <v>1346</v>
      </c>
      <c r="AD16" t="s">
        <v>1346</v>
      </c>
      <c r="AE16" t="s">
        <v>1346</v>
      </c>
      <c r="AF16" t="s">
        <v>73</v>
      </c>
      <c r="AG16" t="s">
        <v>73</v>
      </c>
      <c r="AH16" t="s">
        <v>73</v>
      </c>
      <c r="AI16" t="s">
        <v>1346</v>
      </c>
      <c r="AJ16" t="s">
        <v>1346</v>
      </c>
      <c r="AK16" t="s">
        <v>1346</v>
      </c>
      <c r="AL16" t="s">
        <v>1346</v>
      </c>
      <c r="AM16" t="s">
        <v>1346</v>
      </c>
      <c r="AN16" t="s">
        <v>73</v>
      </c>
      <c r="AO16" t="s">
        <v>73</v>
      </c>
      <c r="AP16" t="s">
        <v>73</v>
      </c>
      <c r="AQ16" t="s">
        <v>1346</v>
      </c>
      <c r="AR16" t="s">
        <v>1346</v>
      </c>
      <c r="AS16" t="s">
        <v>1346</v>
      </c>
      <c r="AT16" t="s">
        <v>1346</v>
      </c>
      <c r="AU16" t="s">
        <v>1346</v>
      </c>
      <c r="AV16" t="s">
        <v>73</v>
      </c>
      <c r="AW16" t="s">
        <v>73</v>
      </c>
      <c r="AX16" t="s">
        <v>73</v>
      </c>
      <c r="AY16" t="s">
        <v>1346</v>
      </c>
      <c r="AZ16" t="s">
        <v>1346</v>
      </c>
      <c r="BA16" t="s">
        <v>1346</v>
      </c>
      <c r="BB16" t="s">
        <v>1346</v>
      </c>
      <c r="BC16" t="s">
        <v>1346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197" t="s">
        <v>73</v>
      </c>
      <c r="DD16" s="232" t="s">
        <v>73</v>
      </c>
      <c r="DE16" s="232" t="s">
        <v>73</v>
      </c>
      <c r="DF16" s="232" t="s">
        <v>73</v>
      </c>
      <c r="DG16" s="232" t="s">
        <v>73</v>
      </c>
      <c r="DH16" s="232" t="s">
        <v>73</v>
      </c>
      <c r="DI16" s="232" t="s">
        <v>73</v>
      </c>
      <c r="DJ16" s="232" t="s">
        <v>1424</v>
      </c>
      <c r="DK16" s="232" t="s">
        <v>73</v>
      </c>
      <c r="DL16" s="232" t="s">
        <v>73</v>
      </c>
      <c r="DM16" s="232" t="s">
        <v>73</v>
      </c>
      <c r="DN16" s="232" t="s">
        <v>73</v>
      </c>
      <c r="DO16" s="232" t="s">
        <v>73</v>
      </c>
      <c r="DP16" s="232" t="s">
        <v>73</v>
      </c>
    </row>
    <row r="17" spans="24:77" ht="9" customHeight="1">
      <c r="X17" s="196" t="s">
        <v>73</v>
      </c>
      <c r="Y17" t="s">
        <v>73</v>
      </c>
      <c r="Z17" t="s">
        <v>73</v>
      </c>
      <c r="AA17" t="s">
        <v>1346</v>
      </c>
      <c r="AB17" t="s">
        <v>1346</v>
      </c>
      <c r="AC17" t="s">
        <v>1346</v>
      </c>
      <c r="AD17" t="s">
        <v>1346</v>
      </c>
      <c r="AE17" t="s">
        <v>1346</v>
      </c>
      <c r="AF17" t="s">
        <v>73</v>
      </c>
      <c r="AG17" t="s">
        <v>73</v>
      </c>
      <c r="AH17" t="s">
        <v>73</v>
      </c>
      <c r="AI17" t="s">
        <v>1346</v>
      </c>
      <c r="AJ17" t="s">
        <v>1346</v>
      </c>
      <c r="AK17" t="s">
        <v>1346</v>
      </c>
      <c r="AL17" t="s">
        <v>1346</v>
      </c>
      <c r="AM17" t="s">
        <v>1346</v>
      </c>
      <c r="AN17" t="s">
        <v>73</v>
      </c>
      <c r="AO17" t="s">
        <v>73</v>
      </c>
      <c r="AP17" t="s">
        <v>73</v>
      </c>
      <c r="AQ17" t="s">
        <v>1346</v>
      </c>
      <c r="AR17" t="s">
        <v>1346</v>
      </c>
      <c r="AS17" t="s">
        <v>1346</v>
      </c>
      <c r="AT17" t="s">
        <v>1346</v>
      </c>
      <c r="AU17" t="s">
        <v>1346</v>
      </c>
      <c r="AV17" t="s">
        <v>73</v>
      </c>
      <c r="AW17" t="s">
        <v>73</v>
      </c>
      <c r="AX17" t="s">
        <v>73</v>
      </c>
      <c r="AY17" t="s">
        <v>1346</v>
      </c>
      <c r="AZ17" t="s">
        <v>1346</v>
      </c>
      <c r="BA17" t="s">
        <v>1346</v>
      </c>
      <c r="BB17" t="s">
        <v>1346</v>
      </c>
      <c r="BC17" t="s">
        <v>1346</v>
      </c>
      <c r="BD17" t="s">
        <v>1346</v>
      </c>
      <c r="BE17" t="s">
        <v>1346</v>
      </c>
      <c r="BF17" t="s">
        <v>1346</v>
      </c>
      <c r="BG17" t="s">
        <v>1346</v>
      </c>
      <c r="BH17" t="s">
        <v>1346</v>
      </c>
      <c r="BI17" t="s">
        <v>1346</v>
      </c>
      <c r="BW17" t="s">
        <v>73</v>
      </c>
      <c r="BX17" t="s">
        <v>73</v>
      </c>
      <c r="BY17" s="197" t="s">
        <v>73</v>
      </c>
    </row>
    <row r="18" spans="24:77" ht="9" customHeight="1">
      <c r="X18" s="196" t="s">
        <v>73</v>
      </c>
      <c r="Y18" t="s">
        <v>73</v>
      </c>
      <c r="Z18" t="s">
        <v>73</v>
      </c>
      <c r="AA18" t="s">
        <v>1346</v>
      </c>
      <c r="AB18" t="s">
        <v>1346</v>
      </c>
      <c r="AC18" t="s">
        <v>1346</v>
      </c>
      <c r="AD18" t="s">
        <v>1346</v>
      </c>
      <c r="AE18" t="s">
        <v>1346</v>
      </c>
      <c r="AF18" t="s">
        <v>73</v>
      </c>
      <c r="AG18" t="s">
        <v>73</v>
      </c>
      <c r="AH18" t="s">
        <v>73</v>
      </c>
      <c r="AI18" t="s">
        <v>1346</v>
      </c>
      <c r="AJ18" t="s">
        <v>1346</v>
      </c>
      <c r="AK18" t="s">
        <v>1346</v>
      </c>
      <c r="AL18" t="s">
        <v>1346</v>
      </c>
      <c r="AM18" t="s">
        <v>1346</v>
      </c>
      <c r="AN18" t="s">
        <v>73</v>
      </c>
      <c r="AO18" t="s">
        <v>73</v>
      </c>
      <c r="AP18" t="s">
        <v>73</v>
      </c>
      <c r="AQ18" t="s">
        <v>1346</v>
      </c>
      <c r="AR18" t="s">
        <v>1346</v>
      </c>
      <c r="AS18" t="s">
        <v>1346</v>
      </c>
      <c r="AT18" t="s">
        <v>1346</v>
      </c>
      <c r="AU18" t="s">
        <v>1346</v>
      </c>
      <c r="AV18" t="s">
        <v>73</v>
      </c>
      <c r="AW18" t="s">
        <v>73</v>
      </c>
      <c r="AX18" t="s">
        <v>73</v>
      </c>
      <c r="AY18" t="s">
        <v>1346</v>
      </c>
      <c r="AZ18" t="s">
        <v>1346</v>
      </c>
      <c r="BA18" t="s">
        <v>1346</v>
      </c>
      <c r="BB18" t="s">
        <v>1346</v>
      </c>
      <c r="BC18" t="s">
        <v>1346</v>
      </c>
      <c r="BD18" t="s">
        <v>1346</v>
      </c>
      <c r="BE18" t="s">
        <v>1346</v>
      </c>
      <c r="BF18" t="s">
        <v>1346</v>
      </c>
      <c r="BG18" t="s">
        <v>1346</v>
      </c>
      <c r="BH18" t="s">
        <v>1346</v>
      </c>
      <c r="BI18" t="s">
        <v>1346</v>
      </c>
      <c r="BW18" t="s">
        <v>73</v>
      </c>
      <c r="BX18" t="s">
        <v>73</v>
      </c>
      <c r="BY18" s="197" t="s">
        <v>73</v>
      </c>
    </row>
    <row r="19" spans="24:77" ht="9" customHeight="1">
      <c r="X19" s="196" t="s">
        <v>73</v>
      </c>
      <c r="Y19" t="s">
        <v>73</v>
      </c>
      <c r="Z19" t="s">
        <v>73</v>
      </c>
      <c r="AA19" t="s">
        <v>1346</v>
      </c>
      <c r="AB19" t="s">
        <v>1346</v>
      </c>
      <c r="AC19" t="s">
        <v>1346</v>
      </c>
      <c r="AD19" t="s">
        <v>1346</v>
      </c>
      <c r="AE19" t="s">
        <v>1346</v>
      </c>
      <c r="AF19" t="s">
        <v>73</v>
      </c>
      <c r="AG19" t="s">
        <v>73</v>
      </c>
      <c r="AH19" t="s">
        <v>73</v>
      </c>
      <c r="AI19" t="s">
        <v>1346</v>
      </c>
      <c r="AJ19" t="s">
        <v>1346</v>
      </c>
      <c r="AK19" t="s">
        <v>1346</v>
      </c>
      <c r="AL19" t="s">
        <v>1346</v>
      </c>
      <c r="AM19" t="s">
        <v>1346</v>
      </c>
      <c r="AN19" t="s">
        <v>73</v>
      </c>
      <c r="AO19" t="s">
        <v>73</v>
      </c>
      <c r="AP19" t="s">
        <v>73</v>
      </c>
      <c r="AQ19" t="s">
        <v>1346</v>
      </c>
      <c r="AR19" t="s">
        <v>1346</v>
      </c>
      <c r="AS19" t="s">
        <v>1346</v>
      </c>
      <c r="AT19" t="s">
        <v>1346</v>
      </c>
      <c r="AU19" t="s">
        <v>1346</v>
      </c>
      <c r="AV19" t="s">
        <v>73</v>
      </c>
      <c r="AW19" t="s">
        <v>73</v>
      </c>
      <c r="AX19" t="s">
        <v>73</v>
      </c>
      <c r="AY19" t="s">
        <v>1346</v>
      </c>
      <c r="AZ19" t="s">
        <v>1346</v>
      </c>
      <c r="BA19" t="s">
        <v>1346</v>
      </c>
      <c r="BB19" t="s">
        <v>1346</v>
      </c>
      <c r="BC19" t="s">
        <v>1346</v>
      </c>
      <c r="BD19" t="s">
        <v>1346</v>
      </c>
      <c r="BE19" t="s">
        <v>1346</v>
      </c>
      <c r="BF19" t="s">
        <v>1346</v>
      </c>
      <c r="BG19" t="s">
        <v>1346</v>
      </c>
      <c r="BH19" t="s">
        <v>1346</v>
      </c>
      <c r="BI19" t="s">
        <v>1346</v>
      </c>
      <c r="BW19" t="s">
        <v>73</v>
      </c>
      <c r="BX19" t="s">
        <v>73</v>
      </c>
      <c r="BY19" s="197" t="s">
        <v>73</v>
      </c>
    </row>
    <row r="20" spans="24:77" ht="9" customHeight="1">
      <c r="X20" s="196" t="s">
        <v>73</v>
      </c>
      <c r="Y20" t="s">
        <v>73</v>
      </c>
      <c r="Z20" t="s">
        <v>73</v>
      </c>
      <c r="AA20" t="s">
        <v>1346</v>
      </c>
      <c r="AB20" t="s">
        <v>1346</v>
      </c>
      <c r="AC20" t="s">
        <v>1346</v>
      </c>
      <c r="AD20" t="s">
        <v>1346</v>
      </c>
      <c r="AE20" t="s">
        <v>1346</v>
      </c>
      <c r="AF20" t="s">
        <v>73</v>
      </c>
      <c r="AG20" t="s">
        <v>73</v>
      </c>
      <c r="AH20" t="s">
        <v>73</v>
      </c>
      <c r="AI20" t="s">
        <v>1346</v>
      </c>
      <c r="AJ20" t="s">
        <v>1346</v>
      </c>
      <c r="AK20" t="s">
        <v>1346</v>
      </c>
      <c r="AL20" t="s">
        <v>1346</v>
      </c>
      <c r="AM20" t="s">
        <v>1346</v>
      </c>
      <c r="AN20" t="s">
        <v>73</v>
      </c>
      <c r="AO20" t="s">
        <v>73</v>
      </c>
      <c r="AP20" t="s">
        <v>73</v>
      </c>
      <c r="AQ20" t="s">
        <v>1346</v>
      </c>
      <c r="AR20" t="s">
        <v>1346</v>
      </c>
      <c r="AS20" t="s">
        <v>1346</v>
      </c>
      <c r="AT20" t="s">
        <v>1346</v>
      </c>
      <c r="AU20" t="s">
        <v>1346</v>
      </c>
      <c r="AV20" t="s">
        <v>73</v>
      </c>
      <c r="AW20" t="s">
        <v>73</v>
      </c>
      <c r="AX20" t="s">
        <v>73</v>
      </c>
      <c r="AY20" t="s">
        <v>1346</v>
      </c>
      <c r="AZ20" t="s">
        <v>1346</v>
      </c>
      <c r="BA20" t="s">
        <v>1346</v>
      </c>
      <c r="BB20" t="s">
        <v>1346</v>
      </c>
      <c r="BC20" t="s">
        <v>1346</v>
      </c>
      <c r="BD20" t="s">
        <v>1346</v>
      </c>
      <c r="BE20" t="s">
        <v>1346</v>
      </c>
      <c r="BF20" t="s">
        <v>1346</v>
      </c>
      <c r="BG20" t="s">
        <v>1346</v>
      </c>
      <c r="BH20" t="s">
        <v>1346</v>
      </c>
      <c r="BI20" t="s">
        <v>1346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197" t="s">
        <v>73</v>
      </c>
    </row>
    <row r="21" spans="24:77" ht="9" customHeight="1">
      <c r="X21" s="196" t="s">
        <v>73</v>
      </c>
      <c r="Y21" t="s">
        <v>73</v>
      </c>
      <c r="Z21" t="s">
        <v>73</v>
      </c>
      <c r="AA21" t="s">
        <v>1346</v>
      </c>
      <c r="AB21" t="s">
        <v>1346</v>
      </c>
      <c r="AC21" t="s">
        <v>1346</v>
      </c>
      <c r="AD21" t="s">
        <v>1346</v>
      </c>
      <c r="AE21" t="s">
        <v>1346</v>
      </c>
      <c r="AF21" t="s">
        <v>73</v>
      </c>
      <c r="AG21" t="s">
        <v>73</v>
      </c>
      <c r="AH21" t="s">
        <v>73</v>
      </c>
      <c r="AI21" t="s">
        <v>1346</v>
      </c>
      <c r="AJ21" t="s">
        <v>1346</v>
      </c>
      <c r="AK21" t="s">
        <v>1346</v>
      </c>
      <c r="AL21" t="s">
        <v>1346</v>
      </c>
      <c r="AM21" t="s">
        <v>1346</v>
      </c>
      <c r="AN21" t="s">
        <v>73</v>
      </c>
      <c r="AO21" t="s">
        <v>73</v>
      </c>
      <c r="AP21" t="s">
        <v>73</v>
      </c>
      <c r="AQ21" t="s">
        <v>1346</v>
      </c>
      <c r="AR21" t="s">
        <v>1346</v>
      </c>
      <c r="AS21" t="s">
        <v>1346</v>
      </c>
      <c r="AT21" t="s">
        <v>1346</v>
      </c>
      <c r="AU21" t="s">
        <v>1346</v>
      </c>
      <c r="AV21" t="s">
        <v>73</v>
      </c>
      <c r="AW21" t="s">
        <v>73</v>
      </c>
      <c r="AX21" t="s">
        <v>73</v>
      </c>
      <c r="AY21" t="s">
        <v>1346</v>
      </c>
      <c r="AZ21" t="s">
        <v>1346</v>
      </c>
      <c r="BA21" t="s">
        <v>1346</v>
      </c>
      <c r="BB21" t="s">
        <v>1346</v>
      </c>
      <c r="BC21" t="s">
        <v>1346</v>
      </c>
      <c r="BD21" t="s">
        <v>1346</v>
      </c>
      <c r="BE21" t="s">
        <v>1346</v>
      </c>
      <c r="BF21" t="s">
        <v>1346</v>
      </c>
      <c r="BG21" t="s">
        <v>1346</v>
      </c>
      <c r="BH21" t="s">
        <v>1346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197" t="s">
        <v>73</v>
      </c>
    </row>
    <row r="22" spans="24:77" ht="9" customHeight="1">
      <c r="X22" s="196" t="s">
        <v>73</v>
      </c>
      <c r="Y22" t="s">
        <v>73</v>
      </c>
      <c r="Z22" t="s">
        <v>73</v>
      </c>
      <c r="AA22" t="s">
        <v>1346</v>
      </c>
      <c r="AB22" t="s">
        <v>1346</v>
      </c>
      <c r="AC22" t="s">
        <v>1346</v>
      </c>
      <c r="AD22" t="s">
        <v>1346</v>
      </c>
      <c r="AE22" t="s">
        <v>1346</v>
      </c>
      <c r="AF22" t="s">
        <v>73</v>
      </c>
      <c r="AG22" t="s">
        <v>73</v>
      </c>
      <c r="AH22" t="s">
        <v>73</v>
      </c>
      <c r="AI22" t="s">
        <v>1346</v>
      </c>
      <c r="AJ22" t="s">
        <v>1346</v>
      </c>
      <c r="AK22" t="s">
        <v>1346</v>
      </c>
      <c r="AL22" t="s">
        <v>1346</v>
      </c>
      <c r="AM22" t="s">
        <v>1346</v>
      </c>
      <c r="AN22" t="s">
        <v>73</v>
      </c>
      <c r="AO22" t="s">
        <v>73</v>
      </c>
      <c r="AP22" t="s">
        <v>73</v>
      </c>
      <c r="AQ22" t="s">
        <v>1346</v>
      </c>
      <c r="AR22" t="s">
        <v>1346</v>
      </c>
      <c r="AS22" t="s">
        <v>1346</v>
      </c>
      <c r="AT22" t="s">
        <v>1346</v>
      </c>
      <c r="AU22" t="s">
        <v>1346</v>
      </c>
      <c r="AV22" t="s">
        <v>73</v>
      </c>
      <c r="AW22" t="s">
        <v>73</v>
      </c>
      <c r="AX22" t="s">
        <v>73</v>
      </c>
      <c r="AY22" t="s">
        <v>1346</v>
      </c>
      <c r="AZ22" t="s">
        <v>1346</v>
      </c>
      <c r="BA22" t="s">
        <v>1346</v>
      </c>
      <c r="BB22" t="s">
        <v>1346</v>
      </c>
      <c r="BC22" t="s">
        <v>1346</v>
      </c>
      <c r="BD22" t="s">
        <v>1346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197" t="s">
        <v>73</v>
      </c>
    </row>
    <row r="23" spans="24:77" ht="9" customHeight="1">
      <c r="X23" s="196" t="s">
        <v>73</v>
      </c>
      <c r="Y23" t="s">
        <v>73</v>
      </c>
      <c r="Z23" t="s">
        <v>73</v>
      </c>
      <c r="AA23" t="s">
        <v>1346</v>
      </c>
      <c r="AB23" t="s">
        <v>1346</v>
      </c>
      <c r="AC23" t="s">
        <v>1346</v>
      </c>
      <c r="AD23" t="s">
        <v>1346</v>
      </c>
      <c r="AE23" t="s">
        <v>1346</v>
      </c>
      <c r="AF23" t="s">
        <v>73</v>
      </c>
      <c r="AG23" t="s">
        <v>73</v>
      </c>
      <c r="AH23" t="s">
        <v>73</v>
      </c>
      <c r="AI23" t="s">
        <v>1346</v>
      </c>
      <c r="AJ23" t="s">
        <v>1346</v>
      </c>
      <c r="AK23" t="s">
        <v>1346</v>
      </c>
      <c r="AL23" t="s">
        <v>1346</v>
      </c>
      <c r="AM23" t="s">
        <v>1346</v>
      </c>
      <c r="AN23" t="s">
        <v>73</v>
      </c>
      <c r="AO23" t="s">
        <v>73</v>
      </c>
      <c r="AP23" t="s">
        <v>73</v>
      </c>
      <c r="AQ23" t="s">
        <v>1346</v>
      </c>
      <c r="AR23" t="s">
        <v>1346</v>
      </c>
      <c r="AS23" t="s">
        <v>1346</v>
      </c>
      <c r="AT23" t="s">
        <v>1346</v>
      </c>
      <c r="AU23" t="s">
        <v>1346</v>
      </c>
      <c r="AV23" t="s">
        <v>73</v>
      </c>
      <c r="AW23" t="s">
        <v>73</v>
      </c>
      <c r="AX23" t="s">
        <v>73</v>
      </c>
      <c r="BB23" t="s">
        <v>1346</v>
      </c>
      <c r="BC23" t="s">
        <v>1346</v>
      </c>
      <c r="BD23" t="s">
        <v>1346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197" t="s">
        <v>73</v>
      </c>
    </row>
    <row r="24" spans="24:77" ht="9" customHeight="1">
      <c r="X24" s="196" t="s">
        <v>73</v>
      </c>
      <c r="Y24" t="s">
        <v>73</v>
      </c>
      <c r="Z24" t="s">
        <v>73</v>
      </c>
      <c r="AA24" t="s">
        <v>1346</v>
      </c>
      <c r="AB24" t="s">
        <v>1346</v>
      </c>
      <c r="AC24" t="s">
        <v>1346</v>
      </c>
      <c r="AD24" t="s">
        <v>1346</v>
      </c>
      <c r="AE24" t="s">
        <v>1346</v>
      </c>
      <c r="AF24" t="s">
        <v>73</v>
      </c>
      <c r="AG24" t="s">
        <v>73</v>
      </c>
      <c r="AH24" t="s">
        <v>73</v>
      </c>
      <c r="AI24" t="s">
        <v>1346</v>
      </c>
      <c r="AJ24" t="s">
        <v>1346</v>
      </c>
      <c r="AK24" t="s">
        <v>1346</v>
      </c>
      <c r="AL24" t="s">
        <v>1346</v>
      </c>
      <c r="AM24" t="s">
        <v>1346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197" t="s">
        <v>73</v>
      </c>
    </row>
    <row r="25" spans="24:77" ht="9" customHeight="1">
      <c r="X25" s="196" t="s">
        <v>73</v>
      </c>
      <c r="Y25" t="s">
        <v>73</v>
      </c>
      <c r="Z25" t="s">
        <v>73</v>
      </c>
      <c r="AA25" t="s">
        <v>1346</v>
      </c>
      <c r="AB25" t="s">
        <v>1346</v>
      </c>
      <c r="AC25" t="s">
        <v>1346</v>
      </c>
      <c r="AD25" t="s">
        <v>1346</v>
      </c>
      <c r="AE25" t="s">
        <v>1346</v>
      </c>
      <c r="AF25" t="s">
        <v>73</v>
      </c>
      <c r="AG25" t="s">
        <v>73</v>
      </c>
      <c r="AH25" t="s">
        <v>73</v>
      </c>
      <c r="AI25" t="s">
        <v>1346</v>
      </c>
      <c r="AJ25" t="s">
        <v>1346</v>
      </c>
      <c r="AK25" t="s">
        <v>1346</v>
      </c>
      <c r="AL25" t="s">
        <v>1346</v>
      </c>
      <c r="AM25" t="s">
        <v>1346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197" t="s">
        <v>73</v>
      </c>
    </row>
    <row r="26" spans="24:77" ht="9" customHeight="1">
      <c r="X26" s="196" t="s">
        <v>73</v>
      </c>
      <c r="Y26" t="s">
        <v>73</v>
      </c>
      <c r="Z26" t="s">
        <v>73</v>
      </c>
      <c r="AA26" t="s">
        <v>1346</v>
      </c>
      <c r="AB26" t="s">
        <v>1346</v>
      </c>
      <c r="AC26" t="s">
        <v>1346</v>
      </c>
      <c r="AD26" t="s">
        <v>1346</v>
      </c>
      <c r="AE26" t="s">
        <v>1346</v>
      </c>
      <c r="AF26" t="s">
        <v>73</v>
      </c>
      <c r="AG26" t="s">
        <v>73</v>
      </c>
      <c r="AH26" t="s">
        <v>73</v>
      </c>
      <c r="AI26" t="s">
        <v>1346</v>
      </c>
      <c r="AJ26" t="s">
        <v>1346</v>
      </c>
      <c r="AK26" t="s">
        <v>1346</v>
      </c>
      <c r="AL26" t="s">
        <v>1346</v>
      </c>
      <c r="AM26" t="s">
        <v>1346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197" t="s">
        <v>73</v>
      </c>
    </row>
    <row r="27" spans="24:77" ht="9" customHeight="1">
      <c r="X27" s="196" t="s">
        <v>73</v>
      </c>
      <c r="Y27" t="s">
        <v>73</v>
      </c>
      <c r="Z27" t="s">
        <v>73</v>
      </c>
      <c r="AA27" t="s">
        <v>1346</v>
      </c>
      <c r="AB27" t="s">
        <v>1346</v>
      </c>
      <c r="AC27" t="s">
        <v>1346</v>
      </c>
      <c r="AD27" t="s">
        <v>1346</v>
      </c>
      <c r="AE27" t="s">
        <v>1346</v>
      </c>
      <c r="AF27" t="s">
        <v>73</v>
      </c>
      <c r="AG27" t="s">
        <v>73</v>
      </c>
      <c r="AH27" t="s">
        <v>73</v>
      </c>
      <c r="AI27" t="s">
        <v>1346</v>
      </c>
      <c r="AJ27" t="s">
        <v>1346</v>
      </c>
      <c r="AK27" t="s">
        <v>1346</v>
      </c>
      <c r="AL27" t="s">
        <v>1346</v>
      </c>
      <c r="AM27" t="s">
        <v>1346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197" t="s">
        <v>73</v>
      </c>
    </row>
    <row r="28" spans="24:77" ht="9" customHeight="1">
      <c r="X28" s="196" t="s">
        <v>73</v>
      </c>
      <c r="Y28" t="s">
        <v>73</v>
      </c>
      <c r="Z28" t="s">
        <v>73</v>
      </c>
      <c r="AA28" t="s">
        <v>1346</v>
      </c>
      <c r="AB28" t="s">
        <v>1346</v>
      </c>
      <c r="AC28" t="s">
        <v>1346</v>
      </c>
      <c r="AD28" t="s">
        <v>1346</v>
      </c>
      <c r="AE28" t="s">
        <v>1346</v>
      </c>
      <c r="AF28" t="s">
        <v>73</v>
      </c>
      <c r="AG28" t="s">
        <v>73</v>
      </c>
      <c r="AH28" t="s">
        <v>73</v>
      </c>
      <c r="AI28" t="s">
        <v>1346</v>
      </c>
      <c r="AJ28" t="s">
        <v>1346</v>
      </c>
      <c r="AK28" t="s">
        <v>1346</v>
      </c>
      <c r="AL28" t="s">
        <v>1346</v>
      </c>
      <c r="AM28" t="s">
        <v>1346</v>
      </c>
      <c r="AN28" t="s">
        <v>1346</v>
      </c>
      <c r="AO28" t="s">
        <v>1346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197" t="s">
        <v>73</v>
      </c>
    </row>
    <row r="29" spans="24:77" ht="9" customHeight="1">
      <c r="X29" s="196" t="s">
        <v>73</v>
      </c>
      <c r="Y29" t="s">
        <v>73</v>
      </c>
      <c r="Z29" t="s">
        <v>73</v>
      </c>
      <c r="AA29" t="s">
        <v>1346</v>
      </c>
      <c r="AB29" t="s">
        <v>1346</v>
      </c>
      <c r="AC29" t="s">
        <v>1346</v>
      </c>
      <c r="AD29" t="s">
        <v>1346</v>
      </c>
      <c r="AE29" t="s">
        <v>1346</v>
      </c>
      <c r="AI29" t="s">
        <v>1346</v>
      </c>
      <c r="AJ29" t="s">
        <v>1346</v>
      </c>
      <c r="AK29" t="s">
        <v>1346</v>
      </c>
      <c r="AL29" t="s">
        <v>1346</v>
      </c>
      <c r="AM29" t="s">
        <v>1346</v>
      </c>
      <c r="AN29" t="s">
        <v>1346</v>
      </c>
      <c r="AO29" t="s">
        <v>1346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197" t="s">
        <v>73</v>
      </c>
    </row>
    <row r="30" spans="24:77" ht="9" customHeight="1">
      <c r="X30" s="196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197" t="s">
        <v>73</v>
      </c>
    </row>
    <row r="31" spans="24:77" ht="9" customHeight="1">
      <c r="X31" s="196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1346</v>
      </c>
      <c r="BL31" t="s">
        <v>1346</v>
      </c>
      <c r="BM31" t="s">
        <v>1346</v>
      </c>
      <c r="BN31" t="s">
        <v>1346</v>
      </c>
      <c r="BW31" t="s">
        <v>73</v>
      </c>
      <c r="BX31" t="s">
        <v>73</v>
      </c>
      <c r="BY31" s="197" t="s">
        <v>73</v>
      </c>
    </row>
    <row r="32" spans="24:77" ht="9" customHeight="1">
      <c r="X32" s="196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1346</v>
      </c>
      <c r="BL32" t="s">
        <v>1346</v>
      </c>
      <c r="BM32" t="s">
        <v>1346</v>
      </c>
      <c r="BN32" t="s">
        <v>1346</v>
      </c>
      <c r="BO32" t="s">
        <v>1346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197" t="s">
        <v>73</v>
      </c>
    </row>
    <row r="33" spans="24:77" ht="9" customHeight="1">
      <c r="X33" s="196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1346</v>
      </c>
      <c r="BL33" t="s">
        <v>1346</v>
      </c>
      <c r="BM33" t="s">
        <v>1346</v>
      </c>
      <c r="BN33" t="s">
        <v>1346</v>
      </c>
      <c r="BO33" t="s">
        <v>1346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197" t="s">
        <v>73</v>
      </c>
    </row>
    <row r="34" spans="24:77" ht="9" customHeight="1">
      <c r="X34" s="196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1346</v>
      </c>
      <c r="BL34" t="s">
        <v>1346</v>
      </c>
      <c r="BM34" t="s">
        <v>1346</v>
      </c>
      <c r="BN34" t="s">
        <v>1346</v>
      </c>
      <c r="BO34" t="s">
        <v>1346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197" t="s">
        <v>73</v>
      </c>
    </row>
    <row r="35" spans="24:77" ht="9" customHeight="1">
      <c r="X35" s="196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1346</v>
      </c>
      <c r="BL35" t="s">
        <v>1346</v>
      </c>
      <c r="BM35" t="s">
        <v>1346</v>
      </c>
      <c r="BN35" t="s">
        <v>1346</v>
      </c>
      <c r="BO35" t="s">
        <v>1346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197" t="s">
        <v>73</v>
      </c>
    </row>
    <row r="36" spans="24:77" ht="9" customHeight="1">
      <c r="X36" s="196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1346</v>
      </c>
      <c r="BL36" t="s">
        <v>1346</v>
      </c>
      <c r="BM36" t="s">
        <v>1346</v>
      </c>
      <c r="BN36" t="s">
        <v>1346</v>
      </c>
      <c r="BO36" t="s">
        <v>1346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197" t="s">
        <v>73</v>
      </c>
    </row>
    <row r="37" spans="24:77" ht="9" customHeight="1">
      <c r="X37" s="196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1346</v>
      </c>
      <c r="BL37" t="s">
        <v>1346</v>
      </c>
      <c r="BM37" t="s">
        <v>1346</v>
      </c>
      <c r="BN37" t="s">
        <v>1346</v>
      </c>
      <c r="BO37" t="s">
        <v>1346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197" t="s">
        <v>73</v>
      </c>
    </row>
    <row r="38" spans="24:77" ht="9" customHeight="1">
      <c r="X38" s="196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1346</v>
      </c>
      <c r="BL38" t="s">
        <v>1346</v>
      </c>
      <c r="BM38" t="s">
        <v>1346</v>
      </c>
      <c r="BN38" t="s">
        <v>1346</v>
      </c>
      <c r="BO38" t="s">
        <v>1346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197" t="s">
        <v>73</v>
      </c>
    </row>
    <row r="39" spans="24:77" ht="9" customHeight="1">
      <c r="X39" s="196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1346</v>
      </c>
      <c r="BL39" t="s">
        <v>1346</v>
      </c>
      <c r="BM39" t="s">
        <v>1346</v>
      </c>
      <c r="BN39" t="s">
        <v>1346</v>
      </c>
      <c r="BO39" t="s">
        <v>1346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197" t="s">
        <v>73</v>
      </c>
    </row>
    <row r="40" spans="24:77" ht="9" customHeight="1">
      <c r="X40" s="196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1346</v>
      </c>
      <c r="BL40" t="s">
        <v>1346</v>
      </c>
      <c r="BM40" t="s">
        <v>1346</v>
      </c>
      <c r="BN40" t="s">
        <v>1346</v>
      </c>
      <c r="BO40" t="s">
        <v>1346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197" t="s">
        <v>73</v>
      </c>
    </row>
    <row r="41" spans="24:77" ht="9" customHeight="1">
      <c r="X41" s="196" t="s">
        <v>73</v>
      </c>
      <c r="Y41" t="s">
        <v>73</v>
      </c>
      <c r="Z41" t="s">
        <v>73</v>
      </c>
      <c r="AA41" t="s">
        <v>1346</v>
      </c>
      <c r="AB41" t="s">
        <v>1346</v>
      </c>
      <c r="AC41" t="s">
        <v>1346</v>
      </c>
      <c r="AD41" t="s">
        <v>1346</v>
      </c>
      <c r="AE41" t="s">
        <v>1346</v>
      </c>
      <c r="AF41" t="s">
        <v>1346</v>
      </c>
      <c r="AG41" t="s">
        <v>1346</v>
      </c>
      <c r="AH41" t="s">
        <v>1346</v>
      </c>
      <c r="AI41" t="s">
        <v>1346</v>
      </c>
      <c r="AJ41" t="s">
        <v>1346</v>
      </c>
      <c r="AK41" t="s">
        <v>1346</v>
      </c>
      <c r="AL41" t="s">
        <v>1346</v>
      </c>
      <c r="AM41" t="s">
        <v>1346</v>
      </c>
      <c r="AN41" t="s">
        <v>1346</v>
      </c>
      <c r="AO41" t="s">
        <v>1346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1346</v>
      </c>
      <c r="BL41" t="s">
        <v>1346</v>
      </c>
      <c r="BM41" t="s">
        <v>1346</v>
      </c>
      <c r="BN41" t="s">
        <v>1346</v>
      </c>
      <c r="BO41" t="s">
        <v>1346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197" t="s">
        <v>73</v>
      </c>
    </row>
    <row r="42" spans="24:77" ht="9" customHeight="1">
      <c r="X42" s="196" t="s">
        <v>73</v>
      </c>
      <c r="Y42" t="s">
        <v>73</v>
      </c>
      <c r="Z42" t="s">
        <v>73</v>
      </c>
      <c r="AA42" t="s">
        <v>1346</v>
      </c>
      <c r="AB42" t="s">
        <v>1346</v>
      </c>
      <c r="AC42" t="s">
        <v>1346</v>
      </c>
      <c r="AD42" t="s">
        <v>1346</v>
      </c>
      <c r="AE42" t="s">
        <v>1346</v>
      </c>
      <c r="AF42" t="s">
        <v>1346</v>
      </c>
      <c r="AG42" t="s">
        <v>1346</v>
      </c>
      <c r="AH42" t="s">
        <v>1346</v>
      </c>
      <c r="AI42" t="s">
        <v>1346</v>
      </c>
      <c r="AJ42" t="s">
        <v>1346</v>
      </c>
      <c r="AK42" t="s">
        <v>1346</v>
      </c>
      <c r="AL42" t="s">
        <v>1346</v>
      </c>
      <c r="AM42" t="s">
        <v>1346</v>
      </c>
      <c r="AN42" t="s">
        <v>1346</v>
      </c>
      <c r="AO42" t="s">
        <v>1346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1346</v>
      </c>
      <c r="BL42" t="s">
        <v>1346</v>
      </c>
      <c r="BM42" t="s">
        <v>1346</v>
      </c>
      <c r="BN42" t="s">
        <v>1346</v>
      </c>
      <c r="BO42" t="s">
        <v>1346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197" t="s">
        <v>73</v>
      </c>
    </row>
    <row r="43" spans="24:77" ht="9" customHeight="1">
      <c r="X43" s="196" t="s">
        <v>73</v>
      </c>
      <c r="Y43" t="s">
        <v>73</v>
      </c>
      <c r="Z43" t="s">
        <v>73</v>
      </c>
      <c r="AA43" t="s">
        <v>1346</v>
      </c>
      <c r="AB43" t="s">
        <v>1346</v>
      </c>
      <c r="AC43" t="s">
        <v>1346</v>
      </c>
      <c r="AD43" t="s">
        <v>1346</v>
      </c>
      <c r="AE43" t="s">
        <v>1346</v>
      </c>
      <c r="AF43" t="s">
        <v>1346</v>
      </c>
      <c r="AG43" t="s">
        <v>1346</v>
      </c>
      <c r="AH43" t="s">
        <v>1346</v>
      </c>
      <c r="AI43" t="s">
        <v>1346</v>
      </c>
      <c r="AJ43" t="s">
        <v>1346</v>
      </c>
      <c r="AK43" t="s">
        <v>1346</v>
      </c>
      <c r="AL43" t="s">
        <v>1346</v>
      </c>
      <c r="AM43" t="s">
        <v>1346</v>
      </c>
      <c r="AN43" t="s">
        <v>1346</v>
      </c>
      <c r="AO43" t="s">
        <v>1346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1346</v>
      </c>
      <c r="BL43" t="s">
        <v>1346</v>
      </c>
      <c r="BM43" t="s">
        <v>1346</v>
      </c>
      <c r="BN43" t="s">
        <v>1346</v>
      </c>
      <c r="BO43" t="s">
        <v>1346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197" t="s">
        <v>73</v>
      </c>
    </row>
    <row r="44" spans="24:77" ht="9" customHeight="1">
      <c r="X44" s="196" t="s">
        <v>73</v>
      </c>
      <c r="Y44" t="s">
        <v>73</v>
      </c>
      <c r="Z44" t="s">
        <v>73</v>
      </c>
      <c r="AA44" t="s">
        <v>1346</v>
      </c>
      <c r="AB44" t="s">
        <v>1346</v>
      </c>
      <c r="AC44" t="s">
        <v>1346</v>
      </c>
      <c r="AD44" t="s">
        <v>1346</v>
      </c>
      <c r="AE44" t="s">
        <v>1346</v>
      </c>
      <c r="AF44" t="s">
        <v>1346</v>
      </c>
      <c r="AG44" t="s">
        <v>1346</v>
      </c>
      <c r="AH44" t="s">
        <v>1346</v>
      </c>
      <c r="AI44" t="s">
        <v>1346</v>
      </c>
      <c r="AJ44" t="s">
        <v>1346</v>
      </c>
      <c r="AK44" t="s">
        <v>1346</v>
      </c>
      <c r="AL44" t="s">
        <v>1346</v>
      </c>
      <c r="AM44" t="s">
        <v>1346</v>
      </c>
      <c r="AN44" t="s">
        <v>1346</v>
      </c>
      <c r="AO44" t="s">
        <v>1346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1346</v>
      </c>
      <c r="BL44" t="s">
        <v>1346</v>
      </c>
      <c r="BM44" t="s">
        <v>1346</v>
      </c>
      <c r="BN44" t="s">
        <v>1346</v>
      </c>
      <c r="BO44" t="s">
        <v>1346</v>
      </c>
      <c r="BW44" t="s">
        <v>73</v>
      </c>
      <c r="BX44" t="s">
        <v>73</v>
      </c>
      <c r="BY44" s="197" t="s">
        <v>73</v>
      </c>
    </row>
    <row r="45" spans="24:77" ht="9" customHeight="1">
      <c r="X45" s="196" t="s">
        <v>73</v>
      </c>
      <c r="Y45" t="s">
        <v>73</v>
      </c>
      <c r="Z45" t="s">
        <v>73</v>
      </c>
      <c r="AA45" t="s">
        <v>1346</v>
      </c>
      <c r="AB45" t="s">
        <v>1346</v>
      </c>
      <c r="AC45" t="s">
        <v>1346</v>
      </c>
      <c r="AD45" t="s">
        <v>1346</v>
      </c>
      <c r="AE45" t="s">
        <v>1346</v>
      </c>
      <c r="AF45" t="s">
        <v>1346</v>
      </c>
      <c r="AG45" t="s">
        <v>1346</v>
      </c>
      <c r="AH45" t="s">
        <v>1346</v>
      </c>
      <c r="AI45" t="s">
        <v>1346</v>
      </c>
      <c r="AJ45" t="s">
        <v>1346</v>
      </c>
      <c r="AK45" t="s">
        <v>1346</v>
      </c>
      <c r="AL45" t="s">
        <v>1346</v>
      </c>
      <c r="AM45" t="s">
        <v>1346</v>
      </c>
      <c r="AN45" t="s">
        <v>1346</v>
      </c>
      <c r="AO45" t="s">
        <v>1346</v>
      </c>
      <c r="AP45" t="s">
        <v>1346</v>
      </c>
      <c r="AQ45" t="s">
        <v>1346</v>
      </c>
      <c r="AR45" t="s">
        <v>1346</v>
      </c>
      <c r="AS45" t="s">
        <v>1346</v>
      </c>
      <c r="AT45" t="s">
        <v>1346</v>
      </c>
      <c r="AU45" t="s">
        <v>1346</v>
      </c>
      <c r="AV45" t="s">
        <v>1346</v>
      </c>
      <c r="AW45" t="s">
        <v>1346</v>
      </c>
      <c r="AX45" t="s">
        <v>1346</v>
      </c>
      <c r="AY45" t="s">
        <v>1346</v>
      </c>
      <c r="AZ45" t="s">
        <v>1346</v>
      </c>
      <c r="BA45" t="s">
        <v>1346</v>
      </c>
      <c r="BB45" t="s">
        <v>1346</v>
      </c>
      <c r="BC45" t="s">
        <v>1346</v>
      </c>
      <c r="BD45" t="s">
        <v>1346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1346</v>
      </c>
      <c r="BL45" t="s">
        <v>1346</v>
      </c>
      <c r="BM45" t="s">
        <v>1346</v>
      </c>
      <c r="BN45" t="s">
        <v>1346</v>
      </c>
      <c r="BW45" t="s">
        <v>73</v>
      </c>
      <c r="BX45" t="s">
        <v>73</v>
      </c>
      <c r="BY45" s="197" t="s">
        <v>73</v>
      </c>
    </row>
    <row r="46" spans="24:77" ht="9" customHeight="1">
      <c r="X46" s="196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1346</v>
      </c>
      <c r="AK46" t="s">
        <v>1346</v>
      </c>
      <c r="AL46" t="s">
        <v>1346</v>
      </c>
      <c r="AM46" t="s">
        <v>1346</v>
      </c>
      <c r="AN46" t="s">
        <v>1346</v>
      </c>
      <c r="AO46" t="s">
        <v>1346</v>
      </c>
      <c r="AP46" t="s">
        <v>1346</v>
      </c>
      <c r="AQ46" t="s">
        <v>1346</v>
      </c>
      <c r="AR46" t="s">
        <v>1346</v>
      </c>
      <c r="AS46" t="s">
        <v>1346</v>
      </c>
      <c r="AT46" t="s">
        <v>1346</v>
      </c>
      <c r="AU46" t="s">
        <v>1346</v>
      </c>
      <c r="AV46" t="s">
        <v>1346</v>
      </c>
      <c r="AW46" t="s">
        <v>1346</v>
      </c>
      <c r="AX46" t="s">
        <v>1346</v>
      </c>
      <c r="AY46" t="s">
        <v>1346</v>
      </c>
      <c r="AZ46" t="s">
        <v>73</v>
      </c>
      <c r="BC46" t="s">
        <v>1346</v>
      </c>
      <c r="BD46" t="s">
        <v>1346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1346</v>
      </c>
      <c r="BL46" t="s">
        <v>1346</v>
      </c>
      <c r="BM46" t="s">
        <v>1346</v>
      </c>
      <c r="BW46" t="s">
        <v>73</v>
      </c>
      <c r="BX46" t="s">
        <v>73</v>
      </c>
      <c r="BY46" s="197" t="s">
        <v>73</v>
      </c>
    </row>
    <row r="47" spans="24:77" ht="9" customHeight="1">
      <c r="X47" s="196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1346</v>
      </c>
      <c r="AK47" t="s">
        <v>1346</v>
      </c>
      <c r="AL47" t="s">
        <v>1346</v>
      </c>
      <c r="AM47" t="s">
        <v>1346</v>
      </c>
      <c r="AN47" t="s">
        <v>1346</v>
      </c>
      <c r="AO47" t="s">
        <v>1346</v>
      </c>
      <c r="AP47" t="s">
        <v>1346</v>
      </c>
      <c r="AQ47" t="s">
        <v>1346</v>
      </c>
      <c r="AR47" t="s">
        <v>1346</v>
      </c>
      <c r="AS47" t="s">
        <v>1346</v>
      </c>
      <c r="AT47" t="s">
        <v>1346</v>
      </c>
      <c r="AU47" t="s">
        <v>1346</v>
      </c>
      <c r="AV47" t="s">
        <v>1346</v>
      </c>
      <c r="AW47" t="s">
        <v>1346</v>
      </c>
      <c r="AX47" t="s">
        <v>1346</v>
      </c>
      <c r="AY47" t="s">
        <v>1346</v>
      </c>
      <c r="BC47" t="s">
        <v>1346</v>
      </c>
      <c r="BD47" t="s">
        <v>1346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1346</v>
      </c>
      <c r="BL47" t="s">
        <v>1346</v>
      </c>
      <c r="BM47" t="s">
        <v>1346</v>
      </c>
      <c r="BW47" t="s">
        <v>73</v>
      </c>
      <c r="BX47" t="s">
        <v>73</v>
      </c>
      <c r="BY47" s="197" t="s">
        <v>73</v>
      </c>
    </row>
    <row r="48" spans="24:77" ht="9" customHeight="1">
      <c r="X48" s="196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1346</v>
      </c>
      <c r="AM48" t="s">
        <v>1346</v>
      </c>
      <c r="AN48" t="s">
        <v>1346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1346</v>
      </c>
      <c r="AY48" t="s">
        <v>1346</v>
      </c>
      <c r="BC48" t="s">
        <v>1346</v>
      </c>
      <c r="BD48" t="s">
        <v>1346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1346</v>
      </c>
      <c r="BL48" t="s">
        <v>1346</v>
      </c>
      <c r="BM48" t="s">
        <v>1346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197" t="s">
        <v>73</v>
      </c>
    </row>
    <row r="49" spans="24:77" ht="9" customHeight="1">
      <c r="X49" s="196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1346</v>
      </c>
      <c r="AM49" t="s">
        <v>1346</v>
      </c>
      <c r="AN49" t="s">
        <v>1346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1346</v>
      </c>
      <c r="AY49" t="s">
        <v>1346</v>
      </c>
      <c r="BC49" t="s">
        <v>1346</v>
      </c>
      <c r="BD49" t="s">
        <v>1346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1346</v>
      </c>
      <c r="BL49" t="s">
        <v>1346</v>
      </c>
      <c r="BM49" t="s">
        <v>1346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197" t="s">
        <v>73</v>
      </c>
    </row>
    <row r="50" spans="24:77" ht="9" customHeight="1">
      <c r="X50" s="196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1346</v>
      </c>
      <c r="AM50" t="s">
        <v>1346</v>
      </c>
      <c r="AN50" t="s">
        <v>1346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1346</v>
      </c>
      <c r="AY50" t="s">
        <v>1346</v>
      </c>
      <c r="BC50" t="s">
        <v>1346</v>
      </c>
      <c r="BD50" t="s">
        <v>1346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1346</v>
      </c>
      <c r="BL50" t="s">
        <v>1346</v>
      </c>
      <c r="BM50" t="s">
        <v>1346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197" t="s">
        <v>73</v>
      </c>
    </row>
    <row r="51" spans="24:77" ht="9" customHeight="1">
      <c r="X51" s="196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1346</v>
      </c>
      <c r="AM51" t="s">
        <v>1346</v>
      </c>
      <c r="AN51" t="s">
        <v>1346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1346</v>
      </c>
      <c r="AY51" t="s">
        <v>1346</v>
      </c>
      <c r="BC51" t="s">
        <v>1346</v>
      </c>
      <c r="BD51" t="s">
        <v>1346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1346</v>
      </c>
      <c r="BL51" t="s">
        <v>1346</v>
      </c>
      <c r="BM51" t="s">
        <v>1346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197" t="s">
        <v>73</v>
      </c>
    </row>
    <row r="52" spans="24:77" ht="9" customHeight="1">
      <c r="X52" s="196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1346</v>
      </c>
      <c r="AM52" t="s">
        <v>1346</v>
      </c>
      <c r="AN52" t="s">
        <v>1346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1346</v>
      </c>
      <c r="AY52" t="s">
        <v>1346</v>
      </c>
      <c r="BC52" t="s">
        <v>1346</v>
      </c>
      <c r="BD52" t="s">
        <v>1346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1346</v>
      </c>
      <c r="BL52" t="s">
        <v>1346</v>
      </c>
      <c r="BM52" t="s">
        <v>1346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197" t="s">
        <v>73</v>
      </c>
    </row>
    <row r="53" spans="24:77" ht="9" customHeight="1">
      <c r="X53" s="196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1346</v>
      </c>
      <c r="AM53" t="s">
        <v>1346</v>
      </c>
      <c r="AN53" t="s">
        <v>1346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1346</v>
      </c>
      <c r="AY53" t="s">
        <v>1346</v>
      </c>
      <c r="BC53" t="s">
        <v>1346</v>
      </c>
      <c r="BD53" t="s">
        <v>1346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1346</v>
      </c>
      <c r="BL53" t="s">
        <v>1346</v>
      </c>
      <c r="BM53" t="s">
        <v>1346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197" t="s">
        <v>73</v>
      </c>
    </row>
    <row r="54" spans="24:77" ht="9" customHeight="1">
      <c r="X54" s="196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1346</v>
      </c>
      <c r="AM54" t="s">
        <v>1346</v>
      </c>
      <c r="AN54" t="s">
        <v>1346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1346</v>
      </c>
      <c r="AY54" t="s">
        <v>1346</v>
      </c>
      <c r="BC54" t="s">
        <v>1346</v>
      </c>
      <c r="BD54" t="s">
        <v>1346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1346</v>
      </c>
      <c r="BL54" t="s">
        <v>1346</v>
      </c>
      <c r="BM54" t="s">
        <v>1346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197" t="s">
        <v>73</v>
      </c>
    </row>
    <row r="55" spans="24:77" ht="9" customHeight="1">
      <c r="X55" s="196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1346</v>
      </c>
      <c r="AM55" t="s">
        <v>1346</v>
      </c>
      <c r="AN55" t="s">
        <v>1346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1346</v>
      </c>
      <c r="AY55" t="s">
        <v>1346</v>
      </c>
      <c r="BC55" t="s">
        <v>1346</v>
      </c>
      <c r="BD55" t="s">
        <v>1346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1346</v>
      </c>
      <c r="BL55" t="s">
        <v>1346</v>
      </c>
      <c r="BM55" t="s">
        <v>1346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197" t="s">
        <v>73</v>
      </c>
    </row>
    <row r="56" spans="24:77" ht="9" customHeight="1">
      <c r="X56" s="196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1346</v>
      </c>
      <c r="AM56" t="s">
        <v>1346</v>
      </c>
      <c r="AN56" t="s">
        <v>1346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1346</v>
      </c>
      <c r="AY56" t="s">
        <v>1346</v>
      </c>
      <c r="BA56" t="s">
        <v>73</v>
      </c>
      <c r="BC56" t="s">
        <v>1346</v>
      </c>
      <c r="BD56" t="s">
        <v>1346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1346</v>
      </c>
      <c r="BL56" t="s">
        <v>1346</v>
      </c>
      <c r="BM56" t="s">
        <v>1346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197" t="s">
        <v>73</v>
      </c>
    </row>
    <row r="57" spans="24:77" ht="9" customHeight="1">
      <c r="X57" s="196" t="s">
        <v>73</v>
      </c>
      <c r="Y57" t="s">
        <v>73</v>
      </c>
      <c r="Z57" t="s">
        <v>73</v>
      </c>
      <c r="AA57" t="s">
        <v>1346</v>
      </c>
      <c r="AB57" t="s">
        <v>1346</v>
      </c>
      <c r="AC57" t="s">
        <v>1346</v>
      </c>
      <c r="AD57" t="s">
        <v>1346</v>
      </c>
      <c r="AE57" t="s">
        <v>1346</v>
      </c>
      <c r="AF57" t="s">
        <v>1346</v>
      </c>
      <c r="AG57" t="s">
        <v>1346</v>
      </c>
      <c r="AH57" t="s">
        <v>1346</v>
      </c>
      <c r="AI57" t="s">
        <v>1346</v>
      </c>
      <c r="AL57" t="s">
        <v>1346</v>
      </c>
      <c r="AM57" t="s">
        <v>1346</v>
      </c>
      <c r="AN57" t="s">
        <v>1346</v>
      </c>
      <c r="AO57" t="s">
        <v>1346</v>
      </c>
      <c r="AP57" t="s">
        <v>1346</v>
      </c>
      <c r="AQ57" t="s">
        <v>1346</v>
      </c>
      <c r="AR57" t="s">
        <v>1346</v>
      </c>
      <c r="AS57" t="s">
        <v>1346</v>
      </c>
      <c r="AT57" t="s">
        <v>1346</v>
      </c>
      <c r="AU57" t="s">
        <v>1346</v>
      </c>
      <c r="AV57" t="s">
        <v>1346</v>
      </c>
      <c r="AW57" t="s">
        <v>1346</v>
      </c>
      <c r="AX57" t="s">
        <v>1346</v>
      </c>
      <c r="AY57" t="s">
        <v>1346</v>
      </c>
      <c r="AZ57" t="s">
        <v>73</v>
      </c>
      <c r="BA57" t="s">
        <v>73</v>
      </c>
      <c r="BB57" t="s">
        <v>73</v>
      </c>
      <c r="BC57" t="s">
        <v>1346</v>
      </c>
      <c r="BD57" t="s">
        <v>1346</v>
      </c>
      <c r="BE57" t="s">
        <v>1346</v>
      </c>
      <c r="BF57" t="s">
        <v>1346</v>
      </c>
      <c r="BG57" t="s">
        <v>1346</v>
      </c>
      <c r="BH57" t="s">
        <v>1346</v>
      </c>
      <c r="BI57" t="s">
        <v>1346</v>
      </c>
      <c r="BJ57" t="s">
        <v>1346</v>
      </c>
      <c r="BK57" t="s">
        <v>1346</v>
      </c>
      <c r="BL57" t="s">
        <v>1346</v>
      </c>
      <c r="BM57" t="s">
        <v>1346</v>
      </c>
      <c r="BQ57" t="s">
        <v>1346</v>
      </c>
      <c r="BR57" t="s">
        <v>1346</v>
      </c>
      <c r="BS57" t="s">
        <v>1346</v>
      </c>
      <c r="BT57" t="s">
        <v>1346</v>
      </c>
      <c r="BU57" t="s">
        <v>1346</v>
      </c>
      <c r="BV57" t="s">
        <v>1346</v>
      </c>
      <c r="BW57" t="s">
        <v>73</v>
      </c>
      <c r="BX57" t="s">
        <v>73</v>
      </c>
      <c r="BY57" s="197" t="s">
        <v>73</v>
      </c>
    </row>
    <row r="58" spans="24:77" ht="9" customHeight="1">
      <c r="X58" s="196" t="s">
        <v>73</v>
      </c>
      <c r="Y58" t="s">
        <v>73</v>
      </c>
      <c r="Z58" t="s">
        <v>73</v>
      </c>
      <c r="AA58" t="s">
        <v>1346</v>
      </c>
      <c r="AB58" t="s">
        <v>1346</v>
      </c>
      <c r="AC58" t="s">
        <v>1346</v>
      </c>
      <c r="AD58" t="s">
        <v>1346</v>
      </c>
      <c r="AE58" t="s">
        <v>1346</v>
      </c>
      <c r="AF58" t="s">
        <v>1346</v>
      </c>
      <c r="AG58" t="s">
        <v>1346</v>
      </c>
      <c r="AH58" t="s">
        <v>1346</v>
      </c>
      <c r="AI58" t="s">
        <v>1346</v>
      </c>
      <c r="AL58" t="s">
        <v>1346</v>
      </c>
      <c r="AM58" t="s">
        <v>1346</v>
      </c>
      <c r="AN58" t="s">
        <v>1346</v>
      </c>
      <c r="AO58" t="s">
        <v>1346</v>
      </c>
      <c r="AP58" t="s">
        <v>1346</v>
      </c>
      <c r="AQ58" t="s">
        <v>1346</v>
      </c>
      <c r="AR58" t="s">
        <v>1346</v>
      </c>
      <c r="AS58" t="s">
        <v>1346</v>
      </c>
      <c r="AT58" t="s">
        <v>1346</v>
      </c>
      <c r="AU58" t="s">
        <v>1346</v>
      </c>
      <c r="AV58" t="s">
        <v>1346</v>
      </c>
      <c r="AW58" t="s">
        <v>1346</v>
      </c>
      <c r="AX58" t="s">
        <v>1346</v>
      </c>
      <c r="AY58" t="s">
        <v>1346</v>
      </c>
      <c r="AZ58" t="s">
        <v>73</v>
      </c>
      <c r="BA58" t="s">
        <v>73</v>
      </c>
      <c r="BB58" t="s">
        <v>73</v>
      </c>
      <c r="BC58" t="s">
        <v>1346</v>
      </c>
      <c r="BD58" t="s">
        <v>1346</v>
      </c>
      <c r="BE58" t="s">
        <v>1346</v>
      </c>
      <c r="BF58" t="s">
        <v>1346</v>
      </c>
      <c r="BG58" t="s">
        <v>1346</v>
      </c>
      <c r="BH58" t="s">
        <v>1346</v>
      </c>
      <c r="BI58" t="s">
        <v>1346</v>
      </c>
      <c r="BJ58" t="s">
        <v>1346</v>
      </c>
      <c r="BK58" t="s">
        <v>1346</v>
      </c>
      <c r="BL58" t="s">
        <v>1346</v>
      </c>
      <c r="BM58" t="s">
        <v>1346</v>
      </c>
      <c r="BQ58" t="s">
        <v>1346</v>
      </c>
      <c r="BR58" t="s">
        <v>1346</v>
      </c>
      <c r="BS58" t="s">
        <v>1346</v>
      </c>
      <c r="BT58" t="s">
        <v>1346</v>
      </c>
      <c r="BU58" t="s">
        <v>1346</v>
      </c>
      <c r="BV58" t="s">
        <v>1346</v>
      </c>
      <c r="BW58" t="s">
        <v>73</v>
      </c>
      <c r="BX58" t="s">
        <v>73</v>
      </c>
      <c r="BY58" s="197" t="s">
        <v>73</v>
      </c>
    </row>
    <row r="59" spans="24:77" ht="9" customHeight="1">
      <c r="X59" s="196" t="s">
        <v>73</v>
      </c>
      <c r="Y59" t="s">
        <v>73</v>
      </c>
      <c r="Z59" t="s">
        <v>73</v>
      </c>
      <c r="AA59" t="s">
        <v>1346</v>
      </c>
      <c r="AB59" t="s">
        <v>1346</v>
      </c>
      <c r="AC59" t="s">
        <v>1346</v>
      </c>
      <c r="AD59" t="s">
        <v>1346</v>
      </c>
      <c r="AE59" t="s">
        <v>1346</v>
      </c>
      <c r="AF59" t="s">
        <v>1346</v>
      </c>
      <c r="AG59" t="s">
        <v>1346</v>
      </c>
      <c r="AH59" t="s">
        <v>1346</v>
      </c>
      <c r="AI59" t="s">
        <v>1346</v>
      </c>
      <c r="AM59" t="s">
        <v>1346</v>
      </c>
      <c r="AN59" t="s">
        <v>1346</v>
      </c>
      <c r="AO59" t="s">
        <v>1346</v>
      </c>
      <c r="AP59" t="s">
        <v>1346</v>
      </c>
      <c r="AQ59" t="s">
        <v>1346</v>
      </c>
      <c r="AR59" t="s">
        <v>1346</v>
      </c>
      <c r="AS59" t="s">
        <v>1346</v>
      </c>
      <c r="AT59" t="s">
        <v>1346</v>
      </c>
      <c r="AU59" t="s">
        <v>1346</v>
      </c>
      <c r="AV59" t="s">
        <v>1346</v>
      </c>
      <c r="AW59" t="s">
        <v>1346</v>
      </c>
      <c r="AX59" t="s">
        <v>1346</v>
      </c>
      <c r="BA59" t="s">
        <v>73</v>
      </c>
      <c r="BD59" t="s">
        <v>1346</v>
      </c>
      <c r="BE59" t="s">
        <v>1346</v>
      </c>
      <c r="BF59" t="s">
        <v>1346</v>
      </c>
      <c r="BG59" t="s">
        <v>1346</v>
      </c>
      <c r="BH59" t="s">
        <v>1346</v>
      </c>
      <c r="BI59" t="s">
        <v>1346</v>
      </c>
      <c r="BJ59" t="s">
        <v>1346</v>
      </c>
      <c r="BK59" t="s">
        <v>1346</v>
      </c>
      <c r="BL59" t="s">
        <v>1346</v>
      </c>
      <c r="BP59" t="s">
        <v>1346</v>
      </c>
      <c r="BQ59" t="s">
        <v>1346</v>
      </c>
      <c r="BR59" t="s">
        <v>1346</v>
      </c>
      <c r="BS59" t="s">
        <v>1346</v>
      </c>
      <c r="BT59" t="s">
        <v>1346</v>
      </c>
      <c r="BU59" t="s">
        <v>1346</v>
      </c>
      <c r="BV59" t="s">
        <v>1346</v>
      </c>
      <c r="BW59" t="s">
        <v>73</v>
      </c>
      <c r="BX59" t="s">
        <v>73</v>
      </c>
      <c r="BY59" s="197" t="s">
        <v>73</v>
      </c>
    </row>
    <row r="60" spans="24:77" ht="9" customHeight="1">
      <c r="X60" s="196" t="s">
        <v>73</v>
      </c>
      <c r="Y60" t="s">
        <v>73</v>
      </c>
      <c r="Z60" t="s">
        <v>73</v>
      </c>
      <c r="AA60" t="s">
        <v>1346</v>
      </c>
      <c r="AB60" t="s">
        <v>1346</v>
      </c>
      <c r="AC60" t="s">
        <v>1346</v>
      </c>
      <c r="AD60" t="s">
        <v>1346</v>
      </c>
      <c r="AE60" t="s">
        <v>1346</v>
      </c>
      <c r="AF60" t="s">
        <v>1346</v>
      </c>
      <c r="AG60" t="s">
        <v>1346</v>
      </c>
      <c r="AH60" t="s">
        <v>1346</v>
      </c>
      <c r="AI60" t="s">
        <v>1346</v>
      </c>
      <c r="AN60" t="s">
        <v>1346</v>
      </c>
      <c r="AO60" t="s">
        <v>1346</v>
      </c>
      <c r="AP60" t="s">
        <v>1346</v>
      </c>
      <c r="AQ60" t="s">
        <v>1346</v>
      </c>
      <c r="AR60" t="s">
        <v>1346</v>
      </c>
      <c r="AS60" t="s">
        <v>1346</v>
      </c>
      <c r="AT60" t="s">
        <v>1346</v>
      </c>
      <c r="AU60" t="s">
        <v>1346</v>
      </c>
      <c r="AV60" t="s">
        <v>1346</v>
      </c>
      <c r="AW60" t="s">
        <v>1346</v>
      </c>
      <c r="BE60" t="s">
        <v>1346</v>
      </c>
      <c r="BF60" t="s">
        <v>1346</v>
      </c>
      <c r="BG60" t="s">
        <v>1346</v>
      </c>
      <c r="BH60" t="s">
        <v>1346</v>
      </c>
      <c r="BI60" t="s">
        <v>1346</v>
      </c>
      <c r="BJ60" t="s">
        <v>1346</v>
      </c>
      <c r="BK60" t="s">
        <v>1346</v>
      </c>
      <c r="BP60" t="s">
        <v>1346</v>
      </c>
      <c r="BQ60" t="s">
        <v>1346</v>
      </c>
      <c r="BR60" t="s">
        <v>1346</v>
      </c>
      <c r="BS60" t="s">
        <v>1346</v>
      </c>
      <c r="BT60" t="s">
        <v>1346</v>
      </c>
      <c r="BU60" t="s">
        <v>1346</v>
      </c>
      <c r="BV60" t="s">
        <v>1346</v>
      </c>
      <c r="BW60" t="s">
        <v>73</v>
      </c>
      <c r="BX60" t="s">
        <v>73</v>
      </c>
      <c r="BY60" s="197" t="s">
        <v>73</v>
      </c>
    </row>
    <row r="61" spans="24:77" ht="9" customHeight="1">
      <c r="X61" s="196" t="s">
        <v>73</v>
      </c>
      <c r="Y61" t="s">
        <v>73</v>
      </c>
      <c r="Z61" t="s">
        <v>73</v>
      </c>
      <c r="AA61" t="s">
        <v>1346</v>
      </c>
      <c r="AB61" t="s">
        <v>1346</v>
      </c>
      <c r="AC61" t="s">
        <v>1346</v>
      </c>
      <c r="AD61" t="s">
        <v>1346</v>
      </c>
      <c r="AE61" t="s">
        <v>1346</v>
      </c>
      <c r="AF61" t="s">
        <v>1346</v>
      </c>
      <c r="AG61" t="s">
        <v>1346</v>
      </c>
      <c r="AH61" t="s">
        <v>1346</v>
      </c>
      <c r="BK61" t="s">
        <v>73</v>
      </c>
      <c r="BP61" t="s">
        <v>1346</v>
      </c>
      <c r="BQ61" t="s">
        <v>1346</v>
      </c>
      <c r="BR61" t="s">
        <v>1346</v>
      </c>
      <c r="BS61" t="s">
        <v>1346</v>
      </c>
      <c r="BT61" t="s">
        <v>1346</v>
      </c>
      <c r="BU61" t="s">
        <v>1346</v>
      </c>
      <c r="BV61" t="s">
        <v>1346</v>
      </c>
      <c r="BW61" t="s">
        <v>73</v>
      </c>
      <c r="BX61" t="s">
        <v>73</v>
      </c>
      <c r="BY61" s="197" t="s">
        <v>73</v>
      </c>
    </row>
    <row r="62" spans="24:77" ht="9" customHeight="1">
      <c r="X62" s="196" t="s">
        <v>73</v>
      </c>
      <c r="Y62" t="s">
        <v>73</v>
      </c>
      <c r="Z62" t="s">
        <v>73</v>
      </c>
      <c r="AA62" t="s">
        <v>1346</v>
      </c>
      <c r="AB62" t="s">
        <v>1346</v>
      </c>
      <c r="AC62" t="s">
        <v>1346</v>
      </c>
      <c r="AD62" t="s">
        <v>1346</v>
      </c>
      <c r="AE62" t="s">
        <v>1346</v>
      </c>
      <c r="AF62" t="s">
        <v>1346</v>
      </c>
      <c r="AG62" t="s">
        <v>1346</v>
      </c>
      <c r="AH62" t="s">
        <v>1346</v>
      </c>
      <c r="BC62" t="s">
        <v>73</v>
      </c>
      <c r="BO62" t="s">
        <v>1346</v>
      </c>
      <c r="BP62" t="s">
        <v>1346</v>
      </c>
      <c r="BQ62" t="s">
        <v>1346</v>
      </c>
      <c r="BR62" t="s">
        <v>1346</v>
      </c>
      <c r="BS62" t="s">
        <v>1346</v>
      </c>
      <c r="BT62" t="s">
        <v>1346</v>
      </c>
      <c r="BU62" t="s">
        <v>1346</v>
      </c>
      <c r="BV62" t="s">
        <v>1346</v>
      </c>
      <c r="BW62" t="s">
        <v>73</v>
      </c>
      <c r="BX62" t="s">
        <v>73</v>
      </c>
      <c r="BY62" s="197" t="s">
        <v>73</v>
      </c>
    </row>
    <row r="63" spans="24:77" ht="9" customHeight="1">
      <c r="X63" s="196" t="s">
        <v>73</v>
      </c>
      <c r="Y63" t="s">
        <v>73</v>
      </c>
      <c r="Z63" t="s">
        <v>73</v>
      </c>
      <c r="AA63" t="s">
        <v>1346</v>
      </c>
      <c r="AB63" t="s">
        <v>1346</v>
      </c>
      <c r="AC63" t="s">
        <v>1346</v>
      </c>
      <c r="AD63" t="s">
        <v>1346</v>
      </c>
      <c r="AE63" t="s">
        <v>1346</v>
      </c>
      <c r="AF63" t="s">
        <v>1346</v>
      </c>
      <c r="AG63" t="s">
        <v>1346</v>
      </c>
      <c r="AH63" t="s">
        <v>1346</v>
      </c>
      <c r="BO63" t="s">
        <v>1346</v>
      </c>
      <c r="BP63" t="s">
        <v>1346</v>
      </c>
      <c r="BQ63" t="s">
        <v>1346</v>
      </c>
      <c r="BR63" t="s">
        <v>1346</v>
      </c>
      <c r="BS63" t="s">
        <v>1346</v>
      </c>
      <c r="BT63" t="s">
        <v>1346</v>
      </c>
      <c r="BU63" t="s">
        <v>1346</v>
      </c>
      <c r="BV63" t="s">
        <v>1346</v>
      </c>
      <c r="BW63" t="s">
        <v>73</v>
      </c>
      <c r="BX63" t="s">
        <v>73</v>
      </c>
      <c r="BY63" s="197" t="s">
        <v>73</v>
      </c>
    </row>
    <row r="64" spans="24:77" ht="9" customHeight="1">
      <c r="X64" s="196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197" t="s">
        <v>73</v>
      </c>
    </row>
    <row r="65" spans="24:116" ht="9" customHeight="1">
      <c r="X65" s="196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1429</v>
      </c>
      <c r="BA65" t="s">
        <v>1429</v>
      </c>
      <c r="BB65" t="s">
        <v>1429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197" t="s">
        <v>73</v>
      </c>
      <c r="DL65" s="227"/>
    </row>
    <row r="66" spans="24:116" ht="9" customHeight="1">
      <c r="X66" s="19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197" t="s">
        <v>73</v>
      </c>
      <c r="DL66" s="227"/>
    </row>
    <row r="67" spans="24:116" ht="9" customHeight="1">
      <c r="X67" s="196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197" t="s">
        <v>73</v>
      </c>
      <c r="DL67" s="227"/>
    </row>
    <row r="68" spans="24:116" ht="9" customHeight="1">
      <c r="X68" s="196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197" t="s">
        <v>73</v>
      </c>
      <c r="DL68" s="227"/>
    </row>
    <row r="69" spans="24:116" ht="9" customHeight="1">
      <c r="X69" s="196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197" t="s">
        <v>73</v>
      </c>
      <c r="DL69" s="227"/>
    </row>
    <row r="70" spans="24:116" ht="9" customHeight="1" thickBot="1">
      <c r="X70" s="198" t="s">
        <v>73</v>
      </c>
      <c r="Y70" s="208" t="s">
        <v>73</v>
      </c>
      <c r="Z70" s="208" t="s">
        <v>73</v>
      </c>
      <c r="AA70" s="208" t="s">
        <v>73</v>
      </c>
      <c r="AB70" s="208" t="s">
        <v>73</v>
      </c>
      <c r="AC70" s="208" t="s">
        <v>73</v>
      </c>
      <c r="AD70" s="208" t="s">
        <v>73</v>
      </c>
      <c r="AE70" s="208" t="s">
        <v>73</v>
      </c>
      <c r="AF70" s="208" t="s">
        <v>73</v>
      </c>
      <c r="AG70" s="208" t="s">
        <v>73</v>
      </c>
      <c r="AH70" s="208" t="s">
        <v>73</v>
      </c>
      <c r="AI70" s="208" t="s">
        <v>73</v>
      </c>
      <c r="AJ70" s="208" t="s">
        <v>73</v>
      </c>
      <c r="AK70" s="208" t="s">
        <v>73</v>
      </c>
      <c r="AL70" s="208" t="s">
        <v>73</v>
      </c>
      <c r="AM70" s="208" t="s">
        <v>73</v>
      </c>
      <c r="AN70" s="208" t="s">
        <v>73</v>
      </c>
      <c r="AO70" s="208" t="s">
        <v>73</v>
      </c>
      <c r="AP70" s="208" t="s">
        <v>73</v>
      </c>
      <c r="AQ70" s="208" t="s">
        <v>73</v>
      </c>
      <c r="AR70" s="208" t="s">
        <v>73</v>
      </c>
      <c r="AS70" s="208" t="s">
        <v>73</v>
      </c>
      <c r="AT70" s="208" t="s">
        <v>73</v>
      </c>
      <c r="AU70" s="208" t="s">
        <v>73</v>
      </c>
      <c r="AV70" s="208" t="s">
        <v>73</v>
      </c>
      <c r="AW70" s="208" t="s">
        <v>73</v>
      </c>
      <c r="AX70" s="208" t="s">
        <v>73</v>
      </c>
      <c r="AY70" s="208" t="s">
        <v>73</v>
      </c>
      <c r="AZ70" s="208" t="s">
        <v>73</v>
      </c>
      <c r="BA70" s="208" t="s">
        <v>73</v>
      </c>
      <c r="BB70" s="208" t="s">
        <v>73</v>
      </c>
      <c r="BC70" s="208" t="s">
        <v>73</v>
      </c>
      <c r="BD70" s="208" t="s">
        <v>73</v>
      </c>
      <c r="BE70" s="208" t="s">
        <v>73</v>
      </c>
      <c r="BF70" s="208" t="s">
        <v>73</v>
      </c>
      <c r="BG70" s="208" t="s">
        <v>73</v>
      </c>
      <c r="BH70" s="208" t="s">
        <v>73</v>
      </c>
      <c r="BI70" s="208" t="s">
        <v>73</v>
      </c>
      <c r="BJ70" s="208" t="s">
        <v>73</v>
      </c>
      <c r="BK70" s="208" t="s">
        <v>73</v>
      </c>
      <c r="BL70" s="208" t="s">
        <v>73</v>
      </c>
      <c r="BM70" s="208" t="s">
        <v>73</v>
      </c>
      <c r="BN70" s="208" t="s">
        <v>73</v>
      </c>
      <c r="BO70" s="208" t="s">
        <v>73</v>
      </c>
      <c r="BP70" s="208" t="s">
        <v>73</v>
      </c>
      <c r="BQ70" s="208" t="s">
        <v>73</v>
      </c>
      <c r="BR70" s="208" t="s">
        <v>73</v>
      </c>
      <c r="BS70" s="208" t="s">
        <v>73</v>
      </c>
      <c r="BT70" s="208" t="s">
        <v>73</v>
      </c>
      <c r="BU70" s="208" t="s">
        <v>73</v>
      </c>
      <c r="BV70" s="208" t="s">
        <v>73</v>
      </c>
      <c r="BW70" s="208" t="s">
        <v>73</v>
      </c>
      <c r="BX70" s="208" t="s">
        <v>73</v>
      </c>
      <c r="BY70" s="159" t="s">
        <v>73</v>
      </c>
      <c r="DL70" s="227"/>
    </row>
    <row r="71" spans="24:116" ht="9" customHeight="1">
      <c r="DL71" s="227"/>
    </row>
    <row r="72" spans="24:116" ht="9" customHeight="1">
      <c r="DL72" s="227"/>
    </row>
    <row r="73" spans="24:116" ht="9" customHeight="1">
      <c r="DL73" s="227"/>
    </row>
    <row r="74" spans="24:116" ht="9" customHeight="1">
      <c r="DL74" s="227"/>
    </row>
    <row r="75" spans="24:116" ht="9" customHeight="1">
      <c r="DL75" s="227"/>
    </row>
    <row r="76" spans="24:116" ht="9" customHeight="1">
      <c r="DL76" s="227"/>
    </row>
    <row r="77" spans="24:116" ht="9" customHeight="1">
      <c r="DL77" s="227"/>
    </row>
    <row r="78" spans="24:116" ht="9" customHeight="1">
      <c r="DL78" s="227"/>
    </row>
    <row r="92" spans="69:116" ht="9" customHeight="1" thickBot="1"/>
    <row r="93" spans="69:116" ht="9" customHeight="1">
      <c r="BQ93" s="194" t="s">
        <v>73</v>
      </c>
      <c r="BR93" s="207" t="s">
        <v>73</v>
      </c>
      <c r="BS93" s="207" t="s">
        <v>73</v>
      </c>
      <c r="BT93" s="207" t="s">
        <v>73</v>
      </c>
      <c r="BU93" s="207" t="s">
        <v>73</v>
      </c>
      <c r="BV93" s="207" t="s">
        <v>73</v>
      </c>
      <c r="BW93" s="207" t="s">
        <v>73</v>
      </c>
      <c r="BX93" s="207" t="s">
        <v>73</v>
      </c>
      <c r="BY93" s="207" t="s">
        <v>73</v>
      </c>
      <c r="BZ93" s="207" t="s">
        <v>73</v>
      </c>
      <c r="CA93" s="207" t="s">
        <v>73</v>
      </c>
      <c r="CB93" s="207" t="s">
        <v>73</v>
      </c>
      <c r="CC93" s="207" t="s">
        <v>73</v>
      </c>
      <c r="CD93" s="207" t="s">
        <v>73</v>
      </c>
      <c r="CE93" s="207" t="s">
        <v>73</v>
      </c>
      <c r="CF93" s="207" t="s">
        <v>73</v>
      </c>
      <c r="CG93" s="207" t="s">
        <v>73</v>
      </c>
      <c r="CH93" s="207" t="s">
        <v>73</v>
      </c>
      <c r="CI93" s="207" t="s">
        <v>73</v>
      </c>
      <c r="CJ93" s="207" t="s">
        <v>73</v>
      </c>
      <c r="CK93" s="207" t="s">
        <v>73</v>
      </c>
      <c r="CL93" s="207" t="s">
        <v>73</v>
      </c>
      <c r="CM93" s="207" t="s">
        <v>73</v>
      </c>
      <c r="CN93" s="207" t="s">
        <v>73</v>
      </c>
      <c r="CO93" s="207" t="s">
        <v>73</v>
      </c>
      <c r="CP93" s="207" t="s">
        <v>73</v>
      </c>
      <c r="CQ93" s="207" t="s">
        <v>73</v>
      </c>
      <c r="CR93" s="207" t="s">
        <v>73</v>
      </c>
      <c r="CS93" s="207" t="s">
        <v>73</v>
      </c>
      <c r="CT93" s="207" t="s">
        <v>73</v>
      </c>
      <c r="CU93" s="207" t="s">
        <v>73</v>
      </c>
      <c r="CV93" s="207" t="s">
        <v>73</v>
      </c>
      <c r="CW93" s="207" t="s">
        <v>73</v>
      </c>
      <c r="CX93" s="207" t="s">
        <v>73</v>
      </c>
      <c r="CY93" s="207" t="s">
        <v>73</v>
      </c>
      <c r="CZ93" s="207" t="s">
        <v>73</v>
      </c>
      <c r="DA93" s="207" t="s">
        <v>73</v>
      </c>
      <c r="DB93" s="207" t="s">
        <v>73</v>
      </c>
      <c r="DC93" s="207" t="s">
        <v>73</v>
      </c>
      <c r="DD93" s="207" t="s">
        <v>73</v>
      </c>
      <c r="DE93" s="207" t="s">
        <v>73</v>
      </c>
      <c r="DF93" s="207" t="s">
        <v>73</v>
      </c>
      <c r="DG93" s="207" t="s">
        <v>73</v>
      </c>
      <c r="DH93" s="207" t="s">
        <v>73</v>
      </c>
      <c r="DI93" s="207" t="s">
        <v>73</v>
      </c>
      <c r="DJ93" s="207" t="s">
        <v>73</v>
      </c>
      <c r="DK93" s="207" t="s">
        <v>73</v>
      </c>
      <c r="DL93" s="195" t="s">
        <v>73</v>
      </c>
    </row>
    <row r="94" spans="69:116" ht="9" customHeight="1">
      <c r="BQ94" s="196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197" t="s">
        <v>73</v>
      </c>
    </row>
    <row r="95" spans="69:116" ht="9" customHeight="1">
      <c r="BQ95" s="196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197" t="s">
        <v>73</v>
      </c>
    </row>
    <row r="96" spans="69:116" ht="9" customHeight="1">
      <c r="BQ96" s="196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197" t="s">
        <v>73</v>
      </c>
    </row>
    <row r="97" spans="69:203" ht="9" customHeight="1">
      <c r="BQ97" s="196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197" t="s">
        <v>73</v>
      </c>
    </row>
    <row r="98" spans="69:203" ht="9" customHeight="1">
      <c r="BQ98" s="196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197" t="s">
        <v>73</v>
      </c>
    </row>
    <row r="99" spans="69:203" ht="9" customHeight="1">
      <c r="BQ99" s="196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197" t="s">
        <v>73</v>
      </c>
    </row>
    <row r="100" spans="69:203" ht="9" customHeight="1">
      <c r="BQ100" s="196" t="s">
        <v>73</v>
      </c>
      <c r="BR100" t="s">
        <v>73</v>
      </c>
      <c r="BS100" t="s">
        <v>73</v>
      </c>
      <c r="BT100" t="s">
        <v>73</v>
      </c>
      <c r="BU100" t="s">
        <v>1318</v>
      </c>
      <c r="BV100" t="s">
        <v>1318</v>
      </c>
      <c r="BW100" t="s">
        <v>1318</v>
      </c>
      <c r="BZ100" t="s">
        <v>1318</v>
      </c>
      <c r="CA100" t="s">
        <v>1318</v>
      </c>
      <c r="CB100" t="s">
        <v>1318</v>
      </c>
      <c r="CC100" t="s">
        <v>1318</v>
      </c>
      <c r="CD100" t="s">
        <v>1318</v>
      </c>
      <c r="CE100" t="s">
        <v>1318</v>
      </c>
      <c r="CF100" t="s">
        <v>1318</v>
      </c>
      <c r="CG100" t="s">
        <v>73</v>
      </c>
      <c r="CH100" t="s">
        <v>1347</v>
      </c>
      <c r="CI100" t="s">
        <v>73</v>
      </c>
      <c r="CJ100" t="s">
        <v>73</v>
      </c>
      <c r="CK100" t="s">
        <v>1318</v>
      </c>
      <c r="CL100" t="s">
        <v>1318</v>
      </c>
      <c r="CM100" t="s">
        <v>1318</v>
      </c>
      <c r="CN100" t="s">
        <v>1318</v>
      </c>
      <c r="CO100" t="s">
        <v>1318</v>
      </c>
      <c r="CP100" t="s">
        <v>1318</v>
      </c>
      <c r="CQ100" t="s">
        <v>1318</v>
      </c>
      <c r="CR100" t="s">
        <v>1318</v>
      </c>
      <c r="CS100" t="s">
        <v>1318</v>
      </c>
      <c r="CT100" t="s">
        <v>1318</v>
      </c>
      <c r="CU100" t="s">
        <v>1318</v>
      </c>
      <c r="CV100" t="s">
        <v>1318</v>
      </c>
      <c r="CW100" t="s">
        <v>1318</v>
      </c>
      <c r="CX100" t="s">
        <v>1318</v>
      </c>
      <c r="CY100" t="s">
        <v>1318</v>
      </c>
      <c r="CZ100" t="s">
        <v>1318</v>
      </c>
      <c r="DA100" t="s">
        <v>1318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197" t="s">
        <v>73</v>
      </c>
    </row>
    <row r="101" spans="69:203" ht="9" customHeight="1">
      <c r="BQ101" s="196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197" t="s">
        <v>73</v>
      </c>
    </row>
    <row r="102" spans="69:203" ht="9" customHeight="1">
      <c r="BQ102" s="196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197" t="s">
        <v>73</v>
      </c>
    </row>
    <row r="103" spans="69:203" ht="9" customHeight="1" thickBot="1">
      <c r="BQ103" s="196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197" t="s">
        <v>73</v>
      </c>
    </row>
    <row r="104" spans="69:203" ht="9" customHeight="1">
      <c r="BQ104" s="196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197" t="s">
        <v>73</v>
      </c>
      <c r="DM104" s="194" t="s">
        <v>73</v>
      </c>
      <c r="DN104" s="207" t="s">
        <v>73</v>
      </c>
      <c r="DO104" s="207" t="s">
        <v>73</v>
      </c>
      <c r="DP104" s="207" t="s">
        <v>73</v>
      </c>
      <c r="DQ104" s="207" t="s">
        <v>73</v>
      </c>
      <c r="DR104" s="207" t="s">
        <v>73</v>
      </c>
      <c r="DS104" s="207" t="s">
        <v>73</v>
      </c>
      <c r="DT104" s="207" t="s">
        <v>73</v>
      </c>
      <c r="DU104" s="207" t="s">
        <v>73</v>
      </c>
      <c r="DV104" s="207" t="s">
        <v>73</v>
      </c>
      <c r="DW104" s="207" t="s">
        <v>73</v>
      </c>
      <c r="DX104" s="207" t="s">
        <v>73</v>
      </c>
      <c r="DY104" s="207" t="s">
        <v>73</v>
      </c>
      <c r="DZ104" s="207" t="s">
        <v>73</v>
      </c>
      <c r="EA104" s="207" t="s">
        <v>73</v>
      </c>
      <c r="EB104" s="207" t="s">
        <v>73</v>
      </c>
      <c r="EC104" s="207" t="s">
        <v>73</v>
      </c>
      <c r="ED104" s="207" t="s">
        <v>73</v>
      </c>
      <c r="EE104" s="207" t="s">
        <v>73</v>
      </c>
      <c r="EF104" s="207" t="s">
        <v>73</v>
      </c>
      <c r="EG104" s="207" t="s">
        <v>73</v>
      </c>
      <c r="EH104" s="207" t="s">
        <v>73</v>
      </c>
      <c r="EI104" s="207" t="s">
        <v>73</v>
      </c>
      <c r="EJ104" s="207" t="s">
        <v>73</v>
      </c>
      <c r="EK104" s="207" t="s">
        <v>73</v>
      </c>
      <c r="EL104" s="207" t="s">
        <v>73</v>
      </c>
      <c r="EM104" s="207" t="s">
        <v>73</v>
      </c>
      <c r="EN104" s="207" t="s">
        <v>73</v>
      </c>
      <c r="EO104" s="207" t="s">
        <v>73</v>
      </c>
      <c r="EP104" s="207" t="s">
        <v>73</v>
      </c>
      <c r="EQ104" s="207" t="s">
        <v>73</v>
      </c>
      <c r="ER104" s="207" t="s">
        <v>73</v>
      </c>
      <c r="ES104" s="207" t="s">
        <v>73</v>
      </c>
      <c r="ET104" s="207" t="s">
        <v>73</v>
      </c>
      <c r="EU104" s="207" t="s">
        <v>73</v>
      </c>
      <c r="EV104" s="207" t="s">
        <v>73</v>
      </c>
      <c r="EW104" s="207" t="s">
        <v>73</v>
      </c>
      <c r="EX104" s="207" t="s">
        <v>73</v>
      </c>
      <c r="EY104" s="207" t="s">
        <v>73</v>
      </c>
      <c r="EZ104" s="207" t="s">
        <v>73</v>
      </c>
      <c r="FA104" s="207" t="s">
        <v>73</v>
      </c>
      <c r="FB104" s="207" t="s">
        <v>73</v>
      </c>
      <c r="FC104" s="207" t="s">
        <v>73</v>
      </c>
      <c r="FD104" s="207" t="s">
        <v>73</v>
      </c>
      <c r="FE104" s="207" t="s">
        <v>73</v>
      </c>
      <c r="FF104" s="207" t="s">
        <v>73</v>
      </c>
      <c r="FG104" s="207" t="s">
        <v>73</v>
      </c>
      <c r="FH104" s="207" t="s">
        <v>73</v>
      </c>
      <c r="FI104" s="207" t="s">
        <v>73</v>
      </c>
      <c r="FJ104" s="207" t="s">
        <v>73</v>
      </c>
      <c r="FK104" s="207" t="s">
        <v>73</v>
      </c>
      <c r="FL104" s="207" t="s">
        <v>73</v>
      </c>
      <c r="FM104" s="207" t="s">
        <v>73</v>
      </c>
      <c r="FN104" s="207" t="s">
        <v>73</v>
      </c>
      <c r="FO104" s="207" t="s">
        <v>73</v>
      </c>
      <c r="FP104" s="207" t="s">
        <v>73</v>
      </c>
      <c r="FQ104" s="207" t="s">
        <v>73</v>
      </c>
      <c r="FR104" s="207" t="s">
        <v>73</v>
      </c>
      <c r="FS104" s="207" t="s">
        <v>73</v>
      </c>
      <c r="FT104" s="207" t="s">
        <v>73</v>
      </c>
      <c r="FU104" s="207" t="s">
        <v>73</v>
      </c>
      <c r="FV104" s="207" t="s">
        <v>73</v>
      </c>
      <c r="FW104" s="207" t="s">
        <v>73</v>
      </c>
      <c r="FX104" s="207" t="s">
        <v>73</v>
      </c>
      <c r="FY104" s="207" t="s">
        <v>73</v>
      </c>
      <c r="FZ104" s="207" t="s">
        <v>73</v>
      </c>
      <c r="GA104" s="207" t="s">
        <v>73</v>
      </c>
      <c r="GB104" s="207" t="s">
        <v>73</v>
      </c>
      <c r="GC104" s="207"/>
      <c r="GD104" s="207"/>
      <c r="GE104" s="207"/>
      <c r="GF104" s="207"/>
      <c r="GG104" s="207"/>
      <c r="GH104" s="207"/>
      <c r="GI104" s="207"/>
      <c r="GJ104" s="207"/>
      <c r="GK104" s="207" t="s">
        <v>73</v>
      </c>
      <c r="GL104" s="207" t="s">
        <v>73</v>
      </c>
      <c r="GM104" s="207" t="s">
        <v>73</v>
      </c>
      <c r="GN104" s="207" t="s">
        <v>73</v>
      </c>
      <c r="GO104" s="207" t="s">
        <v>73</v>
      </c>
      <c r="GP104" s="207" t="s">
        <v>73</v>
      </c>
      <c r="GQ104" s="207" t="s">
        <v>73</v>
      </c>
      <c r="GR104" s="207" t="s">
        <v>73</v>
      </c>
      <c r="GS104" s="207" t="s">
        <v>73</v>
      </c>
      <c r="GT104" s="207" t="s">
        <v>73</v>
      </c>
      <c r="GU104" s="195" t="s">
        <v>73</v>
      </c>
    </row>
    <row r="105" spans="69:203" ht="9" customHeight="1">
      <c r="BQ105" s="196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197" t="s">
        <v>73</v>
      </c>
      <c r="DM105" s="196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197" t="s">
        <v>73</v>
      </c>
    </row>
    <row r="106" spans="69:203" ht="9" customHeight="1">
      <c r="BQ106" s="196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197" t="s">
        <v>73</v>
      </c>
      <c r="DM106" s="19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197" t="s">
        <v>73</v>
      </c>
    </row>
    <row r="107" spans="69:203" ht="9" customHeight="1">
      <c r="BQ107" s="196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197" t="s">
        <v>73</v>
      </c>
      <c r="DM107" s="196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197" t="s">
        <v>73</v>
      </c>
    </row>
    <row r="108" spans="69:203" ht="9" customHeight="1">
      <c r="BQ108" s="196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197" t="s">
        <v>73</v>
      </c>
      <c r="DM108" s="196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197" t="s">
        <v>73</v>
      </c>
    </row>
    <row r="109" spans="69:203" ht="9" customHeight="1">
      <c r="BQ109" s="196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1319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197" t="s">
        <v>73</v>
      </c>
      <c r="DM109" s="196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197" t="s">
        <v>73</v>
      </c>
    </row>
    <row r="110" spans="69:203" ht="9" customHeight="1">
      <c r="BQ110" s="196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197" t="s">
        <v>73</v>
      </c>
      <c r="DM110" s="196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197" t="s">
        <v>73</v>
      </c>
    </row>
    <row r="111" spans="69:203" ht="9" customHeight="1">
      <c r="BQ111" s="196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1320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197" t="s">
        <v>73</v>
      </c>
      <c r="DM111" s="196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1318</v>
      </c>
      <c r="DY111" t="s">
        <v>1318</v>
      </c>
      <c r="DZ111" t="s">
        <v>1318</v>
      </c>
      <c r="EC111" t="s">
        <v>1318</v>
      </c>
      <c r="ED111" t="s">
        <v>1318</v>
      </c>
      <c r="EE111" t="s">
        <v>1318</v>
      </c>
      <c r="EF111" t="s">
        <v>1318</v>
      </c>
      <c r="EG111" t="s">
        <v>73</v>
      </c>
      <c r="EH111" t="s">
        <v>73</v>
      </c>
      <c r="EI111" t="s">
        <v>73</v>
      </c>
      <c r="EJ111" t="s">
        <v>1318</v>
      </c>
      <c r="EK111" t="s">
        <v>1318</v>
      </c>
      <c r="EL111" t="s">
        <v>1318</v>
      </c>
      <c r="EM111" t="s">
        <v>1318</v>
      </c>
      <c r="EN111" t="s">
        <v>1318</v>
      </c>
      <c r="EO111" t="s">
        <v>1318</v>
      </c>
      <c r="EP111" t="s">
        <v>1318</v>
      </c>
      <c r="EQ111" t="s">
        <v>73</v>
      </c>
      <c r="ER111" t="s">
        <v>73</v>
      </c>
      <c r="ES111" t="s">
        <v>1318</v>
      </c>
      <c r="ET111" t="s">
        <v>1318</v>
      </c>
      <c r="EU111" t="s">
        <v>1318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197" t="s">
        <v>73</v>
      </c>
    </row>
    <row r="112" spans="69:203" ht="9" customHeight="1">
      <c r="BQ112" s="196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197" t="s">
        <v>73</v>
      </c>
      <c r="DM112" s="196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1318</v>
      </c>
      <c r="FD112" t="s">
        <v>1318</v>
      </c>
      <c r="FE112" t="s">
        <v>1318</v>
      </c>
      <c r="FF112" t="s">
        <v>1318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1318</v>
      </c>
      <c r="FQ112" t="s">
        <v>1318</v>
      </c>
      <c r="FR112" t="s">
        <v>1318</v>
      </c>
      <c r="FS112" t="s">
        <v>1318</v>
      </c>
      <c r="FT112" t="s">
        <v>1318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1318</v>
      </c>
      <c r="GD112" t="s">
        <v>1318</v>
      </c>
      <c r="GE112" t="s">
        <v>1318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197" t="s">
        <v>73</v>
      </c>
    </row>
    <row r="113" spans="69:203" ht="9" customHeight="1">
      <c r="BQ113" s="196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197"/>
      <c r="DM113" s="196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197" t="s">
        <v>73</v>
      </c>
    </row>
    <row r="114" spans="69:203" ht="9" customHeight="1">
      <c r="BQ114" s="196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197"/>
      <c r="DM114" s="196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1346</v>
      </c>
      <c r="GI114" t="s">
        <v>1346</v>
      </c>
      <c r="GJ114" t="s">
        <v>1346</v>
      </c>
      <c r="GK114" t="s">
        <v>1346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197" t="s">
        <v>73</v>
      </c>
    </row>
    <row r="115" spans="69:203" ht="9" customHeight="1">
      <c r="BQ115" s="196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197"/>
      <c r="DM115" s="196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1346</v>
      </c>
      <c r="EU115" t="s">
        <v>1346</v>
      </c>
      <c r="EV115" t="s">
        <v>1346</v>
      </c>
      <c r="EW115" t="s">
        <v>1346</v>
      </c>
      <c r="EX115" t="s">
        <v>1346</v>
      </c>
      <c r="EY115" t="s">
        <v>1346</v>
      </c>
      <c r="EZ115" t="s">
        <v>1346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1346</v>
      </c>
      <c r="GI115" t="s">
        <v>1346</v>
      </c>
      <c r="GJ115" t="s">
        <v>1346</v>
      </c>
      <c r="GK115" t="s">
        <v>1346</v>
      </c>
      <c r="GL115" t="s">
        <v>1346</v>
      </c>
      <c r="GM115" t="s">
        <v>1346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197" t="s">
        <v>73</v>
      </c>
    </row>
    <row r="116" spans="69:203" ht="9" customHeight="1">
      <c r="BQ116" s="196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197" t="s">
        <v>73</v>
      </c>
      <c r="DM116" s="196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1318</v>
      </c>
      <c r="DZ116" t="s">
        <v>1318</v>
      </c>
      <c r="EA116" t="s">
        <v>1318</v>
      </c>
      <c r="EB116" t="s">
        <v>1318</v>
      </c>
      <c r="EE116" t="s">
        <v>1318</v>
      </c>
      <c r="EF116" t="s">
        <v>1318</v>
      </c>
      <c r="EG116" t="s">
        <v>73</v>
      </c>
      <c r="EH116" t="s">
        <v>73</v>
      </c>
      <c r="EI116" t="s">
        <v>73</v>
      </c>
      <c r="EJ116" t="s">
        <v>1318</v>
      </c>
      <c r="EK116" t="s">
        <v>1318</v>
      </c>
      <c r="EL116" t="s">
        <v>1318</v>
      </c>
      <c r="EM116" t="s">
        <v>1318</v>
      </c>
      <c r="EN116" t="s">
        <v>1318</v>
      </c>
      <c r="EO116" t="s">
        <v>1318</v>
      </c>
      <c r="EP116" t="s">
        <v>1318</v>
      </c>
      <c r="EQ116" t="s">
        <v>73</v>
      </c>
      <c r="ER116" t="s">
        <v>73</v>
      </c>
      <c r="ES116" t="s">
        <v>73</v>
      </c>
      <c r="ET116" t="s">
        <v>1346</v>
      </c>
      <c r="EU116" t="s">
        <v>1346</v>
      </c>
      <c r="EV116" t="s">
        <v>1346</v>
      </c>
      <c r="EW116" t="s">
        <v>1346</v>
      </c>
      <c r="EX116" t="s">
        <v>1346</v>
      </c>
      <c r="EY116" t="s">
        <v>1346</v>
      </c>
      <c r="EZ116" t="s">
        <v>1346</v>
      </c>
      <c r="FA116" t="s">
        <v>1346</v>
      </c>
      <c r="FB116" t="s">
        <v>1346</v>
      </c>
      <c r="FC116" t="s">
        <v>1346</v>
      </c>
      <c r="FD116" t="s">
        <v>1346</v>
      </c>
      <c r="FE116" t="s">
        <v>1346</v>
      </c>
      <c r="FF116" t="s">
        <v>1346</v>
      </c>
      <c r="FG116" t="s">
        <v>1346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1346</v>
      </c>
      <c r="GG116" t="s">
        <v>1346</v>
      </c>
      <c r="GH116" t="s">
        <v>1346</v>
      </c>
      <c r="GI116" t="s">
        <v>1346</v>
      </c>
      <c r="GJ116" t="s">
        <v>1346</v>
      </c>
      <c r="GK116" t="s">
        <v>1346</v>
      </c>
      <c r="GL116" t="s">
        <v>1346</v>
      </c>
      <c r="GM116" t="s">
        <v>1346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197" t="s">
        <v>73</v>
      </c>
    </row>
    <row r="117" spans="69:203" ht="9" customHeight="1">
      <c r="BQ117" s="196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197" t="s">
        <v>73</v>
      </c>
      <c r="DM117" s="196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1346</v>
      </c>
      <c r="EU117" t="s">
        <v>1346</v>
      </c>
      <c r="EV117" t="s">
        <v>1346</v>
      </c>
      <c r="EW117" t="s">
        <v>1346</v>
      </c>
      <c r="EX117" t="s">
        <v>1346</v>
      </c>
      <c r="EY117" t="s">
        <v>1346</v>
      </c>
      <c r="EZ117" t="s">
        <v>1346</v>
      </c>
      <c r="FA117" t="s">
        <v>1346</v>
      </c>
      <c r="FB117" t="s">
        <v>1346</v>
      </c>
      <c r="FC117" t="s">
        <v>1346</v>
      </c>
      <c r="FD117" t="s">
        <v>1346</v>
      </c>
      <c r="FE117" t="s">
        <v>1346</v>
      </c>
      <c r="FF117" t="s">
        <v>1346</v>
      </c>
      <c r="FG117" t="s">
        <v>1346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1346</v>
      </c>
      <c r="GG117" t="s">
        <v>1346</v>
      </c>
      <c r="GH117" t="s">
        <v>1346</v>
      </c>
      <c r="GI117" t="s">
        <v>1346</v>
      </c>
      <c r="GJ117" t="s">
        <v>1346</v>
      </c>
      <c r="GK117" t="s">
        <v>1346</v>
      </c>
      <c r="GL117" t="s">
        <v>1346</v>
      </c>
      <c r="GM117" t="s">
        <v>1346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197" t="s">
        <v>73</v>
      </c>
    </row>
    <row r="118" spans="69:203" ht="9" customHeight="1">
      <c r="BQ118" s="196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1321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197" t="s">
        <v>73</v>
      </c>
      <c r="DM118" s="196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1346</v>
      </c>
      <c r="EW118" t="s">
        <v>1346</v>
      </c>
      <c r="EX118" t="s">
        <v>1346</v>
      </c>
      <c r="EY118" t="s">
        <v>1346</v>
      </c>
      <c r="EZ118" t="s">
        <v>1346</v>
      </c>
      <c r="FA118" t="s">
        <v>1346</v>
      </c>
      <c r="FB118" t="s">
        <v>1346</v>
      </c>
      <c r="FC118" t="s">
        <v>1346</v>
      </c>
      <c r="FD118" t="s">
        <v>1346</v>
      </c>
      <c r="FE118" t="s">
        <v>1346</v>
      </c>
      <c r="FF118" t="s">
        <v>1346</v>
      </c>
      <c r="FG118" t="s">
        <v>1346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1346</v>
      </c>
      <c r="GF118" t="s">
        <v>1346</v>
      </c>
      <c r="GG118" t="s">
        <v>1346</v>
      </c>
      <c r="GH118" t="s">
        <v>1346</v>
      </c>
      <c r="GI118" t="s">
        <v>1346</v>
      </c>
      <c r="GJ118" t="s">
        <v>1346</v>
      </c>
      <c r="GK118" t="s">
        <v>1346</v>
      </c>
      <c r="GL118" t="s">
        <v>1346</v>
      </c>
      <c r="GM118" t="s">
        <v>1346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197" t="s">
        <v>73</v>
      </c>
    </row>
    <row r="119" spans="69:203" ht="9" customHeight="1">
      <c r="BQ119" s="196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197" t="s">
        <v>73</v>
      </c>
      <c r="DM119" s="196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1346</v>
      </c>
      <c r="EW119" t="s">
        <v>1346</v>
      </c>
      <c r="EX119" t="s">
        <v>1346</v>
      </c>
      <c r="EY119" t="s">
        <v>1346</v>
      </c>
      <c r="EZ119" t="s">
        <v>1346</v>
      </c>
      <c r="FA119" t="s">
        <v>1346</v>
      </c>
      <c r="FB119" t="s">
        <v>1346</v>
      </c>
      <c r="FC119" t="s">
        <v>1346</v>
      </c>
      <c r="FD119" t="s">
        <v>1346</v>
      </c>
      <c r="FE119" t="s">
        <v>1346</v>
      </c>
      <c r="FF119" t="s">
        <v>1346</v>
      </c>
      <c r="FG119" t="s">
        <v>1346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1346</v>
      </c>
      <c r="GF119" t="s">
        <v>1346</v>
      </c>
      <c r="GG119" t="s">
        <v>1346</v>
      </c>
      <c r="GH119" t="s">
        <v>1346</v>
      </c>
      <c r="GI119" t="s">
        <v>1346</v>
      </c>
      <c r="GJ119" t="s">
        <v>1346</v>
      </c>
      <c r="GK119" t="s">
        <v>1346</v>
      </c>
      <c r="GL119" t="s">
        <v>1346</v>
      </c>
      <c r="GM119" t="s">
        <v>1346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197" t="s">
        <v>73</v>
      </c>
    </row>
    <row r="120" spans="69:203" ht="9" customHeight="1">
      <c r="BQ120" s="196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197" t="s">
        <v>73</v>
      </c>
      <c r="DM120" s="196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1346</v>
      </c>
      <c r="FA120" t="s">
        <v>1346</v>
      </c>
      <c r="FB120" t="s">
        <v>1346</v>
      </c>
      <c r="FC120" t="s">
        <v>1346</v>
      </c>
      <c r="FD120" t="s">
        <v>1346</v>
      </c>
      <c r="FE120" t="s">
        <v>1346</v>
      </c>
      <c r="FF120" t="s">
        <v>1346</v>
      </c>
      <c r="FG120" t="s">
        <v>1346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1346</v>
      </c>
      <c r="GF120" t="s">
        <v>1346</v>
      </c>
      <c r="GG120" t="s">
        <v>1346</v>
      </c>
      <c r="GH120" t="s">
        <v>1346</v>
      </c>
      <c r="GI120" t="s">
        <v>1346</v>
      </c>
      <c r="GJ120" t="s">
        <v>1346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197" t="s">
        <v>73</v>
      </c>
    </row>
    <row r="121" spans="69:203" ht="9" customHeight="1">
      <c r="BQ121" s="196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197" t="s">
        <v>73</v>
      </c>
      <c r="DM121" s="196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197" t="s">
        <v>73</v>
      </c>
    </row>
    <row r="122" spans="69:203" ht="9" customHeight="1">
      <c r="BQ122" s="196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197" t="s">
        <v>73</v>
      </c>
      <c r="DM122" s="196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197" t="s">
        <v>73</v>
      </c>
    </row>
    <row r="123" spans="69:203" ht="9" customHeight="1" thickBot="1">
      <c r="BQ123" s="196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1318</v>
      </c>
      <c r="CS123" t="s">
        <v>1318</v>
      </c>
      <c r="CT123" t="s">
        <v>1318</v>
      </c>
      <c r="CU123" t="s">
        <v>1318</v>
      </c>
      <c r="CW123" t="s">
        <v>1318</v>
      </c>
      <c r="CX123" t="s">
        <v>1318</v>
      </c>
      <c r="CY123" t="s">
        <v>1318</v>
      </c>
      <c r="CZ123" t="s">
        <v>1318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197" t="s">
        <v>73</v>
      </c>
      <c r="DM123" s="198" t="s">
        <v>73</v>
      </c>
      <c r="DN123" s="208" t="s">
        <v>73</v>
      </c>
      <c r="DO123" s="208" t="s">
        <v>73</v>
      </c>
      <c r="DP123" s="208" t="s">
        <v>73</v>
      </c>
      <c r="DQ123" s="208" t="s">
        <v>73</v>
      </c>
      <c r="DR123" s="208" t="s">
        <v>73</v>
      </c>
      <c r="DS123" s="208" t="s">
        <v>73</v>
      </c>
      <c r="DT123" s="208" t="s">
        <v>73</v>
      </c>
      <c r="DU123" s="208" t="s">
        <v>73</v>
      </c>
      <c r="DV123" s="208" t="s">
        <v>73</v>
      </c>
      <c r="DW123" s="208" t="s">
        <v>73</v>
      </c>
      <c r="DX123" s="208" t="s">
        <v>73</v>
      </c>
      <c r="DY123" s="208" t="s">
        <v>73</v>
      </c>
      <c r="DZ123" s="208" t="s">
        <v>73</v>
      </c>
      <c r="EA123" s="208" t="s">
        <v>73</v>
      </c>
      <c r="EB123" s="208" t="s">
        <v>73</v>
      </c>
      <c r="EC123" s="208" t="s">
        <v>73</v>
      </c>
      <c r="ED123" s="208" t="s">
        <v>73</v>
      </c>
      <c r="EE123" s="208" t="s">
        <v>73</v>
      </c>
      <c r="EF123" s="208" t="s">
        <v>73</v>
      </c>
      <c r="EG123" s="208" t="s">
        <v>73</v>
      </c>
      <c r="EH123" s="208" t="s">
        <v>73</v>
      </c>
      <c r="EI123" s="208" t="s">
        <v>73</v>
      </c>
      <c r="EJ123" s="208" t="s">
        <v>73</v>
      </c>
      <c r="EK123" s="208" t="s">
        <v>73</v>
      </c>
      <c r="EL123" s="208" t="s">
        <v>73</v>
      </c>
      <c r="EM123" s="208" t="s">
        <v>73</v>
      </c>
      <c r="EN123" s="208" t="s">
        <v>73</v>
      </c>
      <c r="EO123" s="208" t="s">
        <v>73</v>
      </c>
      <c r="EP123" s="208" t="s">
        <v>73</v>
      </c>
      <c r="EQ123" s="208" t="s">
        <v>73</v>
      </c>
      <c r="ER123" s="208" t="s">
        <v>73</v>
      </c>
      <c r="ES123" s="208" t="s">
        <v>73</v>
      </c>
      <c r="ET123" s="208" t="s">
        <v>73</v>
      </c>
      <c r="EU123" s="208" t="s">
        <v>73</v>
      </c>
      <c r="EV123" s="208" t="s">
        <v>73</v>
      </c>
      <c r="EW123" s="208" t="s">
        <v>73</v>
      </c>
      <c r="EX123" s="208" t="s">
        <v>73</v>
      </c>
      <c r="EY123" s="208" t="s">
        <v>73</v>
      </c>
      <c r="EZ123" s="208" t="s">
        <v>73</v>
      </c>
      <c r="FA123" s="208" t="s">
        <v>73</v>
      </c>
      <c r="FB123" s="208" t="s">
        <v>73</v>
      </c>
      <c r="FC123" s="208" t="s">
        <v>73</v>
      </c>
      <c r="FD123" s="208" t="s">
        <v>73</v>
      </c>
      <c r="FE123" s="208" t="s">
        <v>73</v>
      </c>
      <c r="FF123" s="208" t="s">
        <v>73</v>
      </c>
      <c r="FG123" s="208" t="s">
        <v>73</v>
      </c>
      <c r="FH123" s="208" t="s">
        <v>73</v>
      </c>
      <c r="FI123" s="208" t="s">
        <v>73</v>
      </c>
      <c r="FJ123" s="208" t="s">
        <v>73</v>
      </c>
      <c r="FK123" s="208" t="s">
        <v>73</v>
      </c>
      <c r="FL123" s="208" t="s">
        <v>73</v>
      </c>
      <c r="FM123" s="208" t="s">
        <v>73</v>
      </c>
      <c r="FN123" s="208" t="s">
        <v>73</v>
      </c>
      <c r="FO123" s="208" t="s">
        <v>73</v>
      </c>
      <c r="FP123" s="208" t="s">
        <v>73</v>
      </c>
      <c r="FQ123" s="208" t="s">
        <v>73</v>
      </c>
      <c r="FR123" s="208" t="s">
        <v>73</v>
      </c>
      <c r="FS123" s="208" t="s">
        <v>73</v>
      </c>
      <c r="FT123" s="208" t="s">
        <v>73</v>
      </c>
      <c r="FU123" s="208" t="s">
        <v>73</v>
      </c>
      <c r="FV123" s="208" t="s">
        <v>73</v>
      </c>
      <c r="FW123" s="208" t="s">
        <v>73</v>
      </c>
      <c r="FX123" s="208" t="s">
        <v>73</v>
      </c>
      <c r="FY123" s="208" t="s">
        <v>73</v>
      </c>
      <c r="FZ123" s="208" t="s">
        <v>73</v>
      </c>
      <c r="GA123" s="208" t="s">
        <v>73</v>
      </c>
      <c r="GB123" s="208" t="s">
        <v>73</v>
      </c>
      <c r="GC123" s="208" t="s">
        <v>73</v>
      </c>
      <c r="GD123" s="208" t="s">
        <v>73</v>
      </c>
      <c r="GE123" s="208" t="s">
        <v>73</v>
      </c>
      <c r="GF123" s="208" t="s">
        <v>73</v>
      </c>
      <c r="GG123" s="208" t="s">
        <v>73</v>
      </c>
      <c r="GH123" s="208" t="s">
        <v>73</v>
      </c>
      <c r="GI123" s="208" t="s">
        <v>73</v>
      </c>
      <c r="GJ123" s="208" t="s">
        <v>73</v>
      </c>
      <c r="GK123" s="208" t="s">
        <v>73</v>
      </c>
      <c r="GL123" s="208" t="s">
        <v>73</v>
      </c>
      <c r="GM123" s="208" t="s">
        <v>73</v>
      </c>
      <c r="GN123" s="208" t="s">
        <v>73</v>
      </c>
      <c r="GO123" s="208" t="s">
        <v>73</v>
      </c>
      <c r="GP123" s="208" t="s">
        <v>73</v>
      </c>
      <c r="GQ123" s="208" t="s">
        <v>73</v>
      </c>
      <c r="GR123" s="208" t="s">
        <v>73</v>
      </c>
      <c r="GS123" s="208" t="s">
        <v>73</v>
      </c>
      <c r="GT123" s="208" t="s">
        <v>73</v>
      </c>
      <c r="GU123" s="159" t="s">
        <v>73</v>
      </c>
    </row>
    <row r="124" spans="69:203" ht="9" customHeight="1">
      <c r="BQ124" s="196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197" t="s">
        <v>73</v>
      </c>
    </row>
    <row r="125" spans="69:203" ht="9" customHeight="1">
      <c r="BQ125" s="196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197" t="s">
        <v>73</v>
      </c>
    </row>
    <row r="126" spans="69:203" ht="9" customHeight="1">
      <c r="BQ126" s="196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197" t="s">
        <v>73</v>
      </c>
    </row>
    <row r="127" spans="69:203" ht="9" customHeight="1">
      <c r="BQ127" s="196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197" t="s">
        <v>73</v>
      </c>
    </row>
    <row r="128" spans="69:203" ht="9" customHeight="1">
      <c r="BQ128" s="196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197" t="s">
        <v>73</v>
      </c>
    </row>
    <row r="129" spans="69:116" ht="9" customHeight="1">
      <c r="BQ129" s="196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197" t="s">
        <v>73</v>
      </c>
    </row>
    <row r="130" spans="69:116" ht="9" customHeight="1">
      <c r="BQ130" s="196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197" t="s">
        <v>73</v>
      </c>
    </row>
    <row r="131" spans="69:116" ht="9" customHeight="1">
      <c r="BQ131" s="196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197" t="s">
        <v>73</v>
      </c>
    </row>
    <row r="132" spans="69:116" ht="9" customHeight="1" thickBot="1">
      <c r="BQ132" s="198" t="s">
        <v>73</v>
      </c>
      <c r="BR132" s="208" t="s">
        <v>73</v>
      </c>
      <c r="BS132" s="208" t="s">
        <v>73</v>
      </c>
      <c r="BT132" s="208" t="s">
        <v>73</v>
      </c>
      <c r="BU132" s="208" t="s">
        <v>73</v>
      </c>
      <c r="BV132" s="208" t="s">
        <v>73</v>
      </c>
      <c r="BW132" s="208" t="s">
        <v>73</v>
      </c>
      <c r="BX132" s="208" t="s">
        <v>73</v>
      </c>
      <c r="BY132" s="208" t="s">
        <v>73</v>
      </c>
      <c r="BZ132" s="208" t="s">
        <v>73</v>
      </c>
      <c r="CA132" s="208" t="s">
        <v>73</v>
      </c>
      <c r="CB132" s="208" t="s">
        <v>73</v>
      </c>
      <c r="CC132" s="208" t="s">
        <v>73</v>
      </c>
      <c r="CD132" s="208" t="s">
        <v>73</v>
      </c>
      <c r="CE132" s="208" t="s">
        <v>73</v>
      </c>
      <c r="CF132" s="208" t="s">
        <v>73</v>
      </c>
      <c r="CG132" s="208" t="s">
        <v>73</v>
      </c>
      <c r="CH132" s="208" t="s">
        <v>73</v>
      </c>
      <c r="CI132" s="208" t="s">
        <v>73</v>
      </c>
      <c r="CJ132" s="208" t="s">
        <v>73</v>
      </c>
      <c r="CK132" s="208"/>
      <c r="CL132" s="208"/>
      <c r="CM132" s="208"/>
      <c r="CN132" s="208"/>
      <c r="CO132" s="208" t="s">
        <v>73</v>
      </c>
      <c r="CP132" s="208" t="s">
        <v>73</v>
      </c>
      <c r="CQ132" s="208" t="s">
        <v>73</v>
      </c>
      <c r="CR132" s="208" t="s">
        <v>73</v>
      </c>
      <c r="CS132" s="208" t="s">
        <v>73</v>
      </c>
      <c r="CT132" s="208" t="s">
        <v>73</v>
      </c>
      <c r="CU132" s="208" t="s">
        <v>73</v>
      </c>
      <c r="CV132" s="208" t="s">
        <v>73</v>
      </c>
      <c r="CW132" s="208" t="s">
        <v>73</v>
      </c>
      <c r="CX132" s="208" t="s">
        <v>73</v>
      </c>
      <c r="CY132" s="208" t="s">
        <v>73</v>
      </c>
      <c r="CZ132" s="208" t="s">
        <v>73</v>
      </c>
      <c r="DA132" s="208" t="s">
        <v>73</v>
      </c>
      <c r="DB132" s="208" t="s">
        <v>73</v>
      </c>
      <c r="DC132" s="208" t="s">
        <v>73</v>
      </c>
      <c r="DD132" s="208" t="s">
        <v>73</v>
      </c>
      <c r="DE132" s="208" t="s">
        <v>73</v>
      </c>
      <c r="DF132" s="208" t="s">
        <v>73</v>
      </c>
      <c r="DG132" s="208" t="s">
        <v>73</v>
      </c>
      <c r="DH132" s="208" t="s">
        <v>73</v>
      </c>
      <c r="DI132" s="208" t="s">
        <v>73</v>
      </c>
      <c r="DJ132" s="208" t="s">
        <v>73</v>
      </c>
      <c r="DK132" s="208" t="s">
        <v>73</v>
      </c>
      <c r="DL132" s="159" t="s">
        <v>73</v>
      </c>
    </row>
    <row r="133" spans="69:116" ht="9" customHeight="1">
      <c r="CC133" s="194" t="s">
        <v>73</v>
      </c>
      <c r="CD133" s="207" t="s">
        <v>73</v>
      </c>
      <c r="CE133" s="207" t="s">
        <v>73</v>
      </c>
      <c r="CF133" s="207" t="s">
        <v>73</v>
      </c>
      <c r="CG133" s="207" t="s">
        <v>73</v>
      </c>
      <c r="CH133" s="207" t="s">
        <v>73</v>
      </c>
      <c r="CI133" s="207" t="s">
        <v>73</v>
      </c>
      <c r="CJ133" s="207" t="s">
        <v>73</v>
      </c>
      <c r="CK133" s="207"/>
      <c r="CL133" s="207"/>
      <c r="CM133" s="207"/>
      <c r="CN133" s="207"/>
      <c r="CO133" s="207" t="s">
        <v>73</v>
      </c>
      <c r="CP133" s="207" t="s">
        <v>73</v>
      </c>
      <c r="CQ133" s="207" t="s">
        <v>73</v>
      </c>
      <c r="CR133" s="207" t="s">
        <v>73</v>
      </c>
      <c r="CS133" s="207" t="s">
        <v>73</v>
      </c>
      <c r="CT133" s="207" t="s">
        <v>73</v>
      </c>
      <c r="CU133" s="207" t="s">
        <v>73</v>
      </c>
      <c r="CV133" s="207" t="s">
        <v>73</v>
      </c>
      <c r="CW133" s="207" t="s">
        <v>73</v>
      </c>
      <c r="CX133" s="207" t="s">
        <v>73</v>
      </c>
      <c r="CY133" s="207" t="s">
        <v>73</v>
      </c>
      <c r="CZ133" s="195" t="s">
        <v>73</v>
      </c>
    </row>
    <row r="134" spans="69:116" ht="9" customHeight="1">
      <c r="CC134" s="196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197" t="s">
        <v>73</v>
      </c>
    </row>
    <row r="135" spans="69:116" ht="9" customHeight="1">
      <c r="CC135" s="196" t="s">
        <v>73</v>
      </c>
      <c r="CD135" t="s">
        <v>73</v>
      </c>
      <c r="CE135" t="s">
        <v>1346</v>
      </c>
      <c r="CF135" t="s">
        <v>1346</v>
      </c>
      <c r="CG135" t="s">
        <v>1346</v>
      </c>
      <c r="CH135" t="s">
        <v>1346</v>
      </c>
      <c r="CI135" t="s">
        <v>1346</v>
      </c>
      <c r="CJ135" t="s">
        <v>1346</v>
      </c>
      <c r="CK135" t="s">
        <v>1346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197" t="s">
        <v>73</v>
      </c>
    </row>
    <row r="136" spans="69:116" ht="9" customHeight="1">
      <c r="CC136" s="196" t="s">
        <v>73</v>
      </c>
      <c r="CD136" t="s">
        <v>73</v>
      </c>
      <c r="CE136" t="s">
        <v>1346</v>
      </c>
      <c r="CF136" t="s">
        <v>1346</v>
      </c>
      <c r="CG136" t="s">
        <v>1346</v>
      </c>
      <c r="CH136" t="s">
        <v>1346</v>
      </c>
      <c r="CI136" t="s">
        <v>1346</v>
      </c>
      <c r="CJ136" t="s">
        <v>1346</v>
      </c>
      <c r="CK136" t="s">
        <v>1346</v>
      </c>
      <c r="CO136" t="s">
        <v>73</v>
      </c>
      <c r="CY136" t="s">
        <v>73</v>
      </c>
      <c r="CZ136" s="197" t="s">
        <v>73</v>
      </c>
    </row>
    <row r="137" spans="69:116" ht="9" customHeight="1">
      <c r="CC137" s="196" t="s">
        <v>73</v>
      </c>
      <c r="CD137" t="s">
        <v>73</v>
      </c>
      <c r="CE137" t="s">
        <v>1346</v>
      </c>
      <c r="CF137" t="s">
        <v>1346</v>
      </c>
      <c r="CG137" t="s">
        <v>1346</v>
      </c>
      <c r="CH137" t="s">
        <v>1346</v>
      </c>
      <c r="CI137" t="s">
        <v>1346</v>
      </c>
      <c r="CJ137" t="s">
        <v>1346</v>
      </c>
      <c r="CK137" t="s">
        <v>1346</v>
      </c>
      <c r="CO137" t="s">
        <v>73</v>
      </c>
      <c r="CY137" t="s">
        <v>73</v>
      </c>
      <c r="CZ137" s="197" t="s">
        <v>73</v>
      </c>
    </row>
    <row r="138" spans="69:116" ht="9" customHeight="1">
      <c r="CC138" s="196" t="s">
        <v>73</v>
      </c>
      <c r="CD138" t="s">
        <v>73</v>
      </c>
      <c r="CE138" t="s">
        <v>1346</v>
      </c>
      <c r="CF138" t="s">
        <v>1346</v>
      </c>
      <c r="CG138" t="s">
        <v>1346</v>
      </c>
      <c r="CH138" t="s">
        <v>1346</v>
      </c>
      <c r="CI138" t="s">
        <v>1346</v>
      </c>
      <c r="CJ138" t="s">
        <v>1346</v>
      </c>
      <c r="CK138" t="s">
        <v>1346</v>
      </c>
      <c r="CO138" t="s">
        <v>73</v>
      </c>
      <c r="CY138" t="s">
        <v>73</v>
      </c>
      <c r="CZ138" s="197" t="s">
        <v>73</v>
      </c>
    </row>
    <row r="139" spans="69:116" ht="9" customHeight="1">
      <c r="CC139" s="196" t="s">
        <v>73</v>
      </c>
      <c r="CD139" t="s">
        <v>73</v>
      </c>
      <c r="CE139" t="s">
        <v>1346</v>
      </c>
      <c r="CF139" t="s">
        <v>1346</v>
      </c>
      <c r="CG139" t="s">
        <v>1346</v>
      </c>
      <c r="CH139" t="s">
        <v>1346</v>
      </c>
      <c r="CI139" t="s">
        <v>1346</v>
      </c>
      <c r="CJ139" t="s">
        <v>1346</v>
      </c>
      <c r="CK139" t="s">
        <v>1346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197" t="s">
        <v>73</v>
      </c>
    </row>
    <row r="140" spans="69:116" ht="9" customHeight="1">
      <c r="CC140" s="196" t="s">
        <v>73</v>
      </c>
      <c r="CD140" t="s">
        <v>73</v>
      </c>
      <c r="CE140" t="s">
        <v>1346</v>
      </c>
      <c r="CF140" t="s">
        <v>1346</v>
      </c>
      <c r="CG140" t="s">
        <v>1346</v>
      </c>
      <c r="CH140" t="s">
        <v>1346</v>
      </c>
      <c r="CI140" t="s">
        <v>1346</v>
      </c>
      <c r="CJ140" t="s">
        <v>1346</v>
      </c>
      <c r="CK140" t="s">
        <v>1346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197" t="s">
        <v>73</v>
      </c>
    </row>
    <row r="141" spans="69:116" ht="9" customHeight="1">
      <c r="CC141" s="196" t="s">
        <v>73</v>
      </c>
      <c r="CD141" t="s">
        <v>73</v>
      </c>
      <c r="CE141" t="s">
        <v>1346</v>
      </c>
      <c r="CF141" t="s">
        <v>1346</v>
      </c>
      <c r="CG141" t="s">
        <v>1346</v>
      </c>
      <c r="CH141" t="s">
        <v>1346</v>
      </c>
      <c r="CI141" t="s">
        <v>1346</v>
      </c>
      <c r="CJ141" t="s">
        <v>1346</v>
      </c>
      <c r="CK141" t="s">
        <v>1346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197" t="s">
        <v>73</v>
      </c>
    </row>
    <row r="142" spans="69:116" ht="9" customHeight="1">
      <c r="CC142" s="196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197" t="s">
        <v>73</v>
      </c>
    </row>
    <row r="143" spans="69:116" ht="9" customHeight="1">
      <c r="CC143" s="196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197" t="s">
        <v>73</v>
      </c>
    </row>
    <row r="144" spans="69:116" ht="9" customHeight="1">
      <c r="CC144" s="196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1347</v>
      </c>
      <c r="CU144" t="s">
        <v>73</v>
      </c>
      <c r="CV144" t="s">
        <v>73</v>
      </c>
      <c r="CW144" t="s">
        <v>73</v>
      </c>
      <c r="CY144" t="s">
        <v>73</v>
      </c>
      <c r="CZ144" s="197" t="s">
        <v>73</v>
      </c>
    </row>
    <row r="145" spans="81:104" ht="9" customHeight="1">
      <c r="CC145" s="196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197" t="s">
        <v>73</v>
      </c>
    </row>
    <row r="146" spans="81:104" ht="9" customHeight="1">
      <c r="CC146" s="196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197" t="s">
        <v>73</v>
      </c>
    </row>
    <row r="147" spans="81:104" ht="9" customHeight="1">
      <c r="CC147" s="196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1428</v>
      </c>
      <c r="CI147" s="1" t="s">
        <v>1428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197" t="s">
        <v>73</v>
      </c>
    </row>
    <row r="148" spans="81:104" ht="9" customHeight="1">
      <c r="CC148" s="196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197" t="s">
        <v>73</v>
      </c>
    </row>
    <row r="149" spans="81:104" ht="9" customHeight="1">
      <c r="CC149" s="196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197" t="s">
        <v>73</v>
      </c>
    </row>
    <row r="150" spans="81:104" ht="9" customHeight="1">
      <c r="CC150" s="196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197" t="s">
        <v>73</v>
      </c>
    </row>
    <row r="151" spans="81:104" ht="9" customHeight="1">
      <c r="CC151" s="196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197" t="s">
        <v>73</v>
      </c>
    </row>
    <row r="152" spans="81:104" ht="9" customHeight="1">
      <c r="CC152" s="196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197" t="s">
        <v>73</v>
      </c>
    </row>
    <row r="153" spans="81:104" ht="9" customHeight="1">
      <c r="CC153" s="196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197" t="s">
        <v>73</v>
      </c>
    </row>
    <row r="154" spans="81:104" ht="9" customHeight="1">
      <c r="CC154" s="196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197" t="s">
        <v>73</v>
      </c>
    </row>
    <row r="155" spans="81:104" ht="9" customHeight="1">
      <c r="CC155" s="196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197" t="s">
        <v>73</v>
      </c>
    </row>
    <row r="156" spans="81:104" ht="9" customHeight="1">
      <c r="CC156" s="196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197" t="s">
        <v>73</v>
      </c>
    </row>
    <row r="157" spans="81:104" ht="9" customHeight="1">
      <c r="CC157" s="196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197" t="s">
        <v>73</v>
      </c>
    </row>
    <row r="158" spans="81:104" ht="9" customHeight="1">
      <c r="CC158" s="196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197" t="s">
        <v>73</v>
      </c>
    </row>
    <row r="159" spans="81:104" ht="9" customHeight="1">
      <c r="CC159" s="196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197" t="s">
        <v>73</v>
      </c>
    </row>
    <row r="160" spans="81:104" ht="9" customHeight="1">
      <c r="CC160" s="196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197" t="s">
        <v>73</v>
      </c>
    </row>
    <row r="161" spans="81:104" ht="9" customHeight="1">
      <c r="CC161" s="196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197" t="s">
        <v>73</v>
      </c>
    </row>
    <row r="162" spans="81:104" ht="9" customHeight="1">
      <c r="CC162" s="196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197" t="s">
        <v>73</v>
      </c>
    </row>
    <row r="163" spans="81:104" ht="9" customHeight="1">
      <c r="CC163" s="196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197" t="s">
        <v>73</v>
      </c>
    </row>
    <row r="164" spans="81:104" ht="9" customHeight="1">
      <c r="CC164" s="196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197" t="s">
        <v>73</v>
      </c>
    </row>
    <row r="165" spans="81:104" ht="9" customHeight="1">
      <c r="CC165" s="196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1318</v>
      </c>
      <c r="CT165" t="s">
        <v>1318</v>
      </c>
      <c r="CU165" t="s">
        <v>1318</v>
      </c>
      <c r="CW165" t="s">
        <v>1318</v>
      </c>
      <c r="CX165" t="s">
        <v>1318</v>
      </c>
      <c r="CY165" t="s">
        <v>73</v>
      </c>
      <c r="CZ165" s="197" t="s">
        <v>73</v>
      </c>
    </row>
    <row r="166" spans="81:104" ht="9" customHeight="1">
      <c r="CC166" s="196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197" t="s">
        <v>73</v>
      </c>
    </row>
    <row r="167" spans="81:104" ht="9" customHeight="1">
      <c r="CC167" s="196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197" t="s">
        <v>73</v>
      </c>
    </row>
    <row r="168" spans="81:104" ht="9" customHeight="1">
      <c r="CC168" s="196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197" t="s">
        <v>73</v>
      </c>
    </row>
    <row r="169" spans="81:104" ht="9" customHeight="1">
      <c r="CC169" s="196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197" t="s">
        <v>73</v>
      </c>
    </row>
    <row r="170" spans="81:104" ht="9" customHeight="1">
      <c r="CC170" s="196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1318</v>
      </c>
      <c r="CT170" t="s">
        <v>1318</v>
      </c>
      <c r="CU170" t="s">
        <v>1318</v>
      </c>
      <c r="CW170" t="s">
        <v>1318</v>
      </c>
      <c r="CX170" t="s">
        <v>1318</v>
      </c>
      <c r="CY170" t="s">
        <v>73</v>
      </c>
      <c r="CZ170" s="197" t="s">
        <v>73</v>
      </c>
    </row>
    <row r="171" spans="81:104" ht="9" customHeight="1">
      <c r="CC171" s="196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197" t="s">
        <v>73</v>
      </c>
    </row>
    <row r="172" spans="81:104" ht="9" customHeight="1">
      <c r="CC172" s="196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197" t="s">
        <v>73</v>
      </c>
    </row>
    <row r="173" spans="81:104" ht="9" customHeight="1">
      <c r="CC173" s="196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197" t="s">
        <v>73</v>
      </c>
    </row>
    <row r="174" spans="81:104" ht="9" customHeight="1">
      <c r="CC174" s="196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197" t="s">
        <v>73</v>
      </c>
    </row>
    <row r="175" spans="81:104" ht="9" customHeight="1">
      <c r="CC175" s="196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1884</v>
      </c>
      <c r="CV175" t="s">
        <v>1884</v>
      </c>
      <c r="CW175" t="s">
        <v>73</v>
      </c>
      <c r="CX175" t="s">
        <v>73</v>
      </c>
      <c r="CY175" t="s">
        <v>73</v>
      </c>
      <c r="CZ175" s="197" t="s">
        <v>73</v>
      </c>
    </row>
    <row r="176" spans="81:104" ht="9" customHeight="1">
      <c r="CC176" s="196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197" t="s">
        <v>73</v>
      </c>
    </row>
    <row r="177" spans="81:104" ht="9" customHeight="1">
      <c r="CC177" s="196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197" t="s">
        <v>73</v>
      </c>
    </row>
    <row r="178" spans="81:104" ht="9" customHeight="1">
      <c r="CC178" s="196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197" t="s">
        <v>73</v>
      </c>
    </row>
    <row r="179" spans="81:104" ht="9" customHeight="1">
      <c r="CC179" s="196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1885</v>
      </c>
      <c r="CV179" t="s">
        <v>1885</v>
      </c>
      <c r="CW179" t="s">
        <v>73</v>
      </c>
      <c r="CX179" t="s">
        <v>73</v>
      </c>
      <c r="CY179" t="s">
        <v>73</v>
      </c>
      <c r="CZ179" s="197" t="s">
        <v>73</v>
      </c>
    </row>
    <row r="180" spans="81:104" ht="9" customHeight="1">
      <c r="CC180" s="196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197" t="s">
        <v>73</v>
      </c>
    </row>
    <row r="181" spans="81:104" ht="9" customHeight="1">
      <c r="CC181" s="196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197" t="s">
        <v>73</v>
      </c>
    </row>
    <row r="182" spans="81:104" ht="9" customHeight="1">
      <c r="CC182" s="196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197" t="s">
        <v>73</v>
      </c>
    </row>
    <row r="183" spans="81:104" ht="9" customHeight="1">
      <c r="CC183" s="196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197" t="s">
        <v>73</v>
      </c>
    </row>
    <row r="184" spans="81:104" ht="9" customHeight="1">
      <c r="CC184" s="196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1427</v>
      </c>
      <c r="CI184" t="s">
        <v>1427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1318</v>
      </c>
      <c r="CT184" t="s">
        <v>1318</v>
      </c>
      <c r="CU184" t="s">
        <v>1318</v>
      </c>
      <c r="CW184" t="s">
        <v>1318</v>
      </c>
      <c r="CX184" t="s">
        <v>1318</v>
      </c>
      <c r="CY184" t="s">
        <v>73</v>
      </c>
      <c r="CZ184" s="197" t="s">
        <v>73</v>
      </c>
    </row>
    <row r="185" spans="81:104" ht="9" customHeight="1">
      <c r="CC185" s="196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197" t="s">
        <v>73</v>
      </c>
    </row>
    <row r="186" spans="81:104" ht="9" customHeight="1">
      <c r="CC186" s="196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197" t="s">
        <v>73</v>
      </c>
    </row>
    <row r="187" spans="81:104" ht="9" customHeight="1">
      <c r="CC187" s="196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197" t="s">
        <v>73</v>
      </c>
    </row>
    <row r="188" spans="81:104" ht="9" customHeight="1">
      <c r="CC188" s="196" t="s">
        <v>73</v>
      </c>
      <c r="CD188" t="s">
        <v>73</v>
      </c>
      <c r="CE188" t="s">
        <v>1318</v>
      </c>
      <c r="CF188" t="s">
        <v>1318</v>
      </c>
      <c r="CG188" t="s">
        <v>1318</v>
      </c>
      <c r="CH188" t="s">
        <v>1318</v>
      </c>
      <c r="CI188" t="s">
        <v>1318</v>
      </c>
      <c r="CJ188" t="s">
        <v>1318</v>
      </c>
      <c r="CK188" t="s">
        <v>1318</v>
      </c>
      <c r="CL188" t="s">
        <v>1318</v>
      </c>
      <c r="CM188" t="s">
        <v>1318</v>
      </c>
      <c r="CQ188" t="s">
        <v>73</v>
      </c>
      <c r="CR188" t="s">
        <v>73</v>
      </c>
      <c r="CY188" t="s">
        <v>73</v>
      </c>
      <c r="CZ188" s="197" t="s">
        <v>73</v>
      </c>
    </row>
    <row r="189" spans="81:104" ht="9" customHeight="1">
      <c r="CC189" s="196" t="s">
        <v>73</v>
      </c>
      <c r="CD189" t="s">
        <v>73</v>
      </c>
      <c r="CI189" t="s">
        <v>1346</v>
      </c>
      <c r="CJ189" t="s">
        <v>1346</v>
      </c>
      <c r="CK189" t="s">
        <v>1346</v>
      </c>
      <c r="CL189" t="s">
        <v>1346</v>
      </c>
      <c r="CM189" t="s">
        <v>1346</v>
      </c>
      <c r="CN189" t="s">
        <v>1346</v>
      </c>
      <c r="CO189" t="s">
        <v>1346</v>
      </c>
      <c r="CQ189" t="s">
        <v>73</v>
      </c>
      <c r="CR189" t="s">
        <v>73</v>
      </c>
      <c r="CY189" t="s">
        <v>73</v>
      </c>
      <c r="CZ189" s="197" t="s">
        <v>73</v>
      </c>
    </row>
    <row r="190" spans="81:104" ht="9" customHeight="1">
      <c r="CC190" s="196" t="s">
        <v>73</v>
      </c>
      <c r="CD190" t="s">
        <v>73</v>
      </c>
      <c r="CI190" t="s">
        <v>1346</v>
      </c>
      <c r="CJ190" t="s">
        <v>1346</v>
      </c>
      <c r="CK190" t="s">
        <v>1346</v>
      </c>
      <c r="CL190" t="s">
        <v>1346</v>
      </c>
      <c r="CM190" t="s">
        <v>1346</v>
      </c>
      <c r="CN190" t="s">
        <v>1346</v>
      </c>
      <c r="CO190" t="s">
        <v>1346</v>
      </c>
      <c r="CQ190" t="s">
        <v>73</v>
      </c>
      <c r="CR190" t="s">
        <v>73</v>
      </c>
      <c r="CS190" t="s">
        <v>1318</v>
      </c>
      <c r="CT190" t="s">
        <v>1318</v>
      </c>
      <c r="CV190" t="s">
        <v>1318</v>
      </c>
      <c r="CW190" t="s">
        <v>1318</v>
      </c>
      <c r="CX190" t="s">
        <v>1318</v>
      </c>
      <c r="CY190" t="s">
        <v>73</v>
      </c>
      <c r="CZ190" s="197" t="s">
        <v>73</v>
      </c>
    </row>
    <row r="191" spans="81:104" ht="9" customHeight="1">
      <c r="CC191" s="196" t="s">
        <v>73</v>
      </c>
      <c r="CD191" t="s">
        <v>73</v>
      </c>
      <c r="CI191" t="s">
        <v>1346</v>
      </c>
      <c r="CJ191" t="s">
        <v>1346</v>
      </c>
      <c r="CK191" t="s">
        <v>1346</v>
      </c>
      <c r="CL191" t="s">
        <v>1346</v>
      </c>
      <c r="CM191" t="s">
        <v>1346</v>
      </c>
      <c r="CN191" t="s">
        <v>1346</v>
      </c>
      <c r="CO191" t="s">
        <v>1346</v>
      </c>
      <c r="CQ191" t="s">
        <v>73</v>
      </c>
      <c r="CR191" t="s">
        <v>73</v>
      </c>
      <c r="CY191" t="s">
        <v>73</v>
      </c>
      <c r="CZ191" s="197" t="s">
        <v>73</v>
      </c>
    </row>
    <row r="192" spans="81:104" ht="9" customHeight="1">
      <c r="CC192" s="196" t="s">
        <v>73</v>
      </c>
      <c r="CD192" t="s">
        <v>73</v>
      </c>
      <c r="CI192" t="s">
        <v>1346</v>
      </c>
      <c r="CJ192" t="s">
        <v>1346</v>
      </c>
      <c r="CK192" t="s">
        <v>1346</v>
      </c>
      <c r="CL192" t="s">
        <v>1346</v>
      </c>
      <c r="CM192" t="s">
        <v>1346</v>
      </c>
      <c r="CN192" t="s">
        <v>1346</v>
      </c>
      <c r="CO192" t="s">
        <v>1346</v>
      </c>
      <c r="CQ192" t="s">
        <v>73</v>
      </c>
      <c r="CR192" t="s">
        <v>73</v>
      </c>
      <c r="CY192" t="s">
        <v>73</v>
      </c>
      <c r="CZ192" s="197" t="s">
        <v>73</v>
      </c>
    </row>
    <row r="193" spans="80:104" ht="9" customHeight="1">
      <c r="CB193" t="s">
        <v>1348</v>
      </c>
      <c r="CC193" s="196" t="s">
        <v>73</v>
      </c>
      <c r="CD193" t="s">
        <v>73</v>
      </c>
      <c r="CI193" t="s">
        <v>1346</v>
      </c>
      <c r="CJ193" t="s">
        <v>1346</v>
      </c>
      <c r="CK193" t="s">
        <v>1346</v>
      </c>
      <c r="CL193" t="s">
        <v>1346</v>
      </c>
      <c r="CM193" t="s">
        <v>1346</v>
      </c>
      <c r="CN193" t="s">
        <v>1346</v>
      </c>
      <c r="CO193" t="s">
        <v>1346</v>
      </c>
      <c r="CQ193" t="s">
        <v>73</v>
      </c>
      <c r="CR193" t="s">
        <v>73</v>
      </c>
      <c r="CY193" t="s">
        <v>73</v>
      </c>
      <c r="CZ193" s="197" t="s">
        <v>73</v>
      </c>
    </row>
    <row r="194" spans="80:104" ht="9" customHeight="1">
      <c r="CC194" s="196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197" t="s">
        <v>73</v>
      </c>
    </row>
    <row r="195" spans="80:104" ht="9" customHeight="1">
      <c r="CC195" s="196" t="s">
        <v>73</v>
      </c>
      <c r="CD195" t="s">
        <v>73</v>
      </c>
      <c r="CY195" t="s">
        <v>73</v>
      </c>
      <c r="CZ195" s="197" t="s">
        <v>73</v>
      </c>
    </row>
    <row r="196" spans="80:104" ht="9" customHeight="1">
      <c r="CC196" s="196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197" t="s">
        <v>73</v>
      </c>
    </row>
    <row r="197" spans="80:104" ht="9" customHeight="1">
      <c r="CC197" s="196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197" t="s">
        <v>73</v>
      </c>
    </row>
    <row r="198" spans="80:104" ht="9" customHeight="1">
      <c r="CC198" s="196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197" t="s">
        <v>73</v>
      </c>
    </row>
    <row r="199" spans="80:104" ht="9" customHeight="1">
      <c r="CC199" s="196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197" t="s">
        <v>73</v>
      </c>
    </row>
    <row r="200" spans="80:104" ht="9" customHeight="1">
      <c r="CC200" s="196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197" t="s">
        <v>73</v>
      </c>
    </row>
    <row r="201" spans="80:104" ht="9" customHeight="1">
      <c r="CC201" s="196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197" t="s">
        <v>73</v>
      </c>
    </row>
    <row r="202" spans="80:104" ht="9" customHeight="1">
      <c r="CC202" s="196" t="s">
        <v>73</v>
      </c>
      <c r="CD202" t="s">
        <v>73</v>
      </c>
      <c r="CY202" t="s">
        <v>73</v>
      </c>
      <c r="CZ202" s="197" t="s">
        <v>73</v>
      </c>
    </row>
    <row r="203" spans="80:104" ht="9" customHeight="1">
      <c r="CC203" s="196" t="s">
        <v>73</v>
      </c>
      <c r="CD203" t="s">
        <v>73</v>
      </c>
      <c r="CE203" t="s">
        <v>1318</v>
      </c>
      <c r="CF203" t="s">
        <v>1318</v>
      </c>
      <c r="CG203" t="s">
        <v>1318</v>
      </c>
      <c r="CH203" t="s">
        <v>1318</v>
      </c>
      <c r="CI203" t="s">
        <v>1318</v>
      </c>
      <c r="CJ203" t="s">
        <v>1318</v>
      </c>
      <c r="CK203" t="s">
        <v>1318</v>
      </c>
      <c r="CN203" t="s">
        <v>1318</v>
      </c>
      <c r="CO203" t="s">
        <v>1318</v>
      </c>
      <c r="CP203" t="s">
        <v>1318</v>
      </c>
      <c r="CQ203" t="s">
        <v>73</v>
      </c>
      <c r="CR203" t="s">
        <v>73</v>
      </c>
      <c r="CS203" t="s">
        <v>1318</v>
      </c>
      <c r="CT203" t="s">
        <v>1318</v>
      </c>
      <c r="CV203" t="s">
        <v>1318</v>
      </c>
      <c r="CW203" t="s">
        <v>1318</v>
      </c>
      <c r="CX203" t="s">
        <v>1318</v>
      </c>
      <c r="CY203" t="s">
        <v>73</v>
      </c>
      <c r="CZ203" s="197" t="s">
        <v>73</v>
      </c>
    </row>
    <row r="204" spans="80:104" ht="9" customHeight="1">
      <c r="CC204" s="196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197" t="s">
        <v>73</v>
      </c>
    </row>
    <row r="205" spans="80:104" ht="9" customHeight="1">
      <c r="CC205" s="196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197" t="s">
        <v>73</v>
      </c>
    </row>
    <row r="206" spans="80:104" ht="9" customHeight="1">
      <c r="CC206" s="196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197" t="s">
        <v>73</v>
      </c>
    </row>
    <row r="207" spans="80:104" ht="9" customHeight="1">
      <c r="CC207" s="196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197" t="s">
        <v>73</v>
      </c>
    </row>
    <row r="208" spans="80:104" ht="9" customHeight="1">
      <c r="CC208" s="196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197" t="s">
        <v>73</v>
      </c>
    </row>
    <row r="209" spans="69:116" ht="9" customHeight="1">
      <c r="CC209" s="196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197" t="s">
        <v>73</v>
      </c>
    </row>
    <row r="210" spans="69:116" ht="9" customHeight="1">
      <c r="CC210" s="196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197" t="s">
        <v>73</v>
      </c>
    </row>
    <row r="211" spans="69:116" ht="9" customHeight="1">
      <c r="CC211" s="196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197" t="s">
        <v>73</v>
      </c>
    </row>
    <row r="212" spans="69:116" ht="9" customHeight="1" thickBot="1">
      <c r="CC212" s="198" t="s">
        <v>73</v>
      </c>
      <c r="CD212" s="208" t="s">
        <v>73</v>
      </c>
      <c r="CE212" s="208" t="s">
        <v>73</v>
      </c>
      <c r="CF212" s="208" t="s">
        <v>73</v>
      </c>
      <c r="CG212" s="208" t="s">
        <v>73</v>
      </c>
      <c r="CH212" s="208" t="s">
        <v>73</v>
      </c>
      <c r="CI212" s="208" t="s">
        <v>73</v>
      </c>
      <c r="CJ212" s="208"/>
      <c r="CK212" s="208"/>
      <c r="CL212" s="208"/>
      <c r="CM212" s="208"/>
      <c r="CN212" s="208"/>
      <c r="CO212" s="208" t="s">
        <v>73</v>
      </c>
      <c r="CP212" s="208" t="s">
        <v>73</v>
      </c>
      <c r="CQ212" s="208" t="s">
        <v>73</v>
      </c>
      <c r="CR212" s="208" t="s">
        <v>73</v>
      </c>
      <c r="CS212" s="208" t="s">
        <v>73</v>
      </c>
      <c r="CT212" s="208" t="s">
        <v>73</v>
      </c>
      <c r="CU212" s="208" t="s">
        <v>73</v>
      </c>
      <c r="CV212" s="208" t="s">
        <v>73</v>
      </c>
      <c r="CW212" s="208" t="s">
        <v>73</v>
      </c>
      <c r="CX212" s="208" t="s">
        <v>73</v>
      </c>
      <c r="CY212" s="208" t="s">
        <v>73</v>
      </c>
      <c r="CZ212" s="159" t="s">
        <v>73</v>
      </c>
    </row>
    <row r="213" spans="69:116" ht="9" customHeight="1">
      <c r="BQ213" s="215" t="s">
        <v>73</v>
      </c>
      <c r="BR213" s="209" t="s">
        <v>73</v>
      </c>
      <c r="BS213" s="209" t="s">
        <v>73</v>
      </c>
      <c r="BT213" s="209" t="s">
        <v>73</v>
      </c>
      <c r="BU213" s="209" t="s">
        <v>73</v>
      </c>
      <c r="BV213" s="209" t="s">
        <v>73</v>
      </c>
      <c r="BW213" s="209" t="s">
        <v>73</v>
      </c>
      <c r="BX213" s="209" t="s">
        <v>73</v>
      </c>
      <c r="BY213" s="209" t="s">
        <v>73</v>
      </c>
      <c r="BZ213" s="209" t="s">
        <v>73</v>
      </c>
      <c r="CA213" s="209" t="s">
        <v>73</v>
      </c>
      <c r="CB213" s="209" t="s">
        <v>73</v>
      </c>
      <c r="CC213" s="209" t="s">
        <v>73</v>
      </c>
      <c r="CD213" s="209" t="s">
        <v>73</v>
      </c>
      <c r="CE213" s="209" t="s">
        <v>73</v>
      </c>
      <c r="CF213" s="209" t="s">
        <v>73</v>
      </c>
      <c r="CG213" s="209" t="s">
        <v>73</v>
      </c>
      <c r="CH213" s="209" t="s">
        <v>73</v>
      </c>
      <c r="CI213" s="209" t="s">
        <v>73</v>
      </c>
      <c r="CJ213" s="209"/>
      <c r="CK213" s="209"/>
      <c r="CL213" s="209"/>
      <c r="CM213" s="209"/>
      <c r="CN213" s="209"/>
      <c r="CO213" s="209" t="s">
        <v>73</v>
      </c>
      <c r="CP213" s="209" t="s">
        <v>73</v>
      </c>
      <c r="CQ213" s="209" t="s">
        <v>73</v>
      </c>
      <c r="CR213" s="209" t="s">
        <v>73</v>
      </c>
      <c r="CS213" s="209" t="s">
        <v>73</v>
      </c>
      <c r="CT213" s="209" t="s">
        <v>73</v>
      </c>
      <c r="CU213" s="209" t="s">
        <v>73</v>
      </c>
      <c r="CV213" s="209" t="s">
        <v>73</v>
      </c>
      <c r="CW213" s="209" t="s">
        <v>73</v>
      </c>
      <c r="CX213" s="209" t="s">
        <v>73</v>
      </c>
      <c r="CY213" s="209" t="s">
        <v>73</v>
      </c>
      <c r="CZ213" s="209" t="s">
        <v>73</v>
      </c>
      <c r="DA213" s="209" t="s">
        <v>73</v>
      </c>
      <c r="DB213" s="209" t="s">
        <v>73</v>
      </c>
      <c r="DC213" s="209" t="s">
        <v>73</v>
      </c>
      <c r="DD213" s="209" t="s">
        <v>73</v>
      </c>
      <c r="DE213" s="209" t="s">
        <v>73</v>
      </c>
      <c r="DF213" s="209" t="s">
        <v>73</v>
      </c>
      <c r="DG213" s="209" t="s">
        <v>73</v>
      </c>
      <c r="DH213" s="209" t="s">
        <v>73</v>
      </c>
      <c r="DI213" s="209" t="s">
        <v>73</v>
      </c>
      <c r="DJ213" s="209" t="s">
        <v>73</v>
      </c>
      <c r="DK213" s="209" t="s">
        <v>73</v>
      </c>
      <c r="DL213" s="210" t="s">
        <v>73</v>
      </c>
    </row>
    <row r="214" spans="69:116" ht="9" customHeight="1">
      <c r="BQ214" s="216" t="s">
        <v>73</v>
      </c>
      <c r="BR214" s="211" t="s">
        <v>73</v>
      </c>
      <c r="BS214" s="211" t="s">
        <v>73</v>
      </c>
      <c r="BT214" s="211" t="s">
        <v>73</v>
      </c>
      <c r="BU214" s="211" t="s">
        <v>73</v>
      </c>
      <c r="BV214" s="211" t="s">
        <v>73</v>
      </c>
      <c r="BW214" s="211" t="s">
        <v>73</v>
      </c>
      <c r="BX214" s="211" t="s">
        <v>73</v>
      </c>
      <c r="BY214" s="211" t="s">
        <v>73</v>
      </c>
      <c r="BZ214" s="211" t="s">
        <v>73</v>
      </c>
      <c r="CA214" s="211" t="s">
        <v>73</v>
      </c>
      <c r="CB214" s="211" t="s">
        <v>73</v>
      </c>
      <c r="CC214" s="211" t="s">
        <v>73</v>
      </c>
      <c r="CD214" s="211" t="s">
        <v>73</v>
      </c>
      <c r="CE214" s="211" t="s">
        <v>73</v>
      </c>
      <c r="CF214" s="211" t="s">
        <v>73</v>
      </c>
      <c r="CG214" s="211" t="s">
        <v>73</v>
      </c>
      <c r="CH214" s="211" t="s">
        <v>73</v>
      </c>
      <c r="CI214" s="211" t="s">
        <v>73</v>
      </c>
      <c r="CJ214" s="211"/>
      <c r="CK214" s="211"/>
      <c r="CL214" s="211"/>
      <c r="CM214" s="211"/>
      <c r="CN214" s="211" t="s">
        <v>73</v>
      </c>
      <c r="CO214" s="211" t="s">
        <v>73</v>
      </c>
      <c r="CP214" s="211" t="s">
        <v>73</v>
      </c>
      <c r="CQ214" s="211" t="s">
        <v>73</v>
      </c>
      <c r="CR214" s="211" t="s">
        <v>73</v>
      </c>
      <c r="CS214" s="211" t="s">
        <v>73</v>
      </c>
      <c r="CT214" s="211" t="s">
        <v>73</v>
      </c>
      <c r="CU214" s="211" t="s">
        <v>73</v>
      </c>
      <c r="CV214" s="211" t="s">
        <v>73</v>
      </c>
      <c r="CW214" s="211" t="s">
        <v>73</v>
      </c>
      <c r="CX214" s="211" t="s">
        <v>73</v>
      </c>
      <c r="CY214" s="211" t="s">
        <v>73</v>
      </c>
      <c r="CZ214" s="211" t="s">
        <v>73</v>
      </c>
      <c r="DA214" s="211" t="s">
        <v>73</v>
      </c>
      <c r="DB214" s="211" t="s">
        <v>73</v>
      </c>
      <c r="DC214" s="211" t="s">
        <v>73</v>
      </c>
      <c r="DD214" s="211" t="s">
        <v>73</v>
      </c>
      <c r="DE214" s="211" t="s">
        <v>73</v>
      </c>
      <c r="DF214" s="211" t="s">
        <v>73</v>
      </c>
      <c r="DG214" s="211" t="s">
        <v>73</v>
      </c>
      <c r="DH214" s="211" t="s">
        <v>73</v>
      </c>
      <c r="DI214" s="211" t="s">
        <v>73</v>
      </c>
      <c r="DJ214" s="211" t="s">
        <v>73</v>
      </c>
      <c r="DK214" s="211" t="s">
        <v>73</v>
      </c>
      <c r="DL214" s="212" t="s">
        <v>73</v>
      </c>
    </row>
    <row r="215" spans="69:116" ht="9" customHeight="1">
      <c r="BQ215" s="216" t="s">
        <v>73</v>
      </c>
      <c r="BR215" s="211" t="s">
        <v>73</v>
      </c>
      <c r="BS215" s="211" t="s">
        <v>73</v>
      </c>
      <c r="BT215" s="211" t="s">
        <v>73</v>
      </c>
      <c r="BU215" s="211" t="s">
        <v>73</v>
      </c>
      <c r="BV215" s="211" t="s">
        <v>73</v>
      </c>
      <c r="BW215" s="211" t="s">
        <v>73</v>
      </c>
      <c r="BX215" s="211" t="s">
        <v>73</v>
      </c>
      <c r="BY215" s="211" t="s">
        <v>73</v>
      </c>
      <c r="BZ215" s="211" t="s">
        <v>73</v>
      </c>
      <c r="CA215" s="211" t="s">
        <v>73</v>
      </c>
      <c r="CB215" s="211" t="s">
        <v>73</v>
      </c>
      <c r="CC215" s="211" t="s">
        <v>73</v>
      </c>
      <c r="CD215" s="211" t="s">
        <v>73</v>
      </c>
      <c r="CE215" s="211" t="s">
        <v>73</v>
      </c>
      <c r="CF215" s="211" t="s">
        <v>73</v>
      </c>
      <c r="CG215" s="211" t="s">
        <v>73</v>
      </c>
      <c r="CH215" s="211" t="s">
        <v>73</v>
      </c>
      <c r="CI215" s="211" t="s">
        <v>73</v>
      </c>
      <c r="CJ215" s="211"/>
      <c r="CK215" s="211"/>
      <c r="CL215" s="211"/>
      <c r="CM215" s="211"/>
      <c r="CN215" s="211"/>
      <c r="CO215" s="211" t="s">
        <v>73</v>
      </c>
      <c r="CP215" s="211" t="s">
        <v>73</v>
      </c>
      <c r="CQ215" s="211" t="s">
        <v>73</v>
      </c>
      <c r="CR215" s="211" t="s">
        <v>73</v>
      </c>
      <c r="CS215" s="211" t="s">
        <v>73</v>
      </c>
      <c r="CT215" s="211" t="s">
        <v>73</v>
      </c>
      <c r="CU215" s="211" t="s">
        <v>73</v>
      </c>
      <c r="CV215" s="211" t="s">
        <v>73</v>
      </c>
      <c r="CW215" s="211" t="s">
        <v>73</v>
      </c>
      <c r="CX215" s="211" t="s">
        <v>73</v>
      </c>
      <c r="CY215" s="211" t="s">
        <v>73</v>
      </c>
      <c r="CZ215" s="211" t="s">
        <v>73</v>
      </c>
      <c r="DA215" s="211" t="s">
        <v>73</v>
      </c>
      <c r="DB215" s="211" t="s">
        <v>73</v>
      </c>
      <c r="DC215" s="211" t="s">
        <v>73</v>
      </c>
      <c r="DD215" s="211" t="s">
        <v>73</v>
      </c>
      <c r="DE215" s="211" t="s">
        <v>73</v>
      </c>
      <c r="DF215" s="211" t="s">
        <v>73</v>
      </c>
      <c r="DG215" s="211" t="s">
        <v>73</v>
      </c>
      <c r="DH215" s="211" t="s">
        <v>73</v>
      </c>
      <c r="DI215" s="211" t="s">
        <v>73</v>
      </c>
      <c r="DJ215" s="211" t="s">
        <v>73</v>
      </c>
      <c r="DK215" s="211" t="s">
        <v>73</v>
      </c>
      <c r="DL215" s="212" t="s">
        <v>73</v>
      </c>
    </row>
    <row r="216" spans="69:116" ht="9" customHeight="1">
      <c r="BQ216" s="216" t="s">
        <v>73</v>
      </c>
      <c r="BR216" s="211" t="s">
        <v>73</v>
      </c>
      <c r="BS216" s="211" t="s">
        <v>73</v>
      </c>
      <c r="BT216" s="211" t="s">
        <v>73</v>
      </c>
      <c r="BU216" s="211" t="s">
        <v>73</v>
      </c>
      <c r="BV216" s="211" t="s">
        <v>73</v>
      </c>
      <c r="BW216" s="211" t="s">
        <v>73</v>
      </c>
      <c r="BX216" s="211" t="s">
        <v>73</v>
      </c>
      <c r="BY216" s="211" t="s">
        <v>73</v>
      </c>
      <c r="BZ216" s="211" t="s">
        <v>73</v>
      </c>
      <c r="CA216" s="211" t="s">
        <v>73</v>
      </c>
      <c r="CB216" s="211" t="s">
        <v>73</v>
      </c>
      <c r="CC216" s="211" t="s">
        <v>73</v>
      </c>
      <c r="CD216" s="211" t="s">
        <v>73</v>
      </c>
      <c r="CE216" s="211" t="s">
        <v>73</v>
      </c>
      <c r="CF216" s="211" t="s">
        <v>73</v>
      </c>
      <c r="CG216" s="211" t="s">
        <v>73</v>
      </c>
      <c r="CH216" s="211" t="s">
        <v>73</v>
      </c>
      <c r="CI216" s="211" t="s">
        <v>73</v>
      </c>
      <c r="CJ216" s="211"/>
      <c r="CK216" s="211"/>
      <c r="CL216" s="211"/>
      <c r="CM216" s="211"/>
      <c r="CN216" s="211"/>
      <c r="CO216" s="211" t="s">
        <v>73</v>
      </c>
      <c r="CP216" s="211" t="s">
        <v>73</v>
      </c>
      <c r="CQ216" s="211" t="s">
        <v>73</v>
      </c>
      <c r="CR216" s="211" t="s">
        <v>73</v>
      </c>
      <c r="CS216" s="211" t="s">
        <v>73</v>
      </c>
      <c r="CT216" s="211" t="s">
        <v>73</v>
      </c>
      <c r="CU216" s="211" t="s">
        <v>73</v>
      </c>
      <c r="CV216" s="211" t="s">
        <v>73</v>
      </c>
      <c r="CW216" s="211" t="s">
        <v>73</v>
      </c>
      <c r="CX216" s="211" t="s">
        <v>73</v>
      </c>
      <c r="CY216" s="211" t="s">
        <v>73</v>
      </c>
      <c r="CZ216" s="211" t="s">
        <v>73</v>
      </c>
      <c r="DA216" s="211" t="s">
        <v>73</v>
      </c>
      <c r="DB216" s="211" t="s">
        <v>73</v>
      </c>
      <c r="DC216" s="211" t="s">
        <v>73</v>
      </c>
      <c r="DD216" s="211" t="s">
        <v>73</v>
      </c>
      <c r="DE216" s="211" t="s">
        <v>73</v>
      </c>
      <c r="DF216" s="211" t="s">
        <v>73</v>
      </c>
      <c r="DG216" s="211" t="s">
        <v>73</v>
      </c>
      <c r="DH216" s="211" t="s">
        <v>73</v>
      </c>
      <c r="DI216" s="211" t="s">
        <v>73</v>
      </c>
      <c r="DJ216" s="211" t="s">
        <v>73</v>
      </c>
      <c r="DK216" s="211" t="s">
        <v>73</v>
      </c>
      <c r="DL216" s="212" t="s">
        <v>73</v>
      </c>
    </row>
    <row r="217" spans="69:116" ht="9" customHeight="1">
      <c r="BQ217" s="216" t="s">
        <v>73</v>
      </c>
      <c r="BR217" s="211" t="s">
        <v>73</v>
      </c>
      <c r="BS217" s="211" t="s">
        <v>73</v>
      </c>
      <c r="BT217" s="211" t="s">
        <v>73</v>
      </c>
      <c r="BU217" s="211" t="s">
        <v>73</v>
      </c>
      <c r="BV217" s="211" t="s">
        <v>73</v>
      </c>
      <c r="BW217" s="211" t="s">
        <v>73</v>
      </c>
      <c r="BX217" s="211" t="s">
        <v>73</v>
      </c>
      <c r="BY217" s="211" t="s">
        <v>73</v>
      </c>
      <c r="BZ217" s="211" t="s">
        <v>73</v>
      </c>
      <c r="CA217" s="211" t="s">
        <v>73</v>
      </c>
      <c r="CB217" s="211" t="s">
        <v>73</v>
      </c>
      <c r="CC217" s="211" t="s">
        <v>73</v>
      </c>
      <c r="CD217" s="211" t="s">
        <v>73</v>
      </c>
      <c r="CE217" s="211" t="s">
        <v>73</v>
      </c>
      <c r="CF217" s="211" t="s">
        <v>73</v>
      </c>
      <c r="CG217" s="211" t="s">
        <v>73</v>
      </c>
      <c r="CH217" s="211" t="s">
        <v>73</v>
      </c>
      <c r="CI217" s="211" t="s">
        <v>73</v>
      </c>
      <c r="CJ217" s="211"/>
      <c r="CK217" s="211"/>
      <c r="CL217" s="211"/>
      <c r="CM217" s="211"/>
      <c r="CN217" s="211"/>
      <c r="CO217" s="211" t="s">
        <v>73</v>
      </c>
      <c r="CP217" s="211" t="s">
        <v>73</v>
      </c>
      <c r="CQ217" s="211" t="s">
        <v>73</v>
      </c>
      <c r="CR217" s="211" t="s">
        <v>73</v>
      </c>
      <c r="CS217" s="211"/>
      <c r="CT217" s="211"/>
      <c r="CU217" s="211"/>
      <c r="CV217" s="211"/>
      <c r="CW217" s="211"/>
      <c r="CX217" s="211"/>
      <c r="CY217" s="211"/>
      <c r="CZ217" s="211"/>
      <c r="DA217" s="211"/>
      <c r="DB217" s="211"/>
      <c r="DC217" s="211"/>
      <c r="DD217" s="211"/>
      <c r="DE217" s="211"/>
      <c r="DF217" s="211"/>
      <c r="DG217" s="211" t="s">
        <v>73</v>
      </c>
      <c r="DH217" s="211" t="s">
        <v>73</v>
      </c>
      <c r="DI217" s="211" t="s">
        <v>73</v>
      </c>
      <c r="DJ217" s="211" t="s">
        <v>73</v>
      </c>
      <c r="DK217" s="211" t="s">
        <v>73</v>
      </c>
      <c r="DL217" s="212" t="s">
        <v>73</v>
      </c>
    </row>
    <row r="218" spans="69:116" ht="9" customHeight="1">
      <c r="BQ218" s="216" t="s">
        <v>73</v>
      </c>
      <c r="BR218" s="211" t="s">
        <v>73</v>
      </c>
      <c r="BS218" s="211" t="s">
        <v>73</v>
      </c>
      <c r="BT218" s="211" t="s">
        <v>73</v>
      </c>
      <c r="BU218" s="211" t="s">
        <v>73</v>
      </c>
      <c r="BV218" s="211" t="s">
        <v>73</v>
      </c>
      <c r="BW218" s="211" t="s">
        <v>73</v>
      </c>
      <c r="BX218" s="211" t="s">
        <v>73</v>
      </c>
      <c r="BY218" s="211"/>
      <c r="BZ218" s="211"/>
      <c r="CA218" s="211" t="s">
        <v>73</v>
      </c>
      <c r="CB218" s="211" t="s">
        <v>73</v>
      </c>
      <c r="CC218" s="211" t="s">
        <v>73</v>
      </c>
      <c r="CD218" s="211" t="s">
        <v>73</v>
      </c>
      <c r="CE218" s="211" t="s">
        <v>73</v>
      </c>
      <c r="CF218" s="211" t="s">
        <v>73</v>
      </c>
      <c r="CG218" s="211" t="s">
        <v>73</v>
      </c>
      <c r="CH218" s="211" t="s">
        <v>73</v>
      </c>
      <c r="CI218" s="211"/>
      <c r="CJ218" s="211"/>
      <c r="CK218" s="211"/>
      <c r="CL218" s="211"/>
      <c r="CM218" s="211"/>
      <c r="CN218" s="211"/>
      <c r="CO218" s="211"/>
      <c r="CP218" s="211"/>
      <c r="CQ218" s="211"/>
      <c r="CR218" s="211"/>
      <c r="CS218" s="211"/>
      <c r="CT218" s="211"/>
      <c r="CU218" s="211"/>
      <c r="CV218" s="211"/>
      <c r="CW218" s="211"/>
      <c r="CX218" s="211"/>
      <c r="CY218" s="211"/>
      <c r="CZ218" s="211"/>
      <c r="DA218" s="211"/>
      <c r="DB218" s="211"/>
      <c r="DC218" s="211"/>
      <c r="DD218" s="211"/>
      <c r="DE218" s="211"/>
      <c r="DF218" s="211"/>
      <c r="DG218" s="211" t="s">
        <v>73</v>
      </c>
      <c r="DH218" s="211" t="s">
        <v>73</v>
      </c>
      <c r="DI218" s="211" t="s">
        <v>73</v>
      </c>
      <c r="DJ218" s="211" t="s">
        <v>73</v>
      </c>
      <c r="DK218" s="211" t="s">
        <v>73</v>
      </c>
      <c r="DL218" s="212" t="s">
        <v>73</v>
      </c>
    </row>
    <row r="219" spans="69:116" ht="9" customHeight="1">
      <c r="BQ219" s="216" t="s">
        <v>73</v>
      </c>
      <c r="BR219" s="211" t="s">
        <v>73</v>
      </c>
      <c r="BS219" s="211" t="s">
        <v>73</v>
      </c>
      <c r="BT219" s="211" t="s">
        <v>73</v>
      </c>
      <c r="BU219" s="211" t="s">
        <v>73</v>
      </c>
      <c r="BV219" s="211" t="s">
        <v>73</v>
      </c>
      <c r="BW219" s="211" t="s">
        <v>73</v>
      </c>
      <c r="BX219" s="211" t="s">
        <v>73</v>
      </c>
      <c r="BY219" s="211"/>
      <c r="BZ219" s="211" t="s">
        <v>73</v>
      </c>
      <c r="CA219" s="211" t="s">
        <v>73</v>
      </c>
      <c r="CB219" s="211" t="s">
        <v>73</v>
      </c>
      <c r="CC219" s="211" t="s">
        <v>73</v>
      </c>
      <c r="CD219" s="211" t="s">
        <v>73</v>
      </c>
      <c r="CE219" s="211" t="s">
        <v>73</v>
      </c>
      <c r="CF219" s="211" t="s">
        <v>73</v>
      </c>
      <c r="CG219" s="211" t="s">
        <v>73</v>
      </c>
      <c r="CH219" s="211" t="s">
        <v>73</v>
      </c>
      <c r="CI219" s="211" t="s">
        <v>73</v>
      </c>
      <c r="CJ219" s="211"/>
      <c r="CK219" s="211"/>
      <c r="CL219" s="211"/>
      <c r="CM219" s="211"/>
      <c r="CN219" s="211"/>
      <c r="CO219" s="211"/>
      <c r="CP219" s="211"/>
      <c r="CQ219" s="211"/>
      <c r="CR219" s="211"/>
      <c r="CS219" s="211"/>
      <c r="CT219" s="211"/>
      <c r="CU219" s="211"/>
      <c r="CV219" s="211"/>
      <c r="CW219" s="211"/>
      <c r="CX219" s="211" t="s">
        <v>73</v>
      </c>
      <c r="CY219" s="211" t="s">
        <v>73</v>
      </c>
      <c r="CZ219" s="211" t="s">
        <v>73</v>
      </c>
      <c r="DA219" s="211" t="s">
        <v>73</v>
      </c>
      <c r="DB219" s="211" t="s">
        <v>73</v>
      </c>
      <c r="DC219" s="211" t="s">
        <v>73</v>
      </c>
      <c r="DD219" s="211"/>
      <c r="DE219" s="211"/>
      <c r="DF219" s="211"/>
      <c r="DG219" s="211" t="s">
        <v>73</v>
      </c>
      <c r="DH219" s="211" t="s">
        <v>73</v>
      </c>
      <c r="DI219" s="211" t="s">
        <v>73</v>
      </c>
      <c r="DJ219" s="211" t="s">
        <v>73</v>
      </c>
      <c r="DK219" s="211" t="s">
        <v>73</v>
      </c>
      <c r="DL219" s="212" t="s">
        <v>73</v>
      </c>
    </row>
    <row r="220" spans="69:116" ht="9" customHeight="1">
      <c r="BQ220" s="216" t="s">
        <v>73</v>
      </c>
      <c r="BR220" s="211" t="s">
        <v>73</v>
      </c>
      <c r="BS220" s="211" t="s">
        <v>73</v>
      </c>
      <c r="BT220" s="211" t="s">
        <v>73</v>
      </c>
      <c r="BU220" s="211" t="s">
        <v>73</v>
      </c>
      <c r="BV220" s="211" t="s">
        <v>73</v>
      </c>
      <c r="BW220" s="211" t="s">
        <v>73</v>
      </c>
      <c r="BX220" s="211" t="s">
        <v>73</v>
      </c>
      <c r="BY220" s="211"/>
      <c r="BZ220" s="211" t="s">
        <v>73</v>
      </c>
      <c r="CA220" s="211" t="s">
        <v>73</v>
      </c>
      <c r="CB220" s="211" t="s">
        <v>73</v>
      </c>
      <c r="CC220" s="211" t="s">
        <v>73</v>
      </c>
      <c r="CD220" s="211" t="s">
        <v>73</v>
      </c>
      <c r="CE220" s="211" t="s">
        <v>73</v>
      </c>
      <c r="CF220" s="211" t="s">
        <v>73</v>
      </c>
      <c r="CG220" s="211" t="s">
        <v>73</v>
      </c>
      <c r="CH220" s="211" t="s">
        <v>73</v>
      </c>
      <c r="CI220" s="211" t="s">
        <v>73</v>
      </c>
      <c r="CJ220" s="211" t="s">
        <v>73</v>
      </c>
      <c r="CK220" s="211"/>
      <c r="CL220" s="211"/>
      <c r="CM220" s="211"/>
      <c r="CN220" s="211"/>
      <c r="CO220" s="211"/>
      <c r="CP220" s="211"/>
      <c r="CQ220" s="211"/>
      <c r="CR220" s="211"/>
      <c r="CS220" s="211"/>
      <c r="CT220" s="211"/>
      <c r="CU220" s="211"/>
      <c r="CV220" s="211"/>
      <c r="CW220" s="211"/>
      <c r="CX220" s="211" t="s">
        <v>73</v>
      </c>
      <c r="CY220" s="211" t="s">
        <v>73</v>
      </c>
      <c r="CZ220" s="211" t="s">
        <v>73</v>
      </c>
      <c r="DA220" s="211" t="s">
        <v>73</v>
      </c>
      <c r="DB220" s="211" t="s">
        <v>73</v>
      </c>
      <c r="DC220" s="211" t="s">
        <v>73</v>
      </c>
      <c r="DD220" s="211"/>
      <c r="DE220" s="211"/>
      <c r="DF220" s="211"/>
      <c r="DG220" s="211" t="s">
        <v>73</v>
      </c>
      <c r="DH220" s="211" t="s">
        <v>73</v>
      </c>
      <c r="DI220" s="211" t="s">
        <v>73</v>
      </c>
      <c r="DJ220" s="211" t="s">
        <v>73</v>
      </c>
      <c r="DK220" s="211" t="s">
        <v>73</v>
      </c>
      <c r="DL220" s="212" t="s">
        <v>73</v>
      </c>
    </row>
    <row r="221" spans="69:116" ht="9" customHeight="1">
      <c r="BQ221" s="216" t="s">
        <v>73</v>
      </c>
      <c r="BR221" s="211" t="s">
        <v>73</v>
      </c>
      <c r="BS221" s="211" t="s">
        <v>73</v>
      </c>
      <c r="BT221" s="211" t="s">
        <v>73</v>
      </c>
      <c r="BU221" s="211" t="s">
        <v>73</v>
      </c>
      <c r="BV221" s="211" t="s">
        <v>73</v>
      </c>
      <c r="BW221" s="211" t="s">
        <v>73</v>
      </c>
      <c r="BX221" s="211" t="s">
        <v>73</v>
      </c>
      <c r="BY221" s="211"/>
      <c r="BZ221" s="211" t="s">
        <v>73</v>
      </c>
      <c r="CA221" s="211" t="s">
        <v>73</v>
      </c>
      <c r="CB221" s="211" t="s">
        <v>73</v>
      </c>
      <c r="CC221" s="211" t="s">
        <v>73</v>
      </c>
      <c r="CD221" s="211" t="s">
        <v>73</v>
      </c>
      <c r="CE221" s="211" t="s">
        <v>73</v>
      </c>
      <c r="CF221" s="211" t="s">
        <v>73</v>
      </c>
      <c r="CG221" s="211" t="s">
        <v>73</v>
      </c>
      <c r="CH221" s="211" t="s">
        <v>73</v>
      </c>
      <c r="CI221" s="211" t="s">
        <v>73</v>
      </c>
      <c r="CJ221" s="211"/>
      <c r="CK221" s="211"/>
      <c r="CL221" s="211"/>
      <c r="CM221" s="211"/>
      <c r="CN221" s="211"/>
      <c r="CO221" s="211" t="s">
        <v>73</v>
      </c>
      <c r="CP221" s="211" t="s">
        <v>73</v>
      </c>
      <c r="CQ221" s="211" t="s">
        <v>73</v>
      </c>
      <c r="CR221" s="211" t="s">
        <v>73</v>
      </c>
      <c r="CS221" s="211" t="s">
        <v>73</v>
      </c>
      <c r="CT221" s="211"/>
      <c r="CU221" s="211"/>
      <c r="CV221" s="211"/>
      <c r="CW221" s="211"/>
      <c r="CX221" s="211" t="s">
        <v>73</v>
      </c>
      <c r="CY221" s="211" t="s">
        <v>73</v>
      </c>
      <c r="CZ221" s="211" t="s">
        <v>73</v>
      </c>
      <c r="DA221" s="211" t="s">
        <v>73</v>
      </c>
      <c r="DB221" s="211" t="s">
        <v>73</v>
      </c>
      <c r="DC221" s="211" t="s">
        <v>73</v>
      </c>
      <c r="DD221" s="211"/>
      <c r="DE221" s="211"/>
      <c r="DF221" s="211"/>
      <c r="DG221" s="211" t="s">
        <v>73</v>
      </c>
      <c r="DH221" s="211" t="s">
        <v>73</v>
      </c>
      <c r="DI221" s="211" t="s">
        <v>73</v>
      </c>
      <c r="DJ221" s="211" t="s">
        <v>73</v>
      </c>
      <c r="DK221" s="211" t="s">
        <v>73</v>
      </c>
      <c r="DL221" s="212" t="s">
        <v>73</v>
      </c>
    </row>
    <row r="222" spans="69:116" ht="9" customHeight="1">
      <c r="BQ222" s="216" t="s">
        <v>73</v>
      </c>
      <c r="BR222" s="211" t="s">
        <v>73</v>
      </c>
      <c r="BS222" s="211" t="s">
        <v>73</v>
      </c>
      <c r="BT222" s="211" t="s">
        <v>73</v>
      </c>
      <c r="BU222" s="211" t="s">
        <v>73</v>
      </c>
      <c r="BV222" s="211" t="s">
        <v>73</v>
      </c>
      <c r="BW222" s="211" t="s">
        <v>73</v>
      </c>
      <c r="BX222" s="211" t="s">
        <v>73</v>
      </c>
      <c r="BY222" s="211"/>
      <c r="BZ222" s="211" t="s">
        <v>73</v>
      </c>
      <c r="CA222" s="211" t="s">
        <v>73</v>
      </c>
      <c r="CB222" s="211" t="s">
        <v>73</v>
      </c>
      <c r="CC222" s="211" t="s">
        <v>73</v>
      </c>
      <c r="CD222" s="211" t="s">
        <v>73</v>
      </c>
      <c r="CE222" s="211" t="s">
        <v>73</v>
      </c>
      <c r="CF222" s="211" t="s">
        <v>73</v>
      </c>
      <c r="CG222" s="211" t="s">
        <v>73</v>
      </c>
      <c r="CH222" s="211" t="s">
        <v>73</v>
      </c>
      <c r="CI222" s="211" t="s">
        <v>73</v>
      </c>
      <c r="CJ222" s="211" t="s">
        <v>73</v>
      </c>
      <c r="CK222" s="211"/>
      <c r="CL222" s="211"/>
      <c r="CM222" s="211"/>
      <c r="CN222" s="211" t="s">
        <v>73</v>
      </c>
      <c r="CO222" s="211" t="s">
        <v>73</v>
      </c>
      <c r="CP222" s="211" t="s">
        <v>73</v>
      </c>
      <c r="CQ222" s="211" t="s">
        <v>73</v>
      </c>
      <c r="CR222" s="211" t="s">
        <v>73</v>
      </c>
      <c r="CS222" s="211" t="s">
        <v>73</v>
      </c>
      <c r="CT222" s="211"/>
      <c r="CU222" s="211"/>
      <c r="CV222" s="211"/>
      <c r="CW222" s="211" t="s">
        <v>73</v>
      </c>
      <c r="CX222" s="211" t="s">
        <v>73</v>
      </c>
      <c r="CY222" s="211" t="s">
        <v>73</v>
      </c>
      <c r="CZ222" s="211" t="s">
        <v>73</v>
      </c>
      <c r="DA222" s="211" t="s">
        <v>73</v>
      </c>
      <c r="DB222" s="211" t="s">
        <v>73</v>
      </c>
      <c r="DC222" s="211" t="s">
        <v>73</v>
      </c>
      <c r="DD222" s="211"/>
      <c r="DE222" s="211"/>
      <c r="DF222" s="211"/>
      <c r="DG222" s="211" t="s">
        <v>73</v>
      </c>
      <c r="DH222" s="211" t="s">
        <v>73</v>
      </c>
      <c r="DI222" s="211" t="s">
        <v>73</v>
      </c>
      <c r="DJ222" s="211" t="s">
        <v>73</v>
      </c>
      <c r="DK222" s="211" t="s">
        <v>73</v>
      </c>
      <c r="DL222" s="212" t="s">
        <v>73</v>
      </c>
    </row>
    <row r="223" spans="69:116" ht="9" customHeight="1">
      <c r="BQ223" s="216" t="s">
        <v>73</v>
      </c>
      <c r="BR223" s="211" t="s">
        <v>73</v>
      </c>
      <c r="BS223" s="211" t="s">
        <v>73</v>
      </c>
      <c r="BT223" s="211" t="s">
        <v>73</v>
      </c>
      <c r="BU223" s="211" t="s">
        <v>73</v>
      </c>
      <c r="BV223" s="211" t="s">
        <v>73</v>
      </c>
      <c r="BW223" s="211" t="s">
        <v>73</v>
      </c>
      <c r="BX223" s="211" t="s">
        <v>73</v>
      </c>
      <c r="BY223" s="211"/>
      <c r="BZ223" s="211" t="s">
        <v>73</v>
      </c>
      <c r="CA223" s="211" t="s">
        <v>73</v>
      </c>
      <c r="CB223" s="211" t="s">
        <v>73</v>
      </c>
      <c r="CC223" s="211" t="s">
        <v>73</v>
      </c>
      <c r="CD223" s="211" t="s">
        <v>73</v>
      </c>
      <c r="CE223" s="211" t="s">
        <v>73</v>
      </c>
      <c r="CF223" s="211" t="s">
        <v>73</v>
      </c>
      <c r="CG223" s="211" t="s">
        <v>73</v>
      </c>
      <c r="CH223" s="211" t="s">
        <v>73</v>
      </c>
      <c r="CI223" s="211" t="s">
        <v>73</v>
      </c>
      <c r="CJ223" s="211"/>
      <c r="CK223" s="211"/>
      <c r="CL223" s="211"/>
      <c r="CM223" s="211"/>
      <c r="CN223" s="211"/>
      <c r="CO223" s="211" t="s">
        <v>73</v>
      </c>
      <c r="CP223" s="211" t="s">
        <v>73</v>
      </c>
      <c r="CQ223" s="211" t="s">
        <v>73</v>
      </c>
      <c r="CR223" s="211" t="s">
        <v>73</v>
      </c>
      <c r="CS223" s="211" t="s">
        <v>73</v>
      </c>
      <c r="CT223" s="211"/>
      <c r="CU223" s="211"/>
      <c r="CV223" s="211"/>
      <c r="CW223" s="211" t="s">
        <v>73</v>
      </c>
      <c r="CX223" s="211"/>
      <c r="CY223" s="211"/>
      <c r="CZ223" s="211" t="s">
        <v>73</v>
      </c>
      <c r="DA223" s="211" t="s">
        <v>1319</v>
      </c>
      <c r="DB223" s="211" t="s">
        <v>73</v>
      </c>
      <c r="DC223" s="211"/>
      <c r="DD223" s="211"/>
      <c r="DE223" s="211"/>
      <c r="DF223" s="211"/>
      <c r="DG223" s="211" t="s">
        <v>73</v>
      </c>
      <c r="DH223" s="211" t="s">
        <v>73</v>
      </c>
      <c r="DI223" s="211" t="s">
        <v>73</v>
      </c>
      <c r="DJ223" s="211" t="s">
        <v>73</v>
      </c>
      <c r="DK223" s="211" t="s">
        <v>73</v>
      </c>
      <c r="DL223" s="212" t="s">
        <v>73</v>
      </c>
    </row>
    <row r="224" spans="69:116" ht="9" customHeight="1">
      <c r="BQ224" s="216" t="s">
        <v>73</v>
      </c>
      <c r="BR224" s="211" t="s">
        <v>73</v>
      </c>
      <c r="BS224" s="211" t="s">
        <v>73</v>
      </c>
      <c r="BT224" s="211" t="s">
        <v>73</v>
      </c>
      <c r="BU224" s="211" t="s">
        <v>73</v>
      </c>
      <c r="BV224" s="211" t="s">
        <v>73</v>
      </c>
      <c r="BW224" s="211" t="s">
        <v>73</v>
      </c>
      <c r="BX224" s="211" t="s">
        <v>73</v>
      </c>
      <c r="BY224" s="211"/>
      <c r="BZ224" s="211" t="s">
        <v>73</v>
      </c>
      <c r="CA224" s="211" t="s">
        <v>73</v>
      </c>
      <c r="CB224" s="211" t="s">
        <v>73</v>
      </c>
      <c r="CC224" s="211" t="s">
        <v>73</v>
      </c>
      <c r="CD224" s="211" t="s">
        <v>73</v>
      </c>
      <c r="CE224" s="211" t="s">
        <v>73</v>
      </c>
      <c r="CF224" s="211" t="s">
        <v>73</v>
      </c>
      <c r="CG224" s="211" t="s">
        <v>73</v>
      </c>
      <c r="CH224" s="211" t="s">
        <v>73</v>
      </c>
      <c r="CI224" s="211" t="s">
        <v>73</v>
      </c>
      <c r="CJ224" s="211" t="s">
        <v>73</v>
      </c>
      <c r="CK224" s="211"/>
      <c r="CL224" s="211"/>
      <c r="CM224" s="211"/>
      <c r="CN224" s="211" t="s">
        <v>73</v>
      </c>
      <c r="CO224" s="211" t="s">
        <v>73</v>
      </c>
      <c r="CP224" s="211" t="s">
        <v>73</v>
      </c>
      <c r="CQ224" s="211" t="s">
        <v>73</v>
      </c>
      <c r="CR224" s="211" t="s">
        <v>73</v>
      </c>
      <c r="CS224" s="211" t="s">
        <v>73</v>
      </c>
      <c r="CT224" s="211"/>
      <c r="CU224" s="211"/>
      <c r="CV224" s="211"/>
      <c r="CW224" s="211"/>
      <c r="CX224" s="211"/>
      <c r="CY224" s="211"/>
      <c r="CZ224" s="211"/>
      <c r="DA224" s="211"/>
      <c r="DB224" s="211"/>
      <c r="DC224" s="211"/>
      <c r="DD224" s="211"/>
      <c r="DE224" s="211"/>
      <c r="DF224" s="211"/>
      <c r="DG224" s="211" t="s">
        <v>73</v>
      </c>
      <c r="DH224" s="211" t="s">
        <v>73</v>
      </c>
      <c r="DI224" s="211" t="s">
        <v>73</v>
      </c>
      <c r="DJ224" s="211" t="s">
        <v>73</v>
      </c>
      <c r="DK224" s="211" t="s">
        <v>73</v>
      </c>
      <c r="DL224" s="212" t="s">
        <v>73</v>
      </c>
    </row>
    <row r="225" spans="69:116" ht="9" customHeight="1">
      <c r="BQ225" s="216" t="s">
        <v>73</v>
      </c>
      <c r="BR225" s="211" t="s">
        <v>73</v>
      </c>
      <c r="BS225" s="211" t="s">
        <v>73</v>
      </c>
      <c r="BT225" s="211" t="s">
        <v>73</v>
      </c>
      <c r="BU225" s="211" t="s">
        <v>73</v>
      </c>
      <c r="BV225" s="211" t="s">
        <v>73</v>
      </c>
      <c r="BW225" s="211" t="s">
        <v>73</v>
      </c>
      <c r="BX225" s="211" t="s">
        <v>73</v>
      </c>
      <c r="BY225" s="211"/>
      <c r="BZ225" s="211" t="s">
        <v>73</v>
      </c>
      <c r="CA225" s="211" t="s">
        <v>73</v>
      </c>
      <c r="CB225" s="211" t="s">
        <v>73</v>
      </c>
      <c r="CC225" s="211" t="s">
        <v>73</v>
      </c>
      <c r="CD225" s="211" t="s">
        <v>73</v>
      </c>
      <c r="CE225" s="211" t="s">
        <v>73</v>
      </c>
      <c r="CF225" s="211" t="s">
        <v>73</v>
      </c>
      <c r="CG225" s="211" t="s">
        <v>73</v>
      </c>
      <c r="CH225" s="211" t="s">
        <v>73</v>
      </c>
      <c r="CI225" s="211" t="s">
        <v>73</v>
      </c>
      <c r="CJ225" s="211"/>
      <c r="CK225" s="211"/>
      <c r="CL225" s="211"/>
      <c r="CM225" s="211"/>
      <c r="CN225" s="211"/>
      <c r="CO225" s="211"/>
      <c r="CP225" s="211"/>
      <c r="CQ225" s="211"/>
      <c r="CR225" s="211" t="s">
        <v>73</v>
      </c>
      <c r="CS225" s="211" t="s">
        <v>73</v>
      </c>
      <c r="CT225" s="211" t="s">
        <v>1318</v>
      </c>
      <c r="CU225" s="211" t="s">
        <v>1318</v>
      </c>
      <c r="CV225" s="211" t="s">
        <v>1318</v>
      </c>
      <c r="CW225" s="211" t="s">
        <v>1318</v>
      </c>
      <c r="CX225" s="211" t="s">
        <v>1318</v>
      </c>
      <c r="CY225" s="211" t="s">
        <v>1318</v>
      </c>
      <c r="CZ225" s="211" t="s">
        <v>1318</v>
      </c>
      <c r="DA225" s="211" t="s">
        <v>1318</v>
      </c>
      <c r="DB225" s="211" t="s">
        <v>1318</v>
      </c>
      <c r="DC225" s="211" t="s">
        <v>1318</v>
      </c>
      <c r="DD225" s="211" t="s">
        <v>1318</v>
      </c>
      <c r="DE225" s="211" t="s">
        <v>1318</v>
      </c>
      <c r="DF225" s="211" t="s">
        <v>1318</v>
      </c>
      <c r="DG225" s="211" t="s">
        <v>73</v>
      </c>
      <c r="DH225" s="211" t="s">
        <v>73</v>
      </c>
      <c r="DI225" s="211" t="s">
        <v>73</v>
      </c>
      <c r="DJ225" s="211" t="s">
        <v>73</v>
      </c>
      <c r="DK225" s="211" t="s">
        <v>73</v>
      </c>
      <c r="DL225" s="212" t="s">
        <v>73</v>
      </c>
    </row>
    <row r="226" spans="69:116" ht="9" customHeight="1">
      <c r="BQ226" s="216" t="s">
        <v>73</v>
      </c>
      <c r="BR226" s="211" t="s">
        <v>73</v>
      </c>
      <c r="BS226" s="211" t="s">
        <v>73</v>
      </c>
      <c r="BT226" s="211" t="s">
        <v>73</v>
      </c>
      <c r="BU226" s="211" t="s">
        <v>73</v>
      </c>
      <c r="BV226" s="211" t="s">
        <v>73</v>
      </c>
      <c r="BW226" s="211" t="s">
        <v>73</v>
      </c>
      <c r="BX226" s="211" t="s">
        <v>73</v>
      </c>
      <c r="BY226" s="211"/>
      <c r="BZ226" s="211" t="s">
        <v>73</v>
      </c>
      <c r="CA226" s="211" t="s">
        <v>73</v>
      </c>
      <c r="CB226" s="211" t="s">
        <v>73</v>
      </c>
      <c r="CC226" s="211" t="s">
        <v>73</v>
      </c>
      <c r="CD226" s="211" t="s">
        <v>73</v>
      </c>
      <c r="CE226" s="211" t="s">
        <v>73</v>
      </c>
      <c r="CF226" s="211" t="s">
        <v>73</v>
      </c>
      <c r="CG226" s="211" t="s">
        <v>73</v>
      </c>
      <c r="CH226" s="211" t="s">
        <v>73</v>
      </c>
      <c r="CI226" s="211" t="s">
        <v>73</v>
      </c>
      <c r="CJ226" s="211" t="s">
        <v>73</v>
      </c>
      <c r="CK226" s="211"/>
      <c r="CL226" s="211"/>
      <c r="CM226" s="211"/>
      <c r="CN226" s="211"/>
      <c r="CO226" s="211"/>
      <c r="CP226" s="211"/>
      <c r="CQ226" s="211"/>
      <c r="CR226" s="211"/>
      <c r="CS226" s="211"/>
      <c r="CT226" s="211"/>
      <c r="CU226" s="211"/>
      <c r="CV226" s="211"/>
      <c r="CW226" s="211"/>
      <c r="CX226" s="211"/>
      <c r="CY226" s="211"/>
      <c r="CZ226" s="211"/>
      <c r="DA226" s="211"/>
      <c r="DB226" s="211"/>
      <c r="DC226" s="211"/>
      <c r="DD226" s="211"/>
      <c r="DE226" s="211"/>
      <c r="DF226" s="211"/>
      <c r="DG226" s="211" t="s">
        <v>73</v>
      </c>
      <c r="DH226" s="211" t="s">
        <v>73</v>
      </c>
      <c r="DI226" s="211" t="s">
        <v>73</v>
      </c>
      <c r="DJ226" s="211" t="s">
        <v>73</v>
      </c>
      <c r="DK226" s="211" t="s">
        <v>73</v>
      </c>
      <c r="DL226" s="212" t="s">
        <v>73</v>
      </c>
    </row>
    <row r="227" spans="69:116" ht="9" customHeight="1">
      <c r="BQ227" s="216" t="s">
        <v>73</v>
      </c>
      <c r="BR227" s="211" t="s">
        <v>73</v>
      </c>
      <c r="BS227" s="211" t="s">
        <v>73</v>
      </c>
      <c r="BT227" s="211" t="s">
        <v>73</v>
      </c>
      <c r="BU227" s="211" t="s">
        <v>73</v>
      </c>
      <c r="BV227" s="211" t="s">
        <v>73</v>
      </c>
      <c r="BW227" s="211" t="s">
        <v>73</v>
      </c>
      <c r="BX227" s="211" t="s">
        <v>73</v>
      </c>
      <c r="BY227" s="211"/>
      <c r="BZ227" s="211" t="s">
        <v>73</v>
      </c>
      <c r="CA227" s="211" t="s">
        <v>73</v>
      </c>
      <c r="CB227" s="211" t="s">
        <v>73</v>
      </c>
      <c r="CC227" s="211" t="s">
        <v>73</v>
      </c>
      <c r="CD227" s="211" t="s">
        <v>73</v>
      </c>
      <c r="CE227" s="211" t="s">
        <v>73</v>
      </c>
      <c r="CF227" s="211" t="s">
        <v>73</v>
      </c>
      <c r="CG227" s="211" t="s">
        <v>73</v>
      </c>
      <c r="CH227" s="211" t="s">
        <v>73</v>
      </c>
      <c r="CI227" s="211" t="s">
        <v>73</v>
      </c>
      <c r="CJ227" s="211"/>
      <c r="CK227" s="211"/>
      <c r="CL227" s="211"/>
      <c r="CM227" s="211"/>
      <c r="CN227" s="211"/>
      <c r="CO227" s="211"/>
      <c r="CP227" s="211"/>
      <c r="CQ227" s="211"/>
      <c r="CR227" s="211"/>
      <c r="CS227" s="211"/>
      <c r="CT227" s="211"/>
      <c r="CU227" s="211"/>
      <c r="CV227" s="211"/>
      <c r="CW227" s="211"/>
      <c r="CX227" s="211"/>
      <c r="CY227" s="211"/>
      <c r="CZ227" s="211"/>
      <c r="DA227" s="211"/>
      <c r="DB227" s="211"/>
      <c r="DC227" s="211"/>
      <c r="DD227" s="211"/>
      <c r="DE227" s="211"/>
      <c r="DF227" s="211"/>
      <c r="DG227" s="211" t="s">
        <v>73</v>
      </c>
      <c r="DH227" s="211" t="s">
        <v>73</v>
      </c>
      <c r="DI227" s="211" t="s">
        <v>73</v>
      </c>
      <c r="DJ227" s="211" t="s">
        <v>73</v>
      </c>
      <c r="DK227" s="211" t="s">
        <v>73</v>
      </c>
      <c r="DL227" s="212" t="s">
        <v>73</v>
      </c>
    </row>
    <row r="228" spans="69:116" ht="9" customHeight="1">
      <c r="BQ228" s="216" t="s">
        <v>73</v>
      </c>
      <c r="BR228" s="211" t="s">
        <v>73</v>
      </c>
      <c r="BS228" s="211" t="s">
        <v>73</v>
      </c>
      <c r="BT228" s="211" t="s">
        <v>73</v>
      </c>
      <c r="BU228" s="211" t="s">
        <v>73</v>
      </c>
      <c r="BV228" s="211" t="s">
        <v>73</v>
      </c>
      <c r="BW228" s="211" t="s">
        <v>73</v>
      </c>
      <c r="BX228" s="211" t="s">
        <v>73</v>
      </c>
      <c r="BY228" s="211"/>
      <c r="BZ228" s="211" t="s">
        <v>73</v>
      </c>
      <c r="CA228" s="211" t="s">
        <v>73</v>
      </c>
      <c r="CB228" s="211" t="s">
        <v>73</v>
      </c>
      <c r="CC228" s="211" t="s">
        <v>73</v>
      </c>
      <c r="CD228" s="211" t="s">
        <v>73</v>
      </c>
      <c r="CE228" s="211" t="s">
        <v>73</v>
      </c>
      <c r="CF228" s="211" t="s">
        <v>73</v>
      </c>
      <c r="CG228" s="211" t="s">
        <v>73</v>
      </c>
      <c r="CH228" s="211" t="s">
        <v>73</v>
      </c>
      <c r="CI228" s="211" t="s">
        <v>73</v>
      </c>
      <c r="CJ228" s="211" t="s">
        <v>73</v>
      </c>
      <c r="CK228" s="211"/>
      <c r="CL228" s="211"/>
      <c r="CM228" s="211"/>
      <c r="CN228" s="211"/>
      <c r="CO228" s="211" t="s">
        <v>73</v>
      </c>
      <c r="CP228" s="211" t="s">
        <v>73</v>
      </c>
      <c r="CQ228" s="211" t="s">
        <v>73</v>
      </c>
      <c r="CR228" s="211" t="s">
        <v>73</v>
      </c>
      <c r="CS228" s="211" t="s">
        <v>73</v>
      </c>
      <c r="CT228" s="211" t="s">
        <v>73</v>
      </c>
      <c r="CU228" s="211" t="s">
        <v>73</v>
      </c>
      <c r="CV228" s="211" t="s">
        <v>73</v>
      </c>
      <c r="CW228" s="211" t="s">
        <v>73</v>
      </c>
      <c r="CX228" s="211" t="s">
        <v>73</v>
      </c>
      <c r="CY228" s="211" t="s">
        <v>73</v>
      </c>
      <c r="CZ228" s="211" t="s">
        <v>73</v>
      </c>
      <c r="DA228" s="211" t="s">
        <v>73</v>
      </c>
      <c r="DB228" s="211" t="s">
        <v>73</v>
      </c>
      <c r="DC228" s="211" t="s">
        <v>73</v>
      </c>
      <c r="DD228" s="211" t="s">
        <v>73</v>
      </c>
      <c r="DE228" s="211" t="s">
        <v>73</v>
      </c>
      <c r="DF228" s="211" t="s">
        <v>73</v>
      </c>
      <c r="DG228" s="211" t="s">
        <v>73</v>
      </c>
      <c r="DH228" s="211" t="s">
        <v>73</v>
      </c>
      <c r="DI228" s="211" t="s">
        <v>73</v>
      </c>
      <c r="DJ228" s="211" t="s">
        <v>73</v>
      </c>
      <c r="DK228" s="211" t="s">
        <v>73</v>
      </c>
      <c r="DL228" s="212" t="s">
        <v>73</v>
      </c>
    </row>
    <row r="229" spans="69:116" ht="9" customHeight="1">
      <c r="BQ229" s="216"/>
      <c r="BR229" s="211"/>
      <c r="BS229" s="211"/>
      <c r="BT229" s="211"/>
      <c r="BU229" s="211"/>
      <c r="BV229" s="211"/>
      <c r="BW229" s="211"/>
      <c r="BX229" s="211"/>
      <c r="BY229" s="211"/>
      <c r="BZ229" s="211" t="s">
        <v>73</v>
      </c>
      <c r="CA229" s="211" t="s">
        <v>73</v>
      </c>
      <c r="CB229" s="211" t="s">
        <v>73</v>
      </c>
      <c r="CC229" s="211" t="s">
        <v>73</v>
      </c>
      <c r="CD229" s="211" t="s">
        <v>73</v>
      </c>
      <c r="CE229" s="211" t="s">
        <v>73</v>
      </c>
      <c r="CF229" s="211" t="s">
        <v>73</v>
      </c>
      <c r="CG229" s="211" t="s">
        <v>73</v>
      </c>
      <c r="CH229" s="211" t="s">
        <v>73</v>
      </c>
      <c r="CI229" s="211" t="s">
        <v>73</v>
      </c>
      <c r="CJ229" s="211"/>
      <c r="CK229" s="211" t="s">
        <v>73</v>
      </c>
      <c r="CL229" s="211"/>
      <c r="CM229" s="211"/>
      <c r="CN229" s="211" t="s">
        <v>73</v>
      </c>
      <c r="CO229" s="211" t="s">
        <v>73</v>
      </c>
      <c r="CP229" s="211" t="s">
        <v>73</v>
      </c>
      <c r="CQ229" s="211" t="s">
        <v>73</v>
      </c>
      <c r="CR229" s="211" t="s">
        <v>73</v>
      </c>
      <c r="CS229" s="211"/>
      <c r="CT229" s="211"/>
      <c r="CU229" s="211"/>
      <c r="CV229" s="211"/>
      <c r="CW229" s="211"/>
      <c r="CX229" s="211"/>
      <c r="CY229" s="211" t="s">
        <v>73</v>
      </c>
      <c r="CZ229" s="211" t="s">
        <v>73</v>
      </c>
      <c r="DA229" s="211" t="s">
        <v>73</v>
      </c>
      <c r="DB229" s="211" t="s">
        <v>73</v>
      </c>
      <c r="DC229" s="211"/>
      <c r="DD229" s="211"/>
      <c r="DE229" s="211"/>
      <c r="DF229" s="211"/>
      <c r="DG229" s="211" t="s">
        <v>73</v>
      </c>
      <c r="DH229" s="211" t="s">
        <v>73</v>
      </c>
      <c r="DI229" s="211" t="s">
        <v>73</v>
      </c>
      <c r="DJ229" s="211" t="s">
        <v>73</v>
      </c>
      <c r="DK229" s="211" t="s">
        <v>73</v>
      </c>
      <c r="DL229" s="212" t="s">
        <v>73</v>
      </c>
    </row>
    <row r="230" spans="69:116" ht="9" customHeight="1">
      <c r="BQ230" s="216"/>
      <c r="BR230" s="211"/>
      <c r="BS230" s="211"/>
      <c r="BT230" s="211"/>
      <c r="BU230" s="211"/>
      <c r="BV230" s="211"/>
      <c r="BW230" s="211"/>
      <c r="BX230" s="211"/>
      <c r="BY230" s="211"/>
      <c r="BZ230" s="211"/>
      <c r="CA230" s="211"/>
      <c r="CB230" s="211"/>
      <c r="CC230" s="211"/>
      <c r="CD230" s="211"/>
      <c r="CE230" s="211"/>
      <c r="CF230" s="211"/>
      <c r="CG230" s="211"/>
      <c r="CH230" s="211"/>
      <c r="CI230" s="211"/>
      <c r="CJ230" s="211"/>
      <c r="CK230" s="211"/>
      <c r="CL230" s="211"/>
      <c r="CM230" s="211"/>
      <c r="CN230" s="211"/>
      <c r="CO230" s="211" t="s">
        <v>73</v>
      </c>
      <c r="CP230" s="211" t="s">
        <v>73</v>
      </c>
      <c r="CQ230" s="211" t="s">
        <v>73</v>
      </c>
      <c r="CR230" s="211" t="s">
        <v>73</v>
      </c>
      <c r="CS230" s="211"/>
      <c r="CT230" s="211"/>
      <c r="CU230" s="211"/>
      <c r="CV230" s="211"/>
      <c r="CW230" s="211"/>
      <c r="CX230" s="211"/>
      <c r="CY230" s="211" t="s">
        <v>73</v>
      </c>
      <c r="CZ230" s="211" t="s">
        <v>73</v>
      </c>
      <c r="DA230" s="211" t="s">
        <v>73</v>
      </c>
      <c r="DB230" s="211" t="s">
        <v>73</v>
      </c>
      <c r="DC230" s="211"/>
      <c r="DD230" s="211"/>
      <c r="DE230" s="211"/>
      <c r="DF230" s="211"/>
      <c r="DG230" s="211" t="s">
        <v>73</v>
      </c>
      <c r="DH230" s="211" t="s">
        <v>73</v>
      </c>
      <c r="DI230" s="211" t="s">
        <v>73</v>
      </c>
      <c r="DJ230" s="211" t="s">
        <v>73</v>
      </c>
      <c r="DK230" s="211" t="s">
        <v>73</v>
      </c>
      <c r="DL230" s="212" t="s">
        <v>73</v>
      </c>
    </row>
    <row r="231" spans="69:116" ht="9" customHeight="1">
      <c r="BQ231" s="216"/>
      <c r="BR231" s="211"/>
      <c r="BS231" s="211"/>
      <c r="BT231" s="211"/>
      <c r="BU231" s="211"/>
      <c r="BV231" s="211"/>
      <c r="BW231" s="211"/>
      <c r="BX231" s="211"/>
      <c r="BY231" s="211"/>
      <c r="BZ231" s="211"/>
      <c r="CA231" s="211"/>
      <c r="CB231" s="211"/>
      <c r="CC231" s="211"/>
      <c r="CD231" s="211"/>
      <c r="CE231" s="211"/>
      <c r="CF231" s="211"/>
      <c r="CG231" s="211"/>
      <c r="CH231" s="211"/>
      <c r="CI231" s="211"/>
      <c r="CJ231" s="211"/>
      <c r="CK231" s="211"/>
      <c r="CL231" s="211"/>
      <c r="CM231" s="211"/>
      <c r="CN231" s="211" t="s">
        <v>73</v>
      </c>
      <c r="CO231" s="211" t="s">
        <v>73</v>
      </c>
      <c r="CP231" s="211" t="s">
        <v>73</v>
      </c>
      <c r="CQ231" s="211" t="s">
        <v>73</v>
      </c>
      <c r="CR231" s="211" t="s">
        <v>73</v>
      </c>
      <c r="CS231" s="211"/>
      <c r="CT231" s="211"/>
      <c r="CU231" s="211"/>
      <c r="CV231" s="211"/>
      <c r="CW231" s="211"/>
      <c r="CX231" s="211"/>
      <c r="CY231" s="211" t="s">
        <v>73</v>
      </c>
      <c r="CZ231" s="211" t="s">
        <v>73</v>
      </c>
      <c r="DA231" s="211" t="s">
        <v>73</v>
      </c>
      <c r="DB231" s="211" t="s">
        <v>73</v>
      </c>
      <c r="DC231" s="211"/>
      <c r="DD231" s="211"/>
      <c r="DE231" s="211"/>
      <c r="DF231" s="211"/>
      <c r="DG231" s="211" t="s">
        <v>73</v>
      </c>
      <c r="DH231" s="211" t="s">
        <v>73</v>
      </c>
      <c r="DI231" s="211" t="s">
        <v>73</v>
      </c>
      <c r="DJ231" s="211" t="s">
        <v>73</v>
      </c>
      <c r="DK231" s="211" t="s">
        <v>73</v>
      </c>
      <c r="DL231" s="212" t="s">
        <v>73</v>
      </c>
    </row>
    <row r="232" spans="69:116" ht="9" customHeight="1">
      <c r="BQ232" s="216"/>
      <c r="BR232" s="211"/>
      <c r="BS232" s="211"/>
      <c r="BT232" s="211"/>
      <c r="BU232" s="211"/>
      <c r="BV232" s="211"/>
      <c r="BW232" s="211"/>
      <c r="BX232" s="211"/>
      <c r="BY232" s="211"/>
      <c r="BZ232" s="211"/>
      <c r="CA232" s="211"/>
      <c r="CB232" s="211"/>
      <c r="CC232" s="211"/>
      <c r="CD232" s="211"/>
      <c r="CE232" s="211"/>
      <c r="CF232" s="211"/>
      <c r="CG232" s="211"/>
      <c r="CH232" s="211"/>
      <c r="CI232" s="211"/>
      <c r="CJ232" s="211"/>
      <c r="CK232" s="211"/>
      <c r="CL232" s="211"/>
      <c r="CM232" s="211"/>
      <c r="CN232" s="211"/>
      <c r="CO232" s="211"/>
      <c r="CP232" s="211"/>
      <c r="CQ232" s="211"/>
      <c r="CR232" s="211"/>
      <c r="CS232" s="211"/>
      <c r="CT232" s="211"/>
      <c r="CU232" s="211"/>
      <c r="CV232" s="211"/>
      <c r="CW232" s="211"/>
      <c r="CX232" s="211"/>
      <c r="CY232" s="211" t="s">
        <v>73</v>
      </c>
      <c r="CZ232" s="211" t="s">
        <v>73</v>
      </c>
      <c r="DA232" s="211" t="s">
        <v>1320</v>
      </c>
      <c r="DB232" s="211" t="s">
        <v>73</v>
      </c>
      <c r="DC232" s="211"/>
      <c r="DD232" s="211"/>
      <c r="DE232" s="211"/>
      <c r="DF232" s="211"/>
      <c r="DG232" s="211" t="s">
        <v>73</v>
      </c>
      <c r="DH232" s="211" t="s">
        <v>73</v>
      </c>
      <c r="DI232" s="211" t="s">
        <v>73</v>
      </c>
      <c r="DJ232" s="211" t="s">
        <v>73</v>
      </c>
      <c r="DK232" s="211" t="s">
        <v>73</v>
      </c>
      <c r="DL232" s="212" t="s">
        <v>73</v>
      </c>
    </row>
    <row r="233" spans="69:116" ht="9" customHeight="1">
      <c r="BQ233" s="216" t="s">
        <v>73</v>
      </c>
      <c r="BR233" s="211" t="s">
        <v>73</v>
      </c>
      <c r="BS233" s="211" t="s">
        <v>73</v>
      </c>
      <c r="BT233" s="211" t="s">
        <v>73</v>
      </c>
      <c r="BU233" s="211" t="s">
        <v>73</v>
      </c>
      <c r="BV233" s="211" t="s">
        <v>73</v>
      </c>
      <c r="BW233" s="211" t="s">
        <v>73</v>
      </c>
      <c r="BX233" s="211"/>
      <c r="BY233" s="211"/>
      <c r="BZ233" s="211"/>
      <c r="CA233" s="211"/>
      <c r="CB233" s="211"/>
      <c r="CC233" s="211"/>
      <c r="CD233" s="211"/>
      <c r="CE233" s="211"/>
      <c r="CF233" s="211"/>
      <c r="CG233" s="211"/>
      <c r="CH233" s="211"/>
      <c r="CI233" s="211"/>
      <c r="CJ233" s="211"/>
      <c r="CK233" s="211"/>
      <c r="CL233" s="211"/>
      <c r="CM233" s="211"/>
      <c r="CN233" s="211"/>
      <c r="CO233" s="211"/>
      <c r="CP233" s="211"/>
      <c r="CQ233" s="211"/>
      <c r="CR233" s="211"/>
      <c r="CS233" s="211"/>
      <c r="CT233" s="211"/>
      <c r="CU233" s="211"/>
      <c r="CV233" s="211"/>
      <c r="CW233" s="211"/>
      <c r="CX233" s="211"/>
      <c r="CY233" s="211"/>
      <c r="CZ233" s="211"/>
      <c r="DA233" s="211"/>
      <c r="DB233" s="211"/>
      <c r="DC233" s="211"/>
      <c r="DD233" s="211"/>
      <c r="DE233" s="211"/>
      <c r="DF233" s="211"/>
      <c r="DG233" s="211" t="s">
        <v>73</v>
      </c>
      <c r="DH233" s="211" t="s">
        <v>73</v>
      </c>
      <c r="DI233" s="211" t="s">
        <v>73</v>
      </c>
      <c r="DJ233" s="211" t="s">
        <v>73</v>
      </c>
      <c r="DK233" s="211" t="s">
        <v>73</v>
      </c>
      <c r="DL233" s="212" t="s">
        <v>73</v>
      </c>
    </row>
    <row r="234" spans="69:116" ht="9" customHeight="1">
      <c r="BQ234" s="216" t="s">
        <v>73</v>
      </c>
      <c r="BR234" s="211" t="s">
        <v>73</v>
      </c>
      <c r="BS234" s="211" t="s">
        <v>73</v>
      </c>
      <c r="BT234" s="211" t="s">
        <v>73</v>
      </c>
      <c r="BU234" s="211" t="s">
        <v>73</v>
      </c>
      <c r="BV234" s="211" t="s">
        <v>73</v>
      </c>
      <c r="BW234" s="211" t="s">
        <v>73</v>
      </c>
      <c r="BX234" s="211"/>
      <c r="BY234" s="211"/>
      <c r="BZ234" s="211"/>
      <c r="CA234" s="211"/>
      <c r="CB234" s="211"/>
      <c r="CC234" s="211"/>
      <c r="CD234" s="211"/>
      <c r="CE234" s="211"/>
      <c r="CF234" s="211"/>
      <c r="CG234" s="211"/>
      <c r="CH234" s="211"/>
      <c r="CI234" s="211"/>
      <c r="CJ234" s="211"/>
      <c r="CK234" s="211"/>
      <c r="CL234" s="211"/>
      <c r="CM234" s="211"/>
      <c r="CN234" s="211"/>
      <c r="CO234" s="211"/>
      <c r="CP234" s="211"/>
      <c r="CQ234" s="211"/>
      <c r="CR234" s="211"/>
      <c r="CS234" s="211"/>
      <c r="CT234" s="211"/>
      <c r="CU234" s="211"/>
      <c r="CV234" s="211"/>
      <c r="CW234" s="211"/>
      <c r="CX234" s="211"/>
      <c r="CY234" s="211"/>
      <c r="CZ234" s="211"/>
      <c r="DA234" s="211"/>
      <c r="DB234" s="211"/>
      <c r="DC234" s="211"/>
      <c r="DD234" s="211"/>
      <c r="DE234" s="211"/>
      <c r="DF234" s="211"/>
      <c r="DG234" s="211" t="s">
        <v>73</v>
      </c>
      <c r="DH234" s="211" t="s">
        <v>73</v>
      </c>
      <c r="DI234" s="211" t="s">
        <v>73</v>
      </c>
      <c r="DJ234" s="211" t="s">
        <v>73</v>
      </c>
      <c r="DK234" s="211" t="s">
        <v>73</v>
      </c>
      <c r="DL234" s="212" t="s">
        <v>73</v>
      </c>
    </row>
    <row r="235" spans="69:116" ht="9" customHeight="1">
      <c r="BQ235" s="216" t="s">
        <v>73</v>
      </c>
      <c r="BR235" s="211" t="s">
        <v>73</v>
      </c>
      <c r="BS235" s="211" t="s">
        <v>73</v>
      </c>
      <c r="BT235" s="211" t="s">
        <v>73</v>
      </c>
      <c r="BU235" s="211" t="s">
        <v>73</v>
      </c>
      <c r="BV235" s="211" t="s">
        <v>73</v>
      </c>
      <c r="BW235" s="211" t="s">
        <v>73</v>
      </c>
      <c r="BX235" s="211" t="s">
        <v>73</v>
      </c>
      <c r="BY235" s="211" t="s">
        <v>73</v>
      </c>
      <c r="BZ235" s="211" t="s">
        <v>73</v>
      </c>
      <c r="CA235" s="211" t="s">
        <v>73</v>
      </c>
      <c r="CB235" s="211"/>
      <c r="CC235" s="211"/>
      <c r="CD235" s="211"/>
      <c r="CE235" s="211"/>
      <c r="CF235" s="211"/>
      <c r="CG235" s="211"/>
      <c r="CH235" s="211"/>
      <c r="CI235" s="211"/>
      <c r="CJ235" s="211"/>
      <c r="CK235" s="211"/>
      <c r="CL235" s="211"/>
      <c r="CM235" s="211"/>
      <c r="CN235" s="211"/>
      <c r="CO235" s="211" t="s">
        <v>73</v>
      </c>
      <c r="CP235" s="211" t="s">
        <v>73</v>
      </c>
      <c r="CQ235" s="211" t="s">
        <v>73</v>
      </c>
      <c r="CR235" s="211" t="s">
        <v>73</v>
      </c>
      <c r="CS235" s="211" t="s">
        <v>73</v>
      </c>
      <c r="CT235" s="211"/>
      <c r="CU235" s="211"/>
      <c r="CV235" s="211"/>
      <c r="CW235" s="211"/>
      <c r="CX235" s="211"/>
      <c r="CY235" s="211"/>
      <c r="CZ235" s="211"/>
      <c r="DA235" s="211"/>
      <c r="DB235" s="211"/>
      <c r="DC235" s="211"/>
      <c r="DD235" s="211"/>
      <c r="DE235" s="211"/>
      <c r="DF235" s="211"/>
      <c r="DG235" s="211" t="s">
        <v>73</v>
      </c>
      <c r="DH235" s="211" t="s">
        <v>73</v>
      </c>
      <c r="DI235" s="211" t="s">
        <v>73</v>
      </c>
      <c r="DJ235" s="211" t="s">
        <v>73</v>
      </c>
      <c r="DK235" s="211" t="s">
        <v>73</v>
      </c>
      <c r="DL235" s="212" t="s">
        <v>73</v>
      </c>
    </row>
    <row r="236" spans="69:116" ht="9" customHeight="1">
      <c r="BQ236" s="216" t="s">
        <v>73</v>
      </c>
      <c r="BR236" s="211" t="s">
        <v>73</v>
      </c>
      <c r="BS236" s="211" t="s">
        <v>73</v>
      </c>
      <c r="BT236" s="211" t="s">
        <v>73</v>
      </c>
      <c r="BU236" s="211" t="s">
        <v>73</v>
      </c>
      <c r="BV236" s="211" t="s">
        <v>73</v>
      </c>
      <c r="BW236" s="211" t="s">
        <v>73</v>
      </c>
      <c r="BX236" s="211" t="s">
        <v>73</v>
      </c>
      <c r="BY236" s="211" t="s">
        <v>73</v>
      </c>
      <c r="BZ236" s="211" t="s">
        <v>73</v>
      </c>
      <c r="CA236" s="211" t="s">
        <v>73</v>
      </c>
      <c r="CB236" s="211"/>
      <c r="CC236" s="211" t="s">
        <v>73</v>
      </c>
      <c r="CD236" s="211" t="s">
        <v>73</v>
      </c>
      <c r="CE236" s="211"/>
      <c r="CF236" s="211"/>
      <c r="CG236" s="211"/>
      <c r="CH236" s="211"/>
      <c r="CI236" s="211"/>
      <c r="CJ236" s="211"/>
      <c r="CK236" s="211"/>
      <c r="CL236" s="211"/>
      <c r="CM236" s="211"/>
      <c r="CN236" s="211"/>
      <c r="CO236" s="211" t="s">
        <v>73</v>
      </c>
      <c r="CP236" s="211" t="s">
        <v>73</v>
      </c>
      <c r="CQ236" s="211" t="s">
        <v>73</v>
      </c>
      <c r="CR236" s="211" t="s">
        <v>73</v>
      </c>
      <c r="CS236" s="211" t="s">
        <v>73</v>
      </c>
      <c r="CT236" s="211"/>
      <c r="CU236" s="211"/>
      <c r="CV236" s="211"/>
      <c r="CW236" s="211"/>
      <c r="CX236" s="211"/>
      <c r="CY236" s="211"/>
      <c r="CZ236" s="211"/>
      <c r="DA236" s="211"/>
      <c r="DB236" s="211"/>
      <c r="DC236" s="211"/>
      <c r="DD236" s="211"/>
      <c r="DE236" s="211"/>
      <c r="DF236" s="211"/>
      <c r="DG236" s="211" t="s">
        <v>73</v>
      </c>
      <c r="DH236" s="211" t="s">
        <v>73</v>
      </c>
      <c r="DI236" s="211" t="s">
        <v>73</v>
      </c>
      <c r="DJ236" s="211" t="s">
        <v>73</v>
      </c>
      <c r="DK236" s="211" t="s">
        <v>73</v>
      </c>
      <c r="DL236" s="212" t="s">
        <v>73</v>
      </c>
    </row>
    <row r="237" spans="69:116" ht="9" customHeight="1">
      <c r="BQ237" s="216" t="s">
        <v>73</v>
      </c>
      <c r="BR237" s="211" t="s">
        <v>73</v>
      </c>
      <c r="BS237" s="211" t="s">
        <v>73</v>
      </c>
      <c r="BT237" s="211" t="s">
        <v>73</v>
      </c>
      <c r="BU237" s="211" t="s">
        <v>73</v>
      </c>
      <c r="BV237" s="211" t="s">
        <v>73</v>
      </c>
      <c r="BW237" s="211" t="s">
        <v>73</v>
      </c>
      <c r="BX237" s="211" t="s">
        <v>73</v>
      </c>
      <c r="BY237" s="211" t="s">
        <v>73</v>
      </c>
      <c r="BZ237" s="211" t="s">
        <v>73</v>
      </c>
      <c r="CA237" s="211" t="s">
        <v>73</v>
      </c>
      <c r="CB237" s="211"/>
      <c r="CC237" s="211" t="s">
        <v>73</v>
      </c>
      <c r="CD237" s="211" t="s">
        <v>73</v>
      </c>
      <c r="CE237" s="211"/>
      <c r="CF237" s="211"/>
      <c r="CG237" s="211"/>
      <c r="CH237" s="211"/>
      <c r="CI237" s="211"/>
      <c r="CJ237" s="211"/>
      <c r="CK237" s="211"/>
      <c r="CL237" s="211"/>
      <c r="CM237" s="211"/>
      <c r="CN237" s="211"/>
      <c r="CO237" s="211" t="s">
        <v>73</v>
      </c>
      <c r="CP237" s="211" t="s">
        <v>73</v>
      </c>
      <c r="CQ237" s="211" t="s">
        <v>73</v>
      </c>
      <c r="CR237" s="211" t="s">
        <v>73</v>
      </c>
      <c r="CS237" s="211" t="s">
        <v>73</v>
      </c>
      <c r="CT237" s="211"/>
      <c r="CU237" s="211"/>
      <c r="CV237" s="211"/>
      <c r="CW237" s="211"/>
      <c r="CX237" s="211"/>
      <c r="CY237" s="211"/>
      <c r="CZ237" s="211"/>
      <c r="DA237" s="211"/>
      <c r="DB237" s="211"/>
      <c r="DC237" s="211"/>
      <c r="DD237" s="211"/>
      <c r="DE237" s="211"/>
      <c r="DF237" s="211"/>
      <c r="DG237" s="211" t="s">
        <v>73</v>
      </c>
      <c r="DH237" s="211" t="s">
        <v>73</v>
      </c>
      <c r="DI237" s="211" t="s">
        <v>73</v>
      </c>
      <c r="DJ237" s="211" t="s">
        <v>73</v>
      </c>
      <c r="DK237" s="211" t="s">
        <v>73</v>
      </c>
      <c r="DL237" s="212" t="s">
        <v>73</v>
      </c>
    </row>
    <row r="238" spans="69:116" ht="9" customHeight="1">
      <c r="BQ238" s="216" t="s">
        <v>73</v>
      </c>
      <c r="BR238" s="211" t="s">
        <v>73</v>
      </c>
      <c r="BS238" s="211" t="s">
        <v>73</v>
      </c>
      <c r="BT238" s="211" t="s">
        <v>73</v>
      </c>
      <c r="BU238" s="211" t="s">
        <v>73</v>
      </c>
      <c r="BV238" s="211" t="s">
        <v>73</v>
      </c>
      <c r="BW238" s="211" t="s">
        <v>73</v>
      </c>
      <c r="BX238" s="211"/>
      <c r="BY238" s="211"/>
      <c r="BZ238" s="211"/>
      <c r="CA238" s="211"/>
      <c r="CB238" s="211"/>
      <c r="CC238" s="211" t="s">
        <v>73</v>
      </c>
      <c r="CD238" s="211" t="s">
        <v>73</v>
      </c>
      <c r="CE238" s="211"/>
      <c r="CF238" s="211"/>
      <c r="CG238" s="211"/>
      <c r="CH238" s="211"/>
      <c r="CI238" s="211"/>
      <c r="CJ238" s="211"/>
      <c r="CK238" s="211"/>
      <c r="CL238" s="211"/>
      <c r="CM238" s="211"/>
      <c r="CN238" s="211"/>
      <c r="CO238" s="211" t="s">
        <v>73</v>
      </c>
      <c r="CP238" s="211" t="s">
        <v>73</v>
      </c>
      <c r="CQ238" s="211" t="s">
        <v>73</v>
      </c>
      <c r="CR238" s="211" t="s">
        <v>73</v>
      </c>
      <c r="CS238" s="211" t="s">
        <v>73</v>
      </c>
      <c r="CT238" s="211"/>
      <c r="CU238" s="211"/>
      <c r="CV238" s="211"/>
      <c r="CW238" s="211"/>
      <c r="CX238" s="211"/>
      <c r="CY238" s="211"/>
      <c r="CZ238" s="211"/>
      <c r="DA238" s="211"/>
      <c r="DB238" s="211"/>
      <c r="DC238" s="211"/>
      <c r="DD238" s="211"/>
      <c r="DE238" s="211"/>
      <c r="DF238" s="211"/>
      <c r="DG238" s="211" t="s">
        <v>73</v>
      </c>
      <c r="DH238" s="211" t="s">
        <v>73</v>
      </c>
      <c r="DI238" s="211" t="s">
        <v>73</v>
      </c>
      <c r="DJ238" s="211" t="s">
        <v>73</v>
      </c>
      <c r="DK238" s="211" t="s">
        <v>73</v>
      </c>
      <c r="DL238" s="212" t="s">
        <v>73</v>
      </c>
    </row>
    <row r="239" spans="69:116" ht="9" customHeight="1">
      <c r="BQ239" s="216" t="s">
        <v>73</v>
      </c>
      <c r="BR239" s="211" t="s">
        <v>73</v>
      </c>
      <c r="BS239" s="211" t="s">
        <v>73</v>
      </c>
      <c r="BT239" s="211" t="s">
        <v>73</v>
      </c>
      <c r="BU239" s="211" t="s">
        <v>73</v>
      </c>
      <c r="BV239" s="211" t="s">
        <v>73</v>
      </c>
      <c r="BW239" s="211" t="s">
        <v>73</v>
      </c>
      <c r="BX239" s="211"/>
      <c r="BY239" s="211"/>
      <c r="BZ239" s="211"/>
      <c r="CA239" s="211"/>
      <c r="CB239" s="211" t="s">
        <v>1309</v>
      </c>
      <c r="CC239" s="211" t="s">
        <v>1309</v>
      </c>
      <c r="CD239" s="211" t="s">
        <v>1309</v>
      </c>
      <c r="CE239" s="211" t="s">
        <v>1309</v>
      </c>
      <c r="CF239" s="211" t="s">
        <v>1309</v>
      </c>
      <c r="CG239" s="211" t="s">
        <v>1309</v>
      </c>
      <c r="CH239" s="211"/>
      <c r="CI239" s="211"/>
      <c r="CJ239" s="211"/>
      <c r="CK239" s="211"/>
      <c r="CL239" s="211"/>
      <c r="CM239" s="211"/>
      <c r="CN239" s="211"/>
      <c r="CO239" s="211" t="s">
        <v>73</v>
      </c>
      <c r="CP239" s="211" t="s">
        <v>73</v>
      </c>
      <c r="CQ239" s="211" t="s">
        <v>1321</v>
      </c>
      <c r="CR239" s="211" t="s">
        <v>73</v>
      </c>
      <c r="CS239" s="211" t="s">
        <v>73</v>
      </c>
      <c r="CT239" s="211"/>
      <c r="CU239" s="211"/>
      <c r="CV239" s="211"/>
      <c r="CW239" s="211"/>
      <c r="CX239" s="211"/>
      <c r="CY239" s="211"/>
      <c r="CZ239" s="211"/>
      <c r="DA239" s="211"/>
      <c r="DB239" s="211"/>
      <c r="DC239" s="211"/>
      <c r="DD239" s="211"/>
      <c r="DE239" s="211"/>
      <c r="DF239" s="211"/>
      <c r="DG239" s="211" t="s">
        <v>73</v>
      </c>
      <c r="DH239" s="211" t="s">
        <v>73</v>
      </c>
      <c r="DI239" s="211" t="s">
        <v>73</v>
      </c>
      <c r="DJ239" s="211" t="s">
        <v>73</v>
      </c>
      <c r="DK239" s="211" t="s">
        <v>73</v>
      </c>
      <c r="DL239" s="212" t="s">
        <v>73</v>
      </c>
    </row>
    <row r="240" spans="69:116" ht="9" customHeight="1">
      <c r="BQ240" s="216" t="s">
        <v>73</v>
      </c>
      <c r="BR240" s="211" t="s">
        <v>73</v>
      </c>
      <c r="BS240" s="211" t="s">
        <v>73</v>
      </c>
      <c r="BT240" s="211" t="s">
        <v>73</v>
      </c>
      <c r="BU240" s="211" t="s">
        <v>73</v>
      </c>
      <c r="BV240" s="211" t="s">
        <v>73</v>
      </c>
      <c r="BW240" s="211" t="s">
        <v>73</v>
      </c>
      <c r="BX240" s="211"/>
      <c r="BY240" s="211"/>
      <c r="BZ240" s="211"/>
      <c r="CA240" s="211"/>
      <c r="CB240" s="211" t="s">
        <v>1309</v>
      </c>
      <c r="CC240" s="211" t="s">
        <v>1309</v>
      </c>
      <c r="CD240" s="211" t="s">
        <v>1309</v>
      </c>
      <c r="CE240" s="211" t="s">
        <v>1309</v>
      </c>
      <c r="CF240" s="211" t="s">
        <v>1309</v>
      </c>
      <c r="CG240" s="211" t="s">
        <v>1309</v>
      </c>
      <c r="CH240" s="211"/>
      <c r="CI240" s="211"/>
      <c r="CJ240" s="211"/>
      <c r="CK240" s="211"/>
      <c r="CL240" s="211"/>
      <c r="CM240" s="211"/>
      <c r="CN240" s="211"/>
      <c r="CO240" s="211"/>
      <c r="CP240" s="211"/>
      <c r="CQ240" s="211"/>
      <c r="CR240" s="211"/>
      <c r="CS240" s="211"/>
      <c r="CT240" s="211"/>
      <c r="CU240" s="211"/>
      <c r="CV240" s="211"/>
      <c r="CW240" s="211"/>
      <c r="CX240" s="211"/>
      <c r="CY240" s="211"/>
      <c r="CZ240" s="211"/>
      <c r="DA240" s="211"/>
      <c r="DB240" s="211"/>
      <c r="DC240" s="211"/>
      <c r="DD240" s="211"/>
      <c r="DE240" s="211"/>
      <c r="DF240" s="211"/>
      <c r="DG240" s="211" t="s">
        <v>73</v>
      </c>
      <c r="DH240" s="211" t="s">
        <v>73</v>
      </c>
      <c r="DI240" s="211" t="s">
        <v>73</v>
      </c>
      <c r="DJ240" s="211" t="s">
        <v>73</v>
      </c>
      <c r="DK240" s="211" t="s">
        <v>73</v>
      </c>
      <c r="DL240" s="212" t="s">
        <v>73</v>
      </c>
    </row>
    <row r="241" spans="69:116" ht="9" customHeight="1">
      <c r="BQ241" s="216" t="s">
        <v>73</v>
      </c>
      <c r="BR241" s="211" t="s">
        <v>73</v>
      </c>
      <c r="BS241" s="211" t="s">
        <v>73</v>
      </c>
      <c r="BT241" s="211" t="s">
        <v>73</v>
      </c>
      <c r="BU241" s="211" t="s">
        <v>73</v>
      </c>
      <c r="BV241" s="211" t="s">
        <v>73</v>
      </c>
      <c r="BW241" s="211" t="s">
        <v>73</v>
      </c>
      <c r="BX241" s="211"/>
      <c r="BY241" s="211"/>
      <c r="BZ241" s="211"/>
      <c r="CA241" s="211"/>
      <c r="CB241" s="211" t="s">
        <v>1309</v>
      </c>
      <c r="CC241" s="211" t="s">
        <v>1309</v>
      </c>
      <c r="CD241" s="211" t="s">
        <v>1309</v>
      </c>
      <c r="CE241" s="211" t="s">
        <v>1309</v>
      </c>
      <c r="CF241" s="211" t="s">
        <v>1309</v>
      </c>
      <c r="CG241" s="211" t="s">
        <v>1309</v>
      </c>
      <c r="CH241" s="211"/>
      <c r="CI241" s="211"/>
      <c r="CJ241" s="211"/>
      <c r="CK241" s="211"/>
      <c r="CL241" s="211"/>
      <c r="CM241" s="211"/>
      <c r="CN241" s="211"/>
      <c r="CO241" s="211"/>
      <c r="CP241" s="211"/>
      <c r="CQ241" s="211"/>
      <c r="CR241" s="211"/>
      <c r="CS241" s="211"/>
      <c r="CT241" s="211"/>
      <c r="CU241" s="211"/>
      <c r="CV241" s="211"/>
      <c r="CW241" s="211"/>
      <c r="CX241" s="211"/>
      <c r="CY241" s="211"/>
      <c r="CZ241" s="211"/>
      <c r="DA241" s="211"/>
      <c r="DB241" s="211"/>
      <c r="DC241" s="211"/>
      <c r="DD241" s="211"/>
      <c r="DE241" s="211"/>
      <c r="DF241" s="211"/>
      <c r="DG241" s="211" t="s">
        <v>73</v>
      </c>
      <c r="DH241" s="211" t="s">
        <v>73</v>
      </c>
      <c r="DI241" s="211" t="s">
        <v>73</v>
      </c>
      <c r="DJ241" s="211" t="s">
        <v>73</v>
      </c>
      <c r="DK241" s="211" t="s">
        <v>73</v>
      </c>
      <c r="DL241" s="212" t="s">
        <v>73</v>
      </c>
    </row>
    <row r="242" spans="69:116" ht="9" customHeight="1">
      <c r="BQ242" s="216" t="s">
        <v>73</v>
      </c>
      <c r="BR242" s="211" t="s">
        <v>73</v>
      </c>
      <c r="BS242" s="211" t="s">
        <v>73</v>
      </c>
      <c r="BT242" s="211" t="s">
        <v>73</v>
      </c>
      <c r="BU242" s="211" t="s">
        <v>73</v>
      </c>
      <c r="BV242" s="211" t="s">
        <v>73</v>
      </c>
      <c r="BW242" s="211" t="s">
        <v>73</v>
      </c>
      <c r="BX242" s="211"/>
      <c r="BY242" s="211"/>
      <c r="BZ242" s="211"/>
      <c r="CA242" s="211"/>
      <c r="CB242" s="211" t="s">
        <v>1309</v>
      </c>
      <c r="CC242" s="211" t="s">
        <v>1309</v>
      </c>
      <c r="CD242" s="211" t="s">
        <v>1309</v>
      </c>
      <c r="CE242" s="211" t="s">
        <v>1309</v>
      </c>
      <c r="CF242" s="211" t="s">
        <v>1309</v>
      </c>
      <c r="CG242" s="211" t="s">
        <v>1309</v>
      </c>
      <c r="CH242" s="211"/>
      <c r="CI242" s="211"/>
      <c r="CJ242" s="211"/>
      <c r="CK242" s="211"/>
      <c r="CL242" s="211"/>
      <c r="CM242" s="211"/>
      <c r="CN242" s="211"/>
      <c r="CO242" s="211"/>
      <c r="CP242" s="211"/>
      <c r="CQ242" s="211"/>
      <c r="CR242" s="211"/>
      <c r="CS242" s="211"/>
      <c r="CT242" s="211"/>
      <c r="CU242" s="211"/>
      <c r="CV242" s="211"/>
      <c r="CW242" s="211"/>
      <c r="CX242" s="211"/>
      <c r="CY242" s="211"/>
      <c r="CZ242" s="211"/>
      <c r="DA242" s="211"/>
      <c r="DB242" s="211"/>
      <c r="DC242" s="211"/>
      <c r="DD242" s="211"/>
      <c r="DE242" s="211"/>
      <c r="DF242" s="211"/>
      <c r="DG242" s="211" t="s">
        <v>73</v>
      </c>
      <c r="DH242" s="211" t="s">
        <v>73</v>
      </c>
      <c r="DI242" s="211" t="s">
        <v>73</v>
      </c>
      <c r="DJ242" s="211" t="s">
        <v>73</v>
      </c>
      <c r="DK242" s="211" t="s">
        <v>73</v>
      </c>
      <c r="DL242" s="212" t="s">
        <v>73</v>
      </c>
    </row>
    <row r="243" spans="69:116" ht="9" customHeight="1">
      <c r="BQ243" s="216" t="s">
        <v>73</v>
      </c>
      <c r="BR243" s="211" t="s">
        <v>73</v>
      </c>
      <c r="BS243" s="211" t="s">
        <v>73</v>
      </c>
      <c r="BT243" s="211" t="s">
        <v>73</v>
      </c>
      <c r="BU243" s="211" t="s">
        <v>73</v>
      </c>
      <c r="BV243" s="211" t="s">
        <v>73</v>
      </c>
      <c r="BW243" s="211" t="s">
        <v>73</v>
      </c>
      <c r="BX243" s="211" t="s">
        <v>1318</v>
      </c>
      <c r="BY243" s="211" t="s">
        <v>1318</v>
      </c>
      <c r="BZ243" s="211" t="s">
        <v>1318</v>
      </c>
      <c r="CA243" s="211" t="s">
        <v>1318</v>
      </c>
      <c r="CB243" s="211" t="s">
        <v>1309</v>
      </c>
      <c r="CC243" s="211" t="s">
        <v>1309</v>
      </c>
      <c r="CD243" s="211" t="s">
        <v>1309</v>
      </c>
      <c r="CE243" s="211" t="s">
        <v>1309</v>
      </c>
      <c r="CF243" s="211" t="s">
        <v>1309</v>
      </c>
      <c r="CG243" s="211" t="s">
        <v>1309</v>
      </c>
      <c r="CH243" s="211" t="s">
        <v>1318</v>
      </c>
      <c r="CI243" s="211" t="s">
        <v>1318</v>
      </c>
      <c r="CJ243" s="211" t="s">
        <v>1318</v>
      </c>
      <c r="CK243" s="211"/>
      <c r="CL243" s="211"/>
      <c r="CM243" s="211"/>
      <c r="CN243" s="211" t="s">
        <v>1318</v>
      </c>
      <c r="CO243" s="211" t="s">
        <v>1318</v>
      </c>
      <c r="CP243" s="211" t="s">
        <v>1318</v>
      </c>
      <c r="CQ243" s="211" t="s">
        <v>1318</v>
      </c>
      <c r="CR243" s="211" t="s">
        <v>1318</v>
      </c>
      <c r="CS243" s="211" t="s">
        <v>1318</v>
      </c>
      <c r="CT243" s="211" t="s">
        <v>1318</v>
      </c>
      <c r="CU243" s="211" t="s">
        <v>1318</v>
      </c>
      <c r="CV243" s="211" t="s">
        <v>1318</v>
      </c>
      <c r="CW243" s="211" t="s">
        <v>1318</v>
      </c>
      <c r="CX243" s="211" t="s">
        <v>1318</v>
      </c>
      <c r="CY243" s="211" t="s">
        <v>1318</v>
      </c>
      <c r="CZ243" s="211" t="s">
        <v>1318</v>
      </c>
      <c r="DA243" s="211" t="s">
        <v>1318</v>
      </c>
      <c r="DB243" s="211" t="s">
        <v>1318</v>
      </c>
      <c r="DC243" s="211" t="s">
        <v>1318</v>
      </c>
      <c r="DD243" s="211" t="s">
        <v>1318</v>
      </c>
      <c r="DE243" s="211" t="s">
        <v>1318</v>
      </c>
      <c r="DF243" s="211" t="s">
        <v>1318</v>
      </c>
      <c r="DG243" s="211" t="s">
        <v>73</v>
      </c>
      <c r="DH243" s="211" t="s">
        <v>73</v>
      </c>
      <c r="DI243" s="211" t="s">
        <v>73</v>
      </c>
      <c r="DJ243" s="211" t="s">
        <v>73</v>
      </c>
      <c r="DK243" s="211" t="s">
        <v>73</v>
      </c>
      <c r="DL243" s="212" t="s">
        <v>73</v>
      </c>
    </row>
    <row r="244" spans="69:116" ht="9" customHeight="1">
      <c r="BQ244" s="216" t="s">
        <v>73</v>
      </c>
      <c r="BR244" s="211" t="s">
        <v>73</v>
      </c>
      <c r="BS244" s="211" t="s">
        <v>73</v>
      </c>
      <c r="BT244" s="211" t="s">
        <v>73</v>
      </c>
      <c r="BU244" s="211" t="s">
        <v>73</v>
      </c>
      <c r="BV244" s="211" t="s">
        <v>73</v>
      </c>
      <c r="BW244" s="211" t="s">
        <v>73</v>
      </c>
      <c r="BX244" s="211"/>
      <c r="BY244" s="211"/>
      <c r="BZ244" s="211"/>
      <c r="CA244" s="211"/>
      <c r="CB244" s="211"/>
      <c r="CC244" s="211"/>
      <c r="CD244" s="211"/>
      <c r="CE244" s="211"/>
      <c r="CF244" s="211"/>
      <c r="CG244" s="211"/>
      <c r="CH244" s="211"/>
      <c r="CI244" s="211"/>
      <c r="CJ244" s="211"/>
      <c r="CK244" s="211" t="s">
        <v>73</v>
      </c>
      <c r="CL244" s="211"/>
      <c r="CM244" s="211"/>
      <c r="CN244" s="211"/>
      <c r="CO244" s="211"/>
      <c r="CP244" s="211"/>
      <c r="CQ244" s="211"/>
      <c r="CR244" s="211"/>
      <c r="CS244" s="211"/>
      <c r="CT244" s="211"/>
      <c r="CU244" s="211"/>
      <c r="CV244" s="211"/>
      <c r="CW244" s="211"/>
      <c r="CX244" s="211"/>
      <c r="CY244" s="211"/>
      <c r="CZ244" s="211"/>
      <c r="DA244" s="211"/>
      <c r="DB244" s="211"/>
      <c r="DC244" s="211"/>
      <c r="DD244" s="211"/>
      <c r="DE244" s="211"/>
      <c r="DF244" s="211"/>
      <c r="DG244" s="211" t="s">
        <v>73</v>
      </c>
      <c r="DH244" s="211" t="s">
        <v>73</v>
      </c>
      <c r="DI244" s="211" t="s">
        <v>73</v>
      </c>
      <c r="DJ244" s="211" t="s">
        <v>73</v>
      </c>
      <c r="DK244" s="211" t="s">
        <v>73</v>
      </c>
      <c r="DL244" s="212" t="s">
        <v>73</v>
      </c>
    </row>
    <row r="245" spans="69:116" ht="9" customHeight="1">
      <c r="BQ245" s="216" t="s">
        <v>73</v>
      </c>
      <c r="BR245" s="211" t="s">
        <v>73</v>
      </c>
      <c r="BS245" s="211" t="s">
        <v>73</v>
      </c>
      <c r="BT245" s="211" t="s">
        <v>73</v>
      </c>
      <c r="BU245" s="211" t="s">
        <v>73</v>
      </c>
      <c r="BV245" s="211" t="s">
        <v>73</v>
      </c>
      <c r="BW245" s="211" t="s">
        <v>73</v>
      </c>
      <c r="BX245" s="211"/>
      <c r="BY245" s="211"/>
      <c r="BZ245" s="211"/>
      <c r="CA245" s="211"/>
      <c r="CB245" s="211"/>
      <c r="CC245" s="211"/>
      <c r="CD245" s="211"/>
      <c r="CE245" s="211"/>
      <c r="CF245" s="211"/>
      <c r="CG245" s="211"/>
      <c r="CH245" s="211"/>
      <c r="CI245" s="211"/>
      <c r="CJ245" s="211"/>
      <c r="CK245" s="211"/>
      <c r="CL245" s="211"/>
      <c r="CM245" s="211"/>
      <c r="CN245" s="211"/>
      <c r="CO245" s="211"/>
      <c r="CP245" s="211"/>
      <c r="CQ245" s="211"/>
      <c r="CR245" s="211"/>
      <c r="CS245" s="211"/>
      <c r="CT245" s="211"/>
      <c r="CU245" s="211"/>
      <c r="CV245" s="211"/>
      <c r="CW245" s="211"/>
      <c r="CX245" s="211"/>
      <c r="CY245" s="211"/>
      <c r="CZ245" s="211"/>
      <c r="DA245" s="211"/>
      <c r="DB245" s="211"/>
      <c r="DC245" s="211"/>
      <c r="DD245" s="211"/>
      <c r="DE245" s="211"/>
      <c r="DF245" s="211"/>
      <c r="DG245" s="211" t="s">
        <v>73</v>
      </c>
      <c r="DH245" s="211" t="s">
        <v>73</v>
      </c>
      <c r="DI245" s="211" t="s">
        <v>73</v>
      </c>
      <c r="DJ245" s="211" t="s">
        <v>73</v>
      </c>
      <c r="DK245" s="211" t="s">
        <v>73</v>
      </c>
      <c r="DL245" s="212" t="s">
        <v>73</v>
      </c>
    </row>
    <row r="246" spans="69:116" ht="9" customHeight="1">
      <c r="BQ246" s="216" t="s">
        <v>73</v>
      </c>
      <c r="BR246" s="211" t="s">
        <v>73</v>
      </c>
      <c r="BS246" s="211" t="s">
        <v>73</v>
      </c>
      <c r="BT246" s="211" t="s">
        <v>73</v>
      </c>
      <c r="BU246" s="211" t="s">
        <v>73</v>
      </c>
      <c r="BV246" s="211" t="s">
        <v>73</v>
      </c>
      <c r="BW246" s="211" t="s">
        <v>73</v>
      </c>
      <c r="BX246" s="211" t="s">
        <v>73</v>
      </c>
      <c r="BY246" s="211" t="s">
        <v>73</v>
      </c>
      <c r="BZ246" s="211" t="s">
        <v>73</v>
      </c>
      <c r="CA246" s="211" t="s">
        <v>73</v>
      </c>
      <c r="CB246" s="211" t="s">
        <v>73</v>
      </c>
      <c r="CC246" s="211" t="s">
        <v>73</v>
      </c>
      <c r="CD246" s="211" t="s">
        <v>73</v>
      </c>
      <c r="CE246" s="211"/>
      <c r="CF246" s="211"/>
      <c r="CG246" s="211"/>
      <c r="CH246" s="211"/>
      <c r="CI246" s="211"/>
      <c r="CJ246" s="211"/>
      <c r="CK246" s="211"/>
      <c r="CL246" s="211"/>
      <c r="CM246" s="211"/>
      <c r="CN246" s="211"/>
      <c r="CO246" s="211"/>
      <c r="CP246" s="211"/>
      <c r="CQ246" s="211"/>
      <c r="CR246" s="211"/>
      <c r="CS246" s="211"/>
      <c r="CT246" s="211"/>
      <c r="CU246" s="211"/>
      <c r="CV246" s="211"/>
      <c r="CW246" s="211"/>
      <c r="CX246" s="211"/>
      <c r="CY246" s="211"/>
      <c r="CZ246" s="211"/>
      <c r="DA246" s="211"/>
      <c r="DB246" s="211"/>
      <c r="DC246" s="211"/>
      <c r="DD246" s="211"/>
      <c r="DE246" s="211"/>
      <c r="DF246" s="211"/>
      <c r="DG246" s="211" t="s">
        <v>73</v>
      </c>
      <c r="DH246" s="211" t="s">
        <v>73</v>
      </c>
      <c r="DI246" s="211" t="s">
        <v>73</v>
      </c>
      <c r="DJ246" s="211" t="s">
        <v>73</v>
      </c>
      <c r="DK246" s="211" t="s">
        <v>73</v>
      </c>
      <c r="DL246" s="212" t="s">
        <v>73</v>
      </c>
    </row>
    <row r="247" spans="69:116" ht="9" customHeight="1">
      <c r="BQ247" s="216" t="s">
        <v>73</v>
      </c>
      <c r="BR247" s="211" t="s">
        <v>73</v>
      </c>
      <c r="BS247" s="211" t="s">
        <v>73</v>
      </c>
      <c r="BT247" s="211" t="s">
        <v>73</v>
      </c>
      <c r="BU247" s="211" t="s">
        <v>73</v>
      </c>
      <c r="BV247" s="211" t="s">
        <v>73</v>
      </c>
      <c r="BW247" s="211" t="s">
        <v>73</v>
      </c>
      <c r="BX247" s="211" t="s">
        <v>73</v>
      </c>
      <c r="BY247" s="211" t="s">
        <v>73</v>
      </c>
      <c r="BZ247" s="211" t="s">
        <v>73</v>
      </c>
      <c r="CA247" s="211" t="s">
        <v>73</v>
      </c>
      <c r="CB247" s="211" t="s">
        <v>73</v>
      </c>
      <c r="CC247" s="211" t="s">
        <v>73</v>
      </c>
      <c r="CD247" s="211" t="s">
        <v>73</v>
      </c>
      <c r="CE247" s="211"/>
      <c r="CF247" s="211"/>
      <c r="CG247" s="211"/>
      <c r="CH247" s="211"/>
      <c r="CI247" s="211"/>
      <c r="CJ247" s="211"/>
      <c r="CK247" s="211"/>
      <c r="CL247" s="211"/>
      <c r="CM247" s="211"/>
      <c r="CN247" s="211"/>
      <c r="CO247" s="211"/>
      <c r="CP247" s="211"/>
      <c r="CQ247" s="211"/>
      <c r="CR247" s="211"/>
      <c r="CS247" s="211"/>
      <c r="CT247" s="211"/>
      <c r="CU247" s="211"/>
      <c r="CV247" s="211"/>
      <c r="CW247" s="211"/>
      <c r="CX247" s="211"/>
      <c r="CY247" s="211"/>
      <c r="CZ247" s="211"/>
      <c r="DA247" s="211"/>
      <c r="DB247" s="211"/>
      <c r="DC247" s="211"/>
      <c r="DD247" s="211"/>
      <c r="DE247" s="211"/>
      <c r="DF247" s="211"/>
      <c r="DG247" s="211" t="s">
        <v>73</v>
      </c>
      <c r="DH247" s="211" t="s">
        <v>73</v>
      </c>
      <c r="DI247" s="211" t="s">
        <v>73</v>
      </c>
      <c r="DJ247" s="211" t="s">
        <v>73</v>
      </c>
      <c r="DK247" s="211" t="s">
        <v>73</v>
      </c>
      <c r="DL247" s="212" t="s">
        <v>73</v>
      </c>
    </row>
    <row r="248" spans="69:116" ht="9" customHeight="1">
      <c r="BQ248" s="216" t="s">
        <v>73</v>
      </c>
      <c r="BR248" s="211" t="s">
        <v>73</v>
      </c>
      <c r="BS248" s="211" t="s">
        <v>73</v>
      </c>
      <c r="BT248" s="211" t="s">
        <v>73</v>
      </c>
      <c r="BU248" s="211" t="s">
        <v>73</v>
      </c>
      <c r="BV248" s="211" t="s">
        <v>73</v>
      </c>
      <c r="BW248" s="211" t="s">
        <v>73</v>
      </c>
      <c r="BX248" s="211" t="s">
        <v>73</v>
      </c>
      <c r="BY248" s="211" t="s">
        <v>73</v>
      </c>
      <c r="BZ248" s="211" t="s">
        <v>73</v>
      </c>
      <c r="CA248" s="211" t="s">
        <v>73</v>
      </c>
      <c r="CB248" s="211" t="s">
        <v>73</v>
      </c>
      <c r="CC248" s="211" t="s">
        <v>73</v>
      </c>
      <c r="CD248" s="211" t="s">
        <v>73</v>
      </c>
      <c r="CE248" s="211" t="s">
        <v>73</v>
      </c>
      <c r="CF248" s="211" t="s">
        <v>73</v>
      </c>
      <c r="CG248" s="211" t="s">
        <v>73</v>
      </c>
      <c r="CH248" s="211" t="s">
        <v>73</v>
      </c>
      <c r="CI248" s="211" t="s">
        <v>73</v>
      </c>
      <c r="CJ248" s="211" t="s">
        <v>73</v>
      </c>
      <c r="CK248" s="211" t="s">
        <v>73</v>
      </c>
      <c r="CL248" s="211" t="s">
        <v>73</v>
      </c>
      <c r="CM248" s="211"/>
      <c r="CN248" s="211"/>
      <c r="CO248" s="211"/>
      <c r="CP248" s="211"/>
      <c r="CQ248" s="211" t="s">
        <v>73</v>
      </c>
      <c r="CR248" s="211" t="s">
        <v>73</v>
      </c>
      <c r="CS248" s="211" t="s">
        <v>73</v>
      </c>
      <c r="CT248" s="211" t="s">
        <v>73</v>
      </c>
      <c r="CU248" s="211" t="s">
        <v>73</v>
      </c>
      <c r="CV248" s="211" t="s">
        <v>73</v>
      </c>
      <c r="CW248" s="211" t="s">
        <v>73</v>
      </c>
      <c r="CX248" s="211" t="s">
        <v>73</v>
      </c>
      <c r="CY248" s="211" t="s">
        <v>73</v>
      </c>
      <c r="CZ248" s="211" t="s">
        <v>73</v>
      </c>
      <c r="DA248" s="211" t="s">
        <v>73</v>
      </c>
      <c r="DB248" s="211" t="s">
        <v>73</v>
      </c>
      <c r="DC248" s="211" t="s">
        <v>73</v>
      </c>
      <c r="DD248" s="211" t="s">
        <v>73</v>
      </c>
      <c r="DE248" s="211" t="s">
        <v>73</v>
      </c>
      <c r="DF248" s="211" t="s">
        <v>73</v>
      </c>
      <c r="DG248" s="211" t="s">
        <v>73</v>
      </c>
      <c r="DH248" s="211" t="s">
        <v>73</v>
      </c>
      <c r="DI248" s="211" t="s">
        <v>73</v>
      </c>
      <c r="DJ248" s="211" t="s">
        <v>73</v>
      </c>
      <c r="DK248" s="211" t="s">
        <v>73</v>
      </c>
      <c r="DL248" s="212" t="s">
        <v>73</v>
      </c>
    </row>
    <row r="249" spans="69:116" ht="9" customHeight="1">
      <c r="BQ249" s="216" t="s">
        <v>73</v>
      </c>
      <c r="BR249" s="211" t="s">
        <v>73</v>
      </c>
      <c r="BS249" s="211" t="s">
        <v>73</v>
      </c>
      <c r="BT249" s="211" t="s">
        <v>73</v>
      </c>
      <c r="BU249" s="211" t="s">
        <v>73</v>
      </c>
      <c r="BV249" s="211" t="s">
        <v>73</v>
      </c>
      <c r="BW249" s="211" t="s">
        <v>73</v>
      </c>
      <c r="BX249" s="211" t="s">
        <v>73</v>
      </c>
      <c r="BY249" s="211" t="s">
        <v>73</v>
      </c>
      <c r="BZ249" s="211" t="s">
        <v>73</v>
      </c>
      <c r="CA249" s="211" t="s">
        <v>73</v>
      </c>
      <c r="CB249" s="211" t="s">
        <v>73</v>
      </c>
      <c r="CC249" s="211" t="s">
        <v>73</v>
      </c>
      <c r="CD249" s="211" t="s">
        <v>73</v>
      </c>
      <c r="CE249" s="211" t="s">
        <v>73</v>
      </c>
      <c r="CF249" s="211" t="s">
        <v>73</v>
      </c>
      <c r="CG249" s="211" t="s">
        <v>73</v>
      </c>
      <c r="CH249" s="211" t="s">
        <v>73</v>
      </c>
      <c r="CI249" s="211" t="s">
        <v>73</v>
      </c>
      <c r="CJ249" s="211" t="s">
        <v>73</v>
      </c>
      <c r="CK249" s="211" t="s">
        <v>73</v>
      </c>
      <c r="CL249" s="211" t="s">
        <v>73</v>
      </c>
      <c r="CM249" s="211"/>
      <c r="CN249" s="211"/>
      <c r="CO249" s="211"/>
      <c r="CP249" s="211"/>
      <c r="CQ249" s="211" t="s">
        <v>73</v>
      </c>
      <c r="CR249" s="211" t="s">
        <v>73</v>
      </c>
      <c r="CS249" s="211" t="s">
        <v>73</v>
      </c>
      <c r="CT249" s="211" t="s">
        <v>73</v>
      </c>
      <c r="CU249" s="211" t="s">
        <v>73</v>
      </c>
      <c r="CV249" s="211" t="s">
        <v>73</v>
      </c>
      <c r="CW249" s="211" t="s">
        <v>73</v>
      </c>
      <c r="CX249" s="211" t="s">
        <v>73</v>
      </c>
      <c r="CY249" s="211" t="s">
        <v>73</v>
      </c>
      <c r="CZ249" s="211" t="s">
        <v>73</v>
      </c>
      <c r="DA249" s="211" t="s">
        <v>73</v>
      </c>
      <c r="DB249" s="211" t="s">
        <v>73</v>
      </c>
      <c r="DC249" s="211" t="s">
        <v>73</v>
      </c>
      <c r="DD249" s="211" t="s">
        <v>73</v>
      </c>
      <c r="DE249" s="211" t="s">
        <v>73</v>
      </c>
      <c r="DF249" s="211" t="s">
        <v>73</v>
      </c>
      <c r="DG249" s="211" t="s">
        <v>73</v>
      </c>
      <c r="DH249" s="211" t="s">
        <v>73</v>
      </c>
      <c r="DI249" s="211" t="s">
        <v>73</v>
      </c>
      <c r="DJ249" s="211" t="s">
        <v>73</v>
      </c>
      <c r="DK249" s="211" t="s">
        <v>73</v>
      </c>
      <c r="DL249" s="212" t="s">
        <v>73</v>
      </c>
    </row>
    <row r="250" spans="69:116" ht="9" customHeight="1">
      <c r="BQ250" s="216" t="s">
        <v>73</v>
      </c>
      <c r="BR250" s="211" t="s">
        <v>73</v>
      </c>
      <c r="BS250" s="211" t="s">
        <v>73</v>
      </c>
      <c r="BT250" s="211" t="s">
        <v>73</v>
      </c>
      <c r="BU250" s="211" t="s">
        <v>73</v>
      </c>
      <c r="BV250" s="211" t="s">
        <v>73</v>
      </c>
      <c r="BW250" s="211" t="s">
        <v>73</v>
      </c>
      <c r="BX250" s="211" t="s">
        <v>73</v>
      </c>
      <c r="BY250" s="211" t="s">
        <v>73</v>
      </c>
      <c r="BZ250" s="211" t="s">
        <v>73</v>
      </c>
      <c r="CA250" s="211" t="s">
        <v>73</v>
      </c>
      <c r="CB250" s="211" t="s">
        <v>73</v>
      </c>
      <c r="CC250" s="211" t="s">
        <v>73</v>
      </c>
      <c r="CD250" s="211" t="s">
        <v>73</v>
      </c>
      <c r="CE250" s="211" t="s">
        <v>73</v>
      </c>
      <c r="CF250" s="211" t="s">
        <v>73</v>
      </c>
      <c r="CG250" s="211" t="s">
        <v>73</v>
      </c>
      <c r="CH250" s="211" t="s">
        <v>73</v>
      </c>
      <c r="CI250" s="211" t="s">
        <v>73</v>
      </c>
      <c r="CJ250" s="211" t="s">
        <v>73</v>
      </c>
      <c r="CK250" s="211" t="s">
        <v>73</v>
      </c>
      <c r="CL250" s="211" t="s">
        <v>73</v>
      </c>
      <c r="CM250" s="211"/>
      <c r="CN250" s="211"/>
      <c r="CO250" s="211"/>
      <c r="CP250" s="211"/>
      <c r="CQ250" s="211" t="s">
        <v>73</v>
      </c>
      <c r="CR250" s="211" t="s">
        <v>73</v>
      </c>
      <c r="CS250" s="211" t="s">
        <v>73</v>
      </c>
      <c r="CT250" s="211" t="s">
        <v>73</v>
      </c>
      <c r="CU250" s="211" t="s">
        <v>73</v>
      </c>
      <c r="CV250" s="211" t="s">
        <v>73</v>
      </c>
      <c r="CW250" s="211" t="s">
        <v>73</v>
      </c>
      <c r="CX250" s="211" t="s">
        <v>73</v>
      </c>
      <c r="CY250" s="211" t="s">
        <v>73</v>
      </c>
      <c r="CZ250" s="211" t="s">
        <v>73</v>
      </c>
      <c r="DA250" s="211" t="s">
        <v>73</v>
      </c>
      <c r="DB250" s="211" t="s">
        <v>73</v>
      </c>
      <c r="DC250" s="211" t="s">
        <v>73</v>
      </c>
      <c r="DD250" s="211" t="s">
        <v>73</v>
      </c>
      <c r="DE250" s="211" t="s">
        <v>73</v>
      </c>
      <c r="DF250" s="211" t="s">
        <v>73</v>
      </c>
      <c r="DG250" s="211" t="s">
        <v>73</v>
      </c>
      <c r="DH250" s="211" t="s">
        <v>73</v>
      </c>
      <c r="DI250" s="211" t="s">
        <v>73</v>
      </c>
      <c r="DJ250" s="211" t="s">
        <v>73</v>
      </c>
      <c r="DK250" s="211" t="s">
        <v>73</v>
      </c>
      <c r="DL250" s="212" t="s">
        <v>73</v>
      </c>
    </row>
    <row r="251" spans="69:116" ht="9" customHeight="1">
      <c r="BQ251" s="216" t="s">
        <v>73</v>
      </c>
      <c r="BR251" s="211" t="s">
        <v>73</v>
      </c>
      <c r="BS251" s="211" t="s">
        <v>73</v>
      </c>
      <c r="BT251" s="211" t="s">
        <v>73</v>
      </c>
      <c r="BU251" s="211" t="s">
        <v>73</v>
      </c>
      <c r="BV251" s="211" t="s">
        <v>73</v>
      </c>
      <c r="BW251" s="211" t="s">
        <v>73</v>
      </c>
      <c r="BX251" s="211" t="s">
        <v>73</v>
      </c>
      <c r="BY251" s="211" t="s">
        <v>73</v>
      </c>
      <c r="BZ251" s="211" t="s">
        <v>73</v>
      </c>
      <c r="CA251" s="211" t="s">
        <v>73</v>
      </c>
      <c r="CB251" s="211" t="s">
        <v>73</v>
      </c>
      <c r="CC251" s="211" t="s">
        <v>73</v>
      </c>
      <c r="CD251" s="211" t="s">
        <v>73</v>
      </c>
      <c r="CE251" s="211" t="s">
        <v>73</v>
      </c>
      <c r="CF251" s="211" t="s">
        <v>73</v>
      </c>
      <c r="CG251" s="211" t="s">
        <v>73</v>
      </c>
      <c r="CH251" s="211" t="s">
        <v>73</v>
      </c>
      <c r="CI251" s="211" t="s">
        <v>73</v>
      </c>
      <c r="CJ251" s="211" t="s">
        <v>73</v>
      </c>
      <c r="CK251" s="211" t="s">
        <v>73</v>
      </c>
      <c r="CL251" s="211" t="s">
        <v>73</v>
      </c>
      <c r="CM251" s="211"/>
      <c r="CN251" s="211"/>
      <c r="CO251" s="211"/>
      <c r="CP251" s="211"/>
      <c r="CQ251" s="211" t="s">
        <v>73</v>
      </c>
      <c r="CR251" s="211" t="s">
        <v>73</v>
      </c>
      <c r="CS251" s="211" t="s">
        <v>73</v>
      </c>
      <c r="CT251" s="211" t="s">
        <v>73</v>
      </c>
      <c r="CU251" s="211" t="s">
        <v>73</v>
      </c>
      <c r="CV251" s="211" t="s">
        <v>73</v>
      </c>
      <c r="CW251" s="211" t="s">
        <v>73</v>
      </c>
      <c r="CX251" s="211" t="s">
        <v>73</v>
      </c>
      <c r="CY251" s="211" t="s">
        <v>73</v>
      </c>
      <c r="CZ251" s="211" t="s">
        <v>73</v>
      </c>
      <c r="DA251" s="211" t="s">
        <v>73</v>
      </c>
      <c r="DB251" s="211" t="s">
        <v>73</v>
      </c>
      <c r="DC251" s="211" t="s">
        <v>73</v>
      </c>
      <c r="DD251" s="211" t="s">
        <v>73</v>
      </c>
      <c r="DE251" s="211" t="s">
        <v>73</v>
      </c>
      <c r="DF251" s="211" t="s">
        <v>73</v>
      </c>
      <c r="DG251" s="211" t="s">
        <v>73</v>
      </c>
      <c r="DH251" s="211" t="s">
        <v>73</v>
      </c>
      <c r="DI251" s="211" t="s">
        <v>73</v>
      </c>
      <c r="DJ251" s="211" t="s">
        <v>73</v>
      </c>
      <c r="DK251" s="211" t="s">
        <v>73</v>
      </c>
      <c r="DL251" s="212" t="s">
        <v>73</v>
      </c>
    </row>
    <row r="252" spans="69:116" ht="9" customHeight="1" thickBot="1">
      <c r="BQ252" s="217" t="s">
        <v>73</v>
      </c>
      <c r="BR252" s="213" t="s">
        <v>73</v>
      </c>
      <c r="BS252" s="213" t="s">
        <v>73</v>
      </c>
      <c r="BT252" s="213" t="s">
        <v>73</v>
      </c>
      <c r="BU252" s="213" t="s">
        <v>73</v>
      </c>
      <c r="BV252" s="213" t="s">
        <v>73</v>
      </c>
      <c r="BW252" s="213" t="s">
        <v>73</v>
      </c>
      <c r="BX252" s="213" t="s">
        <v>73</v>
      </c>
      <c r="BY252" s="213" t="s">
        <v>73</v>
      </c>
      <c r="BZ252" s="213" t="s">
        <v>73</v>
      </c>
      <c r="CA252" s="213" t="s">
        <v>73</v>
      </c>
      <c r="CB252" s="213" t="s">
        <v>73</v>
      </c>
      <c r="CC252" s="213" t="s">
        <v>73</v>
      </c>
      <c r="CD252" s="213" t="s">
        <v>73</v>
      </c>
      <c r="CE252" s="213" t="s">
        <v>73</v>
      </c>
      <c r="CF252" s="213" t="s">
        <v>73</v>
      </c>
      <c r="CG252" s="213" t="s">
        <v>73</v>
      </c>
      <c r="CH252" s="213" t="s">
        <v>73</v>
      </c>
      <c r="CI252" s="213" t="s">
        <v>73</v>
      </c>
      <c r="CJ252" s="213" t="s">
        <v>73</v>
      </c>
      <c r="CK252" s="213" t="s">
        <v>73</v>
      </c>
      <c r="CL252" s="213" t="s">
        <v>73</v>
      </c>
      <c r="CM252" s="213"/>
      <c r="CN252" s="213"/>
      <c r="CO252" s="213"/>
      <c r="CP252" s="213"/>
      <c r="CQ252" s="213" t="s">
        <v>73</v>
      </c>
      <c r="CR252" s="213" t="s">
        <v>73</v>
      </c>
      <c r="CS252" s="213" t="s">
        <v>73</v>
      </c>
      <c r="CT252" s="213" t="s">
        <v>73</v>
      </c>
      <c r="CU252" s="213" t="s">
        <v>73</v>
      </c>
      <c r="CV252" s="213" t="s">
        <v>73</v>
      </c>
      <c r="CW252" s="213" t="s">
        <v>73</v>
      </c>
      <c r="CX252" s="213" t="s">
        <v>73</v>
      </c>
      <c r="CY252" s="213" t="s">
        <v>73</v>
      </c>
      <c r="CZ252" s="213" t="s">
        <v>73</v>
      </c>
      <c r="DA252" s="213" t="s">
        <v>73</v>
      </c>
      <c r="DB252" s="213" t="s">
        <v>73</v>
      </c>
      <c r="DC252" s="213" t="s">
        <v>73</v>
      </c>
      <c r="DD252" s="213" t="s">
        <v>73</v>
      </c>
      <c r="DE252" s="213" t="s">
        <v>73</v>
      </c>
      <c r="DF252" s="213" t="s">
        <v>73</v>
      </c>
      <c r="DG252" s="213" t="s">
        <v>73</v>
      </c>
      <c r="DH252" s="213" t="s">
        <v>73</v>
      </c>
      <c r="DI252" s="213" t="s">
        <v>73</v>
      </c>
      <c r="DJ252" s="213" t="s">
        <v>73</v>
      </c>
      <c r="DK252" s="213" t="s">
        <v>73</v>
      </c>
      <c r="DL252" s="214" t="s">
        <v>73</v>
      </c>
    </row>
    <row r="253" spans="69:116" ht="9" customHeight="1">
      <c r="CC253" s="215" t="s">
        <v>73</v>
      </c>
      <c r="CD253" s="209" t="s">
        <v>73</v>
      </c>
      <c r="CE253" s="209" t="s">
        <v>73</v>
      </c>
      <c r="CF253" s="209" t="s">
        <v>73</v>
      </c>
      <c r="CG253" s="209" t="s">
        <v>73</v>
      </c>
      <c r="CH253" s="209" t="s">
        <v>73</v>
      </c>
      <c r="CI253" s="209" t="s">
        <v>73</v>
      </c>
      <c r="CJ253" s="209" t="s">
        <v>73</v>
      </c>
      <c r="CK253" s="209" t="s">
        <v>73</v>
      </c>
      <c r="CL253" s="209" t="s">
        <v>73</v>
      </c>
      <c r="CM253" s="209"/>
      <c r="CN253" s="209"/>
      <c r="CO253" s="209"/>
      <c r="CP253" s="209"/>
      <c r="CQ253" s="209" t="s">
        <v>73</v>
      </c>
      <c r="CR253" s="209" t="s">
        <v>73</v>
      </c>
      <c r="CS253" s="209" t="s">
        <v>73</v>
      </c>
      <c r="CT253" s="209" t="s">
        <v>73</v>
      </c>
      <c r="CU253" s="209" t="s">
        <v>73</v>
      </c>
      <c r="CV253" s="209" t="s">
        <v>73</v>
      </c>
      <c r="CW253" s="209" t="s">
        <v>73</v>
      </c>
      <c r="CX253" s="209" t="s">
        <v>73</v>
      </c>
      <c r="CY253" s="209" t="s">
        <v>73</v>
      </c>
      <c r="CZ253" s="210" t="s">
        <v>73</v>
      </c>
    </row>
    <row r="254" spans="69:116" ht="9" customHeight="1">
      <c r="CC254" s="216" t="s">
        <v>73</v>
      </c>
      <c r="CD254" s="211" t="s">
        <v>73</v>
      </c>
      <c r="CE254" s="211" t="s">
        <v>73</v>
      </c>
      <c r="CF254" s="211" t="s">
        <v>73</v>
      </c>
      <c r="CG254" s="211" t="s">
        <v>73</v>
      </c>
      <c r="CH254" s="211" t="s">
        <v>73</v>
      </c>
      <c r="CI254" s="211" t="s">
        <v>73</v>
      </c>
      <c r="CJ254" s="211" t="s">
        <v>73</v>
      </c>
      <c r="CK254" s="211" t="s">
        <v>73</v>
      </c>
      <c r="CL254" s="211" t="s">
        <v>73</v>
      </c>
      <c r="CM254" s="211"/>
      <c r="CN254" s="211"/>
      <c r="CO254" s="211"/>
      <c r="CP254" s="211"/>
      <c r="CQ254" s="211" t="s">
        <v>73</v>
      </c>
      <c r="CR254" s="211" t="s">
        <v>73</v>
      </c>
      <c r="CS254" s="211" t="s">
        <v>73</v>
      </c>
      <c r="CT254" s="211" t="s">
        <v>73</v>
      </c>
      <c r="CU254" s="211" t="s">
        <v>73</v>
      </c>
      <c r="CV254" s="211" t="s">
        <v>73</v>
      </c>
      <c r="CW254" s="211" t="s">
        <v>73</v>
      </c>
      <c r="CX254" s="211" t="s">
        <v>73</v>
      </c>
      <c r="CY254" s="211" t="s">
        <v>73</v>
      </c>
      <c r="CZ254" s="212" t="s">
        <v>73</v>
      </c>
    </row>
    <row r="255" spans="69:116" ht="9" customHeight="1">
      <c r="CC255" s="216" t="s">
        <v>73</v>
      </c>
      <c r="CD255" s="211" t="s">
        <v>73</v>
      </c>
      <c r="CE255" s="211"/>
      <c r="CF255" s="211"/>
      <c r="CG255" s="211"/>
      <c r="CH255" s="211"/>
      <c r="CI255" s="211"/>
      <c r="CJ255" s="211"/>
      <c r="CK255" s="211"/>
      <c r="CL255" s="211"/>
      <c r="CM255" s="211"/>
      <c r="CN255" s="211"/>
      <c r="CO255" s="211"/>
      <c r="CP255" s="211"/>
      <c r="CQ255" s="211"/>
      <c r="CR255" s="211"/>
      <c r="CS255" s="211"/>
      <c r="CT255" s="211"/>
      <c r="CU255" s="211"/>
      <c r="CV255" s="211"/>
      <c r="CW255" s="211"/>
      <c r="CX255" s="211"/>
      <c r="CY255" s="211" t="s">
        <v>73</v>
      </c>
      <c r="CZ255" s="212" t="s">
        <v>73</v>
      </c>
    </row>
    <row r="256" spans="69:116" ht="9" customHeight="1">
      <c r="CC256" s="216" t="s">
        <v>73</v>
      </c>
      <c r="CD256" s="211" t="s">
        <v>73</v>
      </c>
      <c r="CE256" s="211"/>
      <c r="CF256" s="211"/>
      <c r="CG256" s="211"/>
      <c r="CH256" s="211"/>
      <c r="CI256" s="211"/>
      <c r="CJ256" s="211"/>
      <c r="CK256" s="211" t="s">
        <v>73</v>
      </c>
      <c r="CL256" s="211" t="s">
        <v>73</v>
      </c>
      <c r="CM256" s="211"/>
      <c r="CN256" s="211"/>
      <c r="CO256" s="211"/>
      <c r="CP256" s="211"/>
      <c r="CQ256" s="211"/>
      <c r="CR256" s="211"/>
      <c r="CS256" s="211"/>
      <c r="CT256" s="211"/>
      <c r="CU256" s="211"/>
      <c r="CV256" s="211"/>
      <c r="CW256" s="211"/>
      <c r="CX256" s="211"/>
      <c r="CY256" s="211" t="s">
        <v>73</v>
      </c>
      <c r="CZ256" s="212" t="s">
        <v>73</v>
      </c>
    </row>
    <row r="257" spans="81:104" ht="9" customHeight="1">
      <c r="CC257" s="216" t="s">
        <v>73</v>
      </c>
      <c r="CD257" s="211" t="s">
        <v>73</v>
      </c>
      <c r="CE257" s="211"/>
      <c r="CF257" s="211"/>
      <c r="CG257" s="211"/>
      <c r="CH257" s="211"/>
      <c r="CI257" s="211"/>
      <c r="CJ257" s="211"/>
      <c r="CK257" s="211" t="s">
        <v>73</v>
      </c>
      <c r="CL257" s="211" t="s">
        <v>73</v>
      </c>
      <c r="CM257" s="211"/>
      <c r="CN257" s="211"/>
      <c r="CO257" s="211"/>
      <c r="CP257" s="211"/>
      <c r="CQ257" s="211"/>
      <c r="CR257" s="211"/>
      <c r="CS257" s="211"/>
      <c r="CT257" s="211"/>
      <c r="CU257" s="211"/>
      <c r="CV257" s="211"/>
      <c r="CW257" s="211"/>
      <c r="CX257" s="211"/>
      <c r="CY257" s="211" t="s">
        <v>73</v>
      </c>
      <c r="CZ257" s="212" t="s">
        <v>73</v>
      </c>
    </row>
    <row r="258" spans="81:104" ht="9" customHeight="1">
      <c r="CC258" s="216" t="s">
        <v>73</v>
      </c>
      <c r="CD258" s="211" t="s">
        <v>73</v>
      </c>
      <c r="CE258" s="211" t="s">
        <v>1318</v>
      </c>
      <c r="CF258" s="211" t="s">
        <v>1318</v>
      </c>
      <c r="CG258" s="211" t="s">
        <v>1318</v>
      </c>
      <c r="CH258" s="211" t="s">
        <v>1318</v>
      </c>
      <c r="CI258" s="211" t="s">
        <v>1318</v>
      </c>
      <c r="CJ258" s="211" t="s">
        <v>1318</v>
      </c>
      <c r="CK258" s="211" t="s">
        <v>73</v>
      </c>
      <c r="CL258" s="211" t="s">
        <v>73</v>
      </c>
      <c r="CM258" s="211" t="s">
        <v>1318</v>
      </c>
      <c r="CN258" s="211" t="s">
        <v>1318</v>
      </c>
      <c r="CO258" s="211" t="s">
        <v>1318</v>
      </c>
      <c r="CP258" s="211" t="s">
        <v>1318</v>
      </c>
      <c r="CQ258" s="211" t="s">
        <v>1318</v>
      </c>
      <c r="CR258" s="211" t="s">
        <v>1318</v>
      </c>
      <c r="CS258" s="211"/>
      <c r="CT258" s="211"/>
      <c r="CU258" s="211"/>
      <c r="CV258" s="211"/>
      <c r="CW258" s="211"/>
      <c r="CX258" s="211"/>
      <c r="CY258" s="211" t="s">
        <v>73</v>
      </c>
      <c r="CZ258" s="212" t="s">
        <v>73</v>
      </c>
    </row>
    <row r="259" spans="81:104" ht="9" customHeight="1">
      <c r="CC259" s="216" t="s">
        <v>73</v>
      </c>
      <c r="CD259" s="211" t="s">
        <v>73</v>
      </c>
      <c r="CE259" s="211"/>
      <c r="CF259" s="211"/>
      <c r="CG259" s="211"/>
      <c r="CH259" s="211"/>
      <c r="CI259" s="211"/>
      <c r="CJ259" s="211"/>
      <c r="CK259" s="211" t="s">
        <v>73</v>
      </c>
      <c r="CL259" s="211" t="s">
        <v>73</v>
      </c>
      <c r="CM259" s="211" t="s">
        <v>1398</v>
      </c>
      <c r="CN259" s="211" t="s">
        <v>1398</v>
      </c>
      <c r="CO259" s="211" t="s">
        <v>1398</v>
      </c>
      <c r="CP259" s="211" t="s">
        <v>1398</v>
      </c>
      <c r="CQ259" s="211" t="s">
        <v>1398</v>
      </c>
      <c r="CR259" s="211" t="s">
        <v>1398</v>
      </c>
      <c r="CS259" s="211" t="s">
        <v>1398</v>
      </c>
      <c r="CT259" s="211" t="s">
        <v>1398</v>
      </c>
      <c r="CU259" s="211" t="s">
        <v>1398</v>
      </c>
      <c r="CV259" s="211" t="s">
        <v>1398</v>
      </c>
      <c r="CW259" s="211" t="s">
        <v>1398</v>
      </c>
      <c r="CX259" s="211" t="s">
        <v>1398</v>
      </c>
      <c r="CY259" s="211" t="s">
        <v>73</v>
      </c>
      <c r="CZ259" s="212" t="s">
        <v>73</v>
      </c>
    </row>
    <row r="260" spans="81:104" ht="9" customHeight="1">
      <c r="CC260" s="216" t="s">
        <v>73</v>
      </c>
      <c r="CD260" s="211" t="s">
        <v>73</v>
      </c>
      <c r="CE260" s="211"/>
      <c r="CF260" s="211"/>
      <c r="CG260" s="211"/>
      <c r="CH260" s="211"/>
      <c r="CI260" s="211"/>
      <c r="CJ260" s="211"/>
      <c r="CK260" s="211" t="s">
        <v>73</v>
      </c>
      <c r="CL260" s="211" t="s">
        <v>73</v>
      </c>
      <c r="CM260" s="211" t="s">
        <v>1398</v>
      </c>
      <c r="CN260" s="211" t="s">
        <v>1398</v>
      </c>
      <c r="CO260" s="211" t="s">
        <v>1398</v>
      </c>
      <c r="CP260" s="211" t="s">
        <v>1398</v>
      </c>
      <c r="CQ260" s="211" t="s">
        <v>1398</v>
      </c>
      <c r="CR260" s="211" t="s">
        <v>1398</v>
      </c>
      <c r="CS260" s="211" t="s">
        <v>1398</v>
      </c>
      <c r="CT260" s="211" t="s">
        <v>1398</v>
      </c>
      <c r="CU260" s="211" t="s">
        <v>1398</v>
      </c>
      <c r="CV260" s="211" t="s">
        <v>1398</v>
      </c>
      <c r="CW260" s="211" t="s">
        <v>1398</v>
      </c>
      <c r="CX260" s="211" t="s">
        <v>1398</v>
      </c>
      <c r="CY260" s="211" t="s">
        <v>73</v>
      </c>
      <c r="CZ260" s="212" t="s">
        <v>73</v>
      </c>
    </row>
    <row r="261" spans="81:104" ht="9" customHeight="1">
      <c r="CC261" s="216" t="s">
        <v>73</v>
      </c>
      <c r="CD261" s="211" t="s">
        <v>73</v>
      </c>
      <c r="CE261" s="211"/>
      <c r="CF261" s="211"/>
      <c r="CG261" s="211"/>
      <c r="CH261" s="211"/>
      <c r="CI261" s="211"/>
      <c r="CJ261" s="211"/>
      <c r="CK261" s="211" t="s">
        <v>73</v>
      </c>
      <c r="CL261" s="211" t="s">
        <v>73</v>
      </c>
      <c r="CM261" s="211" t="s">
        <v>1398</v>
      </c>
      <c r="CN261" s="211" t="s">
        <v>1398</v>
      </c>
      <c r="CO261" s="211" t="s">
        <v>1398</v>
      </c>
      <c r="CP261" s="211" t="s">
        <v>1398</v>
      </c>
      <c r="CQ261" s="211" t="s">
        <v>1398</v>
      </c>
      <c r="CR261" s="211" t="s">
        <v>1398</v>
      </c>
      <c r="CS261" s="211" t="s">
        <v>1398</v>
      </c>
      <c r="CT261" s="211" t="s">
        <v>1398</v>
      </c>
      <c r="CU261" s="211" t="s">
        <v>1398</v>
      </c>
      <c r="CV261" s="211" t="s">
        <v>1398</v>
      </c>
      <c r="CW261" s="211" t="s">
        <v>1398</v>
      </c>
      <c r="CX261" s="211" t="s">
        <v>1398</v>
      </c>
      <c r="CY261" s="211" t="s">
        <v>73</v>
      </c>
      <c r="CZ261" s="212" t="s">
        <v>73</v>
      </c>
    </row>
    <row r="262" spans="81:104" ht="9" customHeight="1">
      <c r="CC262" s="216" t="s">
        <v>73</v>
      </c>
      <c r="CD262" s="211" t="s">
        <v>73</v>
      </c>
      <c r="CE262" s="211"/>
      <c r="CF262" s="211"/>
      <c r="CG262" s="211"/>
      <c r="CH262" s="211"/>
      <c r="CI262" s="211"/>
      <c r="CJ262" s="211"/>
      <c r="CK262" s="211" t="s">
        <v>73</v>
      </c>
      <c r="CL262" s="211" t="s">
        <v>73</v>
      </c>
      <c r="CM262" s="211" t="s">
        <v>1398</v>
      </c>
      <c r="CN262" s="211" t="s">
        <v>1398</v>
      </c>
      <c r="CO262" s="211" t="s">
        <v>1398</v>
      </c>
      <c r="CP262" s="211" t="s">
        <v>1398</v>
      </c>
      <c r="CQ262" s="211" t="s">
        <v>1398</v>
      </c>
      <c r="CR262" s="211" t="s">
        <v>1398</v>
      </c>
      <c r="CS262" s="211" t="s">
        <v>1398</v>
      </c>
      <c r="CT262" s="211" t="s">
        <v>1398</v>
      </c>
      <c r="CU262" s="211" t="s">
        <v>1398</v>
      </c>
      <c r="CV262" s="211" t="s">
        <v>1398</v>
      </c>
      <c r="CW262" s="211" t="s">
        <v>1398</v>
      </c>
      <c r="CX262" s="211" t="s">
        <v>1398</v>
      </c>
      <c r="CY262" s="211" t="s">
        <v>73</v>
      </c>
      <c r="CZ262" s="212" t="s">
        <v>73</v>
      </c>
    </row>
    <row r="263" spans="81:104" ht="9" customHeight="1">
      <c r="CC263" s="216" t="s">
        <v>73</v>
      </c>
      <c r="CD263" s="211" t="s">
        <v>73</v>
      </c>
      <c r="CE263" s="211" t="s">
        <v>1318</v>
      </c>
      <c r="CF263" s="211" t="s">
        <v>1318</v>
      </c>
      <c r="CG263" s="211" t="s">
        <v>1318</v>
      </c>
      <c r="CH263" s="211" t="s">
        <v>1318</v>
      </c>
      <c r="CI263" s="211" t="s">
        <v>1318</v>
      </c>
      <c r="CJ263" s="211" t="s">
        <v>1318</v>
      </c>
      <c r="CK263" s="211" t="s">
        <v>73</v>
      </c>
      <c r="CL263" s="211" t="s">
        <v>73</v>
      </c>
      <c r="CM263" s="211" t="s">
        <v>1398</v>
      </c>
      <c r="CN263" s="211" t="s">
        <v>1398</v>
      </c>
      <c r="CO263" s="211" t="s">
        <v>1398</v>
      </c>
      <c r="CP263" s="211" t="s">
        <v>1398</v>
      </c>
      <c r="CQ263" s="211" t="s">
        <v>1398</v>
      </c>
      <c r="CR263" s="211" t="s">
        <v>1398</v>
      </c>
      <c r="CS263" s="211" t="s">
        <v>1398</v>
      </c>
      <c r="CT263" s="211" t="s">
        <v>1398</v>
      </c>
      <c r="CU263" s="211" t="s">
        <v>1398</v>
      </c>
      <c r="CV263" s="211" t="s">
        <v>1398</v>
      </c>
      <c r="CW263" s="211" t="s">
        <v>1398</v>
      </c>
      <c r="CX263" s="211" t="s">
        <v>1398</v>
      </c>
      <c r="CY263" s="211" t="s">
        <v>73</v>
      </c>
      <c r="CZ263" s="212" t="s">
        <v>73</v>
      </c>
    </row>
    <row r="264" spans="81:104" ht="9" customHeight="1">
      <c r="CC264" s="216" t="s">
        <v>73</v>
      </c>
      <c r="CD264" s="211" t="s">
        <v>73</v>
      </c>
      <c r="CE264" s="211"/>
      <c r="CF264" s="211"/>
      <c r="CG264" s="211"/>
      <c r="CH264" s="211"/>
      <c r="CI264" s="211"/>
      <c r="CJ264" s="211"/>
      <c r="CK264" s="211" t="s">
        <v>73</v>
      </c>
      <c r="CL264" s="211" t="s">
        <v>73</v>
      </c>
      <c r="CM264" s="211"/>
      <c r="CN264" s="211"/>
      <c r="CO264" s="211"/>
      <c r="CP264" s="211"/>
      <c r="CQ264" s="211"/>
      <c r="CR264" s="211"/>
      <c r="CS264" s="211"/>
      <c r="CT264" s="211"/>
      <c r="CU264" s="211"/>
      <c r="CV264" s="211"/>
      <c r="CW264" s="211"/>
      <c r="CX264" s="211"/>
      <c r="CY264" s="211" t="s">
        <v>73</v>
      </c>
      <c r="CZ264" s="212" t="s">
        <v>73</v>
      </c>
    </row>
    <row r="265" spans="81:104" ht="9" customHeight="1">
      <c r="CC265" s="216" t="s">
        <v>73</v>
      </c>
      <c r="CD265" s="211" t="s">
        <v>73</v>
      </c>
      <c r="CE265" s="211"/>
      <c r="CF265" s="211"/>
      <c r="CG265" s="211"/>
      <c r="CH265" s="211"/>
      <c r="CI265" s="211"/>
      <c r="CJ265" s="211"/>
      <c r="CK265" s="211"/>
      <c r="CL265" s="211"/>
      <c r="CM265" s="211"/>
      <c r="CN265" s="211"/>
      <c r="CO265" s="211"/>
      <c r="CP265" s="211"/>
      <c r="CQ265" s="211"/>
      <c r="CR265" s="211"/>
      <c r="CS265" s="211"/>
      <c r="CT265" s="211"/>
      <c r="CU265" s="211"/>
      <c r="CV265" s="211"/>
      <c r="CW265" s="211"/>
      <c r="CX265" s="211"/>
      <c r="CY265" s="211" t="s">
        <v>73</v>
      </c>
      <c r="CZ265" s="212" t="s">
        <v>73</v>
      </c>
    </row>
    <row r="266" spans="81:104" ht="9" customHeight="1">
      <c r="CC266" s="216" t="s">
        <v>73</v>
      </c>
      <c r="CD266" s="211" t="s">
        <v>73</v>
      </c>
      <c r="CE266" s="211"/>
      <c r="CF266" s="211"/>
      <c r="CG266" s="211"/>
      <c r="CH266" s="211"/>
      <c r="CI266" s="211"/>
      <c r="CJ266" s="211"/>
      <c r="CK266" s="211"/>
      <c r="CL266" s="211"/>
      <c r="CM266" s="211"/>
      <c r="CN266" s="211"/>
      <c r="CO266" s="211"/>
      <c r="CP266" s="211"/>
      <c r="CQ266" s="211"/>
      <c r="CR266" s="211"/>
      <c r="CS266" s="211" t="s">
        <v>1398</v>
      </c>
      <c r="CT266" s="211" t="s">
        <v>1398</v>
      </c>
      <c r="CU266" s="211" t="s">
        <v>1398</v>
      </c>
      <c r="CV266" s="211" t="s">
        <v>1398</v>
      </c>
      <c r="CW266" s="211" t="s">
        <v>1398</v>
      </c>
      <c r="CX266" s="211" t="s">
        <v>1398</v>
      </c>
      <c r="CY266" s="211" t="s">
        <v>73</v>
      </c>
      <c r="CZ266" s="212" t="s">
        <v>73</v>
      </c>
    </row>
    <row r="267" spans="81:104" ht="9" customHeight="1">
      <c r="CC267" s="216" t="s">
        <v>73</v>
      </c>
      <c r="CD267" s="211" t="s">
        <v>73</v>
      </c>
      <c r="CE267" s="211" t="s">
        <v>73</v>
      </c>
      <c r="CF267" s="211" t="s">
        <v>73</v>
      </c>
      <c r="CG267" s="211"/>
      <c r="CH267" s="211"/>
      <c r="CI267" s="211"/>
      <c r="CJ267" s="211"/>
      <c r="CK267" s="211"/>
      <c r="CL267" s="211"/>
      <c r="CM267" s="211" t="s">
        <v>73</v>
      </c>
      <c r="CN267" s="211" t="s">
        <v>73</v>
      </c>
      <c r="CO267" s="211" t="s">
        <v>73</v>
      </c>
      <c r="CP267" s="211" t="s">
        <v>73</v>
      </c>
      <c r="CQ267" s="211" t="s">
        <v>73</v>
      </c>
      <c r="CR267" s="211" t="s">
        <v>73</v>
      </c>
      <c r="CS267" s="211" t="s">
        <v>1398</v>
      </c>
      <c r="CT267" s="211" t="s">
        <v>1398</v>
      </c>
      <c r="CU267" s="211" t="s">
        <v>1398</v>
      </c>
      <c r="CV267" s="211" t="s">
        <v>1398</v>
      </c>
      <c r="CW267" s="211" t="s">
        <v>1398</v>
      </c>
      <c r="CX267" s="211" t="s">
        <v>1398</v>
      </c>
      <c r="CY267" s="211" t="s">
        <v>73</v>
      </c>
      <c r="CZ267" s="212" t="s">
        <v>73</v>
      </c>
    </row>
    <row r="268" spans="81:104" ht="9" customHeight="1">
      <c r="CC268" s="216" t="s">
        <v>73</v>
      </c>
      <c r="CD268" s="211" t="s">
        <v>73</v>
      </c>
      <c r="CE268" s="211" t="s">
        <v>73</v>
      </c>
      <c r="CF268" s="211" t="s">
        <v>73</v>
      </c>
      <c r="CG268" s="211" t="s">
        <v>1318</v>
      </c>
      <c r="CH268" s="211" t="s">
        <v>1318</v>
      </c>
      <c r="CI268" s="211" t="s">
        <v>1318</v>
      </c>
      <c r="CJ268" s="211" t="s">
        <v>1318</v>
      </c>
      <c r="CK268" s="211" t="s">
        <v>1318</v>
      </c>
      <c r="CL268" s="211" t="s">
        <v>1318</v>
      </c>
      <c r="CM268" s="211" t="s">
        <v>73</v>
      </c>
      <c r="CN268" s="211" t="s">
        <v>73</v>
      </c>
      <c r="CO268" s="211" t="s">
        <v>73</v>
      </c>
      <c r="CP268" s="211" t="s">
        <v>73</v>
      </c>
      <c r="CQ268" s="211" t="s">
        <v>73</v>
      </c>
      <c r="CR268" s="211" t="s">
        <v>73</v>
      </c>
      <c r="CS268" s="211" t="s">
        <v>1398</v>
      </c>
      <c r="CT268" s="211" t="s">
        <v>1398</v>
      </c>
      <c r="CU268" s="211" t="s">
        <v>1398</v>
      </c>
      <c r="CV268" s="211" t="s">
        <v>1398</v>
      </c>
      <c r="CW268" s="211" t="s">
        <v>1398</v>
      </c>
      <c r="CX268" s="211" t="s">
        <v>1398</v>
      </c>
      <c r="CY268" s="211" t="s">
        <v>73</v>
      </c>
      <c r="CZ268" s="212" t="s">
        <v>73</v>
      </c>
    </row>
    <row r="269" spans="81:104" ht="9" customHeight="1">
      <c r="CC269" s="216" t="s">
        <v>73</v>
      </c>
      <c r="CD269" s="211" t="s">
        <v>73</v>
      </c>
      <c r="CE269" s="211" t="s">
        <v>73</v>
      </c>
      <c r="CF269" s="211" t="s">
        <v>73</v>
      </c>
      <c r="CG269" s="211"/>
      <c r="CH269" s="211"/>
      <c r="CI269" s="211"/>
      <c r="CJ269" s="211"/>
      <c r="CK269" s="211"/>
      <c r="CL269" s="211"/>
      <c r="CM269" s="211" t="s">
        <v>73</v>
      </c>
      <c r="CN269" s="211" t="s">
        <v>73</v>
      </c>
      <c r="CO269" s="211" t="s">
        <v>73</v>
      </c>
      <c r="CP269" s="211" t="s">
        <v>73</v>
      </c>
      <c r="CQ269" s="211" t="s">
        <v>73</v>
      </c>
      <c r="CR269" s="211" t="s">
        <v>73</v>
      </c>
      <c r="CS269" s="211" t="s">
        <v>1398</v>
      </c>
      <c r="CT269" s="211" t="s">
        <v>1398</v>
      </c>
      <c r="CU269" s="211" t="s">
        <v>1398</v>
      </c>
      <c r="CV269" s="211" t="s">
        <v>1398</v>
      </c>
      <c r="CW269" s="211" t="s">
        <v>1398</v>
      </c>
      <c r="CX269" s="211" t="s">
        <v>1398</v>
      </c>
      <c r="CY269" s="211" t="s">
        <v>73</v>
      </c>
      <c r="CZ269" s="212" t="s">
        <v>73</v>
      </c>
    </row>
    <row r="270" spans="81:104" ht="9" customHeight="1">
      <c r="CC270" s="216" t="s">
        <v>73</v>
      </c>
      <c r="CD270" s="211" t="s">
        <v>73</v>
      </c>
      <c r="CE270" s="211"/>
      <c r="CF270" s="211"/>
      <c r="CG270" s="211"/>
      <c r="CH270" s="211"/>
      <c r="CI270" s="211"/>
      <c r="CJ270" s="211"/>
      <c r="CK270" s="211"/>
      <c r="CL270" s="211"/>
      <c r="CM270" s="211"/>
      <c r="CN270" s="211"/>
      <c r="CO270" s="211"/>
      <c r="CP270" s="211"/>
      <c r="CQ270" s="211"/>
      <c r="CR270" s="211"/>
      <c r="CS270" s="211" t="s">
        <v>1398</v>
      </c>
      <c r="CT270" s="211" t="s">
        <v>1398</v>
      </c>
      <c r="CU270" s="211" t="s">
        <v>1398</v>
      </c>
      <c r="CV270" s="211" t="s">
        <v>1398</v>
      </c>
      <c r="CW270" s="211" t="s">
        <v>1398</v>
      </c>
      <c r="CX270" s="211" t="s">
        <v>1398</v>
      </c>
      <c r="CY270" s="211" t="s">
        <v>73</v>
      </c>
      <c r="CZ270" s="212" t="s">
        <v>73</v>
      </c>
    </row>
    <row r="271" spans="81:104" ht="9" customHeight="1">
      <c r="CC271" s="216" t="s">
        <v>73</v>
      </c>
      <c r="CD271" s="211" t="s">
        <v>73</v>
      </c>
      <c r="CE271" s="211"/>
      <c r="CF271" s="211"/>
      <c r="CG271" s="211"/>
      <c r="CH271" s="211"/>
      <c r="CI271" s="211"/>
      <c r="CJ271" s="211"/>
      <c r="CK271" s="211"/>
      <c r="CL271" s="211"/>
      <c r="CM271" s="211"/>
      <c r="CN271" s="211"/>
      <c r="CO271" s="211"/>
      <c r="CP271" s="211"/>
      <c r="CQ271" s="211"/>
      <c r="CR271" s="211"/>
      <c r="CS271" s="211"/>
      <c r="CT271" s="211"/>
      <c r="CU271" s="211"/>
      <c r="CV271" s="211"/>
      <c r="CW271" s="211"/>
      <c r="CX271" s="211"/>
      <c r="CY271" s="211" t="s">
        <v>73</v>
      </c>
      <c r="CZ271" s="212" t="s">
        <v>73</v>
      </c>
    </row>
    <row r="272" spans="81:104" ht="9" customHeight="1">
      <c r="CC272" s="216" t="s">
        <v>73</v>
      </c>
      <c r="CD272" s="211" t="s">
        <v>73</v>
      </c>
      <c r="CE272" s="211"/>
      <c r="CF272" s="211"/>
      <c r="CG272" s="211"/>
      <c r="CH272" s="211"/>
      <c r="CI272" s="211"/>
      <c r="CJ272" s="211"/>
      <c r="CK272" s="211"/>
      <c r="CL272" s="211"/>
      <c r="CM272" s="211"/>
      <c r="CN272" s="211"/>
      <c r="CO272" s="211"/>
      <c r="CP272" s="211"/>
      <c r="CQ272" s="211"/>
      <c r="CR272" s="211"/>
      <c r="CS272" s="211"/>
      <c r="CT272" s="211"/>
      <c r="CU272" s="211"/>
      <c r="CV272" s="211"/>
      <c r="CW272" s="211"/>
      <c r="CX272" s="211"/>
      <c r="CY272" s="211" t="s">
        <v>73</v>
      </c>
      <c r="CZ272" s="212" t="s">
        <v>73</v>
      </c>
    </row>
    <row r="273" spans="81:104" ht="9" customHeight="1">
      <c r="CC273" s="216" t="s">
        <v>73</v>
      </c>
      <c r="CD273" s="211" t="s">
        <v>73</v>
      </c>
      <c r="CE273" s="211" t="s">
        <v>1318</v>
      </c>
      <c r="CF273" s="211" t="s">
        <v>1318</v>
      </c>
      <c r="CG273" s="211"/>
      <c r="CH273" s="211" t="s">
        <v>1318</v>
      </c>
      <c r="CI273" s="211" t="s">
        <v>1318</v>
      </c>
      <c r="CJ273" s="211" t="s">
        <v>1318</v>
      </c>
      <c r="CK273" s="211" t="s">
        <v>1318</v>
      </c>
      <c r="CL273" s="211"/>
      <c r="CM273" s="211"/>
      <c r="CN273" s="211" t="s">
        <v>1318</v>
      </c>
      <c r="CO273" s="211" t="s">
        <v>1318</v>
      </c>
      <c r="CP273" s="211" t="s">
        <v>1318</v>
      </c>
      <c r="CQ273" s="211" t="s">
        <v>1318</v>
      </c>
      <c r="CR273" s="211" t="s">
        <v>1318</v>
      </c>
      <c r="CS273" s="211" t="s">
        <v>1318</v>
      </c>
      <c r="CT273" s="211" t="s">
        <v>1318</v>
      </c>
      <c r="CU273" s="211" t="s">
        <v>1318</v>
      </c>
      <c r="CV273" s="211" t="s">
        <v>1318</v>
      </c>
      <c r="CW273" s="211" t="s">
        <v>1318</v>
      </c>
      <c r="CX273" s="211" t="s">
        <v>1318</v>
      </c>
      <c r="CY273" s="211" t="s">
        <v>73</v>
      </c>
      <c r="CZ273" s="212" t="s">
        <v>73</v>
      </c>
    </row>
    <row r="274" spans="81:104" ht="9" customHeight="1">
      <c r="CC274" s="216" t="s">
        <v>73</v>
      </c>
      <c r="CD274" s="211" t="s">
        <v>73</v>
      </c>
      <c r="CE274" s="211"/>
      <c r="CF274" s="211"/>
      <c r="CG274" s="211"/>
      <c r="CH274" s="211"/>
      <c r="CI274" s="211"/>
      <c r="CJ274" s="211"/>
      <c r="CK274" s="211"/>
      <c r="CL274" s="211"/>
      <c r="CM274" s="211"/>
      <c r="CN274" s="211"/>
      <c r="CO274" s="211"/>
      <c r="CP274" s="211"/>
      <c r="CQ274" s="211"/>
      <c r="CR274" s="211"/>
      <c r="CS274" s="211"/>
      <c r="CT274" s="211"/>
      <c r="CU274" s="211"/>
      <c r="CV274" s="211"/>
      <c r="CW274" s="211"/>
      <c r="CX274" s="211"/>
      <c r="CY274" s="211" t="s">
        <v>73</v>
      </c>
      <c r="CZ274" s="212" t="s">
        <v>73</v>
      </c>
    </row>
    <row r="275" spans="81:104" ht="9" customHeight="1">
      <c r="CC275" s="216" t="s">
        <v>73</v>
      </c>
      <c r="CD275" s="211" t="s">
        <v>73</v>
      </c>
      <c r="CE275" s="211"/>
      <c r="CF275" s="211"/>
      <c r="CG275" s="211"/>
      <c r="CH275" s="211"/>
      <c r="CI275" s="211"/>
      <c r="CJ275" s="211"/>
      <c r="CK275" s="211"/>
      <c r="CL275" s="211"/>
      <c r="CM275" s="211"/>
      <c r="CN275" s="211"/>
      <c r="CO275" s="211"/>
      <c r="CP275" s="211"/>
      <c r="CQ275" s="211"/>
      <c r="CR275" s="211"/>
      <c r="CS275" s="211"/>
      <c r="CT275" s="211"/>
      <c r="CU275" s="211"/>
      <c r="CV275" s="211"/>
      <c r="CW275" s="211"/>
      <c r="CX275" s="211"/>
      <c r="CY275" s="211" t="s">
        <v>73</v>
      </c>
      <c r="CZ275" s="212" t="s">
        <v>73</v>
      </c>
    </row>
    <row r="276" spans="81:104" ht="9" customHeight="1">
      <c r="CC276" s="216" t="s">
        <v>73</v>
      </c>
      <c r="CD276" s="211" t="s">
        <v>73</v>
      </c>
      <c r="CE276" s="211"/>
      <c r="CF276" s="211"/>
      <c r="CG276" s="211"/>
      <c r="CH276" s="211"/>
      <c r="CI276" s="211"/>
      <c r="CJ276" s="211"/>
      <c r="CK276" s="211"/>
      <c r="CL276" s="211"/>
      <c r="CM276" s="211"/>
      <c r="CN276" s="211"/>
      <c r="CO276" s="211"/>
      <c r="CP276" s="211"/>
      <c r="CQ276" s="211"/>
      <c r="CR276" s="211"/>
      <c r="CS276" s="211"/>
      <c r="CT276" s="211"/>
      <c r="CU276" s="211"/>
      <c r="CV276" s="211"/>
      <c r="CW276" s="211"/>
      <c r="CX276" s="211"/>
      <c r="CY276" s="211" t="s">
        <v>73</v>
      </c>
      <c r="CZ276" s="212" t="s">
        <v>73</v>
      </c>
    </row>
    <row r="277" spans="81:104" ht="9" customHeight="1">
      <c r="CC277" s="216" t="s">
        <v>73</v>
      </c>
      <c r="CD277" s="211" t="s">
        <v>73</v>
      </c>
      <c r="CE277" s="211" t="s">
        <v>73</v>
      </c>
      <c r="CF277" s="211" t="s">
        <v>73</v>
      </c>
      <c r="CG277" s="211" t="s">
        <v>73</v>
      </c>
      <c r="CH277" s="211" t="s">
        <v>73</v>
      </c>
      <c r="CI277" s="211" t="s">
        <v>73</v>
      </c>
      <c r="CJ277" s="211" t="s">
        <v>73</v>
      </c>
      <c r="CK277" s="211" t="s">
        <v>73</v>
      </c>
      <c r="CL277" s="211" t="s">
        <v>73</v>
      </c>
      <c r="CM277" s="211" t="s">
        <v>73</v>
      </c>
      <c r="CN277" s="211" t="s">
        <v>73</v>
      </c>
      <c r="CO277" s="211" t="s">
        <v>1398</v>
      </c>
      <c r="CP277" s="211" t="s">
        <v>1398</v>
      </c>
      <c r="CQ277" s="211" t="s">
        <v>1398</v>
      </c>
      <c r="CR277" s="211" t="s">
        <v>1398</v>
      </c>
      <c r="CS277" s="211" t="s">
        <v>1398</v>
      </c>
      <c r="CT277" s="211" t="s">
        <v>1398</v>
      </c>
      <c r="CU277" s="211"/>
      <c r="CV277" s="211"/>
      <c r="CW277" s="211"/>
      <c r="CX277" s="211"/>
      <c r="CY277" s="211" t="s">
        <v>73</v>
      </c>
      <c r="CZ277" s="212" t="s">
        <v>73</v>
      </c>
    </row>
    <row r="278" spans="81:104" ht="9" customHeight="1">
      <c r="CC278" s="216" t="s">
        <v>73</v>
      </c>
      <c r="CD278" s="211" t="s">
        <v>73</v>
      </c>
      <c r="CE278" s="211" t="s">
        <v>73</v>
      </c>
      <c r="CF278" s="211" t="s">
        <v>73</v>
      </c>
      <c r="CG278" s="211" t="s">
        <v>73</v>
      </c>
      <c r="CH278" s="211" t="s">
        <v>73</v>
      </c>
      <c r="CI278" s="211" t="s">
        <v>73</v>
      </c>
      <c r="CJ278" s="211" t="s">
        <v>73</v>
      </c>
      <c r="CK278" s="211" t="s">
        <v>73</v>
      </c>
      <c r="CL278" s="211" t="s">
        <v>73</v>
      </c>
      <c r="CM278" s="211" t="s">
        <v>73</v>
      </c>
      <c r="CN278" s="211" t="s">
        <v>73</v>
      </c>
      <c r="CO278" s="211" t="s">
        <v>1398</v>
      </c>
      <c r="CP278" s="211" t="s">
        <v>1398</v>
      </c>
      <c r="CQ278" s="211" t="s">
        <v>1398</v>
      </c>
      <c r="CR278" s="211" t="s">
        <v>1398</v>
      </c>
      <c r="CS278" s="211" t="s">
        <v>1398</v>
      </c>
      <c r="CT278" s="211" t="s">
        <v>1398</v>
      </c>
      <c r="CU278" s="211"/>
      <c r="CV278" s="211"/>
      <c r="CW278" s="211"/>
      <c r="CX278" s="211"/>
      <c r="CY278" s="211" t="s">
        <v>73</v>
      </c>
      <c r="CZ278" s="212" t="s">
        <v>73</v>
      </c>
    </row>
    <row r="279" spans="81:104" ht="9" customHeight="1">
      <c r="CC279" s="216" t="s">
        <v>73</v>
      </c>
      <c r="CD279" s="211" t="s">
        <v>73</v>
      </c>
      <c r="CE279" s="211" t="s">
        <v>73</v>
      </c>
      <c r="CF279" s="211" t="s">
        <v>73</v>
      </c>
      <c r="CG279" s="211" t="s">
        <v>73</v>
      </c>
      <c r="CH279" s="211" t="s">
        <v>73</v>
      </c>
      <c r="CI279" s="211" t="s">
        <v>73</v>
      </c>
      <c r="CJ279" s="211" t="s">
        <v>73</v>
      </c>
      <c r="CK279" s="211" t="s">
        <v>73</v>
      </c>
      <c r="CL279" s="211" t="s">
        <v>73</v>
      </c>
      <c r="CM279" s="211" t="s">
        <v>73</v>
      </c>
      <c r="CN279" s="211" t="s">
        <v>73</v>
      </c>
      <c r="CO279" s="211" t="s">
        <v>1398</v>
      </c>
      <c r="CP279" s="211" t="s">
        <v>1398</v>
      </c>
      <c r="CQ279" s="211" t="s">
        <v>1398</v>
      </c>
      <c r="CR279" s="211" t="s">
        <v>1398</v>
      </c>
      <c r="CS279" s="211" t="s">
        <v>1398</v>
      </c>
      <c r="CT279" s="211" t="s">
        <v>1398</v>
      </c>
      <c r="CU279" s="211" t="s">
        <v>1318</v>
      </c>
      <c r="CV279" s="211" t="s">
        <v>1318</v>
      </c>
      <c r="CW279" s="211" t="s">
        <v>1318</v>
      </c>
      <c r="CX279" s="211" t="s">
        <v>1318</v>
      </c>
      <c r="CY279" s="211" t="s">
        <v>73</v>
      </c>
      <c r="CZ279" s="212" t="s">
        <v>73</v>
      </c>
    </row>
    <row r="280" spans="81:104" ht="9" customHeight="1">
      <c r="CC280" s="216" t="s">
        <v>73</v>
      </c>
      <c r="CD280" s="211" t="s">
        <v>73</v>
      </c>
      <c r="CE280" s="211"/>
      <c r="CF280" s="211"/>
      <c r="CG280" s="211"/>
      <c r="CH280" s="211"/>
      <c r="CI280" s="211"/>
      <c r="CJ280" s="211"/>
      <c r="CK280" s="211"/>
      <c r="CL280" s="211"/>
      <c r="CM280" s="211"/>
      <c r="CN280" s="211"/>
      <c r="CO280" s="211" t="s">
        <v>1398</v>
      </c>
      <c r="CP280" s="211" t="s">
        <v>1398</v>
      </c>
      <c r="CQ280" s="211" t="s">
        <v>1398</v>
      </c>
      <c r="CR280" s="211" t="s">
        <v>1398</v>
      </c>
      <c r="CS280" s="211" t="s">
        <v>1398</v>
      </c>
      <c r="CT280" s="211" t="s">
        <v>1398</v>
      </c>
      <c r="CU280" s="211"/>
      <c r="CV280" s="211"/>
      <c r="CW280" s="211"/>
      <c r="CX280" s="211"/>
      <c r="CY280" s="211" t="s">
        <v>73</v>
      </c>
      <c r="CZ280" s="212" t="s">
        <v>73</v>
      </c>
    </row>
    <row r="281" spans="81:104" ht="9" customHeight="1">
      <c r="CC281" s="216" t="s">
        <v>73</v>
      </c>
      <c r="CD281" s="211" t="s">
        <v>73</v>
      </c>
      <c r="CE281" s="211"/>
      <c r="CF281" s="211"/>
      <c r="CG281" s="211"/>
      <c r="CH281" s="211"/>
      <c r="CI281" s="211"/>
      <c r="CJ281" s="211"/>
      <c r="CK281" s="211"/>
      <c r="CL281" s="211"/>
      <c r="CM281" s="211"/>
      <c r="CN281" s="211"/>
      <c r="CO281" s="211" t="s">
        <v>1398</v>
      </c>
      <c r="CP281" s="211" t="s">
        <v>1398</v>
      </c>
      <c r="CQ281" s="211" t="s">
        <v>1398</v>
      </c>
      <c r="CR281" s="211" t="s">
        <v>1398</v>
      </c>
      <c r="CS281" s="211" t="s">
        <v>1398</v>
      </c>
      <c r="CT281" s="211" t="s">
        <v>1398</v>
      </c>
      <c r="CU281" s="211"/>
      <c r="CV281" s="211"/>
      <c r="CW281" s="211"/>
      <c r="CX281" s="211"/>
      <c r="CY281" s="211" t="s">
        <v>73</v>
      </c>
      <c r="CZ281" s="212" t="s">
        <v>73</v>
      </c>
    </row>
    <row r="282" spans="81:104" ht="9" customHeight="1">
      <c r="CC282" s="216" t="s">
        <v>73</v>
      </c>
      <c r="CD282" s="211" t="s">
        <v>73</v>
      </c>
      <c r="CE282" s="211"/>
      <c r="CF282" s="211"/>
      <c r="CG282" s="211"/>
      <c r="CH282" s="211"/>
      <c r="CI282" s="211"/>
      <c r="CJ282" s="211"/>
      <c r="CK282" s="211"/>
      <c r="CL282" s="211"/>
      <c r="CM282" s="211"/>
      <c r="CN282" s="211"/>
      <c r="CO282" s="211"/>
      <c r="CP282" s="211"/>
      <c r="CQ282" s="211"/>
      <c r="CR282" s="211"/>
      <c r="CS282" s="211"/>
      <c r="CT282" s="211"/>
      <c r="CU282" s="211"/>
      <c r="CV282" s="211"/>
      <c r="CW282" s="211"/>
      <c r="CX282" s="211"/>
      <c r="CY282" s="211" t="s">
        <v>73</v>
      </c>
      <c r="CZ282" s="212" t="s">
        <v>73</v>
      </c>
    </row>
    <row r="283" spans="81:104" ht="9" customHeight="1">
      <c r="CC283" s="216" t="s">
        <v>73</v>
      </c>
      <c r="CD283" s="211" t="s">
        <v>73</v>
      </c>
      <c r="CE283" s="211"/>
      <c r="CF283" s="211"/>
      <c r="CG283" s="211"/>
      <c r="CH283" s="211"/>
      <c r="CI283" s="211"/>
      <c r="CJ283" s="211"/>
      <c r="CK283" s="211"/>
      <c r="CL283" s="211"/>
      <c r="CM283" s="211"/>
      <c r="CN283" s="211"/>
      <c r="CO283" s="211"/>
      <c r="CP283" s="211"/>
      <c r="CQ283" s="211"/>
      <c r="CR283" s="211"/>
      <c r="CS283" s="211"/>
      <c r="CT283" s="211"/>
      <c r="CU283" s="211"/>
      <c r="CV283" s="211"/>
      <c r="CW283" s="211"/>
      <c r="CX283" s="211"/>
      <c r="CY283" s="211" t="s">
        <v>73</v>
      </c>
      <c r="CZ283" s="212" t="s">
        <v>73</v>
      </c>
    </row>
    <row r="284" spans="81:104" ht="9" customHeight="1">
      <c r="CC284" s="216" t="s">
        <v>73</v>
      </c>
      <c r="CD284" s="211" t="s">
        <v>73</v>
      </c>
      <c r="CE284" s="211" t="s">
        <v>1318</v>
      </c>
      <c r="CF284" s="211" t="s">
        <v>1318</v>
      </c>
      <c r="CG284" s="211" t="s">
        <v>1318</v>
      </c>
      <c r="CH284" s="211" t="s">
        <v>1318</v>
      </c>
      <c r="CI284" s="211"/>
      <c r="CJ284" s="211"/>
      <c r="CK284" s="211"/>
      <c r="CL284" s="211" t="s">
        <v>73</v>
      </c>
      <c r="CM284" s="211" t="s">
        <v>1318</v>
      </c>
      <c r="CN284" s="211" t="s">
        <v>1318</v>
      </c>
      <c r="CO284" s="211" t="s">
        <v>1318</v>
      </c>
      <c r="CP284" s="211" t="s">
        <v>1318</v>
      </c>
      <c r="CQ284" s="211" t="s">
        <v>1318</v>
      </c>
      <c r="CR284" s="211" t="s">
        <v>1318</v>
      </c>
      <c r="CS284" s="211" t="s">
        <v>1318</v>
      </c>
      <c r="CT284" s="211" t="s">
        <v>1318</v>
      </c>
      <c r="CU284" s="211" t="s">
        <v>1318</v>
      </c>
      <c r="CV284" s="211" t="s">
        <v>1318</v>
      </c>
      <c r="CW284" s="211" t="s">
        <v>1318</v>
      </c>
      <c r="CX284" s="211" t="s">
        <v>1318</v>
      </c>
      <c r="CY284" s="211" t="s">
        <v>73</v>
      </c>
      <c r="CZ284" s="212" t="s">
        <v>73</v>
      </c>
    </row>
    <row r="285" spans="81:104" ht="9" customHeight="1">
      <c r="CC285" s="216" t="s">
        <v>73</v>
      </c>
      <c r="CD285" s="211" t="s">
        <v>73</v>
      </c>
      <c r="CE285" s="211"/>
      <c r="CF285" s="211"/>
      <c r="CG285" s="211" t="s">
        <v>1398</v>
      </c>
      <c r="CH285" s="211" t="s">
        <v>1398</v>
      </c>
      <c r="CI285" s="211" t="s">
        <v>1398</v>
      </c>
      <c r="CJ285" s="211" t="s">
        <v>1398</v>
      </c>
      <c r="CK285" s="211" t="s">
        <v>1398</v>
      </c>
      <c r="CL285" s="211" t="s">
        <v>1398</v>
      </c>
      <c r="CM285" s="211" t="s">
        <v>1398</v>
      </c>
      <c r="CN285" s="211"/>
      <c r="CO285" s="211"/>
      <c r="CP285" s="211"/>
      <c r="CQ285" s="211"/>
      <c r="CR285" s="211"/>
      <c r="CS285" s="211"/>
      <c r="CT285" s="211" t="s">
        <v>1398</v>
      </c>
      <c r="CU285" s="211" t="s">
        <v>1398</v>
      </c>
      <c r="CV285" s="211" t="s">
        <v>1398</v>
      </c>
      <c r="CW285" s="211" t="s">
        <v>1398</v>
      </c>
      <c r="CX285" s="211" t="s">
        <v>1398</v>
      </c>
      <c r="CY285" s="211" t="s">
        <v>73</v>
      </c>
      <c r="CZ285" s="212" t="s">
        <v>73</v>
      </c>
    </row>
    <row r="286" spans="81:104" ht="9" customHeight="1">
      <c r="CC286" s="216" t="s">
        <v>73</v>
      </c>
      <c r="CD286" s="211" t="s">
        <v>73</v>
      </c>
      <c r="CE286" s="211"/>
      <c r="CF286" s="211"/>
      <c r="CG286" s="211" t="s">
        <v>1398</v>
      </c>
      <c r="CH286" s="211" t="s">
        <v>1398</v>
      </c>
      <c r="CI286" s="211" t="s">
        <v>1398</v>
      </c>
      <c r="CJ286" s="211" t="s">
        <v>1398</v>
      </c>
      <c r="CK286" s="211" t="s">
        <v>1398</v>
      </c>
      <c r="CL286" s="211" t="s">
        <v>1398</v>
      </c>
      <c r="CM286" s="211" t="s">
        <v>1398</v>
      </c>
      <c r="CN286" s="211"/>
      <c r="CO286" s="211"/>
      <c r="CP286" s="211"/>
      <c r="CQ286" s="211"/>
      <c r="CR286" s="211"/>
      <c r="CS286" s="211"/>
      <c r="CT286" s="211" t="s">
        <v>1398</v>
      </c>
      <c r="CU286" s="211" t="s">
        <v>1398</v>
      </c>
      <c r="CV286" s="211" t="s">
        <v>1398</v>
      </c>
      <c r="CW286" s="211" t="s">
        <v>1398</v>
      </c>
      <c r="CX286" s="211" t="s">
        <v>1398</v>
      </c>
      <c r="CY286" s="211" t="s">
        <v>73</v>
      </c>
      <c r="CZ286" s="212" t="s">
        <v>73</v>
      </c>
    </row>
    <row r="287" spans="81:104" ht="9" customHeight="1">
      <c r="CC287" s="216" t="s">
        <v>73</v>
      </c>
      <c r="CD287" s="211" t="s">
        <v>73</v>
      </c>
      <c r="CE287" s="211" t="s">
        <v>1398</v>
      </c>
      <c r="CF287" s="211" t="s">
        <v>1398</v>
      </c>
      <c r="CG287" s="211" t="s">
        <v>1398</v>
      </c>
      <c r="CH287" s="211" t="s">
        <v>1398</v>
      </c>
      <c r="CI287" s="211" t="s">
        <v>1398</v>
      </c>
      <c r="CJ287" s="211" t="s">
        <v>1398</v>
      </c>
      <c r="CK287" s="211" t="s">
        <v>1398</v>
      </c>
      <c r="CL287" s="211"/>
      <c r="CM287" s="211"/>
      <c r="CN287" s="211"/>
      <c r="CO287" s="211"/>
      <c r="CP287" s="211"/>
      <c r="CQ287" s="211"/>
      <c r="CR287" s="211" t="s">
        <v>1398</v>
      </c>
      <c r="CS287" s="211" t="s">
        <v>1398</v>
      </c>
      <c r="CT287" s="211" t="s">
        <v>1398</v>
      </c>
      <c r="CU287" s="211" t="s">
        <v>1398</v>
      </c>
      <c r="CV287" s="211" t="s">
        <v>1398</v>
      </c>
      <c r="CW287" s="211"/>
      <c r="CX287" s="211"/>
      <c r="CY287" s="211" t="s">
        <v>73</v>
      </c>
      <c r="CZ287" s="212" t="s">
        <v>73</v>
      </c>
    </row>
    <row r="288" spans="81:104" ht="9" customHeight="1">
      <c r="CC288" s="216" t="s">
        <v>73</v>
      </c>
      <c r="CD288" s="211" t="s">
        <v>73</v>
      </c>
      <c r="CE288" s="211" t="s">
        <v>1398</v>
      </c>
      <c r="CF288" s="211" t="s">
        <v>1398</v>
      </c>
      <c r="CG288" s="211" t="s">
        <v>1398</v>
      </c>
      <c r="CH288" s="211" t="s">
        <v>1398</v>
      </c>
      <c r="CI288" s="211" t="s">
        <v>1398</v>
      </c>
      <c r="CJ288" s="211" t="s">
        <v>1398</v>
      </c>
      <c r="CK288" s="211" t="s">
        <v>1398</v>
      </c>
      <c r="CL288" s="211"/>
      <c r="CM288" s="211"/>
      <c r="CN288" s="211"/>
      <c r="CO288" s="211" t="s">
        <v>1398</v>
      </c>
      <c r="CP288" s="211" t="s">
        <v>1398</v>
      </c>
      <c r="CQ288" s="211"/>
      <c r="CR288" s="211" t="s">
        <v>1398</v>
      </c>
      <c r="CS288" s="211" t="s">
        <v>1398</v>
      </c>
      <c r="CT288" s="211" t="s">
        <v>1398</v>
      </c>
      <c r="CU288" s="211" t="s">
        <v>1398</v>
      </c>
      <c r="CV288" s="211" t="s">
        <v>1398</v>
      </c>
      <c r="CW288" s="211"/>
      <c r="CX288" s="211"/>
      <c r="CY288" s="211" t="s">
        <v>73</v>
      </c>
      <c r="CZ288" s="212" t="s">
        <v>73</v>
      </c>
    </row>
    <row r="289" spans="81:104" ht="9" customHeight="1">
      <c r="CC289" s="216" t="s">
        <v>73</v>
      </c>
      <c r="CD289" s="211" t="s">
        <v>73</v>
      </c>
      <c r="CE289" s="211" t="s">
        <v>73</v>
      </c>
      <c r="CF289" s="211" t="s">
        <v>73</v>
      </c>
      <c r="CG289" s="211" t="s">
        <v>73</v>
      </c>
      <c r="CH289" s="211" t="s">
        <v>73</v>
      </c>
      <c r="CI289" s="211" t="s">
        <v>73</v>
      </c>
      <c r="CJ289" s="211" t="s">
        <v>73</v>
      </c>
      <c r="CK289" s="211" t="s">
        <v>73</v>
      </c>
      <c r="CL289" s="211" t="s">
        <v>73</v>
      </c>
      <c r="CM289" s="211" t="s">
        <v>73</v>
      </c>
      <c r="CN289" s="211" t="s">
        <v>73</v>
      </c>
      <c r="CO289" s="211" t="s">
        <v>1398</v>
      </c>
      <c r="CP289" s="211" t="s">
        <v>1398</v>
      </c>
      <c r="CQ289" s="211" t="s">
        <v>73</v>
      </c>
      <c r="CR289" s="211" t="s">
        <v>73</v>
      </c>
      <c r="CS289" s="211" t="s">
        <v>73</v>
      </c>
      <c r="CT289" s="211" t="s">
        <v>73</v>
      </c>
      <c r="CU289" s="211" t="s">
        <v>73</v>
      </c>
      <c r="CV289" s="211" t="s">
        <v>73</v>
      </c>
      <c r="CW289" s="211" t="s">
        <v>73</v>
      </c>
      <c r="CX289" s="211" t="s">
        <v>73</v>
      </c>
      <c r="CY289" s="211" t="s">
        <v>73</v>
      </c>
      <c r="CZ289" s="212" t="s">
        <v>73</v>
      </c>
    </row>
    <row r="290" spans="81:104" ht="9" customHeight="1">
      <c r="CC290" s="216" t="s">
        <v>73</v>
      </c>
      <c r="CD290" s="211" t="s">
        <v>73</v>
      </c>
      <c r="CE290" s="211" t="s">
        <v>73</v>
      </c>
      <c r="CF290" s="211" t="s">
        <v>73</v>
      </c>
      <c r="CG290" s="211" t="s">
        <v>73</v>
      </c>
      <c r="CH290" s="211" t="s">
        <v>73</v>
      </c>
      <c r="CI290" s="211" t="s">
        <v>73</v>
      </c>
      <c r="CJ290" s="211" t="s">
        <v>73</v>
      </c>
      <c r="CK290" s="211" t="s">
        <v>73</v>
      </c>
      <c r="CL290" s="211" t="s">
        <v>73</v>
      </c>
      <c r="CM290" s="211" t="s">
        <v>73</v>
      </c>
      <c r="CN290" s="211" t="s">
        <v>73</v>
      </c>
      <c r="CO290" s="211" t="s">
        <v>1398</v>
      </c>
      <c r="CP290" s="211" t="s">
        <v>1398</v>
      </c>
      <c r="CQ290" s="211" t="s">
        <v>73</v>
      </c>
      <c r="CR290" s="211" t="s">
        <v>73</v>
      </c>
      <c r="CS290" s="211" t="s">
        <v>73</v>
      </c>
      <c r="CT290" s="211" t="s">
        <v>73</v>
      </c>
      <c r="CU290" s="211" t="s">
        <v>73</v>
      </c>
      <c r="CV290" s="211" t="s">
        <v>73</v>
      </c>
      <c r="CW290" s="211" t="s">
        <v>73</v>
      </c>
      <c r="CX290" s="211" t="s">
        <v>73</v>
      </c>
      <c r="CY290" s="211" t="s">
        <v>73</v>
      </c>
      <c r="CZ290" s="212" t="s">
        <v>73</v>
      </c>
    </row>
    <row r="291" spans="81:104" ht="9" customHeight="1">
      <c r="CC291" s="216" t="s">
        <v>73</v>
      </c>
      <c r="CD291" s="211" t="s">
        <v>73</v>
      </c>
      <c r="CE291" s="211" t="s">
        <v>73</v>
      </c>
      <c r="CF291" s="211" t="s">
        <v>73</v>
      </c>
      <c r="CG291" s="211" t="s">
        <v>73</v>
      </c>
      <c r="CH291" s="211" t="s">
        <v>73</v>
      </c>
      <c r="CI291" s="211" t="s">
        <v>73</v>
      </c>
      <c r="CJ291" s="211" t="s">
        <v>73</v>
      </c>
      <c r="CK291" s="211" t="s">
        <v>73</v>
      </c>
      <c r="CL291" s="211" t="s">
        <v>73</v>
      </c>
      <c r="CM291" s="211" t="s">
        <v>73</v>
      </c>
      <c r="CN291" s="211" t="s">
        <v>73</v>
      </c>
      <c r="CO291" s="211" t="s">
        <v>1398</v>
      </c>
      <c r="CP291" s="211" t="s">
        <v>1398</v>
      </c>
      <c r="CQ291" s="211" t="s">
        <v>73</v>
      </c>
      <c r="CR291" s="211" t="s">
        <v>73</v>
      </c>
      <c r="CS291" s="211" t="s">
        <v>73</v>
      </c>
      <c r="CT291" s="211" t="s">
        <v>73</v>
      </c>
      <c r="CU291" s="211" t="s">
        <v>73</v>
      </c>
      <c r="CV291" s="211" t="s">
        <v>73</v>
      </c>
      <c r="CW291" s="211" t="s">
        <v>73</v>
      </c>
      <c r="CX291" s="211" t="s">
        <v>73</v>
      </c>
      <c r="CY291" s="211" t="s">
        <v>73</v>
      </c>
      <c r="CZ291" s="212" t="s">
        <v>73</v>
      </c>
    </row>
    <row r="292" spans="81:104" ht="9" customHeight="1" thickBot="1">
      <c r="CC292" s="217" t="s">
        <v>73</v>
      </c>
      <c r="CD292" s="213" t="s">
        <v>73</v>
      </c>
      <c r="CE292" s="213" t="s">
        <v>73</v>
      </c>
      <c r="CF292" s="213" t="s">
        <v>73</v>
      </c>
      <c r="CG292" s="213" t="s">
        <v>73</v>
      </c>
      <c r="CH292" s="213" t="s">
        <v>73</v>
      </c>
      <c r="CI292" s="213" t="s">
        <v>73</v>
      </c>
      <c r="CJ292" s="213" t="s">
        <v>73</v>
      </c>
      <c r="CK292" s="213" t="s">
        <v>73</v>
      </c>
      <c r="CL292" s="213" t="s">
        <v>73</v>
      </c>
      <c r="CM292" s="213" t="s">
        <v>73</v>
      </c>
      <c r="CN292" s="213" t="s">
        <v>73</v>
      </c>
      <c r="CO292" s="213" t="s">
        <v>1398</v>
      </c>
      <c r="CP292" s="213" t="s">
        <v>1398</v>
      </c>
      <c r="CQ292" s="213" t="s">
        <v>73</v>
      </c>
      <c r="CR292" s="213" t="s">
        <v>73</v>
      </c>
      <c r="CS292" s="213" t="s">
        <v>73</v>
      </c>
      <c r="CT292" s="213" t="s">
        <v>73</v>
      </c>
      <c r="CU292" s="213" t="s">
        <v>73</v>
      </c>
      <c r="CV292" s="213" t="s">
        <v>73</v>
      </c>
      <c r="CW292" s="213" t="s">
        <v>73</v>
      </c>
      <c r="CX292" s="213" t="s">
        <v>73</v>
      </c>
      <c r="CY292" s="213" t="s">
        <v>73</v>
      </c>
      <c r="CZ292" s="214" t="s">
        <v>73</v>
      </c>
    </row>
    <row r="293" spans="81:104" ht="9" customHeight="1">
      <c r="CC293" s="215" t="s">
        <v>73</v>
      </c>
      <c r="CD293" s="209" t="s">
        <v>73</v>
      </c>
      <c r="CE293" s="209" t="s">
        <v>73</v>
      </c>
      <c r="CF293" s="209" t="s">
        <v>73</v>
      </c>
      <c r="CG293" s="209" t="s">
        <v>73</v>
      </c>
      <c r="CH293" s="209" t="s">
        <v>73</v>
      </c>
      <c r="CI293" s="209" t="s">
        <v>73</v>
      </c>
      <c r="CJ293" s="209" t="s">
        <v>73</v>
      </c>
      <c r="CK293" s="209" t="s">
        <v>73</v>
      </c>
      <c r="CL293" s="209" t="s">
        <v>73</v>
      </c>
      <c r="CM293" s="209" t="s">
        <v>73</v>
      </c>
      <c r="CN293" s="209" t="s">
        <v>73</v>
      </c>
      <c r="CO293" s="209"/>
      <c r="CP293" s="209"/>
      <c r="CQ293" s="209" t="s">
        <v>73</v>
      </c>
      <c r="CR293" s="209" t="s">
        <v>73</v>
      </c>
      <c r="CS293" s="209" t="s">
        <v>73</v>
      </c>
      <c r="CT293" s="209" t="s">
        <v>73</v>
      </c>
      <c r="CU293" s="209" t="s">
        <v>73</v>
      </c>
      <c r="CV293" s="209" t="s">
        <v>73</v>
      </c>
      <c r="CW293" s="209" t="s">
        <v>73</v>
      </c>
      <c r="CX293" s="209" t="s">
        <v>73</v>
      </c>
      <c r="CY293" s="209" t="s">
        <v>73</v>
      </c>
      <c r="CZ293" s="210" t="s">
        <v>73</v>
      </c>
    </row>
    <row r="294" spans="81:104" ht="9" customHeight="1">
      <c r="CC294" s="216" t="s">
        <v>73</v>
      </c>
      <c r="CD294" s="211" t="s">
        <v>73</v>
      </c>
      <c r="CE294" s="211" t="s">
        <v>73</v>
      </c>
      <c r="CF294" s="211" t="s">
        <v>73</v>
      </c>
      <c r="CG294" s="211" t="s">
        <v>73</v>
      </c>
      <c r="CH294" s="211" t="s">
        <v>73</v>
      </c>
      <c r="CI294" s="211" t="s">
        <v>73</v>
      </c>
      <c r="CJ294" s="211" t="s">
        <v>73</v>
      </c>
      <c r="CK294" s="211" t="s">
        <v>73</v>
      </c>
      <c r="CL294" s="211" t="s">
        <v>73</v>
      </c>
      <c r="CM294" s="211" t="s">
        <v>73</v>
      </c>
      <c r="CN294" s="211" t="s">
        <v>73</v>
      </c>
      <c r="CO294" s="211"/>
      <c r="CP294" s="211"/>
      <c r="CQ294" s="211" t="s">
        <v>73</v>
      </c>
      <c r="CR294" s="211" t="s">
        <v>73</v>
      </c>
      <c r="CS294" s="211" t="s">
        <v>73</v>
      </c>
      <c r="CT294" s="211" t="s">
        <v>73</v>
      </c>
      <c r="CU294" s="211" t="s">
        <v>73</v>
      </c>
      <c r="CV294" s="211" t="s">
        <v>73</v>
      </c>
      <c r="CW294" s="211" t="s">
        <v>73</v>
      </c>
      <c r="CX294" s="211" t="s">
        <v>73</v>
      </c>
      <c r="CY294" s="211" t="s">
        <v>73</v>
      </c>
      <c r="CZ294" s="212" t="s">
        <v>73</v>
      </c>
    </row>
    <row r="295" spans="81:104" ht="9" customHeight="1">
      <c r="CC295" s="216" t="s">
        <v>73</v>
      </c>
      <c r="CD295" s="211" t="s">
        <v>73</v>
      </c>
      <c r="CE295" s="211"/>
      <c r="CF295" s="211"/>
      <c r="CG295" s="211"/>
      <c r="CH295" s="211"/>
      <c r="CI295" s="211"/>
      <c r="CJ295" s="211"/>
      <c r="CK295" s="211"/>
      <c r="CL295" s="211"/>
      <c r="CM295" s="211"/>
      <c r="CN295" s="211"/>
      <c r="CO295" s="211"/>
      <c r="CP295" s="211"/>
      <c r="CQ295" s="211"/>
      <c r="CR295" s="211"/>
      <c r="CS295" s="211"/>
      <c r="CT295" s="211"/>
      <c r="CU295" s="211"/>
      <c r="CV295" s="211"/>
      <c r="CW295" s="211"/>
      <c r="CX295" s="211"/>
      <c r="CY295" s="211" t="s">
        <v>73</v>
      </c>
      <c r="CZ295" s="212" t="s">
        <v>73</v>
      </c>
    </row>
    <row r="296" spans="81:104" ht="9" customHeight="1">
      <c r="CC296" s="216" t="s">
        <v>73</v>
      </c>
      <c r="CD296" s="211" t="s">
        <v>73</v>
      </c>
      <c r="CE296" s="211"/>
      <c r="CF296" s="211"/>
      <c r="CG296" s="211"/>
      <c r="CH296" s="211" t="s">
        <v>73</v>
      </c>
      <c r="CI296" s="211" t="s">
        <v>73</v>
      </c>
      <c r="CJ296" s="211" t="s">
        <v>73</v>
      </c>
      <c r="CK296" s="211" t="s">
        <v>73</v>
      </c>
      <c r="CL296" s="211" t="s">
        <v>73</v>
      </c>
      <c r="CM296" s="211"/>
      <c r="CN296" s="211"/>
      <c r="CO296" s="211"/>
      <c r="CP296" s="211"/>
      <c r="CQ296" s="211" t="s">
        <v>73</v>
      </c>
      <c r="CR296" s="211" t="s">
        <v>73</v>
      </c>
      <c r="CS296" s="211" t="s">
        <v>73</v>
      </c>
      <c r="CT296" s="211" t="s">
        <v>73</v>
      </c>
      <c r="CU296" s="211" t="s">
        <v>73</v>
      </c>
      <c r="CV296" s="211"/>
      <c r="CW296" s="211"/>
      <c r="CX296" s="211"/>
      <c r="CY296" s="211" t="s">
        <v>73</v>
      </c>
      <c r="CZ296" s="212" t="s">
        <v>73</v>
      </c>
    </row>
    <row r="297" spans="81:104" ht="9" customHeight="1">
      <c r="CC297" s="216" t="s">
        <v>73</v>
      </c>
      <c r="CD297" s="211" t="s">
        <v>73</v>
      </c>
      <c r="CE297" s="211"/>
      <c r="CF297" s="211"/>
      <c r="CG297" s="211"/>
      <c r="CH297" s="211" t="s">
        <v>73</v>
      </c>
      <c r="CI297" s="211" t="s">
        <v>73</v>
      </c>
      <c r="CJ297" s="211" t="s">
        <v>73</v>
      </c>
      <c r="CK297" s="211" t="s">
        <v>73</v>
      </c>
      <c r="CL297" s="211" t="s">
        <v>73</v>
      </c>
      <c r="CM297" s="211"/>
      <c r="CN297" s="211"/>
      <c r="CO297" s="211"/>
      <c r="CP297" s="211"/>
      <c r="CQ297" s="211" t="s">
        <v>73</v>
      </c>
      <c r="CR297" s="211" t="s">
        <v>73</v>
      </c>
      <c r="CS297" s="211" t="s">
        <v>73</v>
      </c>
      <c r="CT297" s="211" t="s">
        <v>73</v>
      </c>
      <c r="CU297" s="211" t="s">
        <v>73</v>
      </c>
      <c r="CV297" s="211"/>
      <c r="CW297" s="211"/>
      <c r="CX297" s="211"/>
      <c r="CY297" s="211" t="s">
        <v>73</v>
      </c>
      <c r="CZ297" s="212" t="s">
        <v>73</v>
      </c>
    </row>
    <row r="298" spans="81:104" ht="9" customHeight="1">
      <c r="CC298" s="216" t="s">
        <v>73</v>
      </c>
      <c r="CD298" s="211" t="s">
        <v>73</v>
      </c>
      <c r="CE298" s="211"/>
      <c r="CF298" s="211"/>
      <c r="CG298" s="211"/>
      <c r="CH298" s="211" t="s">
        <v>73</v>
      </c>
      <c r="CI298" s="211" t="s">
        <v>73</v>
      </c>
      <c r="CJ298" s="211" t="s">
        <v>73</v>
      </c>
      <c r="CK298" s="211" t="s">
        <v>73</v>
      </c>
      <c r="CL298" s="211" t="s">
        <v>73</v>
      </c>
      <c r="CM298" s="211"/>
      <c r="CN298" s="211"/>
      <c r="CO298" s="211"/>
      <c r="CP298" s="211"/>
      <c r="CQ298" s="211" t="s">
        <v>73</v>
      </c>
      <c r="CR298" s="211" t="s">
        <v>73</v>
      </c>
      <c r="CS298" s="211" t="s">
        <v>73</v>
      </c>
      <c r="CT298" s="211" t="s">
        <v>73</v>
      </c>
      <c r="CU298" s="211" t="s">
        <v>73</v>
      </c>
      <c r="CV298" s="211"/>
      <c r="CW298" s="211"/>
      <c r="CX298" s="211"/>
      <c r="CY298" s="211" t="s">
        <v>73</v>
      </c>
      <c r="CZ298" s="212" t="s">
        <v>73</v>
      </c>
    </row>
    <row r="299" spans="81:104" ht="9" customHeight="1">
      <c r="CC299" s="216" t="s">
        <v>73</v>
      </c>
      <c r="CD299" s="211" t="s">
        <v>73</v>
      </c>
      <c r="CE299" s="211"/>
      <c r="CF299" s="211"/>
      <c r="CG299" s="211" t="s">
        <v>73</v>
      </c>
      <c r="CH299" s="211" t="s">
        <v>73</v>
      </c>
      <c r="CI299" s="211" t="s">
        <v>73</v>
      </c>
      <c r="CJ299" s="211" t="s">
        <v>73</v>
      </c>
      <c r="CK299" s="211" t="s">
        <v>73</v>
      </c>
      <c r="CL299" s="211" t="s">
        <v>73</v>
      </c>
      <c r="CM299" s="211"/>
      <c r="CN299" s="211"/>
      <c r="CO299" s="211"/>
      <c r="CP299" s="211" t="s">
        <v>73</v>
      </c>
      <c r="CQ299" s="211" t="s">
        <v>73</v>
      </c>
      <c r="CR299" s="211" t="s">
        <v>73</v>
      </c>
      <c r="CS299" s="211" t="s">
        <v>73</v>
      </c>
      <c r="CT299" s="211" t="s">
        <v>73</v>
      </c>
      <c r="CU299" s="211" t="s">
        <v>73</v>
      </c>
      <c r="CV299" s="211"/>
      <c r="CW299" s="211"/>
      <c r="CX299" s="211"/>
      <c r="CY299" s="211" t="s">
        <v>73</v>
      </c>
      <c r="CZ299" s="212" t="s">
        <v>73</v>
      </c>
    </row>
    <row r="300" spans="81:104" ht="9" customHeight="1">
      <c r="CC300" s="216" t="s">
        <v>73</v>
      </c>
      <c r="CD300" s="211" t="s">
        <v>73</v>
      </c>
      <c r="CE300" s="211"/>
      <c r="CF300" s="211"/>
      <c r="CG300" s="211" t="s">
        <v>73</v>
      </c>
      <c r="CH300" s="211" t="s">
        <v>73</v>
      </c>
      <c r="CI300" s="211" t="s">
        <v>73</v>
      </c>
      <c r="CJ300" s="211" t="s">
        <v>73</v>
      </c>
      <c r="CK300" s="211" t="s">
        <v>73</v>
      </c>
      <c r="CL300" s="211" t="s">
        <v>73</v>
      </c>
      <c r="CM300" s="211"/>
      <c r="CN300" s="211"/>
      <c r="CO300" s="211"/>
      <c r="CP300" s="211" t="s">
        <v>73</v>
      </c>
      <c r="CQ300" s="211" t="s">
        <v>73</v>
      </c>
      <c r="CR300" s="211" t="s">
        <v>73</v>
      </c>
      <c r="CS300" s="211" t="s">
        <v>73</v>
      </c>
      <c r="CT300" s="211" t="s">
        <v>73</v>
      </c>
      <c r="CU300" s="211" t="s">
        <v>73</v>
      </c>
      <c r="CV300" s="211"/>
      <c r="CW300" s="211"/>
      <c r="CX300" s="211"/>
      <c r="CY300" s="211" t="s">
        <v>73</v>
      </c>
      <c r="CZ300" s="212" t="s">
        <v>73</v>
      </c>
    </row>
    <row r="301" spans="81:104" ht="9" customHeight="1">
      <c r="CC301" s="216" t="s">
        <v>73</v>
      </c>
      <c r="CD301" s="211" t="s">
        <v>73</v>
      </c>
      <c r="CE301" s="211"/>
      <c r="CF301" s="211"/>
      <c r="CG301" s="211"/>
      <c r="CH301" s="211"/>
      <c r="CI301" s="211"/>
      <c r="CJ301" s="211"/>
      <c r="CK301" s="211"/>
      <c r="CL301" s="211"/>
      <c r="CM301" s="211"/>
      <c r="CN301" s="211"/>
      <c r="CO301" s="211"/>
      <c r="CP301" s="211"/>
      <c r="CQ301" s="211"/>
      <c r="CR301" s="211"/>
      <c r="CS301" s="211"/>
      <c r="CT301" s="211"/>
      <c r="CU301" s="211"/>
      <c r="CV301" s="211"/>
      <c r="CW301" s="211"/>
      <c r="CX301" s="211"/>
      <c r="CY301" s="211" t="s">
        <v>73</v>
      </c>
      <c r="CZ301" s="212" t="s">
        <v>73</v>
      </c>
    </row>
    <row r="302" spans="81:104" ht="9" customHeight="1">
      <c r="CC302" s="216" t="s">
        <v>73</v>
      </c>
      <c r="CD302" s="211" t="s">
        <v>73</v>
      </c>
      <c r="CE302" s="211"/>
      <c r="CF302" s="211"/>
      <c r="CG302" s="211"/>
      <c r="CH302" s="211"/>
      <c r="CI302" s="211"/>
      <c r="CJ302" s="211"/>
      <c r="CK302" s="211"/>
      <c r="CL302" s="211"/>
      <c r="CM302" s="211"/>
      <c r="CN302" s="211"/>
      <c r="CO302" s="211"/>
      <c r="CP302" s="211" t="s">
        <v>73</v>
      </c>
      <c r="CQ302" s="211" t="s">
        <v>73</v>
      </c>
      <c r="CR302" s="211" t="s">
        <v>73</v>
      </c>
      <c r="CS302" s="211" t="s">
        <v>73</v>
      </c>
      <c r="CT302" s="211" t="s">
        <v>73</v>
      </c>
      <c r="CU302" s="211" t="s">
        <v>73</v>
      </c>
      <c r="CV302" s="211" t="s">
        <v>73</v>
      </c>
      <c r="CW302" s="211"/>
      <c r="CX302" s="211"/>
      <c r="CY302" s="211" t="s">
        <v>73</v>
      </c>
      <c r="CZ302" s="212" t="s">
        <v>73</v>
      </c>
    </row>
    <row r="303" spans="81:104" ht="9" customHeight="1">
      <c r="CC303" s="216" t="s">
        <v>73</v>
      </c>
      <c r="CD303" s="211" t="s">
        <v>73</v>
      </c>
      <c r="CE303" s="211"/>
      <c r="CF303" s="211"/>
      <c r="CG303" s="211"/>
      <c r="CH303" s="211"/>
      <c r="CI303" s="211"/>
      <c r="CJ303" s="211"/>
      <c r="CK303" s="211"/>
      <c r="CL303" s="211"/>
      <c r="CM303" s="211"/>
      <c r="CN303" s="211"/>
      <c r="CO303" s="211"/>
      <c r="CP303" s="211" t="s">
        <v>73</v>
      </c>
      <c r="CQ303" s="211" t="s">
        <v>73</v>
      </c>
      <c r="CR303" s="211" t="s">
        <v>73</v>
      </c>
      <c r="CS303" s="211" t="s">
        <v>73</v>
      </c>
      <c r="CT303" s="211" t="s">
        <v>73</v>
      </c>
      <c r="CU303" s="211" t="s">
        <v>73</v>
      </c>
      <c r="CV303" s="211" t="s">
        <v>73</v>
      </c>
      <c r="CW303" s="211"/>
      <c r="CX303" s="211"/>
      <c r="CY303" s="211" t="s">
        <v>73</v>
      </c>
      <c r="CZ303" s="212" t="s">
        <v>73</v>
      </c>
    </row>
    <row r="304" spans="81:104" ht="9" customHeight="1">
      <c r="CC304" s="216" t="s">
        <v>73</v>
      </c>
      <c r="CD304" s="211" t="s">
        <v>73</v>
      </c>
      <c r="CE304" s="211"/>
      <c r="CF304" s="211"/>
      <c r="CG304" s="211"/>
      <c r="CH304" s="211" t="s">
        <v>73</v>
      </c>
      <c r="CI304" s="211" t="s">
        <v>73</v>
      </c>
      <c r="CJ304" s="211" t="s">
        <v>73</v>
      </c>
      <c r="CK304" s="211" t="s">
        <v>73</v>
      </c>
      <c r="CL304" s="211" t="s">
        <v>73</v>
      </c>
      <c r="CM304" s="211"/>
      <c r="CN304" s="211"/>
      <c r="CO304" s="211"/>
      <c r="CP304" s="211" t="s">
        <v>73</v>
      </c>
      <c r="CQ304" s="211" t="s">
        <v>73</v>
      </c>
      <c r="CR304" s="211" t="s">
        <v>73</v>
      </c>
      <c r="CS304" s="211" t="s">
        <v>73</v>
      </c>
      <c r="CT304" s="211" t="s">
        <v>73</v>
      </c>
      <c r="CU304" s="211" t="s">
        <v>73</v>
      </c>
      <c r="CV304" s="211" t="s">
        <v>73</v>
      </c>
      <c r="CW304" s="211"/>
      <c r="CX304" s="211"/>
      <c r="CY304" s="211" t="s">
        <v>73</v>
      </c>
      <c r="CZ304" s="212" t="s">
        <v>73</v>
      </c>
    </row>
    <row r="305" spans="81:104" ht="9" customHeight="1">
      <c r="CC305" s="216" t="s">
        <v>73</v>
      </c>
      <c r="CD305" s="211" t="s">
        <v>73</v>
      </c>
      <c r="CE305" s="211"/>
      <c r="CF305" s="211"/>
      <c r="CG305" s="211"/>
      <c r="CH305" s="211"/>
      <c r="CI305" s="211"/>
      <c r="CJ305" s="211"/>
      <c r="CK305" s="211"/>
      <c r="CL305" s="211"/>
      <c r="CM305" s="211"/>
      <c r="CN305" s="211"/>
      <c r="CO305" s="211"/>
      <c r="CP305" s="211" t="s">
        <v>73</v>
      </c>
      <c r="CQ305" s="211" t="s">
        <v>73</v>
      </c>
      <c r="CR305" s="211" t="s">
        <v>73</v>
      </c>
      <c r="CS305" s="211" t="s">
        <v>73</v>
      </c>
      <c r="CT305" s="211" t="s">
        <v>73</v>
      </c>
      <c r="CU305" s="211" t="s">
        <v>73</v>
      </c>
      <c r="CV305" s="211" t="s">
        <v>73</v>
      </c>
      <c r="CW305" s="211"/>
      <c r="CX305" s="211"/>
      <c r="CY305" s="211" t="s">
        <v>73</v>
      </c>
      <c r="CZ305" s="212" t="s">
        <v>73</v>
      </c>
    </row>
    <row r="306" spans="81:104" ht="9" customHeight="1">
      <c r="CC306" s="216" t="s">
        <v>73</v>
      </c>
      <c r="CD306" s="211" t="s">
        <v>73</v>
      </c>
      <c r="CE306" s="211"/>
      <c r="CF306" s="211"/>
      <c r="CG306" s="211"/>
      <c r="CH306" s="211"/>
      <c r="CI306" s="211"/>
      <c r="CJ306" s="211"/>
      <c r="CK306" s="211"/>
      <c r="CL306" s="211"/>
      <c r="CM306" s="211"/>
      <c r="CN306" s="211"/>
      <c r="CO306" s="211"/>
      <c r="CP306" s="211" t="s">
        <v>73</v>
      </c>
      <c r="CQ306" s="211" t="s">
        <v>73</v>
      </c>
      <c r="CR306" s="211" t="s">
        <v>73</v>
      </c>
      <c r="CS306" s="228" t="s">
        <v>1423</v>
      </c>
      <c r="CT306" s="211" t="s">
        <v>73</v>
      </c>
      <c r="CU306" s="211" t="s">
        <v>73</v>
      </c>
      <c r="CV306" s="211" t="s">
        <v>73</v>
      </c>
      <c r="CW306" s="211"/>
      <c r="CX306" s="211"/>
      <c r="CY306" s="211" t="s">
        <v>73</v>
      </c>
      <c r="CZ306" s="212" t="s">
        <v>73</v>
      </c>
    </row>
    <row r="307" spans="81:104" ht="9" customHeight="1">
      <c r="CC307" s="216" t="s">
        <v>73</v>
      </c>
      <c r="CD307" s="211" t="s">
        <v>73</v>
      </c>
      <c r="CE307" s="211"/>
      <c r="CF307" s="211"/>
      <c r="CG307" s="211"/>
      <c r="CH307" s="211" t="s">
        <v>73</v>
      </c>
      <c r="CI307" s="211"/>
      <c r="CJ307" s="211"/>
      <c r="CK307" s="211"/>
      <c r="CL307" s="211"/>
      <c r="CM307" s="211"/>
      <c r="CN307" s="211"/>
      <c r="CO307" s="211"/>
      <c r="CP307" s="211"/>
      <c r="CQ307" s="211"/>
      <c r="CR307" s="211"/>
      <c r="CS307" s="211"/>
      <c r="CT307" s="211"/>
      <c r="CU307" s="211"/>
      <c r="CV307" s="211"/>
      <c r="CW307" s="211"/>
      <c r="CX307" s="211"/>
      <c r="CY307" s="211" t="s">
        <v>73</v>
      </c>
      <c r="CZ307" s="212" t="s">
        <v>73</v>
      </c>
    </row>
    <row r="308" spans="81:104" ht="9" customHeight="1">
      <c r="CC308" s="216" t="s">
        <v>73</v>
      </c>
      <c r="CD308" s="211" t="s">
        <v>73</v>
      </c>
      <c r="CE308" s="211"/>
      <c r="CF308" s="211"/>
      <c r="CG308" s="211"/>
      <c r="CH308" s="211"/>
      <c r="CI308" s="211"/>
      <c r="CJ308" s="211"/>
      <c r="CK308" s="211"/>
      <c r="CL308" s="211"/>
      <c r="CM308" s="211"/>
      <c r="CN308" s="211"/>
      <c r="CO308" s="211"/>
      <c r="CP308" s="211"/>
      <c r="CQ308" s="211"/>
      <c r="CR308" s="211"/>
      <c r="CS308" s="211"/>
      <c r="CT308" s="211"/>
      <c r="CU308" s="211"/>
      <c r="CV308" s="211"/>
      <c r="CW308" s="211"/>
      <c r="CX308" s="211"/>
      <c r="CY308" s="211" t="s">
        <v>73</v>
      </c>
      <c r="CZ308" s="212" t="s">
        <v>73</v>
      </c>
    </row>
    <row r="309" spans="81:104" ht="9" customHeight="1">
      <c r="CC309" s="216" t="s">
        <v>73</v>
      </c>
      <c r="CD309" s="211" t="s">
        <v>73</v>
      </c>
      <c r="CE309" s="211"/>
      <c r="CF309" s="211"/>
      <c r="CG309" s="211"/>
      <c r="CH309" s="211"/>
      <c r="CI309" s="211"/>
      <c r="CJ309" s="211"/>
      <c r="CK309" s="211"/>
      <c r="CL309" s="211"/>
      <c r="CM309" s="211"/>
      <c r="CN309" s="211"/>
      <c r="CO309" s="211"/>
      <c r="CP309" s="211" t="s">
        <v>73</v>
      </c>
      <c r="CQ309" s="211" t="s">
        <v>73</v>
      </c>
      <c r="CR309" s="211" t="s">
        <v>73</v>
      </c>
      <c r="CS309" s="211" t="s">
        <v>73</v>
      </c>
      <c r="CT309" s="211" t="s">
        <v>73</v>
      </c>
      <c r="CU309" s="211" t="s">
        <v>73</v>
      </c>
      <c r="CV309" s="211"/>
      <c r="CW309" s="211"/>
      <c r="CX309" s="211"/>
      <c r="CY309" s="211" t="s">
        <v>73</v>
      </c>
      <c r="CZ309" s="212" t="s">
        <v>73</v>
      </c>
    </row>
    <row r="310" spans="81:104" ht="9" customHeight="1">
      <c r="CC310" s="216" t="s">
        <v>73</v>
      </c>
      <c r="CD310" s="211" t="s">
        <v>73</v>
      </c>
      <c r="CE310" s="211"/>
      <c r="CF310" s="211"/>
      <c r="CG310" s="211"/>
      <c r="CH310" s="211"/>
      <c r="CI310" s="211"/>
      <c r="CJ310" s="211" t="s">
        <v>1309</v>
      </c>
      <c r="CK310" s="211" t="s">
        <v>1309</v>
      </c>
      <c r="CL310" s="211" t="s">
        <v>1309</v>
      </c>
      <c r="CM310" s="211" t="s">
        <v>1309</v>
      </c>
      <c r="CN310" s="211"/>
      <c r="CO310" s="211"/>
      <c r="CP310" s="211"/>
      <c r="CQ310" s="211"/>
      <c r="CR310" s="211"/>
      <c r="CS310" s="211"/>
      <c r="CT310" s="211"/>
      <c r="CU310" s="211"/>
      <c r="CV310" s="211"/>
      <c r="CW310" s="211"/>
      <c r="CX310" s="211"/>
      <c r="CY310" s="211" t="s">
        <v>73</v>
      </c>
      <c r="CZ310" s="212" t="s">
        <v>73</v>
      </c>
    </row>
    <row r="311" spans="81:104" ht="9" customHeight="1">
      <c r="CC311" s="216" t="s">
        <v>73</v>
      </c>
      <c r="CD311" s="211" t="s">
        <v>73</v>
      </c>
      <c r="CE311" s="211"/>
      <c r="CF311" s="211"/>
      <c r="CG311" s="211"/>
      <c r="CH311" s="211"/>
      <c r="CI311" s="211"/>
      <c r="CJ311" s="211" t="s">
        <v>1309</v>
      </c>
      <c r="CK311" s="211" t="s">
        <v>1309</v>
      </c>
      <c r="CL311" s="211" t="s">
        <v>1309</v>
      </c>
      <c r="CM311" s="211" t="s">
        <v>1309</v>
      </c>
      <c r="CN311" s="211"/>
      <c r="CO311" s="211"/>
      <c r="CP311" s="211"/>
      <c r="CQ311" s="211"/>
      <c r="CR311" s="211"/>
      <c r="CS311" s="211"/>
      <c r="CT311" s="211"/>
      <c r="CU311" s="211"/>
      <c r="CV311" s="211"/>
      <c r="CW311" s="211"/>
      <c r="CX311" s="211"/>
      <c r="CY311" s="211" t="s">
        <v>73</v>
      </c>
      <c r="CZ311" s="212" t="s">
        <v>73</v>
      </c>
    </row>
    <row r="312" spans="81:104" ht="9" customHeight="1" thickBot="1">
      <c r="CC312" s="217" t="s">
        <v>73</v>
      </c>
      <c r="CD312" s="213" t="s">
        <v>73</v>
      </c>
      <c r="CE312" s="213" t="s">
        <v>73</v>
      </c>
      <c r="CF312" s="213" t="s">
        <v>73</v>
      </c>
      <c r="CG312" s="213" t="s">
        <v>73</v>
      </c>
      <c r="CH312" s="213" t="s">
        <v>73</v>
      </c>
      <c r="CI312" s="213"/>
      <c r="CJ312" s="213" t="s">
        <v>1309</v>
      </c>
      <c r="CK312" s="213" t="s">
        <v>1309</v>
      </c>
      <c r="CL312" s="213" t="s">
        <v>1309</v>
      </c>
      <c r="CM312" s="213" t="s">
        <v>1309</v>
      </c>
      <c r="CN312" s="213"/>
      <c r="CO312" s="213"/>
      <c r="CP312" s="213"/>
      <c r="CQ312" s="213"/>
      <c r="CR312" s="213"/>
      <c r="CS312" s="213"/>
      <c r="CT312" s="213"/>
      <c r="CU312" s="213" t="s">
        <v>73</v>
      </c>
      <c r="CV312" s="213" t="s">
        <v>73</v>
      </c>
      <c r="CW312" s="213" t="s">
        <v>73</v>
      </c>
      <c r="CX312" s="213" t="s">
        <v>73</v>
      </c>
      <c r="CY312" s="213" t="s">
        <v>73</v>
      </c>
      <c r="CZ312" s="214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2023-06-10T08:04:14Z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