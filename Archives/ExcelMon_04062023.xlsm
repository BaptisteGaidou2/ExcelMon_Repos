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D919320F-2C26-46DA-A72A-2F3C6B2B6655}" xr6:coauthVersionLast="47" xr6:coauthVersionMax="47" xr10:uidLastSave="{00000000-0000-0000-0000-000000000000}"/>
  <bookViews>
    <workbookView xWindow="-108" yWindow="-108" windowWidth="23256" windowHeight="12456" tabRatio="748" firstSheet="4" activeTab="12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r:id="rId6"/>
    <sheet name="Taille Pixel" sheetId="1" state="hidden" r:id="rId7"/>
    <sheet name="Pause" sheetId="36" r:id="rId8"/>
    <sheet name="TODO LIST" sheetId="50" r:id="rId9"/>
    <sheet name="Testing" sheetId="22" state="hidden" r:id="rId10"/>
    <sheet name="Testing KeyState" sheetId="25" state="hidden" r:id="rId11"/>
    <sheet name="Credit" sheetId="31" r:id="rId12"/>
    <sheet name="Liste Déroulante" sheetId="14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Map!$BW$306</definedName>
    <definedName name="t_fdj_nord">Map!$G$11</definedName>
    <definedName name="t_fdj_sud">Map!$AE$65</definedName>
    <definedName name="t_lc">Map!$CN$16</definedName>
    <definedName name="t_r02P_NO">Map!$BL$147</definedName>
    <definedName name="t_r02P_SO">Map!$BL$184</definedName>
    <definedName name="Tab_BDD_Sprite" localSheetId="3">Tab_BBD_Sprite[]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53" i="53" l="1"/>
  <c r="BO4" i="53" a="1"/>
  <c r="BO4" i="53" s="1"/>
  <c r="AK4" i="53" a="1"/>
  <c r="AK4" i="53" s="1"/>
  <c r="U3" i="29"/>
  <c r="U4" i="29"/>
  <c r="U5" i="29"/>
  <c r="U6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U19" i="29"/>
  <c r="U20" i="29"/>
  <c r="U21" i="29"/>
  <c r="U22" i="29"/>
  <c r="U23" i="29"/>
  <c r="U24" i="29"/>
  <c r="U25" i="29"/>
  <c r="U26" i="29"/>
  <c r="U27" i="29"/>
  <c r="U28" i="29"/>
  <c r="U29" i="29"/>
  <c r="U30" i="29"/>
  <c r="U31" i="29"/>
  <c r="U32" i="29"/>
  <c r="U33" i="29"/>
  <c r="U34" i="29"/>
  <c r="U35" i="29"/>
  <c r="U36" i="29"/>
  <c r="U37" i="29"/>
  <c r="U38" i="29"/>
  <c r="U39" i="29"/>
  <c r="U40" i="29"/>
  <c r="U41" i="29"/>
  <c r="U42" i="29"/>
  <c r="U43" i="29"/>
  <c r="U44" i="29"/>
  <c r="U45" i="29"/>
  <c r="U46" i="29"/>
  <c r="U47" i="29"/>
  <c r="U48" i="29"/>
  <c r="U49" i="29"/>
  <c r="U50" i="29"/>
  <c r="U51" i="29"/>
  <c r="U52" i="29"/>
  <c r="U53" i="29"/>
  <c r="U54" i="29"/>
  <c r="U55" i="29"/>
  <c r="U56" i="29"/>
  <c r="U57" i="29"/>
  <c r="U58" i="29"/>
  <c r="U59" i="29"/>
  <c r="U60" i="29"/>
  <c r="U61" i="29"/>
  <c r="U62" i="29"/>
  <c r="U63" i="29"/>
  <c r="U64" i="29"/>
  <c r="U65" i="29"/>
  <c r="U66" i="29"/>
  <c r="U67" i="29"/>
  <c r="U68" i="29"/>
  <c r="U69" i="29"/>
  <c r="U70" i="29"/>
  <c r="U71" i="29"/>
  <c r="U72" i="29"/>
  <c r="U73" i="29"/>
  <c r="U74" i="29"/>
  <c r="U75" i="29"/>
  <c r="U76" i="29"/>
  <c r="U77" i="29"/>
  <c r="U78" i="29"/>
  <c r="U79" i="29"/>
  <c r="U80" i="29"/>
  <c r="U81" i="29"/>
  <c r="U82" i="29"/>
  <c r="U83" i="29"/>
  <c r="U84" i="29"/>
  <c r="U85" i="29"/>
  <c r="U86" i="29"/>
  <c r="U87" i="29"/>
  <c r="U88" i="29"/>
  <c r="U89" i="29"/>
  <c r="U90" i="29"/>
  <c r="U91" i="29"/>
  <c r="U92" i="29"/>
  <c r="U93" i="29"/>
  <c r="U94" i="29"/>
  <c r="U95" i="29"/>
  <c r="U96" i="29"/>
  <c r="U97" i="29"/>
  <c r="U98" i="29"/>
  <c r="U99" i="29"/>
  <c r="U100" i="29"/>
  <c r="U101" i="29"/>
  <c r="U102" i="29"/>
  <c r="U103" i="29"/>
  <c r="U104" i="29"/>
  <c r="U105" i="29"/>
  <c r="U106" i="29"/>
  <c r="U107" i="29"/>
  <c r="U108" i="29"/>
  <c r="U109" i="29"/>
  <c r="U110" i="29"/>
  <c r="U111" i="29"/>
  <c r="U112" i="29"/>
  <c r="U113" i="29"/>
  <c r="U114" i="29"/>
  <c r="U115" i="29"/>
  <c r="U116" i="29"/>
  <c r="U117" i="29"/>
  <c r="U118" i="29"/>
  <c r="U119" i="29"/>
  <c r="U120" i="29"/>
  <c r="U121" i="29"/>
  <c r="U122" i="29"/>
  <c r="U123" i="29"/>
  <c r="U124" i="29"/>
  <c r="U125" i="29"/>
  <c r="U126" i="29"/>
  <c r="U127" i="29"/>
  <c r="U128" i="29"/>
  <c r="U129" i="29"/>
  <c r="U130" i="29"/>
  <c r="U131" i="29"/>
  <c r="U132" i="29"/>
  <c r="U133" i="29"/>
  <c r="U134" i="29"/>
  <c r="U135" i="29"/>
  <c r="U136" i="29"/>
  <c r="U137" i="29"/>
  <c r="U138" i="29"/>
  <c r="U139" i="29"/>
  <c r="U140" i="29"/>
  <c r="U141" i="29"/>
  <c r="U142" i="29"/>
  <c r="U143" i="29"/>
  <c r="U144" i="29"/>
  <c r="U145" i="29"/>
  <c r="U146" i="29"/>
  <c r="U147" i="29"/>
  <c r="U148" i="29"/>
  <c r="U149" i="29"/>
  <c r="U150" i="29"/>
  <c r="U151" i="29"/>
  <c r="U152" i="29"/>
  <c r="U153" i="29"/>
  <c r="U154" i="29"/>
  <c r="U155" i="29"/>
  <c r="U156" i="29"/>
  <c r="U157" i="29"/>
  <c r="U158" i="29"/>
  <c r="U159" i="29"/>
  <c r="U160" i="29"/>
  <c r="U161" i="29"/>
  <c r="U162" i="29"/>
  <c r="U163" i="29"/>
  <c r="U164" i="29"/>
  <c r="U165" i="29"/>
  <c r="U166" i="29"/>
  <c r="U167" i="29"/>
  <c r="U168" i="29"/>
  <c r="U169" i="29"/>
  <c r="U170" i="29"/>
  <c r="U171" i="29"/>
  <c r="U172" i="29"/>
  <c r="U173" i="29"/>
  <c r="U174" i="29"/>
  <c r="U175" i="29"/>
  <c r="U176" i="29"/>
  <c r="U177" i="29"/>
  <c r="U178" i="29"/>
  <c r="U179" i="29"/>
  <c r="U180" i="29"/>
  <c r="U181" i="29"/>
  <c r="U182" i="29"/>
  <c r="U183" i="29"/>
  <c r="U184" i="29"/>
  <c r="U185" i="29"/>
  <c r="U186" i="29"/>
  <c r="U187" i="29"/>
  <c r="U188" i="29"/>
  <c r="U189" i="29"/>
  <c r="U190" i="29"/>
  <c r="U191" i="29"/>
  <c r="U192" i="29"/>
  <c r="U193" i="29"/>
  <c r="U194" i="29"/>
  <c r="U195" i="29"/>
  <c r="U196" i="29"/>
  <c r="U197" i="29"/>
  <c r="U198" i="29"/>
  <c r="U199" i="29"/>
  <c r="U200" i="29"/>
  <c r="U201" i="29"/>
  <c r="U202" i="29"/>
  <c r="U203" i="29"/>
  <c r="U204" i="29"/>
  <c r="U205" i="29"/>
  <c r="U206" i="29"/>
  <c r="U207" i="29"/>
  <c r="U208" i="29"/>
  <c r="U209" i="29"/>
  <c r="U210" i="29"/>
  <c r="U211" i="29"/>
  <c r="U212" i="29"/>
  <c r="U213" i="29"/>
  <c r="U214" i="29"/>
  <c r="U215" i="29"/>
  <c r="U216" i="29"/>
  <c r="U217" i="29"/>
  <c r="U218" i="29"/>
  <c r="U219" i="29"/>
  <c r="U220" i="29"/>
  <c r="U221" i="29"/>
  <c r="U222" i="29"/>
  <c r="U223" i="29"/>
  <c r="U224" i="29"/>
  <c r="U225" i="29"/>
  <c r="U226" i="29"/>
  <c r="U227" i="29"/>
  <c r="U228" i="29"/>
  <c r="U229" i="29"/>
  <c r="U230" i="29"/>
  <c r="U231" i="29"/>
  <c r="U232" i="29"/>
  <c r="U233" i="29"/>
  <c r="U234" i="29"/>
  <c r="U235" i="29"/>
  <c r="U236" i="29"/>
  <c r="U237" i="29"/>
  <c r="U238" i="29"/>
  <c r="U239" i="29"/>
  <c r="U240" i="29"/>
  <c r="U241" i="29"/>
  <c r="U242" i="29"/>
  <c r="U243" i="29"/>
  <c r="U244" i="29"/>
  <c r="U245" i="29"/>
  <c r="U246" i="29"/>
  <c r="U247" i="29"/>
  <c r="U248" i="29"/>
  <c r="U249" i="29"/>
  <c r="U250" i="29"/>
  <c r="U251" i="29"/>
  <c r="U252" i="29"/>
  <c r="U253" i="29"/>
  <c r="U254" i="29"/>
  <c r="U255" i="29"/>
  <c r="U256" i="29"/>
  <c r="U257" i="29"/>
  <c r="U258" i="29"/>
  <c r="U259" i="29"/>
  <c r="U260" i="29"/>
  <c r="U261" i="29"/>
  <c r="U262" i="29"/>
  <c r="U263" i="29"/>
  <c r="U264" i="29"/>
  <c r="U265" i="29"/>
  <c r="U266" i="29"/>
  <c r="U267" i="29"/>
  <c r="U268" i="29"/>
  <c r="U269" i="29"/>
  <c r="U270" i="29"/>
  <c r="U271" i="29"/>
  <c r="U272" i="29"/>
  <c r="U273" i="29"/>
  <c r="U274" i="29"/>
  <c r="U275" i="29"/>
  <c r="U276" i="29"/>
  <c r="U277" i="29"/>
  <c r="U278" i="29"/>
  <c r="U279" i="29"/>
  <c r="U280" i="29"/>
  <c r="U281" i="29"/>
  <c r="U282" i="29"/>
  <c r="U283" i="29"/>
  <c r="U284" i="29"/>
  <c r="U285" i="29"/>
  <c r="U286" i="29"/>
  <c r="U287" i="29"/>
  <c r="U288" i="29"/>
  <c r="U289" i="29"/>
  <c r="U290" i="29"/>
  <c r="U291" i="29"/>
  <c r="U292" i="29"/>
  <c r="U293" i="29"/>
  <c r="U294" i="29"/>
  <c r="U295" i="29"/>
  <c r="U296" i="29"/>
  <c r="U297" i="29"/>
  <c r="U298" i="29"/>
  <c r="U299" i="29"/>
  <c r="U300" i="29"/>
  <c r="U301" i="29"/>
  <c r="U302" i="29"/>
  <c r="U303" i="29"/>
  <c r="U304" i="29"/>
  <c r="U305" i="29"/>
  <c r="U306" i="29"/>
  <c r="U307" i="29"/>
  <c r="U308" i="29"/>
  <c r="C13" i="20"/>
  <c r="AI4" i="48" a="1"/>
  <c r="AI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C10" i="20" a="1"/>
  <c r="G10" i="20" a="1"/>
  <c r="C33" i="20" a="1"/>
  <c r="C9" i="20" a="1"/>
  <c r="F3" i="1" a="1"/>
  <c r="C32" i="20" a="1"/>
  <c r="G9" i="20" a="1"/>
  <c r="H10" i="29" a="1"/>
  <c r="H6" i="29" a="1"/>
  <c r="H3" i="29" a="1"/>
  <c r="H7" i="29" a="1"/>
  <c r="H8" i="29" a="1"/>
  <c r="H9" i="29" a="1"/>
  <c r="H4" i="29" a="1"/>
  <c r="H5" i="29" a="1"/>
  <c r="H10" i="29" l="1"/>
  <c r="H5" i="29"/>
  <c r="H9" i="29"/>
  <c r="H8" i="29"/>
  <c r="H7" i="29"/>
  <c r="H6" i="29"/>
  <c r="H4" i="29"/>
  <c r="H3" i="29"/>
  <c r="F3" i="1"/>
  <c r="C10" i="20"/>
  <c r="D13" i="20"/>
  <c r="C12" i="20"/>
  <c r="D12" i="20" s="1"/>
  <c r="C9" i="20"/>
  <c r="G10" i="20"/>
  <c r="G9" i="20"/>
  <c r="C32" i="20"/>
  <c r="C33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<sst xmlns="http://schemas.openxmlformats.org/spreadsheetml/2006/main" count="18052" uniqueCount="2114">
  <si>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</si>
  <si>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</si>
  <si>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</si>
  <si>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</si>
  <si>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</si>
  <si>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</si>
  <si>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</si>
  <si>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</si>
  <si>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</si>
  <si>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</si>
  <si>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</si>
  <si>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</si>
  <si>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</si>
  <si>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</si>
  <si>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</si>
  <si>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</si>
  <si>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</si>
  <si>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</si>
  <si>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</si>
  <si>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</si>
  <si>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</si>
  <si>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</si>
  <si>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</si>
  <si>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</si>
  <si>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</si>
  <si>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</si>
  <si>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</si>
  <si>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</si>
  <si>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</si>
  <si>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</si>
  <si>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</si>
  <si>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</si>
  <si>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</si>
  <si>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</si>
  <si>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</si>
  <si>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</si>
  <si>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</si>
  <si>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</si>
  <si>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</si>
  <si>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</si>
  <si>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</si>
  <si>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</si>
  <si>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</si>
  <si>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</si>
  <si>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</si>
  <si>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</si>
  <si>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</si>
  <si>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</si>
  <si>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</si>
  <si>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</si>
  <si>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</si>
  <si>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</si>
  <si>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</si>
  <si>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</si>
  <si>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</si>
  <si>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</si>
  <si>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</si>
  <si>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</si>
  <si>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</si>
  <si>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</si>
  <si>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</si>
  <si>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</si>
  <si>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</si>
  <si>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</si>
  <si>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</si>
  <si>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</si>
  <si>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</si>
  <si>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</si>
  <si>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</si>
  <si>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</si>
  <si>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</si>
  <si>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</si>
  <si>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</si>
  <si>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</si>
  <si>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</si>
  <si>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</si>
  <si>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</si>
  <si>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</si>
  <si>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</si>
  <si>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</si>
  <si>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</si>
  <si>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</si>
  <si>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</si>
  <si>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</si>
  <si>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</si>
  <si>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</si>
  <si>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</si>
  <si>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</si>
  <si>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</si>
  <si>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</si>
  <si>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</si>
  <si>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</si>
  <si>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</si>
  <si>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</si>
  <si>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</si>
  <si>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</si>
  <si>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</si>
  <si>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</si>
  <si>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</si>
  <si>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</si>
  <si>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</si>
  <si>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</si>
  <si>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</si>
  <si>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</si>
  <si>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</si>
  <si>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</si>
  <si>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</si>
  <si>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</si>
  <si>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</si>
  <si>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</si>
  <si>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</si>
  <si>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</si>
  <si>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</si>
  <si>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</si>
  <si>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</si>
  <si>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</si>
  <si>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</si>
  <si>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</si>
  <si>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</si>
  <si>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</si>
  <si>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</si>
  <si>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</si>
  <si>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</si>
  <si>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</si>
  <si>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</si>
  <si>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</si>
  <si>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</si>
  <si>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</si>
  <si>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</si>
  <si>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</si>
  <si>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</si>
  <si>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</si>
  <si>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</si>
  <si>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</si>
  <si>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</si>
  <si>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</si>
  <si>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</si>
  <si>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</si>
  <si>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</si>
  <si>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</si>
  <si>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</si>
  <si>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</si>
  <si>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</si>
  <si>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</si>
  <si>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</si>
  <si>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</si>
  <si>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</si>
  <si>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</si>
  <si>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</si>
  <si>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</si>
  <si>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</si>
  <si>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</si>
  <si>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</si>
  <si>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</si>
  <si>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</si>
  <si>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</si>
  <si>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</si>
  <si>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</si>
  <si>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</si>
  <si>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</si>
  <si>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</si>
  <si>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</si>
  <si>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</si>
  <si>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</si>
  <si>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</si>
  <si>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</si>
  <si>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</si>
  <si>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</si>
  <si>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</si>
  <si>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</si>
  <si>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</si>
  <si>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</si>
  <si>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</si>
  <si>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</si>
  <si>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</si>
  <si>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</si>
  <si>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</si>
  <si>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</si>
  <si>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</si>
  <si>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</si>
  <si>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</si>
  <si>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</si>
  <si>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</si>
  <si>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</si>
  <si>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</si>
  <si>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</si>
  <si>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</si>
  <si>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</si>
  <si>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</si>
  <si>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</si>
  <si>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</si>
  <si>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</si>
  <si>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</si>
  <si>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</si>
  <si>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</si>
  <si>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</si>
  <si>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</si>
  <si>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</si>
  <si>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</si>
  <si>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</si>
  <si>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</si>
  <si>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</si>
  <si>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</si>
  <si>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</si>
  <si>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</si>
  <si>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</si>
  <si>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</si>
  <si>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</si>
  <si>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</si>
  <si>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</si>
  <si>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</si>
  <si>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</si>
  <si>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</si>
  <si>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</si>
  <si>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</si>
  <si>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</si>
  <si>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</si>
  <si>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</si>
  <si>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</si>
  <si>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</si>
  <si>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</si>
  <si>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</si>
  <si>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</si>
  <si>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</si>
  <si>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</si>
  <si>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</si>
  <si>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</si>
  <si>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</si>
  <si>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</si>
  <si>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</si>
  <si>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</si>
  <si>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</si>
  <si>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</si>
  <si>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</si>
  <si>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</si>
  <si>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</si>
  <si>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</si>
  <si>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</si>
  <si>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</si>
  <si>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</si>
  <si>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</si>
  <si>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</si>
  <si>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</si>
  <si>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</si>
  <si>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</si>
  <si>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</si>
  <si>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</si>
  <si>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</si>
  <si>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</si>
  <si>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</si>
  <si>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</si>
  <si>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</si>
  <si>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</si>
  <si>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</si>
  <si>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</si>
  <si>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</si>
  <si>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</si>
  <si>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</si>
  <si>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</si>
  <si>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</si>
  <si>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</si>
  <si>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</si>
  <si>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</si>
  <si>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</si>
  <si>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</si>
  <si>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</si>
  <si>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</si>
  <si>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</si>
  <si>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</si>
  <si>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</si>
  <si>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</si>
  <si>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</si>
  <si>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</si>
  <si>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</si>
  <si>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</si>
  <si>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</si>
  <si>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</si>
  <si>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</si>
  <si>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</si>
  <si>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</si>
  <si>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</si>
  <si>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</si>
  <si>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</si>
  <si>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</si>
  <si>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</si>
  <si>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</si>
  <si>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</si>
  <si>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</si>
  <si>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</si>
  <si>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</si>
  <si>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</si>
  <si>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</si>
  <si>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</si>
  <si>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</si>
  <si>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</si>
  <si>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</si>
  <si>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</si>
  <si>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</si>
  <si>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</si>
  <si>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</si>
  <si>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</si>
  <si>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</si>
  <si>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</si>
  <si>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</si>
  <si>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</si>
  <si>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</si>
  <si>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</si>
  <si>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</si>
  <si>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</si>
  <si>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</si>
  <si>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</si>
  <si>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</si>
  <si>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</si>
  <si>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</si>
  <si>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</si>
  <si>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</si>
  <si>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</si>
  <si>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</si>
  <si>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</si>
  <si>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</si>
  <si>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</si>
  <si>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</si>
  <si>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</si>
  <si>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</si>
  <si>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</si>
  <si>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</si>
  <si>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</si>
  <si>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</si>
  <si>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</si>
  <si>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</si>
  <si>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</si>
  <si>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</si>
  <si>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</si>
  <si>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</si>
  <si>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</si>
  <si>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</si>
  <si>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</si>
  <si>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</si>
  <si>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</si>
  <si>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</si>
  <si>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</si>
  <si>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</si>
  <si>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</si>
  <si>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</si>
  <si>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</si>
  <si>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</si>
  <si>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</si>
  <si>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</si>
  <si>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</si>
  <si>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</si>
  <si>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</si>
  <si>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</si>
  <si>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</si>
  <si>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</si>
  <si>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</si>
  <si>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</si>
  <si>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</si>
  <si>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</si>
  <si>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</si>
  <si>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</si>
  <si>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</si>
  <si>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</si>
  <si>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</si>
  <si>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</si>
  <si>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</si>
  <si>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</si>
  <si>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</si>
  <si>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</si>
  <si>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</si>
  <si>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</si>
  <si>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</si>
  <si>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</si>
  <si>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</si>
  <si>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</si>
  <si>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</si>
  <si>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</si>
  <si>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</si>
  <si>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</si>
  <si>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</si>
  <si>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</si>
  <si>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</si>
  <si>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</si>
  <si>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</si>
  <si>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</si>
  <si>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</si>
  <si>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</si>
  <si>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</si>
  <si>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</si>
  <si>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</si>
  <si>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</si>
  <si>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</si>
  <si>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</si>
  <si>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</si>
  <si>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</si>
  <si>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</si>
  <si>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</si>
  <si>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</si>
  <si>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</si>
  <si>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</si>
  <si>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</si>
  <si>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</si>
  <si>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</si>
  <si>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</si>
  <si>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</si>
  <si>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</si>
  <si>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</si>
  <si>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</si>
  <si>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</si>
  <si>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</si>
  <si>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</si>
  <si>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</si>
  <si>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</si>
  <si>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</si>
  <si>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</si>
  <si>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</si>
  <si>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</si>
  <si>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</si>
  <si>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</si>
  <si>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</si>
  <si>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</si>
  <si>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</si>
  <si>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</si>
  <si>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</si>
  <si>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</si>
  <si>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</si>
  <si>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</si>
  <si>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</si>
  <si>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</si>
  <si>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</si>
  <si>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</si>
  <si>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</si>
  <si>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</si>
  <si>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</si>
  <si>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</si>
  <si>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</si>
  <si>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</si>
  <si>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</si>
  <si>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</si>
  <si>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</si>
  <si>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</si>
  <si>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</si>
  <si>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</si>
  <si>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</si>
  <si>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</si>
  <si>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</si>
  <si>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</si>
  <si>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</si>
  <si>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</si>
  <si>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</si>
  <si>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</si>
  <si>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</si>
  <si>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</si>
  <si>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</si>
  <si>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</si>
  <si>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</si>
  <si>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</si>
  <si>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</si>
  <si>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</si>
  <si>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</si>
  <si>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</si>
  <si>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</si>
  <si>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</si>
  <si>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</si>
  <si>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</si>
  <si>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</si>
  <si>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</si>
  <si>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</si>
  <si>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</si>
  <si>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</si>
  <si>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</si>
  <si>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</si>
  <si>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</si>
  <si>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</si>
  <si>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</si>
  <si>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</si>
  <si>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</si>
  <si>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</si>
  <si>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</si>
  <si>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</si>
  <si>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</si>
  <si>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</si>
  <si>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</si>
  <si>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</si>
  <si>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</si>
  <si>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</si>
  <si>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</si>
  <si>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</si>
  <si>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</si>
  <si>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</si>
  <si>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</si>
  <si>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</si>
  <si>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</si>
  <si>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</si>
  <si>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</si>
  <si>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</si>
  <si>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</si>
  <si>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</si>
  <si>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</si>
  <si>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</si>
  <si>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</si>
  <si>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</si>
  <si>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</si>
  <si>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</si>
  <si>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</si>
  <si>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</si>
  <si>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</si>
  <si>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</si>
  <si>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</si>
  <si>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</si>
  <si>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</si>
  <si>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</si>
  <si>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</si>
  <si>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</si>
  <si>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</si>
  <si>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</si>
  <si>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</si>
  <si>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</si>
  <si>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</si>
  <si>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</si>
  <si>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</si>
  <si>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</si>
  <si>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</si>
  <si>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</si>
  <si>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</si>
  <si>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</si>
  <si>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</si>
  <si>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</si>
  <si>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</si>
  <si>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</si>
  <si>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</si>
  <si>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</si>
  <si>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</si>
  <si>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</si>
  <si>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</si>
  <si>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</si>
  <si>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</si>
  <si>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</si>
  <si>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</si>
  <si>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</si>
  <si>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</si>
  <si>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</si>
  <si>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</si>
  <si>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</si>
  <si>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</si>
  <si>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</si>
  <si>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</si>
  <si>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</si>
  <si>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</si>
  <si>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</si>
  <si>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</si>
  <si>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</si>
  <si>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</si>
  <si>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</si>
  <si>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</si>
  <si>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</si>
  <si>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</si>
  <si>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</si>
  <si>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</si>
  <si>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</si>
  <si>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</si>
  <si>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</si>
  <si>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</si>
  <si>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</si>
  <si>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</si>
  <si>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</si>
  <si>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</si>
  <si>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</si>
  <si>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</si>
  <si>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</si>
  <si>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</si>
  <si>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</si>
  <si>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</si>
  <si>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</si>
  <si>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</si>
  <si>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</si>
  <si>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</si>
  <si>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</si>
  <si>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</si>
  <si>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</si>
  <si>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</si>
  <si>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</si>
  <si>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</si>
  <si>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</si>
  <si>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</si>
  <si>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</si>
  <si>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</si>
  <si>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</si>
  <si>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</si>
  <si>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</si>
  <si>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</si>
  <si>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</si>
  <si>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</si>
  <si>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</si>
  <si>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</si>
  <si>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</si>
  <si>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</si>
  <si>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</si>
  <si>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</si>
  <si>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</si>
  <si>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</si>
  <si>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</si>
  <si>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</si>
  <si>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</si>
  <si>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</si>
  <si>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</si>
  <si>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</si>
  <si>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</si>
  <si>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</si>
  <si>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</si>
  <si>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</si>
  <si>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</si>
  <si>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</si>
  <si>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</si>
  <si>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</si>
  <si>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</si>
  <si>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</si>
  <si>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</si>
  <si>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</si>
  <si>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</si>
  <si>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</si>
  <si>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</si>
  <si>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</si>
  <si>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</si>
  <si>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</si>
  <si>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</si>
  <si>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</si>
  <si>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</si>
  <si>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</si>
  <si>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</si>
  <si>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</si>
  <si>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</si>
  <si>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</si>
  <si>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</si>
  <si>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</si>
  <si>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</si>
  <si>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</si>
  <si>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</si>
  <si>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</si>
  <si>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</si>
  <si>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</si>
  <si>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</si>
  <si>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</si>
  <si>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</si>
  <si>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</si>
  <si>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</si>
  <si>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</si>
  <si>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</si>
  <si>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</si>
  <si>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</si>
  <si>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</si>
  <si>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</si>
  <si>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</si>
  <si>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</si>
  <si>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</si>
  <si>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</si>
  <si>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</si>
  <si>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</si>
  <si>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</si>
  <si>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</si>
  <si>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</si>
  <si>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</si>
  <si>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</si>
  <si>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</si>
  <si>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</si>
  <si>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</si>
  <si>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</si>
  <si>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</si>
  <si>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</si>
  <si>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</si>
  <si>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</si>
  <si>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</si>
  <si>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</si>
  <si>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</si>
  <si>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</si>
  <si>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</si>
  <si>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</si>
  <si>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</si>
  <si>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</si>
  <si>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</si>
  <si>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</si>
  <si>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</si>
  <si>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</si>
  <si>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</si>
  <si>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</si>
  <si>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</si>
  <si>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</si>
  <si>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</si>
  <si>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</si>
  <si>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</si>
  <si>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</si>
  <si>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</si>
  <si>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</si>
  <si>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</si>
  <si>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</si>
  <si>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</si>
  <si>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</si>
  <si>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</si>
  <si>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</si>
  <si>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</si>
  <si>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</si>
  <si>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</si>
  <si>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</si>
  <si>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</si>
  <si>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</si>
  <si>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</si>
  <si>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</si>
  <si>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</si>
  <si>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</si>
  <si>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</si>
  <si>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</si>
  <si>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</si>
  <si>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</si>
  <si>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</si>
  <si>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</si>
  <si>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</si>
  <si>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</si>
  <si>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</si>
  <si>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</si>
  <si>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</si>
  <si>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</si>
  <si>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</si>
  <si>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</si>
  <si>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</si>
  <si>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</si>
  <si>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</si>
  <si>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</si>
  <si>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</si>
  <si>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</si>
  <si>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</si>
  <si>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</si>
  <si>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</si>
  <si>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</si>
  <si>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</si>
  <si>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</si>
  <si>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</si>
  <si>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</si>
  <si>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</si>
  <si>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</si>
  <si>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</si>
  <si>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</si>
  <si>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</si>
  <si>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</si>
  <si>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</si>
  <si>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</si>
  <si>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</si>
  <si>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</si>
  <si>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</si>
  <si>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</si>
  <si>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</si>
  <si>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</si>
  <si>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</si>
  <si>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</si>
  <si>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</si>
  <si>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</si>
  <si>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</si>
  <si>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</si>
  <si>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</si>
  <si>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</si>
  <si>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</si>
  <si>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</si>
  <si>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</si>
  <si>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</si>
  <si>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</si>
  <si>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</si>
  <si>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</si>
  <si>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</si>
  <si>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</si>
  <si>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</si>
  <si>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</si>
  <si>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</si>
  <si>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</si>
  <si>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</si>
  <si>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</si>
  <si>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</si>
  <si>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</si>
  <si>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</si>
  <si>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</si>
  <si>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</si>
  <si>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</si>
  <si>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</si>
  <si>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</si>
  <si>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</si>
  <si>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</si>
  <si>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</si>
  <si>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</si>
  <si>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</si>
  <si>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</si>
  <si>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</si>
  <si>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</si>
  <si>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</si>
  <si>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</si>
  <si>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</si>
  <si>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</si>
  <si>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</si>
  <si>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</si>
  <si>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</si>
  <si>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</si>
  <si>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</si>
  <si>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</si>
  <si>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</si>
  <si>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</si>
  <si>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</si>
  <si>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</si>
  <si>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</si>
  <si>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</si>
  <si>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</si>
  <si>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</si>
  <si>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</si>
  <si>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</si>
  <si>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</si>
  <si>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</si>
  <si>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</si>
  <si>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</si>
  <si>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</si>
  <si>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</si>
  <si>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</si>
  <si>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</si>
  <si>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</si>
  <si>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</si>
  <si>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</si>
  <si>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</si>
  <si>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</si>
  <si>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</si>
  <si>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</si>
  <si>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</si>
  <si>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</si>
  <si>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</si>
  <si>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</si>
  <si>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</si>
  <si>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</si>
  <si>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</si>
  <si>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</si>
  <si>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</si>
  <si>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</si>
  <si>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</si>
  <si>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</si>
  <si>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</si>
  <si>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</si>
  <si>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</si>
  <si>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</si>
  <si>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</si>
  <si>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</si>
  <si>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</si>
  <si>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</si>
  <si>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</si>
  <si>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</si>
  <si>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</si>
  <si>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</si>
  <si>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</si>
  <si>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</si>
  <si>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</si>
  <si>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</si>
  <si>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</si>
  <si>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</si>
  <si>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</si>
  <si>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</si>
  <si>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</si>
  <si>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</si>
  <si>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</si>
  <si>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</si>
  <si>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</si>
  <si>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</si>
  <si>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</si>
  <si>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</si>
  <si>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</si>
  <si>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</si>
  <si>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</si>
  <si>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</si>
  <si>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</si>
  <si>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</si>
  <si>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</si>
  <si>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</si>
  <si>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</si>
  <si>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</si>
  <si>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</si>
  <si>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</si>
  <si>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</si>
  <si>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</si>
  <si>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</si>
  <si>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</si>
  <si>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</si>
  <si>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</si>
  <si>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</si>
  <si>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</si>
  <si>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</si>
  <si>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</si>
  <si>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</si>
  <si>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</si>
  <si>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</si>
  <si>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</si>
  <si>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</si>
  <si>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</si>
  <si>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</si>
  <si>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</si>
  <si>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</si>
  <si>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</si>
  <si>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</si>
  <si>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</si>
  <si>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</si>
  <si>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</si>
  <si>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</si>
  <si>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</si>
  <si>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</si>
  <si>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</si>
  <si>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</si>
  <si>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</si>
  <si>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</si>
  <si>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</si>
  <si>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</si>
  <si>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</si>
  <si>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</si>
  <si>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</si>
  <si>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</si>
  <si>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</si>
  <si>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</si>
  <si>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</si>
  <si>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</si>
  <si>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</si>
  <si>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</si>
  <si>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</si>
  <si>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</si>
  <si>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</si>
  <si>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</si>
  <si>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</si>
  <si>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</si>
  <si>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</si>
  <si>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</si>
  <si>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</si>
  <si>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</si>
  <si>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</si>
  <si>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</si>
  <si>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</si>
  <si>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</si>
  <si>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</si>
  <si>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</si>
  <si>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</si>
  <si>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</si>
  <si>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</si>
  <si>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</si>
  <si>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</si>
  <si>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</si>
  <si>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</si>
  <si>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</si>
  <si>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</si>
  <si>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</si>
  <si>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</si>
  <si>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</si>
  <si>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</si>
  <si>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</si>
  <si>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</si>
  <si>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</si>
  <si>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</si>
  <si>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</si>
  <si>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</si>
  <si>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</si>
  <si>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</si>
  <si>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</si>
  <si>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</si>
  <si>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</si>
  <si>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</si>
  <si>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</si>
  <si>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</si>
  <si>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</si>
  <si>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</si>
  <si>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</si>
  <si>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</si>
  <si>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</si>
  <si>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</si>
  <si>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</si>
  <si>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</si>
  <si>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</si>
  <si>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</si>
  <si>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</si>
  <si>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</si>
  <si>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</si>
  <si>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</si>
  <si>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</si>
  <si>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</si>
  <si>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</si>
  <si>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</si>
  <si>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</si>
  <si>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</si>
  <si>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</si>
  <si>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</si>
  <si>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</si>
  <si>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</si>
  <si>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</si>
  <si>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</si>
  <si>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</si>
  <si>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</si>
  <si>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</si>
  <si>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</si>
  <si>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</si>
  <si>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</si>
  <si>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</si>
  <si>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</si>
  <si>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</si>
  <si>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</si>
  <si>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</si>
  <si>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</si>
  <si>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</si>
  <si>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</si>
  <si>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</si>
  <si>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</si>
  <si>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</si>
  <si>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</si>
  <si>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</si>
  <si>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</si>
  <si>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</si>
  <si>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</si>
  <si>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</si>
  <si>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</si>
  <si>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</si>
  <si>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</si>
  <si>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</si>
  <si>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</si>
  <si>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</si>
  <si>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</si>
  <si>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</si>
  <si>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</si>
  <si>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</si>
  <si>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</si>
  <si>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</si>
  <si>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</si>
  <si>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</si>
  <si>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</si>
  <si>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</si>
  <si>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</si>
  <si>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</si>
  <si>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</si>
  <si>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</si>
  <si>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</si>
  <si>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</si>
  <si>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</si>
  <si>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</si>
  <si>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</si>
  <si>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</si>
  <si>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</si>
  <si>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</si>
  <si>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</si>
  <si>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</si>
  <si>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</si>
  <si>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</si>
  <si>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</si>
  <si>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</si>
  <si>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</si>
  <si>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</si>
  <si>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</si>
  <si>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</si>
  <si>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</si>
  <si>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</si>
  <si>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</si>
  <si>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</si>
  <si>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</si>
  <si>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</si>
  <si>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</si>
  <si>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</si>
  <si>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</si>
  <si>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</si>
  <si>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</si>
  <si>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</si>
  <si>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</si>
  <si>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</si>
  <si>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</si>
  <si>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</si>
  <si>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</si>
  <si>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</si>
  <si>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</si>
  <si>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</si>
  <si>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</si>
  <si>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</si>
  <si>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</si>
  <si>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</si>
  <si>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</si>
  <si>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</si>
  <si>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</si>
  <si>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</si>
  <si>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</si>
  <si>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</si>
  <si>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</si>
  <si>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</si>
  <si>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</si>
  <si>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</si>
  <si>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</si>
  <si>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</si>
  <si>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</si>
  <si>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</si>
  <si>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</si>
  <si>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</si>
  <si>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</si>
  <si>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</si>
  <si>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</si>
  <si>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</si>
  <si>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</si>
  <si>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</si>
  <si>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</si>
  <si>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</si>
  <si>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</si>
  <si>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</si>
  <si>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</si>
  <si>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</si>
  <si>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</si>
  <si>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</si>
  <si>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</si>
  <si>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</si>
  <si>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</si>
  <si>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</si>
  <si>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</si>
  <si>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</si>
  <si>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</si>
  <si>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</si>
  <si>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</si>
  <si>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</si>
  <si>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</si>
  <si>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</si>
  <si>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</si>
  <si>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</si>
  <si>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</si>
  <si>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</si>
  <si>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</si>
  <si>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</si>
  <si>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</si>
  <si>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</si>
  <si>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</si>
  <si>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</si>
  <si>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</si>
  <si>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</si>
  <si>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</si>
  <si>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</si>
  <si>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</si>
  <si>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</si>
  <si>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</si>
  <si>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</si>
  <si>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</si>
  <si>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</si>
  <si>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</si>
  <si>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</si>
  <si>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</si>
  <si>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</si>
  <si>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</si>
  <si>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</si>
  <si>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</si>
  <si>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</si>
  <si>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</si>
  <si>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</si>
  <si>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</si>
  <si>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</si>
  <si>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</si>
  <si>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</si>
  <si>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</si>
  <si>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</si>
  <si>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</si>
  <si>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</si>
  <si>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</si>
  <si>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</si>
  <si>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</si>
  <si>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</si>
  <si>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</si>
  <si>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</si>
  <si>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</si>
  <si>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</si>
  <si>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</si>
  <si>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</si>
  <si>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</si>
  <si>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</si>
  <si>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</si>
  <si>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</si>
  <si>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</si>
  <si>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</si>
  <si>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</si>
  <si>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</si>
  <si>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</si>
  <si>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</si>
  <si>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</si>
  <si>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</si>
  <si>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</si>
  <si>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</si>
  <si>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</si>
  <si>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</si>
  <si>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</si>
  <si>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</si>
  <si>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</si>
  <si>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</si>
  <si>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</si>
  <si>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</si>
  <si>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</si>
  <si>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</si>
  <si>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</si>
  <si>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</si>
  <si>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</si>
  <si>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</si>
  <si>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</si>
  <si>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</si>
  <si>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</si>
  <si>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</si>
  <si>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</si>
  <si>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</si>
  <si>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</si>
  <si>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</si>
  <si>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</si>
  <si>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</si>
  <si>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</si>
  <si>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</si>
  <si>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</si>
  <si>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</si>
  <si>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</si>
  <si>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</si>
  <si>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</si>
  <si>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</si>
  <si>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</si>
  <si>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</si>
  <si>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</si>
  <si>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</si>
  <si>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</si>
  <si>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</si>
  <si>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</si>
  <si>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</si>
  <si>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</si>
  <si>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</si>
  <si>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</si>
  <si>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</si>
  <si>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</si>
  <si>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</si>
  <si>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</si>
  <si>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</si>
  <si>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</si>
  <si>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</si>
  <si>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</si>
  <si>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</si>
  <si>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</si>
  <si>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</si>
  <si>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</si>
  <si>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</si>
  <si>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</si>
  <si>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</si>
  <si>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</si>
  <si>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</si>
  <si>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</si>
  <si>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</si>
  <si>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</si>
  <si>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</si>
  <si>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</si>
  <si>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</si>
  <si>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</si>
  <si>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</si>
  <si>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</si>
  <si>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</si>
  <si>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</si>
  <si>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</si>
  <si>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</si>
  <si>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</si>
  <si>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</si>
  <si>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</si>
  <si>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</si>
  <si>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</si>
  <si>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</si>
  <si>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</si>
  <si>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</si>
  <si>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</si>
  <si>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</si>
  <si>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</si>
  <si>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</si>
  <si>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</si>
  <si>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</si>
  <si>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</si>
  <si>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</si>
  <si>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</si>
  <si>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</si>
  <si>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</si>
  <si>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</si>
  <si>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</si>
  <si>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</si>
  <si>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</si>
  <si>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</si>
  <si>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</si>
  <si>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</si>
  <si>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</si>
  <si>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</si>
  <si>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</si>
  <si>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</si>
  <si>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</si>
  <si>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</si>
  <si>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</si>
  <si>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</si>
  <si>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</si>
  <si>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</si>
  <si>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</si>
  <si>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</si>
  <si>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</si>
  <si>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</si>
  <si>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</si>
  <si>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</si>
  <si>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</si>
  <si>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</si>
  <si>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</si>
  <si>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</si>
  <si>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</si>
  <si>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</si>
  <si>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</si>
  <si>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</si>
  <si>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</si>
  <si>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</si>
  <si>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</si>
  <si>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</si>
  <si>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</si>
  <si>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</si>
  <si>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</si>
  <si>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</si>
  <si>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</si>
  <si>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</si>
  <si>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</si>
  <si>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</si>
  <si>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</si>
  <si>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</si>
  <si>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</si>
  <si>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</si>
  <si>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</si>
  <si>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</si>
  <si>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</si>
  <si>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</si>
  <si>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</si>
  <si>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</si>
  <si>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</si>
  <si>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</si>
  <si>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</si>
  <si>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</si>
  <si>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</si>
  <si>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</si>
  <si>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</si>
  <si>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</si>
  <si>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</si>
  <si>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</si>
  <si>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</si>
  <si>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</si>
  <si>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</si>
  <si>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</si>
  <si>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</si>
  <si>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</si>
  <si>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</si>
  <si>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</si>
  <si>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</si>
  <si>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</si>
  <si>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</si>
  <si>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</si>
  <si>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</si>
  <si>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</si>
  <si>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</si>
  <si>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</si>
  <si>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</si>
  <si>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</si>
  <si>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</si>
  <si>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</si>
  <si>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</si>
  <si>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</si>
  <si>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</si>
  <si>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</si>
  <si>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</si>
  <si>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</si>
  <si>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</si>
  <si>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</si>
  <si>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</si>
  <si>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</si>
  <si>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</si>
  <si>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</si>
  <si>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</si>
  <si>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</si>
  <si>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</si>
  <si>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</si>
  <si>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</si>
  <si>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</si>
  <si>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</si>
  <si>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</si>
  <si>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</si>
  <si>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</si>
  <si>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</si>
  <si>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</si>
  <si>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</si>
  <si>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</si>
  <si>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</si>
  <si>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</si>
  <si>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</si>
  <si>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</si>
  <si>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</si>
  <si>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</si>
  <si>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</si>
  <si>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</si>
  <si>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</si>
  <si>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</si>
  <si>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</si>
  <si>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</si>
  <si>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</si>
  <si>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</si>
  <si>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</si>
  <si>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</si>
  <si>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</si>
  <si>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</si>
  <si>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</si>
  <si>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</si>
  <si>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</si>
  <si>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</si>
  <si>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</si>
  <si>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</si>
  <si>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</si>
  <si>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</si>
  <si>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</si>
  <si>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</si>
  <si>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</si>
  <si>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</si>
  <si>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</si>
  <si>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</si>
  <si>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</si>
  <si>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</si>
  <si>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</si>
  <si>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</si>
  <si>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</si>
  <si>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</si>
  <si>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</si>
  <si>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</si>
  <si>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</si>
  <si>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</si>
  <si>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s1</t>
  </si>
  <si>
    <t>s2</t>
  </si>
  <si>
    <t>s3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</si>
  <si>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</si>
  <si>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</si>
  <si>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</si>
  <si>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</si>
  <si>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</si>
  <si>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</si>
  <si>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</si>
  <si>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</si>
  <si>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</si>
  <si>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Obtention Starter 1 : Bulbizarre</t>
  </si>
  <si>
    <t>Obtention Starter 2 : Salamèche</t>
  </si>
  <si>
    <t>Obtention Starter 3 : Carapuce</t>
  </si>
  <si>
    <t>Heal Equipe</t>
  </si>
  <si>
    <t>t_fdj_sud</t>
  </si>
  <si>
    <t>t_fdj_nord</t>
  </si>
  <si>
    <t>t_r02P_SO</t>
  </si>
  <si>
    <t>t_r02P_NO</t>
  </si>
  <si>
    <t>sprites</t>
  </si>
  <si>
    <t>Attack1</t>
  </si>
  <si>
    <t>Attack2</t>
  </si>
  <si>
    <t>Attack3</t>
  </si>
  <si>
    <t>Attack4</t>
  </si>
  <si>
    <t>Used</t>
  </si>
  <si>
    <t>Level Evolution</t>
  </si>
  <si>
    <t>STAT HP LEFT</t>
  </si>
  <si>
    <t>STAT HP</t>
  </si>
  <si>
    <t>STAT Attack</t>
  </si>
  <si>
    <t>STAT Defense</t>
  </si>
  <si>
    <t>STAT Sp. Atk</t>
  </si>
  <si>
    <t>STAT Sp. Def</t>
  </si>
  <si>
    <t>STAT Speed</t>
  </si>
  <si>
    <t>BASE HP</t>
  </si>
  <si>
    <t>BASE Attack</t>
  </si>
  <si>
    <t>BASE Defense</t>
  </si>
  <si>
    <t>BASE Sp. Atk</t>
  </si>
  <si>
    <t>BASE Sp. Def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</si>
  <si>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</si>
  <si>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</si>
  <si>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</si>
  <si>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</si>
  <si>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</si>
  <si>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</si>
  <si>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</si>
  <si>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</si>
  <si>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</si>
  <si>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</si>
  <si>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</si>
  <si>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</si>
  <si>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</si>
  <si>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</si>
  <si>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</si>
  <si>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</si>
  <si>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</si>
  <si>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</si>
  <si>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</si>
  <si>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</si>
  <si>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</si>
  <si>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</si>
  <si>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</si>
  <si>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</si>
  <si>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</si>
  <si>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</si>
  <si>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</si>
  <si>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</si>
  <si>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</si>
  <si>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</si>
  <si>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</si>
  <si>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</si>
  <si>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</si>
  <si>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</si>
  <si>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</si>
  <si>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</si>
  <si>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</si>
  <si>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</si>
  <si>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</si>
  <si>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</si>
  <si>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</si>
  <si>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</si>
  <si>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</si>
  <si>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</si>
  <si>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</si>
  <si>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</si>
  <si>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</si>
  <si>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</si>
  <si>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</si>
  <si>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</si>
  <si>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</si>
  <si>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</si>
  <si>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</si>
  <si>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</si>
  <si>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</si>
  <si>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</si>
  <si>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</si>
  <si>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</si>
  <si>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</si>
  <si>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</si>
  <si>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</si>
  <si>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</si>
  <si>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</si>
  <si>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</si>
  <si>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</si>
  <si>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</si>
  <si>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</si>
  <si>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</si>
  <si>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</si>
  <si>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</si>
  <si>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</si>
  <si>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</si>
  <si>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</si>
  <si>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</si>
  <si>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</si>
  <si>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</si>
  <si>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</si>
  <si>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</si>
  <si>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</si>
  <si>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</si>
  <si>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</si>
  <si>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</si>
  <si>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</si>
  <si>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</si>
  <si>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</si>
  <si>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</si>
  <si>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</si>
  <si>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</si>
  <si>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</si>
  <si>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</si>
  <si>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</si>
  <si>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</si>
  <si>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</si>
  <si>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</si>
  <si>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</si>
  <si>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</si>
  <si>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</si>
  <si>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</si>
  <si>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</si>
  <si>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</si>
  <si>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</si>
  <si>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</si>
  <si>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</si>
  <si>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</si>
  <si>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</si>
  <si>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</si>
  <si>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</si>
  <si>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</si>
  <si>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</si>
  <si>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</si>
  <si>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</si>
  <si>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</si>
  <si>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</si>
  <si>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</si>
  <si>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</si>
  <si>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</si>
  <si>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</si>
  <si>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</si>
  <si>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</si>
  <si>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</si>
  <si>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</si>
  <si>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</si>
  <si>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</si>
  <si>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</si>
  <si>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</si>
  <si>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</si>
  <si>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</si>
  <si>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</si>
  <si>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</si>
  <si>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</si>
  <si>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</si>
  <si>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</si>
  <si>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</si>
  <si>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</si>
  <si>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</si>
  <si>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</si>
  <si>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</si>
  <si>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</si>
  <si>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</si>
  <si>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</si>
  <si>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</si>
  <si>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</si>
  <si>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</si>
  <si>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</si>
  <si>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</si>
  <si>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</si>
  <si>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</si>
  <si>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</si>
  <si>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</si>
  <si>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</si>
  <si>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</si>
  <si>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</si>
  <si>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</si>
  <si>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</si>
  <si>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</si>
  <si>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</si>
  <si>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</si>
  <si>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</si>
  <si>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</si>
  <si>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</si>
  <si>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</si>
  <si>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</si>
  <si>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</si>
  <si>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</si>
  <si>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</si>
  <si>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</si>
  <si>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</si>
  <si>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</si>
  <si>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</si>
  <si>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</si>
  <si>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</si>
  <si>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</si>
  <si>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</si>
  <si>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</si>
  <si>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</si>
  <si>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</si>
  <si>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</si>
  <si>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</si>
  <si>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</si>
  <si>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</si>
  <si>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</si>
  <si>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</si>
  <si>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</si>
  <si>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</si>
  <si>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</si>
  <si>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</si>
  <si>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</si>
  <si>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</si>
  <si>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</si>
  <si>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</si>
  <si>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</si>
  <si>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</si>
  <si>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</si>
  <si>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</si>
  <si>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</si>
  <si>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</si>
  <si>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</si>
  <si>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</si>
  <si>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</si>
  <si>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</si>
  <si>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</si>
  <si>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</si>
  <si>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</si>
  <si>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</si>
  <si>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</si>
  <si>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</si>
  <si>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</si>
  <si>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</si>
  <si>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</si>
  <si>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</si>
  <si>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</si>
  <si>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</si>
  <si>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</si>
  <si>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</si>
  <si>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</si>
  <si>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</si>
  <si>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</si>
  <si>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</si>
  <si>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</si>
  <si>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</si>
  <si>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</si>
  <si>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</si>
  <si>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</si>
  <si>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</si>
  <si>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</si>
  <si>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</si>
  <si>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</si>
  <si>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</si>
  <si>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</si>
  <si>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</si>
  <si>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</si>
  <si>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</si>
  <si>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</si>
  <si>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</si>
  <si>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</si>
  <si>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</si>
  <si>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</si>
  <si>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</si>
  <si>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</si>
  <si>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</si>
  <si>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</si>
  <si>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</si>
  <si>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</si>
  <si>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</si>
  <si>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</si>
  <si>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</si>
  <si>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</si>
  <si>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</si>
  <si>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</si>
  <si>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</si>
  <si>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</si>
  <si>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</si>
  <si>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</si>
  <si>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</si>
  <si>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</si>
  <si>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</si>
  <si>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</si>
  <si>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</si>
  <si>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</si>
  <si>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</si>
  <si>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</si>
  <si>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</si>
  <si>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</si>
  <si>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</si>
  <si>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</si>
  <si>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</si>
  <si>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</si>
  <si>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</si>
  <si>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</si>
  <si>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</si>
  <si>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</si>
  <si>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</si>
  <si>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</si>
  <si>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</si>
  <si>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</si>
  <si>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</si>
  <si>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</si>
  <si>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</si>
  <si>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</si>
  <si>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</si>
  <si>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</si>
  <si>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</si>
  <si>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</si>
  <si>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</si>
  <si>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</si>
  <si>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</si>
  <si>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</si>
  <si>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</si>
  <si>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</si>
  <si>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</si>
  <si>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</si>
  <si>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</si>
  <si>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</si>
  <si>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</si>
  <si>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</si>
  <si>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</si>
  <si>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</si>
  <si>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</si>
  <si>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</si>
  <si>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</si>
  <si>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</si>
  <si>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</si>
  <si>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</si>
  <si>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</si>
  <si>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</si>
  <si>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</si>
  <si>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</si>
  <si>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</si>
  <si>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</si>
  <si>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</si>
  <si>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</si>
  <si>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</si>
  <si>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</si>
  <si>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</si>
  <si>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</si>
  <si>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</si>
  <si>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</si>
  <si>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</si>
  <si>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</si>
  <si>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</si>
  <si>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</si>
  <si>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</si>
  <si>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</si>
  <si>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</si>
  <si>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</si>
  <si>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</si>
  <si>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</si>
  <si>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</si>
  <si>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</si>
  <si>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</si>
  <si>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</si>
  <si>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</si>
  <si>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</si>
  <si>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</si>
  <si>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</si>
  <si>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</si>
  <si>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</si>
  <si>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</si>
  <si>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</si>
  <si>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</si>
  <si>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</si>
  <si>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</si>
  <si>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Box#81</t>
  </si>
  <si>
    <t>Box#82</t>
  </si>
  <si>
    <t>Box#83</t>
  </si>
  <si>
    <t>Box#84</t>
  </si>
  <si>
    <t>Box#85</t>
  </si>
  <si>
    <t>Box#86</t>
  </si>
  <si>
    <t>Box#87</t>
  </si>
  <si>
    <t>Box#88</t>
  </si>
  <si>
    <t>Box#89</t>
  </si>
  <si>
    <t>Box#90</t>
  </si>
  <si>
    <t>Box#91</t>
  </si>
  <si>
    <t>Box#92</t>
  </si>
  <si>
    <t>Box#93</t>
  </si>
  <si>
    <t>Box#94</t>
  </si>
  <si>
    <t>Box#95</t>
  </si>
  <si>
    <t>Box#96</t>
  </si>
  <si>
    <t>Box#97</t>
  </si>
  <si>
    <t>Box#98</t>
  </si>
  <si>
    <t>Box#99</t>
  </si>
  <si>
    <t>Box#100</t>
  </si>
  <si>
    <t>Box#101</t>
  </si>
  <si>
    <t>Box#102</t>
  </si>
  <si>
    <t>Box#103</t>
  </si>
  <si>
    <t>Box#104</t>
  </si>
  <si>
    <t>Box#105</t>
  </si>
  <si>
    <t>Box#106</t>
  </si>
  <si>
    <t>Box#107</t>
  </si>
  <si>
    <t>Box#108</t>
  </si>
  <si>
    <t>Box#109</t>
  </si>
  <si>
    <t>Box#110</t>
  </si>
  <si>
    <t>Box#111</t>
  </si>
  <si>
    <t>Box#112</t>
  </si>
  <si>
    <t>Box#113</t>
  </si>
  <si>
    <t>Box#114</t>
  </si>
  <si>
    <t>Box#115</t>
  </si>
  <si>
    <t>Box#116</t>
  </si>
  <si>
    <t>Box#117</t>
  </si>
  <si>
    <t>Box#118</t>
  </si>
  <si>
    <t>Box#119</t>
  </si>
  <si>
    <t>Box#120</t>
  </si>
  <si>
    <t>Box#121</t>
  </si>
  <si>
    <t>Box#122</t>
  </si>
  <si>
    <t>Box#123</t>
  </si>
  <si>
    <t>Box#124</t>
  </si>
  <si>
    <t>Box#125</t>
  </si>
  <si>
    <t>Box#126</t>
  </si>
  <si>
    <t>Box#127</t>
  </si>
  <si>
    <t>Box#128</t>
  </si>
  <si>
    <t>Box#129</t>
  </si>
  <si>
    <t>Box#130</t>
  </si>
  <si>
    <t>Box#131</t>
  </si>
  <si>
    <t>Box#132</t>
  </si>
  <si>
    <t>Box#133</t>
  </si>
  <si>
    <t>Box#134</t>
  </si>
  <si>
    <t>Box#135</t>
  </si>
  <si>
    <t>Box#136</t>
  </si>
  <si>
    <t>Box#137</t>
  </si>
  <si>
    <t>Box#138</t>
  </si>
  <si>
    <t>Box#139</t>
  </si>
  <si>
    <t>Box#140</t>
  </si>
  <si>
    <t>Box#141</t>
  </si>
  <si>
    <t>Box#142</t>
  </si>
  <si>
    <t>Box#143</t>
  </si>
  <si>
    <t>Box#144</t>
  </si>
  <si>
    <t>Box#145</t>
  </si>
  <si>
    <t>Box#146</t>
  </si>
  <si>
    <t>Box#147</t>
  </si>
  <si>
    <t>Box#148</t>
  </si>
  <si>
    <t>Box#149</t>
  </si>
  <si>
    <t>Box#150</t>
  </si>
  <si>
    <t>Box#151</t>
  </si>
  <si>
    <t>Box#152</t>
  </si>
  <si>
    <t>Box#153</t>
  </si>
  <si>
    <t>Box#154</t>
  </si>
  <si>
    <t>Box#155</t>
  </si>
  <si>
    <t>Box#156</t>
  </si>
  <si>
    <t>Box#157</t>
  </si>
  <si>
    <t>Box#158</t>
  </si>
  <si>
    <t>Box#159</t>
  </si>
  <si>
    <t>Box#160</t>
  </si>
  <si>
    <t>Box#161</t>
  </si>
  <si>
    <t>Box#162</t>
  </si>
  <si>
    <t>Box#163</t>
  </si>
  <si>
    <t>Box#164</t>
  </si>
  <si>
    <t>Box#165</t>
  </si>
  <si>
    <t>Box#166</t>
  </si>
  <si>
    <t>Box#167</t>
  </si>
  <si>
    <t>Box#168</t>
  </si>
  <si>
    <t>Box#169</t>
  </si>
  <si>
    <t>Box#170</t>
  </si>
  <si>
    <t>Box#171</t>
  </si>
  <si>
    <t>Box#172</t>
  </si>
  <si>
    <t>Box#173</t>
  </si>
  <si>
    <t>Box#174</t>
  </si>
  <si>
    <t>Box#175</t>
  </si>
  <si>
    <t>Box#176</t>
  </si>
  <si>
    <t>Box#177</t>
  </si>
  <si>
    <t>Box#178</t>
  </si>
  <si>
    <t>Box#179</t>
  </si>
  <si>
    <t>Box#180</t>
  </si>
  <si>
    <t>Box#181</t>
  </si>
  <si>
    <t>Box#182</t>
  </si>
  <si>
    <t>Box#183</t>
  </si>
  <si>
    <t>Box#184</t>
  </si>
  <si>
    <t>Box#185</t>
  </si>
  <si>
    <t>Box#186</t>
  </si>
  <si>
    <t>Box#187</t>
  </si>
  <si>
    <t>Box#188</t>
  </si>
  <si>
    <t>Box#189</t>
  </si>
  <si>
    <t>Box#190</t>
  </si>
  <si>
    <t>Box#191</t>
  </si>
  <si>
    <t>Box#192</t>
  </si>
  <si>
    <t>Box#193</t>
  </si>
  <si>
    <t>Box#194</t>
  </si>
  <si>
    <t>Box#195</t>
  </si>
  <si>
    <t>Box#196</t>
  </si>
  <si>
    <t>Box#197</t>
  </si>
  <si>
    <t>Box#198</t>
  </si>
  <si>
    <t>Box#199</t>
  </si>
  <si>
    <t>Box#200</t>
  </si>
  <si>
    <t>Box#201</t>
  </si>
  <si>
    <t>Box#202</t>
  </si>
  <si>
    <t>Box#203</t>
  </si>
  <si>
    <t>Box#204</t>
  </si>
  <si>
    <t>Box#205</t>
  </si>
  <si>
    <t>Box#206</t>
  </si>
  <si>
    <t>Box#207</t>
  </si>
  <si>
    <t>Box#208</t>
  </si>
  <si>
    <t>Box#209</t>
  </si>
  <si>
    <t>Box#210</t>
  </si>
  <si>
    <t>Box#211</t>
  </si>
  <si>
    <t>Box#212</t>
  </si>
  <si>
    <t>Box#213</t>
  </si>
  <si>
    <t>Box#214</t>
  </si>
  <si>
    <t>Box#215</t>
  </si>
  <si>
    <t>Box#216</t>
  </si>
  <si>
    <t>Box#217</t>
  </si>
  <si>
    <t>Box#218</t>
  </si>
  <si>
    <t>Box#219</t>
  </si>
  <si>
    <t>Box#220</t>
  </si>
  <si>
    <t>Box#221</t>
  </si>
  <si>
    <t>Box#222</t>
  </si>
  <si>
    <t>Box#223</t>
  </si>
  <si>
    <t>Box#224</t>
  </si>
  <si>
    <t>Box#225</t>
  </si>
  <si>
    <t>Box#226</t>
  </si>
  <si>
    <t>Box#227</t>
  </si>
  <si>
    <t>Box#228</t>
  </si>
  <si>
    <t>Box#229</t>
  </si>
  <si>
    <t>Box#230</t>
  </si>
  <si>
    <t>Box#231</t>
  </si>
  <si>
    <t>Box#232</t>
  </si>
  <si>
    <t>Box#233</t>
  </si>
  <si>
    <t>Box#234</t>
  </si>
  <si>
    <t>Box#235</t>
  </si>
  <si>
    <t>Box#236</t>
  </si>
  <si>
    <t>Box#237</t>
  </si>
  <si>
    <t>Box#238</t>
  </si>
  <si>
    <t>Box#239</t>
  </si>
  <si>
    <t>Box#240</t>
  </si>
  <si>
    <t>Box#241</t>
  </si>
  <si>
    <t>Box#242</t>
  </si>
  <si>
    <t>Box#243</t>
  </si>
  <si>
    <t>Box#244</t>
  </si>
  <si>
    <t>Box#245</t>
  </si>
  <si>
    <t>Box#246</t>
  </si>
  <si>
    <t>Box#247</t>
  </si>
  <si>
    <t>Box#248</t>
  </si>
  <si>
    <t>Box#249</t>
  </si>
  <si>
    <t>Box#250</t>
  </si>
  <si>
    <t>Box#251</t>
  </si>
  <si>
    <t>Box#252</t>
  </si>
  <si>
    <t>Box#253</t>
  </si>
  <si>
    <t>Box#254</t>
  </si>
  <si>
    <t>Box#255</t>
  </si>
  <si>
    <t>Box#256</t>
  </si>
  <si>
    <t>Box#257</t>
  </si>
  <si>
    <t>Box#258</t>
  </si>
  <si>
    <t>Box#259</t>
  </si>
  <si>
    <t>Box#260</t>
  </si>
  <si>
    <t>Box#261</t>
  </si>
  <si>
    <t>Box#262</t>
  </si>
  <si>
    <t>Box#263</t>
  </si>
  <si>
    <t>Box#264</t>
  </si>
  <si>
    <t>Box#265</t>
  </si>
  <si>
    <t>Box#266</t>
  </si>
  <si>
    <t>Box#267</t>
  </si>
  <si>
    <t>Box#268</t>
  </si>
  <si>
    <t>Box#269</t>
  </si>
  <si>
    <t>Box#270</t>
  </si>
  <si>
    <t>Box#271</t>
  </si>
  <si>
    <t>Box#272</t>
  </si>
  <si>
    <t>Box#273</t>
  </si>
  <si>
    <t>Box#274</t>
  </si>
  <si>
    <t>Box#275</t>
  </si>
  <si>
    <t>Box#276</t>
  </si>
  <si>
    <t>Box#277</t>
  </si>
  <si>
    <t>Box#278</t>
  </si>
  <si>
    <t>Box#279</t>
  </si>
  <si>
    <t>Box#280</t>
  </si>
  <si>
    <t>Box#281</t>
  </si>
  <si>
    <t>Box#282</t>
  </si>
  <si>
    <t>Box#283</t>
  </si>
  <si>
    <t>Box#284</t>
  </si>
  <si>
    <t>Box#285</t>
  </si>
  <si>
    <t>Box#286</t>
  </si>
  <si>
    <t>Box#287</t>
  </si>
  <si>
    <t>Box#288</t>
  </si>
  <si>
    <t>Box#289</t>
  </si>
  <si>
    <t>Box#290</t>
  </si>
  <si>
    <t>Box#291</t>
  </si>
  <si>
    <t>Box#292</t>
  </si>
  <si>
    <t>Box#293</t>
  </si>
  <si>
    <t>Box#294</t>
  </si>
  <si>
    <t>Box#295</t>
  </si>
  <si>
    <t>Box#296</t>
  </si>
  <si>
    <t>Box#297</t>
  </si>
  <si>
    <t>Box#298</t>
  </si>
  <si>
    <t>Box#299</t>
  </si>
  <si>
    <t>Box#300</t>
  </si>
  <si>
    <t>Attack 1</t>
  </si>
  <si>
    <t>Attack 2</t>
  </si>
  <si>
    <t>Poing</t>
  </si>
  <si>
    <t>Attack 3</t>
  </si>
  <si>
    <t>Attack 4</t>
  </si>
  <si>
    <t>Special</t>
  </si>
  <si>
    <t>Close Combat</t>
  </si>
  <si>
    <t>Casse-Brique</t>
  </si>
  <si>
    <t>Eclate-Roc</t>
  </si>
  <si>
    <t>Cogne</t>
  </si>
  <si>
    <t xml:space="preserve">Combo-Griffe	</t>
  </si>
  <si>
    <t>https://www.pokebip.com/page/jeuxvideo/rbvj/liste_attaques</t>
  </si>
  <si>
    <t>https://www.pokebip.com/pokedex/liste_des_attaques_4g_1.html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</si>
  <si>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</si>
  <si>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</si>
  <si>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</si>
  <si>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</si>
  <si>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</si>
  <si>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</si>
  <si>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</si>
  <si>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</si>
  <si>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</si>
  <si>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</si>
  <si>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</si>
  <si>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</si>
  <si>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</si>
  <si>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</si>
  <si>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</si>
  <si>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</si>
  <si>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</si>
  <si>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</si>
  <si>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</si>
  <si>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</si>
  <si>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</si>
  <si>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</si>
  <si>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</si>
  <si>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</si>
  <si>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</si>
  <si>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</si>
  <si>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</si>
  <si>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</si>
  <si>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</si>
  <si>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</si>
  <si>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</si>
  <si>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</si>
  <si>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</si>
  <si>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</si>
  <si>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</si>
  <si>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</si>
  <si>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</si>
  <si>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</si>
  <si>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</si>
  <si>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</si>
  <si>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</si>
  <si>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</si>
  <si>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</si>
  <si>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</si>
  <si>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</si>
  <si>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Onde de Choc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</si>
  <si>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</si>
  <si>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</si>
  <si>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</si>
  <si>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</si>
  <si>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</si>
  <si>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</si>
  <si>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</si>
  <si>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</si>
  <si>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https://www.pokebip.com/pokedex/ecarlate-violet/attaques?types=7&amp;classes=1%2C2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</si>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</sst>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</fills>
  <borders count="9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</cellStyleXfs>
  <cellXfs count="375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31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33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71" borderId="5" xfId="0" applyFill="1" applyBorder="1"/>
    <xf numFmtId="0" fontId="0" fillId="81" borderId="22" xfId="0" applyFill="1" applyBorder="1"/>
    <xf numFmtId="0" fontId="33" fillId="81" borderId="22" xfId="0" applyFont="1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82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6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34" fillId="83" borderId="25" xfId="0" applyFont="1" applyFill="1" applyBorder="1" applyAlignment="1">
      <alignment horizontal="center"/>
    </xf>
    <xf numFmtId="0" fontId="6" fillId="83" borderId="27" xfId="0" applyFont="1" applyFill="1" applyBorder="1" applyAlignment="1">
      <alignment horizontal="center"/>
    </xf>
    <xf numFmtId="0" fontId="35" fillId="83" borderId="28" xfId="0" applyFont="1" applyFill="1" applyBorder="1" applyAlignment="1">
      <alignment horizontal="center"/>
    </xf>
    <xf numFmtId="0" fontId="6" fillId="83" borderId="38" xfId="0" applyFont="1" applyFill="1" applyBorder="1" applyAlignment="1">
      <alignment horizontal="center"/>
    </xf>
    <xf numFmtId="0" fontId="36" fillId="83" borderId="28" xfId="0" applyFont="1" applyFill="1" applyBorder="1" applyAlignment="1">
      <alignment horizontal="center"/>
    </xf>
    <xf numFmtId="0" fontId="37" fillId="83" borderId="28" xfId="0" applyFont="1" applyFill="1" applyBorder="1" applyAlignment="1">
      <alignment horizontal="center"/>
    </xf>
    <xf numFmtId="0" fontId="38" fillId="83" borderId="28" xfId="0" applyFont="1" applyFill="1" applyBorder="1" applyAlignment="1">
      <alignment horizontal="center"/>
    </xf>
    <xf numFmtId="0" fontId="39" fillId="83" borderId="28" xfId="0" applyFont="1" applyFill="1" applyBorder="1" applyAlignment="1">
      <alignment horizontal="center"/>
    </xf>
    <xf numFmtId="0" fontId="40" fillId="83" borderId="28" xfId="0" applyFont="1" applyFill="1" applyBorder="1" applyAlignment="1">
      <alignment horizontal="center"/>
    </xf>
    <xf numFmtId="0" fontId="41" fillId="83" borderId="28" xfId="0" applyFont="1" applyFill="1" applyBorder="1" applyAlignment="1">
      <alignment horizontal="center"/>
    </xf>
    <xf numFmtId="0" fontId="42" fillId="83" borderId="28" xfId="0" applyFont="1" applyFill="1" applyBorder="1" applyAlignment="1">
      <alignment horizontal="center"/>
    </xf>
    <xf numFmtId="0" fontId="43" fillId="83" borderId="28" xfId="0" applyFont="1" applyFill="1" applyBorder="1" applyAlignment="1">
      <alignment horizontal="center"/>
    </xf>
    <xf numFmtId="0" fontId="44" fillId="83" borderId="28" xfId="0" applyFont="1" applyFill="1" applyBorder="1" applyAlignment="1">
      <alignment horizontal="center"/>
    </xf>
    <xf numFmtId="0" fontId="45" fillId="83" borderId="28" xfId="0" applyFont="1" applyFill="1" applyBorder="1" applyAlignment="1">
      <alignment horizontal="center"/>
    </xf>
    <xf numFmtId="0" fontId="46" fillId="83" borderId="28" xfId="0" applyFont="1" applyFill="1" applyBorder="1" applyAlignment="1">
      <alignment horizontal="center"/>
    </xf>
    <xf numFmtId="0" fontId="47" fillId="83" borderId="28" xfId="0" applyFont="1" applyFill="1" applyBorder="1" applyAlignment="1">
      <alignment horizontal="center"/>
    </xf>
    <xf numFmtId="0" fontId="48" fillId="83" borderId="28" xfId="0" applyFont="1" applyFill="1" applyBorder="1" applyAlignment="1">
      <alignment horizontal="center"/>
    </xf>
    <xf numFmtId="0" fontId="49" fillId="83" borderId="28" xfId="0" applyFont="1" applyFill="1" applyBorder="1" applyAlignment="1">
      <alignment horizontal="center"/>
    </xf>
    <xf numFmtId="0" fontId="50" fillId="83" borderId="28" xfId="0" applyFont="1" applyFill="1" applyBorder="1" applyAlignment="1">
      <alignment horizontal="center"/>
    </xf>
    <xf numFmtId="0" fontId="51" fillId="83" borderId="8" xfId="0" applyFont="1" applyFill="1" applyBorder="1" applyAlignment="1">
      <alignment horizontal="center"/>
    </xf>
    <xf numFmtId="0" fontId="6" fillId="83" borderId="5" xfId="0" applyFont="1" applyFill="1" applyBorder="1" applyAlignment="1">
      <alignment horizontal="center"/>
    </xf>
    <xf numFmtId="0" fontId="0" fillId="85" borderId="63" xfId="0" applyFill="1" applyBorder="1" applyAlignment="1">
      <alignment horizontal="center"/>
    </xf>
    <xf numFmtId="0" fontId="0" fillId="86" borderId="63" xfId="0" applyFill="1" applyBorder="1" applyAlignment="1">
      <alignment horizontal="center"/>
    </xf>
    <xf numFmtId="0" fontId="0" fillId="87" borderId="63" xfId="0" applyFill="1" applyBorder="1" applyAlignment="1">
      <alignment horizontal="center"/>
    </xf>
    <xf numFmtId="0" fontId="0" fillId="88" borderId="63" xfId="0" applyFill="1" applyBorder="1" applyAlignment="1">
      <alignment horizontal="center"/>
    </xf>
    <xf numFmtId="0" fontId="0" fillId="89" borderId="63" xfId="0" applyFill="1" applyBorder="1" applyAlignment="1">
      <alignment horizontal="center"/>
    </xf>
    <xf numFmtId="0" fontId="0" fillId="90" borderId="63" xfId="0" applyFill="1" applyBorder="1" applyAlignment="1">
      <alignment horizontal="center"/>
    </xf>
    <xf numFmtId="0" fontId="0" fillId="91" borderId="63" xfId="0" applyFill="1" applyBorder="1" applyAlignment="1">
      <alignment horizontal="center"/>
    </xf>
    <xf numFmtId="0" fontId="0" fillId="92" borderId="63" xfId="0" applyFill="1" applyBorder="1" applyAlignment="1">
      <alignment horizontal="center"/>
    </xf>
    <xf numFmtId="0" fontId="0" fillId="93" borderId="63" xfId="0" applyFill="1" applyBorder="1" applyAlignment="1">
      <alignment horizontal="center"/>
    </xf>
    <xf numFmtId="0" fontId="0" fillId="94" borderId="63" xfId="0" applyFill="1" applyBorder="1" applyAlignment="1">
      <alignment horizontal="center"/>
    </xf>
    <xf numFmtId="0" fontId="0" fillId="95" borderId="63" xfId="0" applyFill="1" applyBorder="1" applyAlignment="1">
      <alignment horizontal="center"/>
    </xf>
    <xf numFmtId="0" fontId="0" fillId="96" borderId="63" xfId="0" applyFill="1" applyBorder="1" applyAlignment="1">
      <alignment horizontal="center"/>
    </xf>
    <xf numFmtId="0" fontId="0" fillId="97" borderId="63" xfId="0" applyFill="1" applyBorder="1" applyAlignment="1">
      <alignment horizontal="center"/>
    </xf>
    <xf numFmtId="0" fontId="0" fillId="99" borderId="63" xfId="0" applyFill="1" applyBorder="1" applyAlignment="1">
      <alignment horizontal="center"/>
    </xf>
    <xf numFmtId="0" fontId="1" fillId="17" borderId="87" xfId="3" applyFont="1" applyBorder="1" applyAlignment="1">
      <alignment horizontal="center"/>
    </xf>
    <xf numFmtId="0" fontId="1" fillId="17" borderId="88" xfId="3" applyFont="1" applyBorder="1" applyAlignment="1">
      <alignment horizontal="center"/>
    </xf>
    <xf numFmtId="0" fontId="1" fillId="17" borderId="89" xfId="3" applyFont="1" applyBorder="1" applyAlignment="1">
      <alignment horizontal="center"/>
    </xf>
    <xf numFmtId="0" fontId="0" fillId="84" borderId="64" xfId="0" applyFill="1" applyBorder="1" applyAlignment="1">
      <alignment horizontal="center"/>
    </xf>
    <xf numFmtId="0" fontId="0" fillId="84" borderId="65" xfId="0" applyFill="1" applyBorder="1" applyAlignment="1">
      <alignment horizontal="center"/>
    </xf>
    <xf numFmtId="0" fontId="0" fillId="84" borderId="66" xfId="0" applyFill="1" applyBorder="1" applyAlignment="1">
      <alignment horizontal="center"/>
    </xf>
    <xf numFmtId="0" fontId="0" fillId="85" borderId="67" xfId="0" applyFill="1" applyBorder="1" applyAlignment="1">
      <alignment horizontal="center"/>
    </xf>
    <xf numFmtId="0" fontId="0" fillId="85" borderId="68" xfId="0" applyFill="1" applyBorder="1" applyAlignment="1">
      <alignment horizontal="center"/>
    </xf>
    <xf numFmtId="0" fontId="0" fillId="93" borderId="67" xfId="0" applyFill="1" applyBorder="1" applyAlignment="1">
      <alignment horizontal="center"/>
    </xf>
    <xf numFmtId="0" fontId="0" fillId="93" borderId="68" xfId="0" applyFill="1" applyBorder="1" applyAlignment="1">
      <alignment horizontal="center"/>
    </xf>
    <xf numFmtId="0" fontId="0" fillId="89" borderId="67" xfId="0" applyFill="1" applyBorder="1" applyAlignment="1">
      <alignment horizontal="center"/>
    </xf>
    <xf numFmtId="0" fontId="0" fillId="89" borderId="68" xfId="0" applyFill="1" applyBorder="1" applyAlignment="1">
      <alignment horizontal="center"/>
    </xf>
    <xf numFmtId="0" fontId="0" fillId="87" borderId="67" xfId="0" applyFill="1" applyBorder="1" applyAlignment="1">
      <alignment horizontal="center"/>
    </xf>
    <xf numFmtId="0" fontId="0" fillId="87" borderId="68" xfId="0" applyFill="1" applyBorder="1" applyAlignment="1">
      <alignment horizontal="center"/>
    </xf>
    <xf numFmtId="0" fontId="0" fillId="96" borderId="67" xfId="0" applyFill="1" applyBorder="1" applyAlignment="1">
      <alignment horizontal="center"/>
    </xf>
    <xf numFmtId="0" fontId="0" fillId="96" borderId="68" xfId="0" applyFill="1" applyBorder="1" applyAlignment="1">
      <alignment horizontal="center"/>
    </xf>
    <xf numFmtId="0" fontId="0" fillId="88" borderId="67" xfId="0" applyFill="1" applyBorder="1" applyAlignment="1">
      <alignment horizontal="center"/>
    </xf>
    <xf numFmtId="0" fontId="0" fillId="88" borderId="68" xfId="0" applyFill="1" applyBorder="1" applyAlignment="1">
      <alignment horizontal="center"/>
    </xf>
    <xf numFmtId="0" fontId="0" fillId="90" borderId="67" xfId="0" applyFill="1" applyBorder="1" applyAlignment="1">
      <alignment horizontal="center"/>
    </xf>
    <xf numFmtId="0" fontId="0" fillId="90" borderId="68" xfId="0" applyFill="1" applyBorder="1" applyAlignment="1">
      <alignment horizontal="center"/>
    </xf>
    <xf numFmtId="0" fontId="0" fillId="94" borderId="67" xfId="0" applyFill="1" applyBorder="1" applyAlignment="1">
      <alignment horizontal="center"/>
    </xf>
    <xf numFmtId="0" fontId="0" fillId="94" borderId="68" xfId="0" applyFill="1" applyBorder="1" applyAlignment="1">
      <alignment horizontal="center"/>
    </xf>
    <xf numFmtId="0" fontId="0" fillId="99" borderId="67" xfId="0" applyFill="1" applyBorder="1" applyAlignment="1">
      <alignment horizontal="center"/>
    </xf>
    <xf numFmtId="0" fontId="0" fillId="99" borderId="68" xfId="0" applyFill="1" applyBorder="1" applyAlignment="1">
      <alignment horizontal="center"/>
    </xf>
    <xf numFmtId="0" fontId="0" fillId="86" borderId="67" xfId="0" applyFill="1" applyBorder="1" applyAlignment="1">
      <alignment horizontal="center"/>
    </xf>
    <xf numFmtId="0" fontId="0" fillId="86" borderId="68" xfId="0" applyFill="1" applyBorder="1" applyAlignment="1">
      <alignment horizontal="center"/>
    </xf>
    <xf numFmtId="0" fontId="0" fillId="92" borderId="67" xfId="0" applyFill="1" applyBorder="1" applyAlignment="1">
      <alignment horizontal="center"/>
    </xf>
    <xf numFmtId="0" fontId="0" fillId="92" borderId="68" xfId="0" applyFill="1" applyBorder="1" applyAlignment="1">
      <alignment horizontal="center"/>
    </xf>
    <xf numFmtId="0" fontId="0" fillId="97" borderId="67" xfId="0" applyFill="1" applyBorder="1" applyAlignment="1">
      <alignment horizontal="center"/>
    </xf>
    <xf numFmtId="0" fontId="0" fillId="97" borderId="68" xfId="0" applyFill="1" applyBorder="1" applyAlignment="1">
      <alignment horizontal="center"/>
    </xf>
    <xf numFmtId="0" fontId="0" fillId="95" borderId="67" xfId="0" applyFill="1" applyBorder="1" applyAlignment="1">
      <alignment horizontal="center"/>
    </xf>
    <xf numFmtId="0" fontId="0" fillId="95" borderId="68" xfId="0" applyFill="1" applyBorder="1" applyAlignment="1">
      <alignment horizontal="center"/>
    </xf>
    <xf numFmtId="0" fontId="0" fillId="91" borderId="67" xfId="0" applyFill="1" applyBorder="1" applyAlignment="1">
      <alignment horizontal="center"/>
    </xf>
    <xf numFmtId="0" fontId="0" fillId="91" borderId="68" xfId="0" applyFill="1" applyBorder="1" applyAlignment="1">
      <alignment horizontal="center"/>
    </xf>
    <xf numFmtId="0" fontId="0" fillId="98" borderId="69" xfId="0" applyFill="1" applyBorder="1" applyAlignment="1">
      <alignment horizontal="center"/>
    </xf>
    <xf numFmtId="0" fontId="0" fillId="98" borderId="70" xfId="0" applyFill="1" applyBorder="1" applyAlignment="1">
      <alignment horizontal="center"/>
    </xf>
    <xf numFmtId="0" fontId="0" fillId="98" borderId="71" xfId="0" applyFill="1" applyBorder="1" applyAlignment="1">
      <alignment horizontal="center"/>
    </xf>
    <xf numFmtId="0" fontId="52" fillId="84" borderId="47" xfId="0" applyFont="1" applyFill="1" applyBorder="1" applyAlignment="1">
      <alignment horizontal="center"/>
    </xf>
    <xf numFmtId="0" fontId="52" fillId="85" borderId="85" xfId="0" applyFont="1" applyFill="1" applyBorder="1" applyAlignment="1">
      <alignment horizontal="center"/>
    </xf>
    <xf numFmtId="0" fontId="52" fillId="93" borderId="85" xfId="0" applyFont="1" applyFill="1" applyBorder="1" applyAlignment="1">
      <alignment horizontal="center"/>
    </xf>
    <xf numFmtId="0" fontId="52" fillId="89" borderId="85" xfId="0" applyFont="1" applyFill="1" applyBorder="1" applyAlignment="1">
      <alignment horizontal="center"/>
    </xf>
    <xf numFmtId="0" fontId="52" fillId="87" borderId="85" xfId="0" applyFont="1" applyFill="1" applyBorder="1" applyAlignment="1">
      <alignment horizontal="center"/>
    </xf>
    <xf numFmtId="0" fontId="52" fillId="96" borderId="85" xfId="0" applyFont="1" applyFill="1" applyBorder="1" applyAlignment="1">
      <alignment horizontal="center"/>
    </xf>
    <xf numFmtId="0" fontId="52" fillId="88" borderId="85" xfId="0" applyFont="1" applyFill="1" applyBorder="1" applyAlignment="1">
      <alignment horizontal="center"/>
    </xf>
    <xf numFmtId="0" fontId="52" fillId="90" borderId="85" xfId="0" applyFont="1" applyFill="1" applyBorder="1" applyAlignment="1">
      <alignment horizontal="center"/>
    </xf>
    <xf numFmtId="0" fontId="52" fillId="94" borderId="85" xfId="0" applyFont="1" applyFill="1" applyBorder="1" applyAlignment="1">
      <alignment horizontal="center"/>
    </xf>
    <xf numFmtId="0" fontId="52" fillId="99" borderId="85" xfId="0" applyFont="1" applyFill="1" applyBorder="1" applyAlignment="1">
      <alignment horizontal="center"/>
    </xf>
    <xf numFmtId="0" fontId="52" fillId="86" borderId="85" xfId="0" applyFont="1" applyFill="1" applyBorder="1" applyAlignment="1">
      <alignment horizontal="center"/>
    </xf>
    <xf numFmtId="0" fontId="52" fillId="92" borderId="85" xfId="0" applyFont="1" applyFill="1" applyBorder="1" applyAlignment="1">
      <alignment horizontal="center"/>
    </xf>
    <xf numFmtId="0" fontId="52" fillId="97" borderId="85" xfId="0" applyFont="1" applyFill="1" applyBorder="1" applyAlignment="1">
      <alignment horizontal="center"/>
    </xf>
    <xf numFmtId="0" fontId="52" fillId="95" borderId="85" xfId="0" applyFont="1" applyFill="1" applyBorder="1" applyAlignment="1">
      <alignment horizontal="center"/>
    </xf>
    <xf numFmtId="0" fontId="52" fillId="91" borderId="85" xfId="0" applyFont="1" applyFill="1" applyBorder="1" applyAlignment="1">
      <alignment horizontal="center"/>
    </xf>
    <xf numFmtId="0" fontId="52" fillId="98" borderId="86" xfId="0" applyFont="1" applyFill="1" applyBorder="1" applyAlignment="1">
      <alignment horizontal="center"/>
    </xf>
  </cellXfs>
  <cellStyles count="18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156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5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3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3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3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3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3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3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3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3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3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3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3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3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3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3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3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3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3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3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3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3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3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3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3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3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3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3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3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3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3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3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3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3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3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3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3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3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3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3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3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3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3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3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3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3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3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3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3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3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3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3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3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3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3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3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3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3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3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3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3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3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3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3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3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3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3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3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3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3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3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3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3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3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3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3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3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3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3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3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3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3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3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3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3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3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3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3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3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3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3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3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3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3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3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3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3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3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3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3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3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3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3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3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3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3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3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3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3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3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3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3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3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3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3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3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3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3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3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3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3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3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3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3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3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3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3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3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3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3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3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3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3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3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3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3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3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3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3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3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3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3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3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3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3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3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3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3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3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3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3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3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3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3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3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3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3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3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3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3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3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3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3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3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3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3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3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3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3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3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3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3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3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3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3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3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3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3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3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3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3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3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3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3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3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3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3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3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3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3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3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3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3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3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3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3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3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3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3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3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3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3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3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3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3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3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3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3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3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3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3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3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3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3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3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3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3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3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3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3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3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3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3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3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3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3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3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3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3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3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3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3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3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3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3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3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3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3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3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3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3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3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3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3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3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3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3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3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3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3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3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3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3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3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3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3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3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3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3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3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3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3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3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3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3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3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3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3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3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3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3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3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3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3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3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3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3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3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3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3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3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3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3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3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3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3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3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3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3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3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3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3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3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3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3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3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3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3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3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3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3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3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3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3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3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3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3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3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3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3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3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3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3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3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3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3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3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3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3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3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3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3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3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3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3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3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3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3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3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3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3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3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3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3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3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3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3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3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3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3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3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3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3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3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3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3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3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3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3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3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3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3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3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3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3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3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3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3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3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3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3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3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3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3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3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3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3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3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3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3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3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3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3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3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3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3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3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3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3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3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3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3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3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3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3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3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3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3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3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3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3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3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3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3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3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3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3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3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3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3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3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3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3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3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3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3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3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3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3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3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3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3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3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3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3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3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3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3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3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3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3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3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3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3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3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3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3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3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3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3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3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3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3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3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3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3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3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3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3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3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3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3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3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3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3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3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3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3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3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3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3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3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3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3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3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3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3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3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3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3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3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3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3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3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3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3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3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3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3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3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3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3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3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3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3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3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3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3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3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3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3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3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3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3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3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3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3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3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3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3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3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3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3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3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3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3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3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3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3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3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3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3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3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3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3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3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3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3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3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3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3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3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3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3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3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3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3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3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3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3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3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3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3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3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3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3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3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3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3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3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3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3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3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3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3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3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3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3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3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3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3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3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3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3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3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3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3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3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3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3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3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3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3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3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3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3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3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3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3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3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3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3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3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3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3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3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3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3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3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3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3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3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3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3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3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3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3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3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3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3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3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3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3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3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3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3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3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3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3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3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3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3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3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3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3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3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3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3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3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3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3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3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3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3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3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3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3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3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3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3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3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3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3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3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3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3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3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3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3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3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3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3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3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3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3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3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3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3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3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3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3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3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3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3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3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3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3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3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3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3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3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3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3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3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3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3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3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3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3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3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3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3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3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3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3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3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3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3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3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3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3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3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3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3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3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3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3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3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3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3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3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3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3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3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3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3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3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3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3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3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3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3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3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3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3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3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3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3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3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3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3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3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3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3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3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3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3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3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3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3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3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3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3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3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3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3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3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3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3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3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3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3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3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3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3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3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3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3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3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3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3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3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3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3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3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3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3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3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3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3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3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3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3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3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3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3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3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3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3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3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3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3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3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3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3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3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3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3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3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3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3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3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3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3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3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3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3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3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3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3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3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3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3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3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3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3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3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3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3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3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3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3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3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3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3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3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3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3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3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3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3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3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3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3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3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3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3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3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3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3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3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3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3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3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3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3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3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3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3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3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3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3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3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3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3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3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3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3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3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3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3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3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3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3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3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3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3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3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3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3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3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3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3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3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3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3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3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3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3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3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3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3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3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3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3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3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3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3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3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3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3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3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3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3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3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3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3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3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3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3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3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3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3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3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3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3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3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3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3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3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3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3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3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3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3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3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3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3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3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3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3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3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3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3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3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3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3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3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3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3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3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3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3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3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3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3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3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3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3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3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3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3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3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3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3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3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3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3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3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3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3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3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3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3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3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3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3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3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3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3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3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3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3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3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3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3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3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3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3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3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3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3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3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3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3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3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3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3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3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3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3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3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3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3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3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3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3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3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3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3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3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3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3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3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3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3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3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3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3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3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3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3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3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3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3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3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3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3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3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3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3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3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3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3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3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3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3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3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3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3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3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3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3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3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3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3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3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3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3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3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3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3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3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3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3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3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3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3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3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3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3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3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3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3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3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3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3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3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3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3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3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3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3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3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3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3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3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3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3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3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3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3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3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3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3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3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3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3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3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3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3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3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3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3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3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3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3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3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3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3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3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3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3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3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3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3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3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3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3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3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3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3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3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3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3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3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3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3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3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3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3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3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3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3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3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3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3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3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3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3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3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3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3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3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3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3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3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3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3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3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3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3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3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3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3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3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3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3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3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3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3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3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3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3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3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3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3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3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3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3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3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3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3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3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3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3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3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3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3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3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3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3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3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3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3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3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3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3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3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3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3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3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3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3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3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3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3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3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3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3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3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3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3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3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3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3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3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3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3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3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3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3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3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3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3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3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3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3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3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3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3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3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3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3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3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3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3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3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3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3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3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3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3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3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3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3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3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3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3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3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3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3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3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3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3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3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3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3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3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3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3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3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3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3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3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3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3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3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3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3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3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3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3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3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3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3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3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3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3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3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3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3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3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3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3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3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3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3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3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3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3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3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3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3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3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3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3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3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3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3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3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3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3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3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3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3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3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3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3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3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3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3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3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3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3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3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3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3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3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3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3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3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3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3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3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3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3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3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3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3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3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3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3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3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3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3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3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3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3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3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3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3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3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3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3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3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3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3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3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3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3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3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3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3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3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3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3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3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3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3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3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3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3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3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3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3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3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3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3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3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3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3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3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3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3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3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3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3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3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3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3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3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3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3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3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3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3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3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3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3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3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3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3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3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6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6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6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6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600-00000FA80000}"/>
                  </a:ext>
                </a:extLst>
              </xdr:cNvPr>
              <xdr:cNvSpPr/>
            </xdr:nvSpPr>
            <xdr:spPr bwMode="auto">
              <a:xfrm>
                <a:off x="8715374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6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6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8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8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8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8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8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8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8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8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45720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D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D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D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D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0</xdr:colOff>
      <xdr:row>292</xdr:row>
      <xdr:rowOff>0</xdr:rowOff>
    </xdr:from>
    <xdr:to>
      <xdr:col>82</xdr:col>
      <xdr:colOff>0</xdr:colOff>
      <xdr:row>312</xdr:row>
      <xdr:rowOff>496</xdr:rowOff>
    </xdr:to>
    <xdr:pic>
      <xdr:nvPicPr>
        <xdr:cNvPr id="49" name="bourg-palette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92</xdr:row>
      <xdr:rowOff>0</xdr:rowOff>
    </xdr:from>
    <xdr:to>
      <xdr:col>94</xdr:col>
      <xdr:colOff>0</xdr:colOff>
      <xdr:row>132</xdr:row>
      <xdr:rowOff>0</xdr:rowOff>
    </xdr:to>
    <xdr:pic>
      <xdr:nvPicPr>
        <xdr:cNvPr id="15" name="argenta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132</xdr:row>
      <xdr:rowOff>0</xdr:rowOff>
    </xdr:from>
    <xdr:to>
      <xdr:col>82</xdr:col>
      <xdr:colOff>0</xdr:colOff>
      <xdr:row>212</xdr:row>
      <xdr:rowOff>1</xdr:rowOff>
    </xdr:to>
    <xdr:pic>
      <xdr:nvPicPr>
        <xdr:cNvPr id="9" name="route02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55</xdr:col>
      <xdr:colOff>0</xdr:colOff>
      <xdr:row>69</xdr:row>
      <xdr:rowOff>112643</xdr:rowOff>
    </xdr:to>
    <xdr:pic>
      <xdr:nvPicPr>
        <xdr:cNvPr id="19" name="foret_de_jade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94</xdr:col>
      <xdr:colOff>0</xdr:colOff>
      <xdr:row>103</xdr:row>
      <xdr:rowOff>0</xdr:rowOff>
    </xdr:from>
    <xdr:to>
      <xdr:col>181</xdr:col>
      <xdr:colOff>0</xdr:colOff>
      <xdr:row>123</xdr:row>
      <xdr:rowOff>0</xdr:rowOff>
    </xdr:to>
    <xdr:pic>
      <xdr:nvPicPr>
        <xdr:cNvPr id="17" name="route03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45</xdr:col>
      <xdr:colOff>115613</xdr:colOff>
      <xdr:row>212</xdr:row>
      <xdr:rowOff>0</xdr:rowOff>
    </xdr:from>
    <xdr:to>
      <xdr:col>94</xdr:col>
      <xdr:colOff>2969</xdr:colOff>
      <xdr:row>252</xdr:row>
      <xdr:rowOff>689</xdr:rowOff>
    </xdr:to>
    <xdr:pic>
      <xdr:nvPicPr>
        <xdr:cNvPr id="5" name="jadiell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252</xdr:row>
      <xdr:rowOff>0</xdr:rowOff>
    </xdr:from>
    <xdr:to>
      <xdr:col>82</xdr:col>
      <xdr:colOff>1805</xdr:colOff>
      <xdr:row>292</xdr:row>
      <xdr:rowOff>0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84</xdr:col>
      <xdr:colOff>115613</xdr:colOff>
      <xdr:row>2</xdr:row>
      <xdr:rowOff>0</xdr:rowOff>
    </xdr:from>
    <xdr:to>
      <xdr:col>97</xdr:col>
      <xdr:colOff>100398</xdr:colOff>
      <xdr:row>16</xdr:row>
      <xdr:rowOff>2969</xdr:rowOff>
    </xdr:to>
    <xdr:pic>
      <xdr:nvPicPr>
        <xdr:cNvPr id="29" name="laboratoire_chen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92</xdr:col>
      <xdr:colOff>95265</xdr:colOff>
      <xdr:row>6</xdr:row>
      <xdr:rowOff>59355</xdr:rowOff>
    </xdr:from>
    <xdr:to>
      <xdr:col>94</xdr:col>
      <xdr:colOff>46665</xdr:colOff>
      <xdr:row>8</xdr:row>
      <xdr:rowOff>46755</xdr:rowOff>
    </xdr:to>
    <xdr:pic>
      <xdr:nvPicPr>
        <xdr:cNvPr id="36" name="Starter_1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>
    <xdr:from>
      <xdr:col>93</xdr:col>
      <xdr:colOff>112995</xdr:colOff>
      <xdr:row>6</xdr:row>
      <xdr:rowOff>53100</xdr:rowOff>
    </xdr:from>
    <xdr:to>
      <xdr:col>95</xdr:col>
      <xdr:colOff>64395</xdr:colOff>
      <xdr:row>8</xdr:row>
      <xdr:rowOff>40500</xdr:rowOff>
    </xdr:to>
    <xdr:pic>
      <xdr:nvPicPr>
        <xdr:cNvPr id="37" name="Starter_4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>
    <xdr:from>
      <xdr:col>94</xdr:col>
      <xdr:colOff>91800</xdr:colOff>
      <xdr:row>6</xdr:row>
      <xdr:rowOff>70200</xdr:rowOff>
    </xdr:from>
    <xdr:to>
      <xdr:col>96</xdr:col>
      <xdr:colOff>43200</xdr:colOff>
      <xdr:row>8</xdr:row>
      <xdr:rowOff>57600</xdr:rowOff>
    </xdr:to>
    <xdr:pic>
      <xdr:nvPicPr>
        <xdr:cNvPr id="38" name="Starter_7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152</xdr:col>
      <xdr:colOff>0</xdr:colOff>
      <xdr:row>112</xdr:row>
      <xdr:rowOff>0</xdr:rowOff>
    </xdr:from>
    <xdr:to>
      <xdr:col>154</xdr:col>
      <xdr:colOff>80431</xdr:colOff>
      <xdr:row>115</xdr:row>
      <xdr:rowOff>42117</xdr:rowOff>
    </xdr:to>
    <xdr:pic>
      <xdr:nvPicPr>
        <xdr:cNvPr id="48" name="Hero_Marche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2847" t="51457" r="71001" b="24913"/>
        <a:stretch/>
      </xdr:blipFill>
      <xdr:spPr>
        <a:xfrm>
          <a:off x="17373600" y="12801600"/>
          <a:ext cx="309031" cy="38501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155" dataDxfId="153" headerRowBorderDxfId="154" tableBorderDxfId="152">
  <autoFilter ref="B2:H9" xr:uid="{C414A4D2-C5F5-497D-A639-4A8EE161BF63}"/>
  <tableColumns count="7">
    <tableColumn id="1" xr3:uid="{5C8CCE40-5324-422D-B4E2-BC0EEB2637A4}" name="Feuille" dataDxfId="151"/>
    <tableColumn id="2" xr3:uid="{61C62033-3951-47B9-990B-4D95CF52FB3A}" name="Nom" dataDxfId="150"/>
    <tableColumn id="8" xr3:uid="{9AF53E84-20C5-47E1-BE53-91DA8C60394E}" name="Range" dataDxfId="149">
      <calculatedColumnFormula>"Sp_"&amp;Tab_BBD_Sprite[[#This Row],[Nom]]</calculatedColumnFormula>
    </tableColumn>
    <tableColumn id="3" xr3:uid="{2DD65BEA-6105-4F6A-99A3-90A40F660094}" name="L_Cases" dataDxfId="148"/>
    <tableColumn id="4" xr3:uid="{B69F256D-D223-4894-8098-673D3FEEBACD}" name="C_Cases" dataDxfId="147"/>
    <tableColumn id="5" xr3:uid="{14C26A1E-B632-4793-A1C4-D941E44B8850}" name="L_Pixel" dataDxfId="146"/>
    <tableColumn id="6" xr3:uid="{94869BFF-BBFC-4D2C-8ABE-1B6F9DFF9BC6}" name="C_Pixel" dataDxfId="14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49" dataDxfId="48" headerRowBorderDxfId="46" tableBorderDxfId="47">
  <autoFilter ref="B3:S653" xr:uid="{40DB8EA0-220F-4CB7-BF07-158D56AA4DD3}"/>
  <tableColumns count="18">
    <tableColumn id="1" xr3:uid="{CA2A5C8F-8FB8-429D-8128-390DF2680C70}" name="PokeIndex" dataDxfId="45"/>
    <tableColumn id="2" xr3:uid="{D98B6AAA-99C4-4207-8FC8-41136EFB7409}" name="Nom" dataDxfId="44"/>
    <tableColumn id="3" xr3:uid="{F21D91F8-3F31-449E-B68E-5F084049E442}" name="Name" dataDxfId="43"/>
    <tableColumn id="4" xr3:uid="{766B5CCB-0B89-4D62-AAC4-4F54E04851D6}" name="Type 1" dataDxfId="42"/>
    <tableColumn id="5" xr3:uid="{5D91B0FE-1FBF-45EC-A4A3-45B48BA528B6}" name="Type 2" dataDxfId="41"/>
    <tableColumn id="18" xr3:uid="{B3340896-F6D9-4483-B485-C2FD408F5ECF}" name="catch_rate" dataDxfId="40"/>
    <tableColumn id="15" xr3:uid="{CA07C7EF-CE58-4532-A4FF-C8A4E0F31096}" name="base_experience" dataDxfId="39"/>
    <tableColumn id="6" xr3:uid="{6E89A1EF-A6D3-4F63-AC36-6A2099523127}" name="Total" dataDxfId="38"/>
    <tableColumn id="7" xr3:uid="{25243ED3-39F9-4C61-872D-6EC825B0E874}" name="HP" dataDxfId="37"/>
    <tableColumn id="8" xr3:uid="{5694C014-3661-45C0-BD27-7A77E1804C61}" name="Attack" dataDxfId="36"/>
    <tableColumn id="9" xr3:uid="{ED5E165D-DE9E-4C26-91DF-5AE15CEDFAA7}" name="Defense" dataDxfId="35"/>
    <tableColumn id="10" xr3:uid="{519A0CC6-64B4-42D3-A485-7BAD0CB6F390}" name="Sp. Atk" dataDxfId="34"/>
    <tableColumn id="11" xr3:uid="{01A526EF-BFA0-4917-BE2B-BC96464994AC}" name="Sp. Def" dataDxfId="33"/>
    <tableColumn id="12" xr3:uid="{EA69A7FE-03BF-434A-A3A3-7ED63E04D158}" name="Speed" dataDxfId="32"/>
    <tableColumn id="13" xr3:uid="{88689659-D538-434E-91AF-6D40D8075D69}" name="Level Evolution" dataDxfId="31"/>
    <tableColumn id="17" xr3:uid="{17A81A7F-EAA7-424A-99CE-499C91E07F65}" name="PokeIndex Evolution" dataDxfId="30"/>
    <tableColumn id="14" xr3:uid="{09144047-E2FD-4A42-8CDA-206A2A181479}" name="Evolution" dataDxfId="29"/>
    <tableColumn id="16" xr3:uid="{1E710ABF-0EDC-4E59-9A24-4788C1F51C01}" name="Switch Evolution" dataDxfId="28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27" dataDxfId="26">
  <autoFilter ref="U3:Y27" xr:uid="{9D36E05C-CBD6-4C4D-818A-B72F0DE9E719}"/>
  <tableColumns count="5">
    <tableColumn id="1" xr3:uid="{334C6D80-A7F4-4945-8467-60C0A96C6207}" name="Zone" dataDxfId="25"/>
    <tableColumn id="2" xr3:uid="{BFE72A0D-155C-49DA-B278-C0008E024DD6}" name="Lieu" dataDxfId="24"/>
    <tableColumn id="3" xr3:uid="{D6894A61-2E28-4BFC-B8FF-3C0C531D35DF}" name="Liste Pokemon" dataDxfId="23"/>
    <tableColumn id="4" xr3:uid="{61F94F8C-A064-46B1-B70F-674CEA0DB72B}" name="Min Level" dataDxfId="22"/>
    <tableColumn id="5" xr3:uid="{7B3F1382-9355-4915-8F3C-5DF6A9F11DD8}" name="Max Level" dataDxfId="2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20">
  <autoFilter ref="BE3:BK113" xr:uid="{C5DD2E1C-AF95-442E-935A-104CAB98AE41}"/>
  <tableColumns count="7">
    <tableColumn id="1" xr3:uid="{AF1CBF79-B231-4E0D-A074-BB83F6005994}" name="AttackID" dataDxfId="19"/>
    <tableColumn id="2" xr3:uid="{921BE68A-9D81-41BB-AE89-4FE0860E99F3}" name="Nom" dataDxfId="18"/>
    <tableColumn id="3" xr3:uid="{5170C2C6-3489-4975-AC6F-43B246B4C276}" name="Name" dataDxfId="17"/>
    <tableColumn id="4" xr3:uid="{005C63CD-27AC-4841-8ED7-A27A6854D368}" name="Forme" dataDxfId="16"/>
    <tableColumn id="5" xr3:uid="{BD39DD60-1795-4E7E-AA40-5C4B5BC159C6}" name="Puissance" dataDxfId="15"/>
    <tableColumn id="6" xr3:uid="{F975EF8E-49D6-4126-BAD9-EA9BC568E52E}" name="Type" dataDxfId="14"/>
    <tableColumn id="7" xr3:uid="{26807ACC-3BD6-4C18-98B8-8C91BC832CFC}" name="TypeV2" dataDxfId="13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44" dataDxfId="142" headerRowBorderDxfId="143" tableBorderDxfId="141" headerRowCellStyle="Accent3" dataCellStyle="20 % - Accent3">
  <autoFilter ref="B4:B11" xr:uid="{CEC92FAF-08A5-42A2-85BD-FCA20B6A1A8A}"/>
  <tableColumns count="1">
    <tableColumn id="1" xr3:uid="{659C19E4-C18A-4A47-AB0C-978C08D192E5}" name="Thèmes" dataDxfId="140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2" totalsRowShown="0">
  <autoFilter ref="B2:D12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>
  <autoFilter ref="B3:B5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>
  <autoFilter ref="D3:D5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Pokemon" displayName="TableauPokemon" ref="B3:Q653" totalsRowShown="0" headerRowDxfId="11" dataDxfId="139" headerRowBorderDxfId="12" tableBorderDxfId="138">
  <autoFilter ref="B3:Q653" xr:uid="{40DB8EA0-220F-4CB7-BF07-158D56AA4DD3}"/>
  <tableColumns count="16">
    <tableColumn id="1" xr3:uid="{6F05B942-F82A-4C4F-973B-10F3EEB34CE7}" name="PokeIndex" dataDxfId="137"/>
    <tableColumn id="2" xr3:uid="{8198F26E-CA2A-40A9-B4F2-9BC01041197C}" name="Nom" dataDxfId="136"/>
    <tableColumn id="3" xr3:uid="{C6528F29-D072-4D92-BD3B-843D77DF64DE}" name="Name" dataDxfId="135"/>
    <tableColumn id="4" xr3:uid="{F57398D0-3F6B-4771-ABC5-324E3161A781}" name="Type 1" dataDxfId="134"/>
    <tableColumn id="5" xr3:uid="{D172934B-9645-4AB9-9CA8-E474D9FF91C8}" name="Type 2" dataDxfId="133"/>
    <tableColumn id="18" xr3:uid="{DCAB2490-7EA0-4969-8F0E-CB36D91CAF1A}" name="catch_rate" dataDxfId="132"/>
    <tableColumn id="15" xr3:uid="{233DD64E-F6DB-4EBE-90BA-993C155127F8}" name="base_experience" dataDxfId="131"/>
    <tableColumn id="7" xr3:uid="{7AAEBAC1-F5F7-4642-AF55-DACCC5591B99}" name="HP" dataDxfId="130"/>
    <tableColumn id="8" xr3:uid="{CCD4D8B4-321F-4D6F-9C4E-B47813F9D778}" name="Attack" dataDxfId="129"/>
    <tableColumn id="9" xr3:uid="{83DDE8F1-B5A9-4442-AA26-73B3D7B1064C}" name="Defense" dataDxfId="128"/>
    <tableColumn id="10" xr3:uid="{35D1037F-6EA2-47A3-9EC4-8810F6C2F969}" name="Speed" dataDxfId="127"/>
    <tableColumn id="11" xr3:uid="{81BAAA47-9221-427B-8CAA-5D2F3E2374FF}" name="Special" dataDxfId="126"/>
    <tableColumn id="13" xr3:uid="{49562A33-15F3-4D35-BA5F-8F756627ECB4}" name="Level Evolution" dataDxfId="125"/>
    <tableColumn id="17" xr3:uid="{18568CAF-68F1-45DC-BC66-7D7E227E8E85}" name="PokeIndex Evolution" dataDxfId="124"/>
    <tableColumn id="14" xr3:uid="{33452EFC-5D65-45D7-902E-EFC0C4263EDA}" name="Evolution" dataDxfId="123"/>
    <tableColumn id="16" xr3:uid="{9D1BE629-FB05-4050-AC2A-B22F774C6B62}" name="Switch Evolution" dataDxfId="122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121" dataDxfId="120">
  <autoFilter ref="S3:W27" xr:uid="{9D36E05C-CBD6-4C4D-818A-B72F0DE9E719}"/>
  <tableColumns count="5">
    <tableColumn id="1" xr3:uid="{9F97CAA6-6ECC-4085-B90B-F43CE30CCA18}" name="Zone" dataDxfId="119"/>
    <tableColumn id="2" xr3:uid="{875D4D4B-E792-4947-AAF9-D5B93160E26B}" name="Lieu" dataDxfId="118"/>
    <tableColumn id="3" xr3:uid="{8933544A-6B43-4CBF-8629-6F9FD4FF265C}" name="Liste Pokemon" dataDxfId="117"/>
    <tableColumn id="4" xr3:uid="{BC31071E-6451-4EBF-8346-5C5EA02BEFD2}" name="Min Level" dataDxfId="116"/>
    <tableColumn id="5" xr3:uid="{5AC3F6C4-80F6-478B-955A-36DF4487F2B2}" name="Max Level" dataDxfId="11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5DD2E1C-AF95-442E-935A-104CAB98AE41}" name="TableauListeAttaques" displayName="TableauListeAttaques" ref="BC3:BI113" totalsRowShown="0" dataDxfId="57">
  <autoFilter ref="BC3:BI113" xr:uid="{C5DD2E1C-AF95-442E-935A-104CAB98AE41}"/>
  <tableColumns count="7">
    <tableColumn id="1" xr3:uid="{E2341BA1-85C3-4604-92AB-EA6B3BEB565F}" name="AttackID" dataDxfId="56"/>
    <tableColumn id="2" xr3:uid="{D2DBDACF-5CDE-465B-91A6-3B0745466CFE}" name="Nom" dataDxfId="55"/>
    <tableColumn id="3" xr3:uid="{ACF9E138-462A-41A0-BCD4-010D7651437E}" name="Name" dataDxfId="54"/>
    <tableColumn id="4" xr3:uid="{D009D584-1117-4EDA-822C-53BE47E9BAB6}" name="Forme" dataDxfId="53"/>
    <tableColumn id="5" xr3:uid="{03153E96-6A9D-49E3-94CE-0770DB15DE79}" name="Puissance" dataDxfId="52"/>
    <tableColumn id="6" xr3:uid="{F5F336C6-DEC6-4FA3-A94B-28424930BC8C}" name="Type" dataDxfId="51"/>
    <tableColumn id="7" xr3:uid="{E93FFCC5-A2A6-4C85-9521-B11C391E6913}" name="TypeV2" dataDxfId="50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H10" totalsRowShown="0" headerRowDxfId="114" dataDxfId="112" headerRowBorderDxfId="113" tableBorderDxfId="111">
  <autoFilter ref="E2:H10" xr:uid="{A95334D6-037E-4A78-A7D5-A749406219AE}"/>
  <tableColumns count="4">
    <tableColumn id="1" xr3:uid="{AD48A5AE-56DD-46B8-866A-BB5676C72DC2}" name="Nom" dataDxfId="110"/>
    <tableColumn id="2" xr3:uid="{52582B58-B451-4335-A782-412CBD207F5C}" name="Element" dataDxfId="109"/>
    <tableColumn id="3" xr3:uid="{B1B5EF4A-6F28-4F23-81F8-4E755B995A46}" name="Emplacement" dataDxfId="108"/>
    <tableColumn id="4" xr3:uid="{CD8CCC5D-7799-4F94-BD6C-E675235E42EC}" name="Etat" dataDxfId="107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Liens11" displayName="TableauLiens11" ref="O2:P6" totalsRowShown="0" headerRowDxfId="106" dataDxfId="104" headerRowBorderDxfId="105" tableBorderDxfId="103">
  <autoFilter ref="O2:P6" xr:uid="{6C1BF0DF-F271-4508-B34E-CBD528A6B7B7}"/>
  <tableColumns count="2">
    <tableColumn id="1" xr3:uid="{CB6DD27D-7524-44D0-83C4-DF9F3DC5A7BD}" name="Evenement" dataDxfId="102"/>
    <tableColumn id="2" xr3:uid="{9B769683-04B7-4186-A4BA-D4953EB217C3}" name="Description" dataDxfId="10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J2:M5" totalsRowShown="0" headerRowDxfId="100" dataDxfId="98" headerRowBorderDxfId="99" tableBorderDxfId="97">
  <autoFilter ref="J2:M5" xr:uid="{6ADE75AE-A4E2-41CE-A824-5282159F6DFE}"/>
  <tableColumns count="4">
    <tableColumn id="1" xr3:uid="{F2E93ED3-FB2D-4190-8F2A-ABFA7C36FC88}" name="Lien 1" dataDxfId="96"/>
    <tableColumn id="2" xr3:uid="{090C7970-E2EF-4444-ADC2-D3F8B9085941}" name="Lien 2" dataDxfId="95"/>
    <tableColumn id="3" xr3:uid="{B2E2DB43-85C3-4EBA-9884-8C2408D4544D}" name="Endroit 1" dataDxfId="94"/>
    <tableColumn id="4" xr3:uid="{54219FF0-B593-4F12-8C48-EB2E05BED9D4}" name="Endroit 2" dataDxfId="93"/>
  </tableColumns>
  <tableStyleInfo name="TableStyleMedium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R2:AV308" totalsRowShown="0" headerRowDxfId="86" dataDxfId="85" headerRowBorderDxfId="59" tableBorderDxfId="84">
  <tableColumns count="31">
    <tableColumn id="1" xr3:uid="{AF4CFBF3-2C6A-4CE8-BAB1-D014E66AD45D}" name="PokeID" dataDxfId="83"/>
    <tableColumn id="2" xr3:uid="{5A136216-7C4B-4BD7-B317-85CEACC29E03}" name="PokeIndex" dataDxfId="92"/>
    <tableColumn id="31" xr3:uid="{F373F89D-2864-4B99-A0B7-826C9A8D6845}" name="Slot" dataDxfId="61"/>
    <tableColumn id="32" xr3:uid="{893B14BA-171C-433B-A9A1-977864058373}" name="Used" dataDxfId="58">
      <calculatedColumnFormula>ISBLANK(TableauPokemonCapturé[[#This Row],[PokeID]])=FALSE</calculatedColumnFormula>
    </tableColumn>
    <tableColumn id="3" xr3:uid="{7455A18A-37F0-4547-A011-6A4387F73BC6}" name="Nom" dataDxfId="91"/>
    <tableColumn id="4" xr3:uid="{CCC51B62-6095-4A99-BED4-FF5413CFC6AA}" name="Name" dataDxfId="90"/>
    <tableColumn id="6" xr3:uid="{4D54B4BD-C1FE-455C-850D-96F14E8CEAA2}" name="Level" dataDxfId="64"/>
    <tableColumn id="7" xr3:uid="{113442BC-4F52-428C-A42F-242B333BE5D7}" name="Experience" dataDxfId="63"/>
    <tableColumn id="8" xr3:uid="{83EA7EE7-ED22-43A6-930C-B66CF6C0204A}" name="Experience Left" dataDxfId="62"/>
    <tableColumn id="9" xr3:uid="{15EBC14E-D878-4303-B594-EC5C129A55F8}" name="Catch Rate" dataDxfId="89"/>
    <tableColumn id="10" xr3:uid="{7E92B2FD-7B39-4400-89EF-AFBD9915A0B0}" name="Type 1" dataDxfId="66"/>
    <tableColumn id="11" xr3:uid="{97739C82-78D0-47B1-AD79-88CA8E43F281}" name="Type 2" dataDxfId="65"/>
    <tableColumn id="12" xr3:uid="{90EA5372-FB11-4976-8780-1542C1E7C0BC}" name="Attack1" dataDxfId="70"/>
    <tableColumn id="13" xr3:uid="{13F26D5C-7BC6-49E0-B487-2076450EB6A1}" name="Attack2" dataDxfId="69"/>
    <tableColumn id="14" xr3:uid="{F29D5D3E-AC64-4D22-9FB4-374D1B2FCFC1}" name="Attack3" dataDxfId="68"/>
    <tableColumn id="15" xr3:uid="{FB5E2BC1-7459-4C92-90D1-99A526709BDD}" name="Attack4" dataDxfId="67"/>
    <tableColumn id="16" xr3:uid="{E8FAA84E-AD59-40AE-9048-7E318C24C83C}" name="STAT HP LEFT" dataDxfId="77"/>
    <tableColumn id="17" xr3:uid="{6DAA8DA6-DBF6-45CC-853B-3FE533F8EDC6}" name="STAT HP" dataDxfId="76"/>
    <tableColumn id="18" xr3:uid="{650B56D1-631C-4914-BAFA-2F72D36BDA27}" name="STAT Attack" dataDxfId="75"/>
    <tableColumn id="19" xr3:uid="{CAD980DF-3E5A-4CD3-B4D7-A9ED71A320C8}" name="STAT Defense" dataDxfId="74"/>
    <tableColumn id="20" xr3:uid="{94F47295-BC6D-4522-9801-39636251FC5E}" name="STAT Sp. Atk" dataDxfId="73"/>
    <tableColumn id="21" xr3:uid="{8D3E4449-3B41-475E-AF30-BF9F0BE143AD}" name="STAT Sp. Def" dataDxfId="72"/>
    <tableColumn id="22" xr3:uid="{57B635C6-AFED-4300-BB27-37F0AFECBA57}" name="STAT Speed" dataDxfId="71"/>
    <tableColumn id="23" xr3:uid="{6D2EDCC9-E3D5-4F1F-A5E0-F8DDAA1A6C4B}" name="BASE HP" dataDxfId="82"/>
    <tableColumn id="24" xr3:uid="{35F07894-E632-4864-B833-24B476F80720}" name="BASE Attack" dataDxfId="81"/>
    <tableColumn id="25" xr3:uid="{9284A84E-7B1F-4B92-9BAA-A4F3403C5835}" name="BASE Defense" dataDxfId="80"/>
    <tableColumn id="26" xr3:uid="{38C9221F-92C6-4212-994B-33351FAED34E}" name="BASE Sp. Atk" dataDxfId="79"/>
    <tableColumn id="27" xr3:uid="{15A824E4-DDF5-4F91-B261-A3C69B1D20DD}" name="BASE Sp. Def" dataDxfId="78"/>
    <tableColumn id="28" xr3:uid="{DC535B71-C43B-4A97-B57F-E9BFC31735F3}" name="BASE Speed" dataDxfId="60"/>
    <tableColumn id="29" xr3:uid="{5AFCF796-6476-4F62-B285-453CF6E33089}" name="Evolution Level" dataDxfId="88"/>
    <tableColumn id="30" xr3:uid="{49816711-18BD-4962-A898-1F533EF12905}" name="Evolution PokeIndex" dataDxfId="87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hyperlink" Target="https://www.pokebip.com/pokedex/4eme_generation_attaque326__Tranche.html" TargetMode="External"/><Relationship Id="rId7" Type="http://schemas.openxmlformats.org/officeDocument/2006/relationships/table" Target="../tables/table10.xml"/><Relationship Id="rId2" Type="http://schemas.openxmlformats.org/officeDocument/2006/relationships/hyperlink" Target="https://www.pokebip.com/pokedex/liste_des_attaques_4g_1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table" Target="../tables/table9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www.pokebip.com/pokedex/ecarlate-violet/attaques?types=7&amp;classes=1%2C2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2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10" Type="http://schemas.openxmlformats.org/officeDocument/2006/relationships/table" Target="../tables/table15.xml"/><Relationship Id="rId4" Type="http://schemas.openxmlformats.org/officeDocument/2006/relationships/ctrlProp" Target="../ctrlProps/ctrlProp29.xml"/><Relationship Id="rId9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252" t="s">
        <v>12</v>
      </c>
      <c r="E13" s="253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1414</v>
      </c>
    </row>
    <row r="3" spans="2:71" ht="15" thickBot="1">
      <c r="B3" s="45" t="s">
        <v>1291</v>
      </c>
      <c r="C3" s="45" t="s">
        <v>31</v>
      </c>
      <c r="D3" s="45" t="s">
        <v>732</v>
      </c>
      <c r="E3" s="45" t="s">
        <v>733</v>
      </c>
      <c r="F3" s="45" t="s">
        <v>734</v>
      </c>
      <c r="G3" s="45" t="s">
        <v>1346</v>
      </c>
      <c r="H3" s="45" t="s">
        <v>1347</v>
      </c>
      <c r="I3" s="45" t="s">
        <v>735</v>
      </c>
      <c r="J3" s="45" t="s">
        <v>736</v>
      </c>
      <c r="K3" s="45" t="s">
        <v>737</v>
      </c>
      <c r="L3" s="45" t="s">
        <v>738</v>
      </c>
      <c r="M3" s="45" t="s">
        <v>739</v>
      </c>
      <c r="N3" s="45" t="s">
        <v>740</v>
      </c>
      <c r="O3" s="45" t="s">
        <v>741</v>
      </c>
      <c r="P3" s="45" t="s">
        <v>1446</v>
      </c>
      <c r="Q3" s="45" t="s">
        <v>1292</v>
      </c>
      <c r="R3" s="45" t="s">
        <v>1287</v>
      </c>
      <c r="S3" s="45" t="s">
        <v>1290</v>
      </c>
      <c r="T3" s="1"/>
      <c r="U3" s="1" t="s">
        <v>1351</v>
      </c>
      <c r="V3" s="1" t="s">
        <v>1416</v>
      </c>
      <c r="W3" s="1" t="s">
        <v>1352</v>
      </c>
      <c r="X3" s="1" t="s">
        <v>1353</v>
      </c>
      <c r="Y3" s="1" t="s">
        <v>1354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87" t="s">
        <v>1284</v>
      </c>
      <c r="AK3" s="185" t="s">
        <v>823</v>
      </c>
      <c r="AL3" s="270" t="s">
        <v>1285</v>
      </c>
      <c r="AM3" s="270"/>
      <c r="AN3" s="270"/>
      <c r="AO3" s="270"/>
      <c r="AP3" s="270"/>
      <c r="AQ3" s="270"/>
      <c r="AR3" s="270"/>
      <c r="AS3" s="270"/>
      <c r="AT3" s="270"/>
      <c r="AU3" s="270"/>
      <c r="AV3" s="270"/>
      <c r="AW3" s="270"/>
      <c r="AX3" s="270"/>
      <c r="AY3" s="270"/>
      <c r="AZ3" s="270"/>
      <c r="BA3" s="270"/>
      <c r="BB3" s="270"/>
      <c r="BC3" s="271"/>
      <c r="BE3" t="s">
        <v>1684</v>
      </c>
      <c r="BF3" t="s">
        <v>31</v>
      </c>
      <c r="BG3" t="s">
        <v>732</v>
      </c>
      <c r="BH3" t="s">
        <v>16</v>
      </c>
      <c r="BI3" t="s">
        <v>1603</v>
      </c>
      <c r="BJ3" t="s">
        <v>1460</v>
      </c>
      <c r="BK3" t="s">
        <v>1685</v>
      </c>
      <c r="BP3" t="s">
        <v>2021</v>
      </c>
      <c r="BQ3" t="s">
        <v>2022</v>
      </c>
      <c r="BR3" t="s">
        <v>2024</v>
      </c>
      <c r="BS3" t="s">
        <v>2025</v>
      </c>
    </row>
    <row r="4" spans="2:71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745</v>
      </c>
      <c r="S4" s="1"/>
      <c r="T4" s="1"/>
      <c r="U4" s="1" t="s">
        <v>1400</v>
      </c>
      <c r="V4" s="1" t="s">
        <v>1330</v>
      </c>
      <c r="W4" s="1" t="s">
        <v>1389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86" t="s">
        <v>752</v>
      </c>
      <c r="AK4" s="188" cm="1">
        <f t="array" ref="AK4">_xlfn.XLOOKUP(AJ4,AK5:AK22,_xlfn.XLOOKUP(AK3,AL4:BC4,AL5:BC22))</f>
        <v>1</v>
      </c>
      <c r="AL4" s="191" t="s">
        <v>765</v>
      </c>
      <c r="AM4" s="191" t="s">
        <v>748</v>
      </c>
      <c r="AN4" s="191" t="s">
        <v>754</v>
      </c>
      <c r="AO4" s="191" t="s">
        <v>772</v>
      </c>
      <c r="AP4" s="191" t="s">
        <v>743</v>
      </c>
      <c r="AQ4" s="191" t="s">
        <v>823</v>
      </c>
      <c r="AR4" s="191" t="s">
        <v>796</v>
      </c>
      <c r="AS4" s="191" t="s">
        <v>744</v>
      </c>
      <c r="AT4" s="191" t="s">
        <v>774</v>
      </c>
      <c r="AU4" s="191" t="s">
        <v>751</v>
      </c>
      <c r="AV4" s="191" t="s">
        <v>803</v>
      </c>
      <c r="AW4" s="191" t="s">
        <v>758</v>
      </c>
      <c r="AX4" s="191" t="s">
        <v>811</v>
      </c>
      <c r="AY4" s="191" t="s">
        <v>829</v>
      </c>
      <c r="AZ4" s="191" t="s">
        <v>752</v>
      </c>
      <c r="BA4" s="191" t="s">
        <v>864</v>
      </c>
      <c r="BB4" s="191" t="s">
        <v>818</v>
      </c>
      <c r="BC4" s="192" t="s">
        <v>777</v>
      </c>
      <c r="BE4" s="1">
        <v>1</v>
      </c>
      <c r="BF4" s="1" t="s">
        <v>1648</v>
      </c>
      <c r="BG4" s="1" t="s">
        <v>1529</v>
      </c>
      <c r="BH4" s="1" t="s">
        <v>1462</v>
      </c>
      <c r="BI4" s="1">
        <v>40</v>
      </c>
      <c r="BJ4" s="1" t="s">
        <v>765</v>
      </c>
      <c r="BK4" s="1" t="s">
        <v>1672</v>
      </c>
      <c r="BO4" s="1" t="str" cm="1">
        <f t="array" ref="BO4:BO19">_xlfn.UNIQUE(TableauListeAttaques15[Type])</f>
        <v>Normal</v>
      </c>
      <c r="BP4" t="s">
        <v>1492</v>
      </c>
    </row>
    <row r="5" spans="2:71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746</v>
      </c>
      <c r="S5" s="1"/>
      <c r="T5" s="1"/>
      <c r="U5" s="1" t="s">
        <v>1401</v>
      </c>
      <c r="V5" s="1" t="s">
        <v>1329</v>
      </c>
      <c r="W5" s="1" t="s">
        <v>1390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268" t="s">
        <v>1283</v>
      </c>
      <c r="AK5" s="189" t="s">
        <v>765</v>
      </c>
      <c r="AL5" s="194">
        <v>1</v>
      </c>
      <c r="AM5" s="195">
        <v>1</v>
      </c>
      <c r="AN5" s="195">
        <v>1</v>
      </c>
      <c r="AO5" s="195">
        <v>1</v>
      </c>
      <c r="AP5" s="195">
        <v>1</v>
      </c>
      <c r="AQ5" s="195">
        <v>1</v>
      </c>
      <c r="AR5" s="195">
        <v>1</v>
      </c>
      <c r="AS5" s="195">
        <v>1</v>
      </c>
      <c r="AT5" s="195">
        <v>1</v>
      </c>
      <c r="AU5" s="195">
        <v>1</v>
      </c>
      <c r="AV5" s="195">
        <v>1</v>
      </c>
      <c r="AW5" s="195">
        <v>1</v>
      </c>
      <c r="AX5" s="195">
        <v>0.5</v>
      </c>
      <c r="AY5" s="195">
        <v>0</v>
      </c>
      <c r="AZ5" s="195">
        <v>1</v>
      </c>
      <c r="BA5" s="195">
        <v>1</v>
      </c>
      <c r="BB5" s="195">
        <v>0.5</v>
      </c>
      <c r="BC5" s="196">
        <v>1</v>
      </c>
      <c r="BE5" s="1">
        <v>2</v>
      </c>
      <c r="BF5" s="1" t="s">
        <v>1661</v>
      </c>
      <c r="BG5" s="1" t="s">
        <v>1703</v>
      </c>
      <c r="BH5" s="1" t="s">
        <v>1462</v>
      </c>
      <c r="BI5" s="1">
        <v>50</v>
      </c>
      <c r="BJ5" s="1" t="s">
        <v>1476</v>
      </c>
      <c r="BK5" s="1" t="s">
        <v>1670</v>
      </c>
      <c r="BO5" s="1" t="str">
        <v>Combat</v>
      </c>
      <c r="BP5" t="s">
        <v>2023</v>
      </c>
    </row>
    <row r="6" spans="2:71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82</v>
      </c>
      <c r="Q6" s="1" t="s">
        <v>82</v>
      </c>
      <c r="R6" s="1" t="s">
        <v>82</v>
      </c>
      <c r="S6" s="1"/>
      <c r="T6" s="1"/>
      <c r="U6" s="1" t="s">
        <v>1402</v>
      </c>
      <c r="V6" s="1" t="s">
        <v>1328</v>
      </c>
      <c r="W6" s="1" t="s">
        <v>1393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268"/>
      <c r="AK6" s="189" t="s">
        <v>748</v>
      </c>
      <c r="AL6" s="197">
        <v>1</v>
      </c>
      <c r="AM6" s="193">
        <v>0.5</v>
      </c>
      <c r="AN6" s="193">
        <v>0.5</v>
      </c>
      <c r="AO6" s="193">
        <v>1</v>
      </c>
      <c r="AP6" s="193">
        <v>2</v>
      </c>
      <c r="AQ6" s="193">
        <v>2</v>
      </c>
      <c r="AR6" s="193">
        <v>1</v>
      </c>
      <c r="AS6" s="193">
        <v>1</v>
      </c>
      <c r="AT6" s="193">
        <v>1</v>
      </c>
      <c r="AU6" s="193">
        <v>1</v>
      </c>
      <c r="AV6" s="193">
        <v>1</v>
      </c>
      <c r="AW6" s="193">
        <v>2</v>
      </c>
      <c r="AX6" s="193">
        <v>0.5</v>
      </c>
      <c r="AY6" s="193">
        <v>1</v>
      </c>
      <c r="AZ6" s="193">
        <v>0.5</v>
      </c>
      <c r="BA6" s="193">
        <v>1</v>
      </c>
      <c r="BB6" s="193">
        <v>2</v>
      </c>
      <c r="BC6" s="198">
        <v>1</v>
      </c>
      <c r="BE6" s="1">
        <v>3</v>
      </c>
      <c r="BF6" s="1" t="s">
        <v>1664</v>
      </c>
      <c r="BG6" s="1" t="s">
        <v>1705</v>
      </c>
      <c r="BH6" s="1" t="s">
        <v>1462</v>
      </c>
      <c r="BI6" s="1">
        <v>35</v>
      </c>
      <c r="BJ6" s="1" t="s">
        <v>765</v>
      </c>
      <c r="BK6" s="1" t="s">
        <v>1672</v>
      </c>
      <c r="BO6" s="1" t="str">
        <v>Feu</v>
      </c>
    </row>
    <row r="7" spans="2:71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749</v>
      </c>
      <c r="S7" s="1"/>
      <c r="T7" s="1"/>
      <c r="U7" s="1" t="s">
        <v>1403</v>
      </c>
      <c r="V7" s="1" t="s">
        <v>1355</v>
      </c>
      <c r="W7" s="1" t="s">
        <v>1394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268"/>
      <c r="AK7" s="189" t="s">
        <v>754</v>
      </c>
      <c r="AL7" s="197">
        <v>1</v>
      </c>
      <c r="AM7" s="193">
        <v>2</v>
      </c>
      <c r="AN7" s="193">
        <v>0.5</v>
      </c>
      <c r="AO7" s="193">
        <v>1</v>
      </c>
      <c r="AP7" s="193">
        <v>0.5</v>
      </c>
      <c r="AQ7" s="193">
        <v>1</v>
      </c>
      <c r="AR7" s="193">
        <v>1</v>
      </c>
      <c r="AS7" s="193">
        <v>1</v>
      </c>
      <c r="AT7" s="193">
        <v>2</v>
      </c>
      <c r="AU7" s="193">
        <v>1</v>
      </c>
      <c r="AV7" s="193">
        <v>1</v>
      </c>
      <c r="AW7" s="193">
        <v>1</v>
      </c>
      <c r="AX7" s="193">
        <v>2</v>
      </c>
      <c r="AY7" s="193">
        <v>1</v>
      </c>
      <c r="AZ7" s="193">
        <v>0.5</v>
      </c>
      <c r="BA7" s="193">
        <v>1</v>
      </c>
      <c r="BB7" s="193">
        <v>1</v>
      </c>
      <c r="BC7" s="198">
        <v>1</v>
      </c>
      <c r="BE7" s="1">
        <v>4</v>
      </c>
      <c r="BF7" s="1" t="s">
        <v>1660</v>
      </c>
      <c r="BG7" s="1" t="s">
        <v>1702</v>
      </c>
      <c r="BH7" s="1" t="s">
        <v>1462</v>
      </c>
      <c r="BI7" s="1">
        <v>40</v>
      </c>
      <c r="BJ7" s="1" t="s">
        <v>1476</v>
      </c>
      <c r="BK7" s="1" t="s">
        <v>1672</v>
      </c>
      <c r="BO7" s="1" t="str">
        <v>Glace</v>
      </c>
    </row>
    <row r="8" spans="2:71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750</v>
      </c>
      <c r="S8" s="1"/>
      <c r="T8" s="1"/>
      <c r="U8" s="1" t="s">
        <v>1404</v>
      </c>
      <c r="V8" s="1" t="s">
        <v>1356</v>
      </c>
      <c r="W8" s="1" t="s">
        <v>1395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268"/>
      <c r="AK8" s="189" t="s">
        <v>772</v>
      </c>
      <c r="AL8" s="197">
        <v>1</v>
      </c>
      <c r="AM8" s="193">
        <v>1</v>
      </c>
      <c r="AN8" s="193">
        <v>2</v>
      </c>
      <c r="AO8" s="193">
        <v>0.5</v>
      </c>
      <c r="AP8" s="193">
        <v>0.5</v>
      </c>
      <c r="AQ8" s="193">
        <v>1</v>
      </c>
      <c r="AR8" s="193">
        <v>1</v>
      </c>
      <c r="AS8" s="193">
        <v>1</v>
      </c>
      <c r="AT8" s="193">
        <v>0</v>
      </c>
      <c r="AU8" s="193">
        <v>2</v>
      </c>
      <c r="AV8" s="193">
        <v>1</v>
      </c>
      <c r="AW8" s="193">
        <v>1</v>
      </c>
      <c r="AX8" s="193">
        <v>1</v>
      </c>
      <c r="AY8" s="193">
        <v>1</v>
      </c>
      <c r="AZ8" s="193">
        <v>0.5</v>
      </c>
      <c r="BA8" s="193">
        <v>1</v>
      </c>
      <c r="BB8" s="193">
        <v>1</v>
      </c>
      <c r="BC8" s="198">
        <v>1</v>
      </c>
      <c r="BE8" s="1">
        <v>5</v>
      </c>
      <c r="BF8" s="1" t="s">
        <v>1626</v>
      </c>
      <c r="BG8" s="1" t="s">
        <v>1627</v>
      </c>
      <c r="BH8" s="1" t="s">
        <v>1462</v>
      </c>
      <c r="BI8" s="1">
        <v>80</v>
      </c>
      <c r="BJ8" s="1" t="s">
        <v>765</v>
      </c>
      <c r="BK8" s="1" t="s">
        <v>1672</v>
      </c>
      <c r="BO8" s="1" t="str">
        <v>Électrik</v>
      </c>
    </row>
    <row r="9" spans="2:71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82</v>
      </c>
      <c r="Q9" s="1" t="s">
        <v>82</v>
      </c>
      <c r="R9" s="1" t="s">
        <v>82</v>
      </c>
      <c r="S9" s="1"/>
      <c r="T9" s="1"/>
      <c r="U9" s="1" t="s">
        <v>1405</v>
      </c>
      <c r="V9" s="1" t="s">
        <v>1357</v>
      </c>
      <c r="W9" s="1" t="s">
        <v>1396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268"/>
      <c r="AK9" s="189" t="s">
        <v>743</v>
      </c>
      <c r="AL9" s="197">
        <v>1</v>
      </c>
      <c r="AM9" s="193">
        <v>0.5</v>
      </c>
      <c r="AN9" s="193">
        <v>2</v>
      </c>
      <c r="AO9" s="193">
        <v>1</v>
      </c>
      <c r="AP9" s="193">
        <v>0.5</v>
      </c>
      <c r="AQ9" s="193">
        <v>1</v>
      </c>
      <c r="AR9" s="193">
        <v>1</v>
      </c>
      <c r="AS9" s="193">
        <v>0.5</v>
      </c>
      <c r="AT9" s="193">
        <v>2</v>
      </c>
      <c r="AU9" s="193">
        <v>0.5</v>
      </c>
      <c r="AV9" s="193">
        <v>1</v>
      </c>
      <c r="AW9" s="193">
        <v>0.5</v>
      </c>
      <c r="AX9" s="193">
        <v>2</v>
      </c>
      <c r="AY9" s="193">
        <v>1</v>
      </c>
      <c r="AZ9" s="193">
        <v>0.5</v>
      </c>
      <c r="BA9" s="193">
        <v>1</v>
      </c>
      <c r="BB9" s="193">
        <v>0.5</v>
      </c>
      <c r="BC9" s="198">
        <v>1</v>
      </c>
      <c r="BE9" s="1">
        <v>6</v>
      </c>
      <c r="BF9" s="1" t="s">
        <v>1555</v>
      </c>
      <c r="BG9" s="1" t="s">
        <v>1556</v>
      </c>
      <c r="BH9" s="1" t="s">
        <v>1462</v>
      </c>
      <c r="BI9" s="1">
        <v>40</v>
      </c>
      <c r="BJ9" s="1" t="s">
        <v>765</v>
      </c>
      <c r="BK9" s="1" t="s">
        <v>1672</v>
      </c>
      <c r="BO9" s="1" t="str">
        <v>Vol</v>
      </c>
    </row>
    <row r="10" spans="2:71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755</v>
      </c>
      <c r="S10" s="1"/>
      <c r="T10" s="1"/>
      <c r="U10" s="1" t="s">
        <v>1406</v>
      </c>
      <c r="V10" s="1" t="s">
        <v>1358</v>
      </c>
      <c r="W10" s="1" t="s">
        <v>1397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268"/>
      <c r="AK10" s="189" t="s">
        <v>823</v>
      </c>
      <c r="AL10" s="197">
        <v>1</v>
      </c>
      <c r="AM10" s="193">
        <v>0.5</v>
      </c>
      <c r="AN10" s="193">
        <v>0.5</v>
      </c>
      <c r="AO10" s="193">
        <v>1</v>
      </c>
      <c r="AP10" s="193">
        <v>2</v>
      </c>
      <c r="AQ10" s="193">
        <v>0.5</v>
      </c>
      <c r="AR10" s="193">
        <v>1</v>
      </c>
      <c r="AS10" s="193">
        <v>1</v>
      </c>
      <c r="AT10" s="193">
        <v>2</v>
      </c>
      <c r="AU10" s="193">
        <v>2</v>
      </c>
      <c r="AV10" s="193">
        <v>1</v>
      </c>
      <c r="AW10" s="193">
        <v>1</v>
      </c>
      <c r="AX10" s="193">
        <v>1</v>
      </c>
      <c r="AY10" s="193">
        <v>1</v>
      </c>
      <c r="AZ10" s="193">
        <v>2</v>
      </c>
      <c r="BA10" s="193">
        <v>1</v>
      </c>
      <c r="BB10" s="193">
        <v>0.5</v>
      </c>
      <c r="BC10" s="198">
        <v>1</v>
      </c>
      <c r="BE10" s="1">
        <v>7</v>
      </c>
      <c r="BF10" s="1" t="s">
        <v>1598</v>
      </c>
      <c r="BG10" s="1" t="s">
        <v>1599</v>
      </c>
      <c r="BH10" s="1" t="s">
        <v>1462</v>
      </c>
      <c r="BI10" s="1">
        <v>75</v>
      </c>
      <c r="BJ10" s="1" t="s">
        <v>1473</v>
      </c>
      <c r="BK10" s="1" t="s">
        <v>1676</v>
      </c>
      <c r="BO10" s="1" t="str">
        <v>Plante</v>
      </c>
    </row>
    <row r="11" spans="2:71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756</v>
      </c>
      <c r="S11" s="1"/>
      <c r="T11" s="1"/>
      <c r="U11" s="1" t="s">
        <v>1407</v>
      </c>
      <c r="V11" s="1" t="s">
        <v>1359</v>
      </c>
      <c r="W11" s="1" t="s">
        <v>1398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68"/>
      <c r="AK11" s="189" t="s">
        <v>796</v>
      </c>
      <c r="AL11" s="197">
        <v>2</v>
      </c>
      <c r="AM11" s="193">
        <v>1</v>
      </c>
      <c r="AN11" s="193">
        <v>1</v>
      </c>
      <c r="AO11" s="193">
        <v>1</v>
      </c>
      <c r="AP11" s="193">
        <v>1</v>
      </c>
      <c r="AQ11" s="193">
        <v>2</v>
      </c>
      <c r="AR11" s="193">
        <v>1</v>
      </c>
      <c r="AS11" s="193">
        <v>0.5</v>
      </c>
      <c r="AT11" s="193">
        <v>1</v>
      </c>
      <c r="AU11" s="193">
        <v>0.5</v>
      </c>
      <c r="AV11" s="193">
        <v>0.5</v>
      </c>
      <c r="AW11" s="193">
        <v>0.5</v>
      </c>
      <c r="AX11" s="193">
        <v>2</v>
      </c>
      <c r="AY11" s="193">
        <v>0</v>
      </c>
      <c r="AZ11" s="193">
        <v>1</v>
      </c>
      <c r="BA11" s="193">
        <v>2</v>
      </c>
      <c r="BB11" s="193">
        <v>2</v>
      </c>
      <c r="BC11" s="198">
        <v>0.5</v>
      </c>
      <c r="BE11" s="1">
        <v>8</v>
      </c>
      <c r="BF11" s="1" t="s">
        <v>1600</v>
      </c>
      <c r="BG11" s="1" t="s">
        <v>1601</v>
      </c>
      <c r="BH11" s="1" t="s">
        <v>1462</v>
      </c>
      <c r="BI11" s="1">
        <v>75</v>
      </c>
      <c r="BJ11" s="1" t="s">
        <v>1477</v>
      </c>
      <c r="BK11" s="1" t="s">
        <v>1673</v>
      </c>
      <c r="BO11" s="1" t="str">
        <v>Poison</v>
      </c>
    </row>
    <row r="12" spans="2:71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82</v>
      </c>
      <c r="Q12" s="1" t="s">
        <v>82</v>
      </c>
      <c r="R12" s="1" t="s">
        <v>82</v>
      </c>
      <c r="S12" s="1"/>
      <c r="T12" s="1"/>
      <c r="U12" s="1" t="s">
        <v>1408</v>
      </c>
      <c r="V12" s="1" t="s">
        <v>1360</v>
      </c>
      <c r="W12" s="1" t="s">
        <v>1399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268"/>
      <c r="AK12" s="189" t="s">
        <v>744</v>
      </c>
      <c r="AL12" s="197">
        <v>1</v>
      </c>
      <c r="AM12" s="193">
        <v>1</v>
      </c>
      <c r="AN12" s="193">
        <v>1</v>
      </c>
      <c r="AO12" s="193">
        <v>1</v>
      </c>
      <c r="AP12" s="193">
        <v>2</v>
      </c>
      <c r="AQ12" s="193">
        <v>1</v>
      </c>
      <c r="AR12" s="193">
        <v>1</v>
      </c>
      <c r="AS12" s="193">
        <v>0.5</v>
      </c>
      <c r="AT12" s="193">
        <v>0.5</v>
      </c>
      <c r="AU12" s="193">
        <v>1</v>
      </c>
      <c r="AV12" s="193">
        <v>1</v>
      </c>
      <c r="AW12" s="193">
        <v>1</v>
      </c>
      <c r="AX12" s="193">
        <v>0.5</v>
      </c>
      <c r="AY12" s="193">
        <v>0.5</v>
      </c>
      <c r="AZ12" s="193">
        <v>1</v>
      </c>
      <c r="BA12" s="193">
        <v>1</v>
      </c>
      <c r="BB12" s="193">
        <v>0</v>
      </c>
      <c r="BC12" s="198">
        <v>2</v>
      </c>
      <c r="BE12" s="1">
        <v>9</v>
      </c>
      <c r="BF12" s="1" t="s">
        <v>1596</v>
      </c>
      <c r="BG12" s="1" t="s">
        <v>1597</v>
      </c>
      <c r="BH12" s="1" t="s">
        <v>1462</v>
      </c>
      <c r="BI12" s="1">
        <v>75</v>
      </c>
      <c r="BJ12" s="1" t="s">
        <v>1487</v>
      </c>
      <c r="BK12" s="1" t="s">
        <v>1681</v>
      </c>
      <c r="BO12" s="1" t="str">
        <v>Insecte</v>
      </c>
    </row>
    <row r="13" spans="2:71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759</v>
      </c>
      <c r="S13" s="1"/>
      <c r="T13" s="1"/>
      <c r="U13" s="1" t="s">
        <v>1361</v>
      </c>
      <c r="V13" s="1" t="s">
        <v>1362</v>
      </c>
      <c r="W13" s="1" t="s">
        <v>1409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268"/>
      <c r="AK13" s="189" t="s">
        <v>774</v>
      </c>
      <c r="AL13" s="197">
        <v>1</v>
      </c>
      <c r="AM13" s="193">
        <v>2</v>
      </c>
      <c r="AN13" s="193">
        <v>1</v>
      </c>
      <c r="AO13" s="193">
        <v>2</v>
      </c>
      <c r="AP13" s="193">
        <v>0.5</v>
      </c>
      <c r="AQ13" s="193">
        <v>1</v>
      </c>
      <c r="AR13" s="193">
        <v>1</v>
      </c>
      <c r="AS13" s="193">
        <v>2</v>
      </c>
      <c r="AT13" s="193">
        <v>1</v>
      </c>
      <c r="AU13" s="193">
        <v>0</v>
      </c>
      <c r="AV13" s="193">
        <v>1</v>
      </c>
      <c r="AW13" s="193">
        <v>0.5</v>
      </c>
      <c r="AX13" s="193">
        <v>2</v>
      </c>
      <c r="AY13" s="193">
        <v>1</v>
      </c>
      <c r="AZ13" s="193">
        <v>1</v>
      </c>
      <c r="BA13" s="193">
        <v>1</v>
      </c>
      <c r="BB13" s="193">
        <v>2</v>
      </c>
      <c r="BC13" s="198">
        <v>1</v>
      </c>
      <c r="BE13" s="1">
        <v>10</v>
      </c>
      <c r="BF13" s="1" t="s">
        <v>1550</v>
      </c>
      <c r="BG13" s="1" t="s">
        <v>1551</v>
      </c>
      <c r="BH13" s="1" t="s">
        <v>1462</v>
      </c>
      <c r="BI13" s="1">
        <v>40</v>
      </c>
      <c r="BJ13" s="1" t="s">
        <v>765</v>
      </c>
      <c r="BK13" s="1" t="s">
        <v>1672</v>
      </c>
      <c r="BO13" s="1" t="str">
        <v>Ténèbres</v>
      </c>
    </row>
    <row r="14" spans="2:71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760</v>
      </c>
      <c r="S14" s="1"/>
      <c r="T14" s="1"/>
      <c r="U14" s="1" t="s">
        <v>1363</v>
      </c>
      <c r="V14" s="1" t="s">
        <v>1364</v>
      </c>
      <c r="W14" s="1" t="s">
        <v>1410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268"/>
      <c r="AK14" s="189" t="s">
        <v>751</v>
      </c>
      <c r="AL14" s="197">
        <v>1</v>
      </c>
      <c r="AM14" s="193">
        <v>1</v>
      </c>
      <c r="AN14" s="193">
        <v>1</v>
      </c>
      <c r="AO14" s="193">
        <v>0.5</v>
      </c>
      <c r="AP14" s="193">
        <v>2</v>
      </c>
      <c r="AQ14" s="193">
        <v>1</v>
      </c>
      <c r="AR14" s="193">
        <v>2</v>
      </c>
      <c r="AS14" s="193">
        <v>1</v>
      </c>
      <c r="AT14" s="193">
        <v>1</v>
      </c>
      <c r="AU14" s="193">
        <v>1</v>
      </c>
      <c r="AV14" s="193">
        <v>1</v>
      </c>
      <c r="AW14" s="193">
        <v>2</v>
      </c>
      <c r="AX14" s="193">
        <v>0.5</v>
      </c>
      <c r="AY14" s="193">
        <v>1</v>
      </c>
      <c r="AZ14" s="193">
        <v>1</v>
      </c>
      <c r="BA14" s="193">
        <v>1</v>
      </c>
      <c r="BB14" s="193">
        <v>0.5</v>
      </c>
      <c r="BC14" s="198">
        <v>1</v>
      </c>
      <c r="BE14" s="1">
        <v>11</v>
      </c>
      <c r="BF14" s="1" t="s">
        <v>1542</v>
      </c>
      <c r="BG14" s="1" t="s">
        <v>1543</v>
      </c>
      <c r="BH14" s="1" t="s">
        <v>1462</v>
      </c>
      <c r="BI14" s="1">
        <v>55</v>
      </c>
      <c r="BJ14" s="1" t="s">
        <v>765</v>
      </c>
      <c r="BK14" s="1" t="s">
        <v>1672</v>
      </c>
      <c r="BO14" s="1" t="str">
        <v>Eau</v>
      </c>
    </row>
    <row r="15" spans="2:71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82</v>
      </c>
      <c r="Q15" s="1" t="s">
        <v>82</v>
      </c>
      <c r="R15" s="1" t="s">
        <v>82</v>
      </c>
      <c r="S15" s="1"/>
      <c r="T15" s="1"/>
      <c r="U15" s="1" t="s">
        <v>1365</v>
      </c>
      <c r="V15" s="1" t="s">
        <v>1366</v>
      </c>
      <c r="W15" s="1" t="s">
        <v>1411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268"/>
      <c r="AK15" s="189" t="s">
        <v>803</v>
      </c>
      <c r="AL15" s="197">
        <v>1</v>
      </c>
      <c r="AM15" s="193">
        <v>1</v>
      </c>
      <c r="AN15" s="193">
        <v>1</v>
      </c>
      <c r="AO15" s="193">
        <v>1</v>
      </c>
      <c r="AP15" s="193">
        <v>1</v>
      </c>
      <c r="AQ15" s="193">
        <v>1</v>
      </c>
      <c r="AR15" s="193">
        <v>2</v>
      </c>
      <c r="AS15" s="193">
        <v>2</v>
      </c>
      <c r="AT15" s="193">
        <v>1</v>
      </c>
      <c r="AU15" s="193">
        <v>1</v>
      </c>
      <c r="AV15" s="193">
        <v>0.5</v>
      </c>
      <c r="AW15" s="193">
        <v>1</v>
      </c>
      <c r="AX15" s="193">
        <v>1</v>
      </c>
      <c r="AY15" s="193">
        <v>1</v>
      </c>
      <c r="AZ15" s="193">
        <v>1</v>
      </c>
      <c r="BA15" s="193">
        <v>0</v>
      </c>
      <c r="BB15" s="193">
        <v>0.5</v>
      </c>
      <c r="BC15" s="198">
        <v>1</v>
      </c>
      <c r="BE15" s="1">
        <v>12</v>
      </c>
      <c r="BF15" s="1" t="s">
        <v>1552</v>
      </c>
      <c r="BG15" s="1" t="s">
        <v>1552</v>
      </c>
      <c r="BH15" s="1" t="s">
        <v>1462</v>
      </c>
      <c r="BI15" s="1">
        <v>80</v>
      </c>
      <c r="BJ15" s="1" t="s">
        <v>765</v>
      </c>
      <c r="BK15" s="1" t="s">
        <v>1672</v>
      </c>
      <c r="BO15" s="1" t="str">
        <v>Psy</v>
      </c>
    </row>
    <row r="16" spans="2:71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762</v>
      </c>
      <c r="S16" s="1"/>
      <c r="T16" s="1"/>
      <c r="U16" s="1" t="s">
        <v>1367</v>
      </c>
      <c r="V16" s="1" t="s">
        <v>1368</v>
      </c>
      <c r="W16" s="1" t="s">
        <v>1412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268"/>
      <c r="AK16" s="189" t="s">
        <v>758</v>
      </c>
      <c r="AL16" s="197">
        <v>1</v>
      </c>
      <c r="AM16" s="193">
        <v>0.5</v>
      </c>
      <c r="AN16" s="193">
        <v>1</v>
      </c>
      <c r="AO16" s="193">
        <v>1</v>
      </c>
      <c r="AP16" s="193">
        <v>2</v>
      </c>
      <c r="AQ16" s="193">
        <v>1</v>
      </c>
      <c r="AR16" s="193">
        <v>0.5</v>
      </c>
      <c r="AS16" s="193">
        <v>0.5</v>
      </c>
      <c r="AT16" s="193">
        <v>1</v>
      </c>
      <c r="AU16" s="193">
        <v>0.5</v>
      </c>
      <c r="AV16" s="193">
        <v>2</v>
      </c>
      <c r="AW16" s="193">
        <v>1</v>
      </c>
      <c r="AX16" s="193">
        <v>1</v>
      </c>
      <c r="AY16" s="193">
        <v>0.5</v>
      </c>
      <c r="AZ16" s="193">
        <v>1</v>
      </c>
      <c r="BA16" s="193">
        <v>2</v>
      </c>
      <c r="BB16" s="193">
        <v>0.5</v>
      </c>
      <c r="BC16" s="198">
        <v>0.5</v>
      </c>
      <c r="BE16" s="1">
        <v>13</v>
      </c>
      <c r="BF16" s="1" t="s">
        <v>1644</v>
      </c>
      <c r="BG16" s="1" t="s">
        <v>1690</v>
      </c>
      <c r="BH16" s="1" t="s">
        <v>1466</v>
      </c>
      <c r="BI16" s="1">
        <v>80</v>
      </c>
      <c r="BJ16" s="1" t="s">
        <v>1470</v>
      </c>
      <c r="BK16" s="1" t="s">
        <v>1671</v>
      </c>
      <c r="BO16" s="1" t="str">
        <v>Dragon</v>
      </c>
    </row>
    <row r="17" spans="2:67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763</v>
      </c>
      <c r="S17" s="1"/>
      <c r="T17" s="1"/>
      <c r="U17" s="1" t="s">
        <v>1369</v>
      </c>
      <c r="V17" s="1" t="s">
        <v>1370</v>
      </c>
      <c r="W17" s="1" t="s">
        <v>1413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268"/>
      <c r="AK17" s="189" t="s">
        <v>811</v>
      </c>
      <c r="AL17" s="197">
        <v>1</v>
      </c>
      <c r="AM17" s="193">
        <v>2</v>
      </c>
      <c r="AN17" s="193">
        <v>1</v>
      </c>
      <c r="AO17" s="193">
        <v>1</v>
      </c>
      <c r="AP17" s="193">
        <v>1</v>
      </c>
      <c r="AQ17" s="193">
        <v>2</v>
      </c>
      <c r="AR17" s="193">
        <v>0.5</v>
      </c>
      <c r="AS17" s="193">
        <v>1</v>
      </c>
      <c r="AT17" s="193">
        <v>0.5</v>
      </c>
      <c r="AU17" s="193">
        <v>2</v>
      </c>
      <c r="AV17" s="193">
        <v>1</v>
      </c>
      <c r="AW17" s="193">
        <v>2</v>
      </c>
      <c r="AX17" s="193">
        <v>1</v>
      </c>
      <c r="AY17" s="193">
        <v>1</v>
      </c>
      <c r="AZ17" s="193">
        <v>1</v>
      </c>
      <c r="BA17" s="193">
        <v>1</v>
      </c>
      <c r="BB17" s="193">
        <v>0.5</v>
      </c>
      <c r="BC17" s="198">
        <v>1</v>
      </c>
      <c r="BE17" s="1">
        <v>15</v>
      </c>
      <c r="BF17" s="1" t="s">
        <v>1499</v>
      </c>
      <c r="BG17" s="1" t="s">
        <v>1500</v>
      </c>
      <c r="BH17" s="1" t="s">
        <v>1462</v>
      </c>
      <c r="BI17" s="1">
        <v>50</v>
      </c>
      <c r="BJ17" s="1" t="s">
        <v>765</v>
      </c>
      <c r="BK17" s="1" t="s">
        <v>1672</v>
      </c>
      <c r="BO17" s="1" t="str">
        <v>Roche</v>
      </c>
    </row>
    <row r="18" spans="2:67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82</v>
      </c>
      <c r="Q18" s="1" t="s">
        <v>82</v>
      </c>
      <c r="R18" s="1" t="s">
        <v>82</v>
      </c>
      <c r="S18" s="1"/>
      <c r="T18" s="1"/>
      <c r="U18" s="1" t="s">
        <v>1371</v>
      </c>
      <c r="V18" s="1" t="s">
        <v>1372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268"/>
      <c r="AK18" s="189" t="s">
        <v>829</v>
      </c>
      <c r="AL18" s="197">
        <v>0</v>
      </c>
      <c r="AM18" s="193">
        <v>1</v>
      </c>
      <c r="AN18" s="193">
        <v>1</v>
      </c>
      <c r="AO18" s="193">
        <v>1</v>
      </c>
      <c r="AP18" s="193">
        <v>1</v>
      </c>
      <c r="AQ18" s="193">
        <v>1</v>
      </c>
      <c r="AR18" s="193">
        <v>1</v>
      </c>
      <c r="AS18" s="193">
        <v>1</v>
      </c>
      <c r="AT18" s="193">
        <v>1</v>
      </c>
      <c r="AU18" s="193">
        <v>1</v>
      </c>
      <c r="AV18" s="193">
        <v>2</v>
      </c>
      <c r="AW18" s="193">
        <v>1</v>
      </c>
      <c r="AX18" s="193">
        <v>1</v>
      </c>
      <c r="AY18" s="193">
        <v>2</v>
      </c>
      <c r="AZ18" s="193">
        <v>1</v>
      </c>
      <c r="BA18" s="193">
        <v>0.5</v>
      </c>
      <c r="BB18" s="193">
        <v>1</v>
      </c>
      <c r="BC18" s="198">
        <v>1</v>
      </c>
      <c r="BE18" s="1">
        <v>16</v>
      </c>
      <c r="BF18" s="1" t="s">
        <v>1617</v>
      </c>
      <c r="BG18" s="1" t="s">
        <v>1618</v>
      </c>
      <c r="BH18" s="1" t="s">
        <v>1466</v>
      </c>
      <c r="BI18" s="1">
        <v>40</v>
      </c>
      <c r="BJ18" s="1" t="s">
        <v>1470</v>
      </c>
      <c r="BK18" s="1" t="s">
        <v>1671</v>
      </c>
      <c r="BO18" s="1" t="str">
        <v>Sol</v>
      </c>
    </row>
    <row r="19" spans="2:67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766</v>
      </c>
      <c r="S19" s="1"/>
      <c r="T19" s="1"/>
      <c r="U19" s="1" t="s">
        <v>1373</v>
      </c>
      <c r="V19" s="1" t="s">
        <v>1374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268"/>
      <c r="AK19" s="189" t="s">
        <v>752</v>
      </c>
      <c r="AL19" s="197">
        <v>1</v>
      </c>
      <c r="AM19" s="193">
        <v>1</v>
      </c>
      <c r="AN19" s="193">
        <v>1</v>
      </c>
      <c r="AO19" s="193">
        <v>1</v>
      </c>
      <c r="AP19" s="193">
        <v>1</v>
      </c>
      <c r="AQ19" s="193">
        <v>1</v>
      </c>
      <c r="AR19" s="193">
        <v>1</v>
      </c>
      <c r="AS19" s="193">
        <v>1</v>
      </c>
      <c r="AT19" s="193">
        <v>1</v>
      </c>
      <c r="AU19" s="193">
        <v>1</v>
      </c>
      <c r="AV19" s="193">
        <v>1</v>
      </c>
      <c r="AW19" s="193">
        <v>1</v>
      </c>
      <c r="AX19" s="193">
        <v>1</v>
      </c>
      <c r="AY19" s="193">
        <v>1</v>
      </c>
      <c r="AZ19" s="193">
        <v>2</v>
      </c>
      <c r="BA19" s="193">
        <v>1</v>
      </c>
      <c r="BB19" s="193">
        <v>0.5</v>
      </c>
      <c r="BC19" s="198">
        <v>0</v>
      </c>
      <c r="BE19" s="1">
        <v>17</v>
      </c>
      <c r="BF19" s="1" t="s">
        <v>1503</v>
      </c>
      <c r="BG19" s="1" t="s">
        <v>1504</v>
      </c>
      <c r="BH19" s="1" t="s">
        <v>1462</v>
      </c>
      <c r="BI19" s="1">
        <v>60</v>
      </c>
      <c r="BJ19" s="1" t="s">
        <v>1470</v>
      </c>
      <c r="BK19" s="1" t="s">
        <v>1671</v>
      </c>
      <c r="BO19" s="1" t="str">
        <v>Spectre</v>
      </c>
    </row>
    <row r="20" spans="2:67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767</v>
      </c>
      <c r="S20" s="1"/>
      <c r="T20" s="1"/>
      <c r="U20" s="1" t="s">
        <v>1375</v>
      </c>
      <c r="V20" s="1" t="s">
        <v>1376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268"/>
      <c r="AK20" s="189" t="s">
        <v>864</v>
      </c>
      <c r="AL20" s="197">
        <v>1</v>
      </c>
      <c r="AM20" s="193">
        <v>1</v>
      </c>
      <c r="AN20" s="193">
        <v>1</v>
      </c>
      <c r="AO20" s="193">
        <v>1</v>
      </c>
      <c r="AP20" s="193">
        <v>1</v>
      </c>
      <c r="AQ20" s="193">
        <v>1</v>
      </c>
      <c r="AR20" s="193">
        <v>0.5</v>
      </c>
      <c r="AS20" s="193">
        <v>1</v>
      </c>
      <c r="AT20" s="193">
        <v>1</v>
      </c>
      <c r="AU20" s="193">
        <v>1</v>
      </c>
      <c r="AV20" s="193">
        <v>2</v>
      </c>
      <c r="AW20" s="193">
        <v>1</v>
      </c>
      <c r="AX20" s="193">
        <v>1</v>
      </c>
      <c r="AY20" s="193">
        <v>2</v>
      </c>
      <c r="AZ20" s="193">
        <v>1</v>
      </c>
      <c r="BA20" s="193">
        <v>0.5</v>
      </c>
      <c r="BB20" s="193">
        <v>1</v>
      </c>
      <c r="BC20" s="198">
        <v>0.5</v>
      </c>
      <c r="BE20" s="1">
        <v>19</v>
      </c>
      <c r="BF20" s="1" t="s">
        <v>1470</v>
      </c>
      <c r="BG20" s="1" t="s">
        <v>1636</v>
      </c>
      <c r="BH20" s="1" t="s">
        <v>1462</v>
      </c>
      <c r="BI20" s="1">
        <v>90</v>
      </c>
      <c r="BJ20" s="1" t="s">
        <v>1470</v>
      </c>
      <c r="BK20" s="1" t="s">
        <v>1671</v>
      </c>
    </row>
    <row r="21" spans="2:67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82</v>
      </c>
      <c r="Q21" s="1" t="s">
        <v>82</v>
      </c>
      <c r="R21" s="1" t="s">
        <v>82</v>
      </c>
      <c r="S21" s="1"/>
      <c r="T21" s="1"/>
      <c r="U21" s="1" t="s">
        <v>1377</v>
      </c>
      <c r="V21" s="1" t="s">
        <v>1378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268"/>
      <c r="AK21" s="189" t="s">
        <v>818</v>
      </c>
      <c r="AL21" s="197">
        <v>1</v>
      </c>
      <c r="AM21" s="193">
        <v>0.5</v>
      </c>
      <c r="AN21" s="193">
        <v>0.5</v>
      </c>
      <c r="AO21" s="193">
        <v>0.5</v>
      </c>
      <c r="AP21" s="193">
        <v>1</v>
      </c>
      <c r="AQ21" s="193">
        <v>2</v>
      </c>
      <c r="AR21" s="193">
        <v>1</v>
      </c>
      <c r="AS21" s="193">
        <v>1</v>
      </c>
      <c r="AT21" s="193">
        <v>1</v>
      </c>
      <c r="AU21" s="193">
        <v>1</v>
      </c>
      <c r="AV21" s="193">
        <v>1</v>
      </c>
      <c r="AW21" s="193">
        <v>1</v>
      </c>
      <c r="AX21" s="193">
        <v>2</v>
      </c>
      <c r="AY21" s="193">
        <v>1</v>
      </c>
      <c r="AZ21" s="193">
        <v>1</v>
      </c>
      <c r="BA21" s="193">
        <v>1</v>
      </c>
      <c r="BB21" s="193">
        <v>0.5</v>
      </c>
      <c r="BC21" s="198">
        <v>2</v>
      </c>
      <c r="BE21" s="1">
        <v>20</v>
      </c>
      <c r="BF21" s="1" t="s">
        <v>1533</v>
      </c>
      <c r="BG21" s="1" t="s">
        <v>1534</v>
      </c>
      <c r="BH21" s="1" t="s">
        <v>1462</v>
      </c>
      <c r="BI21" s="1">
        <v>15</v>
      </c>
      <c r="BJ21" s="1" t="s">
        <v>765</v>
      </c>
      <c r="BK21" s="1" t="s">
        <v>1672</v>
      </c>
    </row>
    <row r="22" spans="2:67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768</v>
      </c>
      <c r="S22" s="1"/>
      <c r="T22" s="1"/>
      <c r="U22" s="1" t="s">
        <v>1379</v>
      </c>
      <c r="V22" s="1" t="s">
        <v>1380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269"/>
      <c r="AK22" s="190" t="s">
        <v>777</v>
      </c>
      <c r="AL22" s="199">
        <v>1</v>
      </c>
      <c r="AM22" s="200">
        <v>0.5</v>
      </c>
      <c r="AN22" s="200">
        <v>1</v>
      </c>
      <c r="AO22" s="200">
        <v>1</v>
      </c>
      <c r="AP22" s="200">
        <v>1</v>
      </c>
      <c r="AQ22" s="200">
        <v>1</v>
      </c>
      <c r="AR22" s="200">
        <v>2</v>
      </c>
      <c r="AS22" s="200">
        <v>0.5</v>
      </c>
      <c r="AT22" s="200">
        <v>1</v>
      </c>
      <c r="AU22" s="200">
        <v>1</v>
      </c>
      <c r="AV22" s="200">
        <v>1</v>
      </c>
      <c r="AW22" s="200">
        <v>1</v>
      </c>
      <c r="AX22" s="200">
        <v>1</v>
      </c>
      <c r="AY22" s="200">
        <v>1</v>
      </c>
      <c r="AZ22" s="200">
        <v>2</v>
      </c>
      <c r="BA22" s="200">
        <v>2</v>
      </c>
      <c r="BB22" s="200">
        <v>0.5</v>
      </c>
      <c r="BC22" s="201">
        <v>1</v>
      </c>
      <c r="BE22" s="1">
        <v>21</v>
      </c>
      <c r="BF22" s="1" t="s">
        <v>1612</v>
      </c>
      <c r="BG22" s="1" t="s">
        <v>1613</v>
      </c>
      <c r="BH22" s="1" t="s">
        <v>1462</v>
      </c>
      <c r="BI22" s="1">
        <v>80</v>
      </c>
      <c r="BJ22" s="1" t="s">
        <v>765</v>
      </c>
      <c r="BK22" s="1" t="s">
        <v>1672</v>
      </c>
    </row>
    <row r="23" spans="2:67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82</v>
      </c>
      <c r="Q23" s="1" t="s">
        <v>82</v>
      </c>
      <c r="R23" s="1"/>
      <c r="S23" s="1"/>
      <c r="T23" s="1"/>
      <c r="U23" s="1" t="s">
        <v>1381</v>
      </c>
      <c r="V23" s="1" t="s">
        <v>1382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1544</v>
      </c>
      <c r="BG23" s="1" t="s">
        <v>1545</v>
      </c>
      <c r="BH23" s="1" t="s">
        <v>1462</v>
      </c>
      <c r="BI23" s="1">
        <v>45</v>
      </c>
      <c r="BJ23" s="1" t="s">
        <v>1469</v>
      </c>
      <c r="BK23" s="1" t="s">
        <v>1677</v>
      </c>
    </row>
    <row r="24" spans="2:67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770</v>
      </c>
      <c r="S24" s="1"/>
      <c r="T24" s="1"/>
      <c r="U24" s="1" t="s">
        <v>1383</v>
      </c>
      <c r="V24" s="1" t="s">
        <v>1384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84"/>
      <c r="BE24" s="1">
        <v>23</v>
      </c>
      <c r="BF24" s="1" t="s">
        <v>1530</v>
      </c>
      <c r="BG24" s="1" t="s">
        <v>1531</v>
      </c>
      <c r="BH24" s="1" t="s">
        <v>1462</v>
      </c>
      <c r="BI24" s="1">
        <v>65</v>
      </c>
      <c r="BJ24" s="1" t="s">
        <v>765</v>
      </c>
      <c r="BK24" s="1" t="s">
        <v>1672</v>
      </c>
    </row>
    <row r="25" spans="2:67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82</v>
      </c>
      <c r="Q25" s="1" t="s">
        <v>82</v>
      </c>
      <c r="R25" s="1"/>
      <c r="S25" s="1"/>
      <c r="T25" s="1"/>
      <c r="U25" s="1" t="s">
        <v>1385</v>
      </c>
      <c r="V25" s="1" t="s">
        <v>1386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84"/>
      <c r="BE25" s="1">
        <v>24</v>
      </c>
      <c r="BF25" s="1" t="s">
        <v>1523</v>
      </c>
      <c r="BG25" s="1" t="s">
        <v>1524</v>
      </c>
      <c r="BH25" s="1" t="s">
        <v>1462</v>
      </c>
      <c r="BI25" s="1">
        <v>30</v>
      </c>
      <c r="BJ25" s="1" t="s">
        <v>1476</v>
      </c>
      <c r="BK25" s="1" t="s">
        <v>1670</v>
      </c>
    </row>
    <row r="26" spans="2:67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708</v>
      </c>
      <c r="S26" s="1"/>
      <c r="T26" s="1"/>
      <c r="U26" s="1" t="s">
        <v>1387</v>
      </c>
      <c r="V26" s="1" t="s">
        <v>1388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1628</v>
      </c>
      <c r="BG26" s="1" t="s">
        <v>1629</v>
      </c>
      <c r="BH26" s="1" t="s">
        <v>1462</v>
      </c>
      <c r="BI26" s="1">
        <v>120</v>
      </c>
      <c r="BJ26" s="1" t="s">
        <v>765</v>
      </c>
      <c r="BK26" s="1" t="s">
        <v>1672</v>
      </c>
    </row>
    <row r="27" spans="2:67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82</v>
      </c>
      <c r="Q27" s="1" t="s">
        <v>82</v>
      </c>
      <c r="R27" s="1"/>
      <c r="S27" s="1"/>
      <c r="T27" s="1"/>
      <c r="U27" s="1" t="s">
        <v>1415</v>
      </c>
      <c r="V27" s="1" t="s">
        <v>1326</v>
      </c>
      <c r="W27" s="1" t="s">
        <v>1417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1658</v>
      </c>
      <c r="BG27" s="1" t="s">
        <v>1701</v>
      </c>
      <c r="BH27" s="1" t="s">
        <v>1462</v>
      </c>
      <c r="BI27" s="1">
        <v>70</v>
      </c>
      <c r="BJ27" s="1" t="s">
        <v>1476</v>
      </c>
      <c r="BK27" s="1" t="s">
        <v>1670</v>
      </c>
    </row>
    <row r="28" spans="2:67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706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84"/>
      <c r="BE28" s="1">
        <v>27</v>
      </c>
      <c r="BF28" s="1" t="s">
        <v>1654</v>
      </c>
      <c r="BG28" s="1" t="s">
        <v>1697</v>
      </c>
      <c r="BH28" s="1" t="s">
        <v>1462</v>
      </c>
      <c r="BI28" s="1">
        <v>60</v>
      </c>
      <c r="BJ28" s="1" t="s">
        <v>1476</v>
      </c>
      <c r="BK28" s="1" t="s">
        <v>1670</v>
      </c>
    </row>
    <row r="29" spans="2:67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82</v>
      </c>
      <c r="Q29" s="1" t="s">
        <v>82</v>
      </c>
      <c r="R29" s="1" t="s">
        <v>82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84"/>
      <c r="BE29" s="1">
        <v>29</v>
      </c>
      <c r="BF29" s="1" t="s">
        <v>1643</v>
      </c>
      <c r="BG29" s="1" t="s">
        <v>1498</v>
      </c>
      <c r="BH29" s="1" t="s">
        <v>1462</v>
      </c>
      <c r="BI29" s="1">
        <v>70</v>
      </c>
      <c r="BJ29" s="1" t="s">
        <v>765</v>
      </c>
      <c r="BK29" s="1" t="s">
        <v>1672</v>
      </c>
    </row>
    <row r="30" spans="2:67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775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84"/>
      <c r="BE30" s="1">
        <v>30</v>
      </c>
      <c r="BF30" s="1" t="s">
        <v>1652</v>
      </c>
      <c r="BG30" s="1" t="s">
        <v>1559</v>
      </c>
      <c r="BH30" s="1" t="s">
        <v>1462</v>
      </c>
      <c r="BI30" s="1">
        <v>65</v>
      </c>
      <c r="BJ30" s="1" t="s">
        <v>765</v>
      </c>
      <c r="BK30" s="1" t="s">
        <v>1672</v>
      </c>
    </row>
    <row r="31" spans="2:67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82</v>
      </c>
      <c r="Q31" s="1" t="s">
        <v>82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84"/>
      <c r="BE31" s="1">
        <v>31</v>
      </c>
      <c r="BF31" s="1" t="s">
        <v>1548</v>
      </c>
      <c r="BG31" s="1" t="s">
        <v>1549</v>
      </c>
      <c r="BH31" s="1" t="s">
        <v>1462</v>
      </c>
      <c r="BI31" s="1">
        <v>15</v>
      </c>
      <c r="BJ31" s="1" t="s">
        <v>765</v>
      </c>
      <c r="BK31" s="1" t="s">
        <v>1672</v>
      </c>
    </row>
    <row r="32" spans="2:67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82</v>
      </c>
      <c r="R32" s="1" t="s">
        <v>82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84"/>
      <c r="BE32" s="1">
        <v>32</v>
      </c>
      <c r="BF32" s="1" t="s">
        <v>1650</v>
      </c>
      <c r="BG32" s="1" t="s">
        <v>1532</v>
      </c>
      <c r="BH32" s="1" t="s">
        <v>1462</v>
      </c>
      <c r="BI32" s="1">
        <v>100</v>
      </c>
      <c r="BJ32" s="1" t="s">
        <v>765</v>
      </c>
      <c r="BK32" s="1" t="s">
        <v>1672</v>
      </c>
    </row>
    <row r="33" spans="2:63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701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84"/>
      <c r="BE33" s="1">
        <v>33</v>
      </c>
      <c r="BF33" s="1" t="s">
        <v>1492</v>
      </c>
      <c r="BG33" s="1" t="s">
        <v>1493</v>
      </c>
      <c r="BH33" s="1" t="s">
        <v>1462</v>
      </c>
      <c r="BI33" s="1">
        <v>40</v>
      </c>
      <c r="BJ33" s="1" t="s">
        <v>765</v>
      </c>
      <c r="BK33" s="1" t="s">
        <v>1672</v>
      </c>
    </row>
    <row r="34" spans="2:63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82</v>
      </c>
      <c r="Q34" s="1" t="s">
        <v>82</v>
      </c>
      <c r="R34" s="1" t="s">
        <v>82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84"/>
      <c r="BE34" s="1">
        <v>34</v>
      </c>
      <c r="BF34" s="1" t="s">
        <v>1594</v>
      </c>
      <c r="BG34" s="1" t="s">
        <v>1595</v>
      </c>
      <c r="BH34" s="1" t="s">
        <v>1462</v>
      </c>
      <c r="BI34" s="1">
        <v>85</v>
      </c>
      <c r="BJ34" s="1" t="s">
        <v>765</v>
      </c>
      <c r="BK34" s="1" t="s">
        <v>1672</v>
      </c>
    </row>
    <row r="35" spans="2:63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82</v>
      </c>
      <c r="R35" s="1" t="s">
        <v>82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84"/>
      <c r="BE35" s="1">
        <v>35</v>
      </c>
      <c r="BF35" s="1" t="s">
        <v>1568</v>
      </c>
      <c r="BG35" s="1" t="s">
        <v>1569</v>
      </c>
      <c r="BH35" s="1" t="s">
        <v>1462</v>
      </c>
      <c r="BI35" s="1">
        <v>15</v>
      </c>
      <c r="BJ35" s="1" t="s">
        <v>765</v>
      </c>
      <c r="BK35" s="1" t="s">
        <v>1672</v>
      </c>
    </row>
    <row r="36" spans="2:63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698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84"/>
      <c r="BE36" s="1">
        <v>36</v>
      </c>
      <c r="BF36" s="1" t="s">
        <v>1484</v>
      </c>
      <c r="BG36" s="1" t="s">
        <v>1485</v>
      </c>
      <c r="BH36" s="1" t="s">
        <v>1462</v>
      </c>
      <c r="BI36" s="1">
        <v>90</v>
      </c>
      <c r="BJ36" s="1" t="s">
        <v>765</v>
      </c>
      <c r="BK36" s="1" t="s">
        <v>1672</v>
      </c>
    </row>
    <row r="37" spans="2:63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82</v>
      </c>
      <c r="Q37" s="1" t="s">
        <v>82</v>
      </c>
      <c r="R37" s="1" t="s">
        <v>82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84"/>
      <c r="BE37" s="1">
        <v>37</v>
      </c>
      <c r="BF37" s="1" t="s">
        <v>1572</v>
      </c>
      <c r="BG37" s="1" t="s">
        <v>1573</v>
      </c>
      <c r="BH37" s="1" t="s">
        <v>1462</v>
      </c>
      <c r="BI37" s="1">
        <v>120</v>
      </c>
      <c r="BJ37" s="1" t="s">
        <v>765</v>
      </c>
      <c r="BK37" s="1" t="s">
        <v>1672</v>
      </c>
    </row>
    <row r="38" spans="2:63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778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84"/>
      <c r="BE38" s="1">
        <v>38</v>
      </c>
      <c r="BF38" s="1" t="s">
        <v>1505</v>
      </c>
      <c r="BG38" s="1" t="s">
        <v>1506</v>
      </c>
      <c r="BH38" s="1" t="s">
        <v>1462</v>
      </c>
      <c r="BI38" s="1">
        <v>120</v>
      </c>
      <c r="BJ38" s="1" t="s">
        <v>765</v>
      </c>
      <c r="BK38" s="1" t="s">
        <v>1672</v>
      </c>
    </row>
    <row r="39" spans="2:63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82</v>
      </c>
      <c r="Q39" s="1" t="s">
        <v>82</v>
      </c>
      <c r="R39" s="1" t="s">
        <v>82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84"/>
      <c r="BE39" s="1">
        <v>40</v>
      </c>
      <c r="BF39" s="1" t="s">
        <v>1513</v>
      </c>
      <c r="BG39" s="1" t="s">
        <v>1514</v>
      </c>
      <c r="BH39" s="1" t="s">
        <v>1462</v>
      </c>
      <c r="BI39" s="1">
        <v>15</v>
      </c>
      <c r="BJ39" s="1" t="s">
        <v>744</v>
      </c>
      <c r="BK39" s="1" t="s">
        <v>1669</v>
      </c>
    </row>
    <row r="40" spans="2:63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780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84"/>
      <c r="BE40" s="1">
        <v>41</v>
      </c>
      <c r="BF40" s="1" t="s">
        <v>1646</v>
      </c>
      <c r="BG40" s="1" t="s">
        <v>1692</v>
      </c>
      <c r="BH40" s="1" t="s">
        <v>1462</v>
      </c>
      <c r="BI40" s="1">
        <v>25</v>
      </c>
      <c r="BJ40" s="1" t="s">
        <v>1475</v>
      </c>
      <c r="BK40" s="1" t="s">
        <v>1678</v>
      </c>
    </row>
    <row r="41" spans="2:63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82</v>
      </c>
      <c r="Q41" s="1" t="s">
        <v>82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84"/>
      <c r="BE41" s="1">
        <v>42</v>
      </c>
      <c r="BF41" s="1" t="s">
        <v>1511</v>
      </c>
      <c r="BG41" s="1" t="s">
        <v>1512</v>
      </c>
      <c r="BH41" s="1" t="s">
        <v>1462</v>
      </c>
      <c r="BI41" s="1">
        <v>25</v>
      </c>
      <c r="BJ41" s="1" t="s">
        <v>1475</v>
      </c>
      <c r="BK41" s="1" t="s">
        <v>1678</v>
      </c>
    </row>
    <row r="42" spans="2:63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782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84"/>
      <c r="BE42" s="1">
        <v>44</v>
      </c>
      <c r="BF42" s="1" t="s">
        <v>1578</v>
      </c>
      <c r="BG42" s="1" t="s">
        <v>1579</v>
      </c>
      <c r="BH42" s="1" t="s">
        <v>1462</v>
      </c>
      <c r="BI42" s="1">
        <v>60</v>
      </c>
      <c r="BJ42" s="1" t="s">
        <v>1461</v>
      </c>
      <c r="BK42" s="1" t="s">
        <v>1683</v>
      </c>
    </row>
    <row r="43" spans="2:63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82</v>
      </c>
      <c r="Q43" s="1" t="s">
        <v>82</v>
      </c>
      <c r="R43" s="1" t="s">
        <v>82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84"/>
      <c r="BE43" s="1">
        <v>49</v>
      </c>
      <c r="BF43" s="1" t="s">
        <v>1663</v>
      </c>
      <c r="BG43" s="1" t="s">
        <v>1663</v>
      </c>
      <c r="BH43" s="1" t="s">
        <v>1466</v>
      </c>
      <c r="BI43" s="1">
        <v>30</v>
      </c>
      <c r="BJ43" s="1" t="s">
        <v>765</v>
      </c>
      <c r="BK43" s="1" t="s">
        <v>1672</v>
      </c>
    </row>
    <row r="44" spans="2:63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784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84"/>
      <c r="BE44" s="1">
        <v>51</v>
      </c>
      <c r="BF44" s="1" t="s">
        <v>1467</v>
      </c>
      <c r="BG44" s="1" t="s">
        <v>1468</v>
      </c>
      <c r="BH44" s="1" t="s">
        <v>1466</v>
      </c>
      <c r="BI44" s="1">
        <v>40</v>
      </c>
      <c r="BJ44" s="1" t="s">
        <v>744</v>
      </c>
      <c r="BK44" s="1" t="s">
        <v>1669</v>
      </c>
    </row>
    <row r="45" spans="2:63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896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84"/>
      <c r="BE45" s="1">
        <v>52</v>
      </c>
      <c r="BF45" s="1" t="s">
        <v>1538</v>
      </c>
      <c r="BG45" s="1" t="s">
        <v>1539</v>
      </c>
      <c r="BH45" s="1" t="s">
        <v>1466</v>
      </c>
      <c r="BI45" s="1">
        <v>40</v>
      </c>
      <c r="BJ45" s="1" t="s">
        <v>1473</v>
      </c>
      <c r="BK45" s="1" t="s">
        <v>1676</v>
      </c>
    </row>
    <row r="46" spans="2:63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786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84"/>
      <c r="BE46" s="1">
        <v>53</v>
      </c>
      <c r="BF46" s="1" t="s">
        <v>1560</v>
      </c>
      <c r="BG46" s="1" t="s">
        <v>1561</v>
      </c>
      <c r="BH46" s="1" t="s">
        <v>1466</v>
      </c>
      <c r="BI46" s="1">
        <v>90</v>
      </c>
      <c r="BJ46" s="1" t="s">
        <v>1473</v>
      </c>
      <c r="BK46" s="1" t="s">
        <v>1676</v>
      </c>
    </row>
    <row r="47" spans="2:63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51" t="s">
        <v>787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84"/>
      <c r="BE47" s="1">
        <v>55</v>
      </c>
      <c r="BF47" s="1" t="s">
        <v>1592</v>
      </c>
      <c r="BG47" s="1" t="s">
        <v>1593</v>
      </c>
      <c r="BH47" s="1" t="s">
        <v>1466</v>
      </c>
      <c r="BI47" s="1">
        <v>40</v>
      </c>
      <c r="BJ47" s="1" t="s">
        <v>1472</v>
      </c>
      <c r="BK47" s="1" t="s">
        <v>1674</v>
      </c>
    </row>
    <row r="48" spans="2:63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82</v>
      </c>
      <c r="Q48" s="1" t="s">
        <v>82</v>
      </c>
      <c r="R48" s="1" t="s">
        <v>82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84"/>
      <c r="BE48" s="1">
        <v>56</v>
      </c>
      <c r="BF48" s="1" t="s">
        <v>1553</v>
      </c>
      <c r="BG48" s="1" t="s">
        <v>1554</v>
      </c>
      <c r="BH48" s="1" t="s">
        <v>1466</v>
      </c>
      <c r="BI48" s="1">
        <v>110</v>
      </c>
      <c r="BJ48" s="1" t="s">
        <v>1472</v>
      </c>
      <c r="BK48" s="1" t="s">
        <v>1674</v>
      </c>
    </row>
    <row r="49" spans="2:63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685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84"/>
      <c r="BE49" s="1">
        <v>57</v>
      </c>
      <c r="BF49" s="1" t="s">
        <v>1614</v>
      </c>
      <c r="BG49" s="1" t="s">
        <v>1614</v>
      </c>
      <c r="BH49" s="1" t="s">
        <v>1466</v>
      </c>
      <c r="BI49" s="1">
        <v>90</v>
      </c>
      <c r="BJ49" s="1" t="s">
        <v>1472</v>
      </c>
      <c r="BK49" s="1" t="s">
        <v>1674</v>
      </c>
    </row>
    <row r="50" spans="2:63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82</v>
      </c>
      <c r="Q50" s="1" t="s">
        <v>82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84"/>
      <c r="BE50" s="1">
        <v>58</v>
      </c>
      <c r="BF50" s="1" t="s">
        <v>1564</v>
      </c>
      <c r="BG50" s="1" t="s">
        <v>1565</v>
      </c>
      <c r="BH50" s="1" t="s">
        <v>1466</v>
      </c>
      <c r="BI50" s="1">
        <v>90</v>
      </c>
      <c r="BJ50" s="1" t="s">
        <v>1477</v>
      </c>
      <c r="BK50" s="1" t="s">
        <v>1673</v>
      </c>
    </row>
    <row r="51" spans="2:63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789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84"/>
      <c r="BE51" s="1">
        <v>59</v>
      </c>
      <c r="BF51" s="1" t="s">
        <v>1486</v>
      </c>
      <c r="BG51" s="1" t="s">
        <v>1486</v>
      </c>
      <c r="BH51" s="1" t="s">
        <v>1466</v>
      </c>
      <c r="BI51" s="1">
        <v>110</v>
      </c>
      <c r="BJ51" s="1" t="s">
        <v>1477</v>
      </c>
      <c r="BK51" s="1" t="s">
        <v>1673</v>
      </c>
    </row>
    <row r="52" spans="2:63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82</v>
      </c>
      <c r="Q52" s="1" t="s">
        <v>82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84"/>
      <c r="BE52" s="1">
        <v>60</v>
      </c>
      <c r="BF52" s="1" t="s">
        <v>1606</v>
      </c>
      <c r="BG52" s="1" t="s">
        <v>1607</v>
      </c>
      <c r="BH52" s="1" t="s">
        <v>1466</v>
      </c>
      <c r="BI52" s="1">
        <v>65</v>
      </c>
      <c r="BJ52" s="1" t="s">
        <v>1471</v>
      </c>
      <c r="BK52" s="1" t="s">
        <v>1675</v>
      </c>
    </row>
    <row r="53" spans="2:63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791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84"/>
      <c r="BE53" s="1">
        <v>61</v>
      </c>
      <c r="BF53" s="1" t="s">
        <v>1488</v>
      </c>
      <c r="BG53" s="1" t="s">
        <v>1489</v>
      </c>
      <c r="BH53" s="1" t="s">
        <v>1466</v>
      </c>
      <c r="BI53" s="1">
        <v>65</v>
      </c>
      <c r="BJ53" s="1" t="s">
        <v>1472</v>
      </c>
      <c r="BK53" s="1" t="s">
        <v>1674</v>
      </c>
    </row>
    <row r="54" spans="2:63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82</v>
      </c>
      <c r="Q54" s="1" t="s">
        <v>82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84"/>
      <c r="BE54" s="1">
        <v>62</v>
      </c>
      <c r="BF54" s="1" t="s">
        <v>1582</v>
      </c>
      <c r="BG54" s="1" t="s">
        <v>1583</v>
      </c>
      <c r="BH54" s="1" t="s">
        <v>1466</v>
      </c>
      <c r="BI54" s="1">
        <v>65</v>
      </c>
      <c r="BJ54" s="1" t="s">
        <v>1477</v>
      </c>
      <c r="BK54" s="1" t="s">
        <v>1673</v>
      </c>
    </row>
    <row r="55" spans="2:63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679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84"/>
      <c r="BE55" s="1">
        <v>63</v>
      </c>
      <c r="BF55" s="1" t="s">
        <v>1630</v>
      </c>
      <c r="BG55" s="1" t="s">
        <v>1631</v>
      </c>
      <c r="BH55" s="1" t="s">
        <v>1466</v>
      </c>
      <c r="BI55" s="1">
        <v>150</v>
      </c>
      <c r="BJ55" s="1" t="s">
        <v>765</v>
      </c>
      <c r="BK55" s="1" t="s">
        <v>1672</v>
      </c>
    </row>
    <row r="56" spans="2:63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82</v>
      </c>
      <c r="Q56" s="1" t="s">
        <v>82</v>
      </c>
      <c r="R56" s="1" t="s">
        <v>82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84"/>
      <c r="BE56" s="1">
        <v>64</v>
      </c>
      <c r="BF56" s="1" t="s">
        <v>1584</v>
      </c>
      <c r="BG56" s="1" t="s">
        <v>1585</v>
      </c>
      <c r="BH56" s="1" t="s">
        <v>1462</v>
      </c>
      <c r="BI56" s="1">
        <v>35</v>
      </c>
      <c r="BJ56" s="1" t="s">
        <v>1470</v>
      </c>
      <c r="BK56" s="1" t="s">
        <v>1671</v>
      </c>
    </row>
    <row r="57" spans="2:63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794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84"/>
      <c r="BE57" s="1">
        <v>65</v>
      </c>
      <c r="BF57" s="1" t="s">
        <v>1482</v>
      </c>
      <c r="BG57" s="1" t="s">
        <v>1483</v>
      </c>
      <c r="BH57" s="1" t="s">
        <v>1462</v>
      </c>
      <c r="BI57" s="1">
        <v>80</v>
      </c>
      <c r="BJ57" s="1" t="s">
        <v>1470</v>
      </c>
      <c r="BK57" s="1" t="s">
        <v>1671</v>
      </c>
    </row>
    <row r="58" spans="2:63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82</v>
      </c>
      <c r="Q58" s="1" t="s">
        <v>82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84"/>
      <c r="BE58" s="1">
        <v>66</v>
      </c>
      <c r="BF58" s="1" t="s">
        <v>1662</v>
      </c>
      <c r="BG58" s="1" t="s">
        <v>1704</v>
      </c>
      <c r="BH58" s="1" t="s">
        <v>1462</v>
      </c>
      <c r="BI58" s="1">
        <v>75</v>
      </c>
      <c r="BJ58" s="1" t="s">
        <v>1476</v>
      </c>
      <c r="BK58" s="1" t="s">
        <v>1670</v>
      </c>
    </row>
    <row r="59" spans="2:63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797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84"/>
      <c r="BE59" s="1">
        <v>67</v>
      </c>
      <c r="BF59" s="1" t="s">
        <v>1478</v>
      </c>
      <c r="BG59" s="1" t="s">
        <v>1479</v>
      </c>
      <c r="BH59" s="1" t="s">
        <v>1462</v>
      </c>
      <c r="BI59" s="1">
        <v>60</v>
      </c>
      <c r="BJ59" s="1" t="s">
        <v>1476</v>
      </c>
      <c r="BK59" s="1" t="s">
        <v>1670</v>
      </c>
    </row>
    <row r="60" spans="2:63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82</v>
      </c>
      <c r="Q60" s="1" t="s">
        <v>82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84"/>
      <c r="BE60" s="1">
        <v>68</v>
      </c>
      <c r="BF60" s="1" t="s">
        <v>1608</v>
      </c>
      <c r="BG60" s="1" t="s">
        <v>1609</v>
      </c>
      <c r="BH60" s="1" t="s">
        <v>1462</v>
      </c>
      <c r="BI60" s="1">
        <v>45</v>
      </c>
      <c r="BJ60" s="1" t="s">
        <v>1476</v>
      </c>
      <c r="BK60" s="1" t="s">
        <v>1670</v>
      </c>
    </row>
    <row r="61" spans="2:63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799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84"/>
      <c r="BE61" s="1">
        <v>69</v>
      </c>
      <c r="BF61" s="1" t="s">
        <v>1546</v>
      </c>
      <c r="BG61" s="1" t="s">
        <v>1547</v>
      </c>
      <c r="BH61" s="1" t="s">
        <v>1462</v>
      </c>
      <c r="BI61" s="1">
        <v>60</v>
      </c>
      <c r="BJ61" s="1" t="s">
        <v>1476</v>
      </c>
      <c r="BK61" s="1" t="s">
        <v>1670</v>
      </c>
    </row>
    <row r="62" spans="2:63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82</v>
      </c>
      <c r="Q62" s="1" t="s">
        <v>82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84"/>
      <c r="BE62" s="1">
        <v>70</v>
      </c>
      <c r="BF62" s="1" t="s">
        <v>1540</v>
      </c>
      <c r="BG62" s="1" t="s">
        <v>1541</v>
      </c>
      <c r="BH62" s="1" t="s">
        <v>1462</v>
      </c>
      <c r="BI62" s="1">
        <v>80</v>
      </c>
      <c r="BJ62" s="1" t="s">
        <v>765</v>
      </c>
      <c r="BK62" s="1" t="s">
        <v>1672</v>
      </c>
    </row>
    <row r="63" spans="2:63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801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84"/>
      <c r="BE63" s="1">
        <v>71</v>
      </c>
      <c r="BF63" s="1" t="s">
        <v>1637</v>
      </c>
      <c r="BG63" s="1" t="s">
        <v>1638</v>
      </c>
      <c r="BH63" s="1" t="s">
        <v>1466</v>
      </c>
      <c r="BI63" s="1">
        <v>20</v>
      </c>
      <c r="BJ63" s="1" t="s">
        <v>1469</v>
      </c>
      <c r="BK63" s="1" t="s">
        <v>1677</v>
      </c>
    </row>
    <row r="64" spans="2:63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802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84"/>
      <c r="BE64" s="1">
        <v>72</v>
      </c>
      <c r="BF64" s="1" t="s">
        <v>1574</v>
      </c>
      <c r="BG64" s="1" t="s">
        <v>1575</v>
      </c>
      <c r="BH64" s="1" t="s">
        <v>1466</v>
      </c>
      <c r="BI64" s="1">
        <v>40</v>
      </c>
      <c r="BJ64" s="1" t="s">
        <v>1469</v>
      </c>
      <c r="BK64" s="1" t="s">
        <v>1677</v>
      </c>
    </row>
    <row r="65" spans="2:63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82</v>
      </c>
      <c r="Q65" s="1" t="s">
        <v>82</v>
      </c>
      <c r="R65" s="1" t="s">
        <v>82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84"/>
      <c r="BE65" s="1">
        <v>75</v>
      </c>
      <c r="BF65" s="1" t="s">
        <v>1665</v>
      </c>
      <c r="BG65" s="1" t="s">
        <v>1619</v>
      </c>
      <c r="BH65" s="1" t="s">
        <v>1466</v>
      </c>
      <c r="BI65" s="1">
        <v>55</v>
      </c>
      <c r="BJ65" s="1" t="s">
        <v>1469</v>
      </c>
      <c r="BK65" s="1" t="s">
        <v>1677</v>
      </c>
    </row>
    <row r="66" spans="2:63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668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84"/>
      <c r="BE66" s="1">
        <v>76</v>
      </c>
      <c r="BF66" s="1" t="s">
        <v>1562</v>
      </c>
      <c r="BG66" s="1" t="s">
        <v>1563</v>
      </c>
      <c r="BH66" s="1" t="s">
        <v>1466</v>
      </c>
      <c r="BI66" s="1">
        <v>120</v>
      </c>
      <c r="BJ66" s="1" t="s">
        <v>1469</v>
      </c>
      <c r="BK66" s="1" t="s">
        <v>1677</v>
      </c>
    </row>
    <row r="67" spans="2:63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667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84"/>
      <c r="BE67" s="1">
        <v>80</v>
      </c>
      <c r="BF67" s="1" t="s">
        <v>1509</v>
      </c>
      <c r="BG67" s="1" t="s">
        <v>1510</v>
      </c>
      <c r="BH67" s="1" t="s">
        <v>1466</v>
      </c>
      <c r="BI67" s="1">
        <v>120</v>
      </c>
      <c r="BJ67" s="1" t="s">
        <v>1469</v>
      </c>
      <c r="BK67" s="1" t="s">
        <v>1677</v>
      </c>
    </row>
    <row r="68" spans="2:63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82</v>
      </c>
      <c r="Q68" s="1" t="s">
        <v>82</v>
      </c>
      <c r="R68" s="1" t="s">
        <v>82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84"/>
      <c r="BE68" s="1">
        <v>82</v>
      </c>
      <c r="BF68" s="1" t="s">
        <v>1647</v>
      </c>
      <c r="BG68" s="1" t="s">
        <v>1693</v>
      </c>
      <c r="BH68" s="1" t="s">
        <v>1466</v>
      </c>
      <c r="BI68" s="1">
        <v>40</v>
      </c>
      <c r="BJ68" s="1" t="s">
        <v>752</v>
      </c>
      <c r="BK68" s="1" t="s">
        <v>1679</v>
      </c>
    </row>
    <row r="69" spans="2:63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84"/>
      <c r="BE69" s="1">
        <v>83</v>
      </c>
      <c r="BF69" s="1" t="s">
        <v>1507</v>
      </c>
      <c r="BG69" s="1" t="s">
        <v>1508</v>
      </c>
      <c r="BH69" s="1" t="s">
        <v>1466</v>
      </c>
      <c r="BI69" s="1">
        <v>35</v>
      </c>
      <c r="BJ69" s="1" t="s">
        <v>1473</v>
      </c>
      <c r="BK69" s="1" t="s">
        <v>1676</v>
      </c>
    </row>
    <row r="70" spans="2:63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806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84"/>
      <c r="BE70" s="1">
        <v>84</v>
      </c>
      <c r="BF70" s="1" t="s">
        <v>1527</v>
      </c>
      <c r="BG70" s="1" t="s">
        <v>1528</v>
      </c>
      <c r="BH70" s="1" t="s">
        <v>1466</v>
      </c>
      <c r="BI70" s="1">
        <v>40</v>
      </c>
      <c r="BJ70" s="1" t="s">
        <v>1487</v>
      </c>
      <c r="BK70" s="1" t="s">
        <v>1681</v>
      </c>
    </row>
    <row r="71" spans="2:63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82</v>
      </c>
      <c r="Q71" s="1" t="s">
        <v>82</v>
      </c>
      <c r="R71" s="1" t="s">
        <v>82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84"/>
      <c r="BE71" s="1">
        <v>85</v>
      </c>
      <c r="BF71" s="1" t="s">
        <v>1615</v>
      </c>
      <c r="BG71" s="1" t="s">
        <v>1616</v>
      </c>
      <c r="BH71" s="1" t="s">
        <v>1466</v>
      </c>
      <c r="BI71" s="1">
        <v>90</v>
      </c>
      <c r="BJ71" s="1" t="s">
        <v>1487</v>
      </c>
      <c r="BK71" s="1" t="s">
        <v>1681</v>
      </c>
    </row>
    <row r="72" spans="2:63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808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84"/>
      <c r="BE72" s="1">
        <v>87</v>
      </c>
      <c r="BF72" s="1" t="s">
        <v>1536</v>
      </c>
      <c r="BG72" s="1" t="s">
        <v>1537</v>
      </c>
      <c r="BH72" s="1" t="s">
        <v>1466</v>
      </c>
      <c r="BI72" s="1">
        <v>110</v>
      </c>
      <c r="BJ72" s="1" t="s">
        <v>1487</v>
      </c>
      <c r="BK72" s="1" t="s">
        <v>1681</v>
      </c>
    </row>
    <row r="73" spans="2:63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809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84"/>
      <c r="BE73" s="1">
        <v>88</v>
      </c>
      <c r="BF73" s="1" t="s">
        <v>1557</v>
      </c>
      <c r="BG73" s="1" t="s">
        <v>1558</v>
      </c>
      <c r="BH73" s="1" t="s">
        <v>1462</v>
      </c>
      <c r="BI73" s="1">
        <v>50</v>
      </c>
      <c r="BJ73" s="1" t="s">
        <v>1474</v>
      </c>
      <c r="BK73" s="1" t="s">
        <v>1680</v>
      </c>
    </row>
    <row r="74" spans="2:63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82</v>
      </c>
      <c r="Q74" s="1" t="s">
        <v>82</v>
      </c>
      <c r="R74" s="1" t="s">
        <v>82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84"/>
      <c r="BE74" s="1">
        <v>89</v>
      </c>
      <c r="BF74" s="1" t="s">
        <v>1610</v>
      </c>
      <c r="BG74" s="1" t="s">
        <v>1611</v>
      </c>
      <c r="BH74" s="1" t="s">
        <v>1462</v>
      </c>
      <c r="BI74" s="1">
        <v>100</v>
      </c>
      <c r="BJ74" s="1" t="s">
        <v>1465</v>
      </c>
      <c r="BK74" s="1" t="s">
        <v>1668</v>
      </c>
    </row>
    <row r="75" spans="2:63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659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84"/>
      <c r="BE75" s="1">
        <v>90</v>
      </c>
      <c r="BF75" s="1" t="s">
        <v>1463</v>
      </c>
      <c r="BG75" s="1" t="s">
        <v>1464</v>
      </c>
      <c r="BH75" s="1" t="s">
        <v>1462</v>
      </c>
      <c r="BI75" s="1">
        <v>80</v>
      </c>
      <c r="BJ75" s="1" t="s">
        <v>1465</v>
      </c>
      <c r="BK75" s="1" t="s">
        <v>1668</v>
      </c>
    </row>
    <row r="76" spans="2:63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82</v>
      </c>
      <c r="Q76" s="1" t="s">
        <v>82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84"/>
      <c r="BE76" s="1">
        <v>91</v>
      </c>
      <c r="BF76" s="1" t="s">
        <v>1624</v>
      </c>
      <c r="BG76" s="1" t="s">
        <v>1625</v>
      </c>
      <c r="BH76" s="1" t="s">
        <v>1462</v>
      </c>
      <c r="BI76" s="1">
        <v>80</v>
      </c>
      <c r="BJ76" s="1" t="s">
        <v>1465</v>
      </c>
      <c r="BK76" s="1" t="s">
        <v>1668</v>
      </c>
    </row>
    <row r="77" spans="2:63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812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84"/>
      <c r="BE77" s="1">
        <v>93</v>
      </c>
      <c r="BF77" s="1" t="s">
        <v>1494</v>
      </c>
      <c r="BG77" s="1" t="s">
        <v>1495</v>
      </c>
      <c r="BH77" s="1" t="s">
        <v>1466</v>
      </c>
      <c r="BI77" s="1">
        <v>50</v>
      </c>
      <c r="BJ77" s="1" t="s">
        <v>1471</v>
      </c>
      <c r="BK77" s="1" t="s">
        <v>1675</v>
      </c>
    </row>
    <row r="78" spans="2:63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813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84"/>
      <c r="BE78" s="1">
        <v>94</v>
      </c>
      <c r="BF78" s="1" t="s">
        <v>1602</v>
      </c>
      <c r="BG78" s="1" t="s">
        <v>803</v>
      </c>
      <c r="BH78" s="1" t="s">
        <v>1466</v>
      </c>
      <c r="BI78" s="1">
        <v>90</v>
      </c>
      <c r="BJ78" s="1" t="s">
        <v>1471</v>
      </c>
      <c r="BK78" s="1" t="s">
        <v>1675</v>
      </c>
    </row>
    <row r="79" spans="2:63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82</v>
      </c>
      <c r="Q79" s="1" t="s">
        <v>82</v>
      </c>
      <c r="R79" s="1" t="s">
        <v>82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84"/>
      <c r="BE79" s="1">
        <v>98</v>
      </c>
      <c r="BF79" s="1" t="s">
        <v>1634</v>
      </c>
      <c r="BG79" s="1" t="s">
        <v>1635</v>
      </c>
      <c r="BH79" s="1" t="s">
        <v>1462</v>
      </c>
      <c r="BI79" s="1">
        <v>40</v>
      </c>
      <c r="BJ79" s="1" t="s">
        <v>765</v>
      </c>
      <c r="BK79" s="1" t="s">
        <v>1672</v>
      </c>
    </row>
    <row r="80" spans="2:63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814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84"/>
      <c r="BE80" s="1">
        <v>99</v>
      </c>
      <c r="BF80" s="1" t="s">
        <v>1651</v>
      </c>
      <c r="BG80" s="1" t="s">
        <v>1695</v>
      </c>
      <c r="BH80" s="1" t="s">
        <v>1462</v>
      </c>
      <c r="BI80" s="1">
        <v>20</v>
      </c>
      <c r="BJ80" s="1" t="s">
        <v>765</v>
      </c>
      <c r="BK80" s="1" t="s">
        <v>1672</v>
      </c>
    </row>
    <row r="81" spans="2:63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82</v>
      </c>
      <c r="Q81" s="1" t="s">
        <v>82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84"/>
      <c r="BE81" s="1">
        <v>101</v>
      </c>
      <c r="BF81" s="1" t="s">
        <v>1580</v>
      </c>
      <c r="BG81" s="1" t="s">
        <v>1581</v>
      </c>
      <c r="BH81" s="1" t="s">
        <v>1466</v>
      </c>
      <c r="BI81" s="1">
        <v>45</v>
      </c>
      <c r="BJ81" s="1" t="s">
        <v>1480</v>
      </c>
      <c r="BK81" s="1" t="s">
        <v>1682</v>
      </c>
    </row>
    <row r="82" spans="2:63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51" t="s">
        <v>816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84"/>
      <c r="BE82" s="1">
        <v>117</v>
      </c>
      <c r="BF82" s="1" t="s">
        <v>1656</v>
      </c>
      <c r="BG82" s="1" t="s">
        <v>1698</v>
      </c>
      <c r="BH82" s="1" t="s">
        <v>1462</v>
      </c>
      <c r="BI82" s="1">
        <v>35</v>
      </c>
      <c r="BJ82" s="1" t="s">
        <v>765</v>
      </c>
      <c r="BK82" s="1" t="s">
        <v>1672</v>
      </c>
    </row>
    <row r="83" spans="2:63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82</v>
      </c>
      <c r="Q83" s="1" t="s">
        <v>82</v>
      </c>
      <c r="R83" s="1" t="s">
        <v>82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84"/>
      <c r="BE83" s="1">
        <v>120</v>
      </c>
      <c r="BF83" s="1" t="s">
        <v>1517</v>
      </c>
      <c r="BG83" s="1" t="s">
        <v>1518</v>
      </c>
      <c r="BH83" s="1" t="s">
        <v>1462</v>
      </c>
      <c r="BI83" s="1">
        <v>200</v>
      </c>
      <c r="BJ83" s="1" t="s">
        <v>765</v>
      </c>
      <c r="BK83" s="1" t="s">
        <v>1672</v>
      </c>
    </row>
    <row r="84" spans="2:63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819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84"/>
      <c r="BE84" s="1">
        <v>121</v>
      </c>
      <c r="BF84" s="1" t="s">
        <v>1639</v>
      </c>
      <c r="BG84" s="1" t="s">
        <v>1686</v>
      </c>
      <c r="BH84" s="1" t="s">
        <v>1462</v>
      </c>
      <c r="BI84" s="1">
        <v>100</v>
      </c>
      <c r="BJ84" s="1" t="s">
        <v>765</v>
      </c>
      <c r="BK84" s="1" t="s">
        <v>1672</v>
      </c>
    </row>
    <row r="85" spans="2:63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1116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84"/>
      <c r="BE85" s="1">
        <v>122</v>
      </c>
      <c r="BF85" s="1" t="s">
        <v>1566</v>
      </c>
      <c r="BG85" s="1" t="s">
        <v>1567</v>
      </c>
      <c r="BH85" s="1" t="s">
        <v>1462</v>
      </c>
      <c r="BI85" s="1">
        <v>30</v>
      </c>
      <c r="BJ85" s="1" t="s">
        <v>1480</v>
      </c>
      <c r="BK85" s="1" t="s">
        <v>1682</v>
      </c>
    </row>
    <row r="86" spans="2:63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82</v>
      </c>
      <c r="Q86" s="1" t="s">
        <v>82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84"/>
      <c r="BE86" s="1">
        <v>123</v>
      </c>
      <c r="BF86" s="1" t="s">
        <v>1604</v>
      </c>
      <c r="BG86" s="1" t="s">
        <v>1605</v>
      </c>
      <c r="BH86" s="1" t="s">
        <v>1466</v>
      </c>
      <c r="BI86" s="1">
        <v>30</v>
      </c>
      <c r="BJ86" s="1" t="s">
        <v>744</v>
      </c>
      <c r="BK86" s="1" t="s">
        <v>1669</v>
      </c>
    </row>
    <row r="87" spans="2:63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647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84"/>
      <c r="BE87" s="1">
        <v>124</v>
      </c>
      <c r="BF87" s="1" t="s">
        <v>1519</v>
      </c>
      <c r="BG87" s="1" t="s">
        <v>1520</v>
      </c>
      <c r="BH87" s="1" t="s">
        <v>1466</v>
      </c>
      <c r="BI87" s="1">
        <v>65</v>
      </c>
      <c r="BJ87" s="1" t="s">
        <v>744</v>
      </c>
      <c r="BK87" s="1" t="s">
        <v>1669</v>
      </c>
    </row>
    <row r="88" spans="2:63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82</v>
      </c>
      <c r="Q88" s="1" t="s">
        <v>82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84"/>
      <c r="BE88" s="1">
        <v>125</v>
      </c>
      <c r="BF88" s="1" t="s">
        <v>1653</v>
      </c>
      <c r="BG88" s="1" t="s">
        <v>1696</v>
      </c>
      <c r="BH88" s="1" t="s">
        <v>1462</v>
      </c>
      <c r="BI88" s="1">
        <v>65</v>
      </c>
      <c r="BJ88" s="1" t="s">
        <v>1465</v>
      </c>
      <c r="BK88" s="1" t="s">
        <v>1668</v>
      </c>
    </row>
    <row r="89" spans="2:63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822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84"/>
      <c r="BE89" s="1">
        <v>126</v>
      </c>
      <c r="BF89" s="1" t="s">
        <v>1515</v>
      </c>
      <c r="BG89" s="1" t="s">
        <v>1516</v>
      </c>
      <c r="BH89" s="1" t="s">
        <v>1466</v>
      </c>
      <c r="BI89" s="1">
        <v>110</v>
      </c>
      <c r="BJ89" s="1" t="s">
        <v>1473</v>
      </c>
      <c r="BK89" s="1" t="s">
        <v>1676</v>
      </c>
    </row>
    <row r="90" spans="2:63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82</v>
      </c>
      <c r="Q90" s="1" t="s">
        <v>82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84"/>
      <c r="BE90" s="1">
        <v>127</v>
      </c>
      <c r="BF90" s="1" t="s">
        <v>1490</v>
      </c>
      <c r="BG90" s="1" t="s">
        <v>1491</v>
      </c>
      <c r="BH90" s="1" t="s">
        <v>1462</v>
      </c>
      <c r="BI90" s="1">
        <v>80</v>
      </c>
      <c r="BJ90" s="1" t="s">
        <v>1472</v>
      </c>
      <c r="BK90" s="1" t="s">
        <v>1674</v>
      </c>
    </row>
    <row r="91" spans="2:63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825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84"/>
      <c r="BE91" s="1">
        <v>128</v>
      </c>
      <c r="BF91" s="1" t="s">
        <v>1640</v>
      </c>
      <c r="BG91" s="1" t="s">
        <v>1687</v>
      </c>
      <c r="BH91" s="1" t="s">
        <v>1462</v>
      </c>
      <c r="BI91" s="1">
        <v>35</v>
      </c>
      <c r="BJ91" s="1" t="s">
        <v>1472</v>
      </c>
      <c r="BK91" s="1" t="s">
        <v>1674</v>
      </c>
    </row>
    <row r="92" spans="2:63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82</v>
      </c>
      <c r="Q92" s="1" t="s">
        <v>82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84"/>
      <c r="BE92" s="1">
        <v>129</v>
      </c>
      <c r="BF92" s="1" t="s">
        <v>1576</v>
      </c>
      <c r="BG92" s="1" t="s">
        <v>1577</v>
      </c>
      <c r="BH92" s="1" t="s">
        <v>1466</v>
      </c>
      <c r="BI92" s="1">
        <v>60</v>
      </c>
      <c r="BJ92" s="1" t="s">
        <v>765</v>
      </c>
      <c r="BK92" s="1" t="s">
        <v>1672</v>
      </c>
    </row>
    <row r="93" spans="2:63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827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84"/>
      <c r="BE93" s="1">
        <v>130</v>
      </c>
      <c r="BF93" s="1" t="s">
        <v>1642</v>
      </c>
      <c r="BG93" s="1" t="s">
        <v>1689</v>
      </c>
      <c r="BH93" s="1" t="s">
        <v>1462</v>
      </c>
      <c r="BI93" s="1">
        <v>130</v>
      </c>
      <c r="BJ93" s="1" t="s">
        <v>765</v>
      </c>
      <c r="BK93" s="1" t="s">
        <v>1672</v>
      </c>
    </row>
    <row r="94" spans="2:63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82</v>
      </c>
      <c r="Q94" s="1" t="s">
        <v>82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84"/>
      <c r="BE94" s="1">
        <v>131</v>
      </c>
      <c r="BF94" s="1" t="s">
        <v>1657</v>
      </c>
      <c r="BG94" s="1" t="s">
        <v>1700</v>
      </c>
      <c r="BH94" s="1" t="s">
        <v>1462</v>
      </c>
      <c r="BI94" s="1">
        <v>45</v>
      </c>
      <c r="BJ94" s="1" t="s">
        <v>765</v>
      </c>
      <c r="BK94" s="1" t="s">
        <v>1672</v>
      </c>
    </row>
    <row r="95" spans="2:63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830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84"/>
      <c r="BE95" s="1">
        <v>132</v>
      </c>
      <c r="BF95" s="1" t="s">
        <v>1641</v>
      </c>
      <c r="BG95" s="1" t="s">
        <v>1688</v>
      </c>
      <c r="BH95" s="1" t="s">
        <v>1462</v>
      </c>
      <c r="BI95" s="1">
        <v>10</v>
      </c>
      <c r="BJ95" s="1" t="s">
        <v>765</v>
      </c>
      <c r="BK95" s="1" t="s">
        <v>1672</v>
      </c>
    </row>
    <row r="96" spans="2:63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831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84"/>
      <c r="BE96" s="1">
        <v>136</v>
      </c>
      <c r="BF96" s="1" t="s">
        <v>1586</v>
      </c>
      <c r="BG96" s="1" t="s">
        <v>1587</v>
      </c>
      <c r="BH96" s="1" t="s">
        <v>1462</v>
      </c>
      <c r="BI96" s="1">
        <v>130</v>
      </c>
      <c r="BJ96" s="1" t="s">
        <v>1476</v>
      </c>
      <c r="BK96" s="1" t="s">
        <v>1670</v>
      </c>
    </row>
    <row r="97" spans="2:63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82</v>
      </c>
      <c r="Q97" s="1" t="s">
        <v>82</v>
      </c>
      <c r="R97" s="1" t="s">
        <v>82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84"/>
      <c r="BE97" s="1">
        <v>138</v>
      </c>
      <c r="BF97" s="1" t="s">
        <v>1521</v>
      </c>
      <c r="BG97" s="1" t="s">
        <v>1522</v>
      </c>
      <c r="BH97" s="1" t="s">
        <v>1466</v>
      </c>
      <c r="BI97" s="1">
        <v>100</v>
      </c>
      <c r="BJ97" s="1" t="s">
        <v>1471</v>
      </c>
      <c r="BK97" s="1" t="s">
        <v>1675</v>
      </c>
    </row>
    <row r="98" spans="2:63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524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84"/>
      <c r="BE98" s="1">
        <v>140</v>
      </c>
      <c r="BF98" s="1" t="s">
        <v>1659</v>
      </c>
      <c r="BG98" s="1" t="s">
        <v>1481</v>
      </c>
      <c r="BH98" s="1" t="s">
        <v>1462</v>
      </c>
      <c r="BI98" s="1">
        <v>20</v>
      </c>
      <c r="BJ98" s="1" t="s">
        <v>765</v>
      </c>
      <c r="BK98" s="1" t="s">
        <v>1672</v>
      </c>
    </row>
    <row r="99" spans="2:63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833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84"/>
      <c r="BE99" s="1">
        <v>141</v>
      </c>
      <c r="BF99" s="1" t="s">
        <v>1632</v>
      </c>
      <c r="BG99" s="1" t="s">
        <v>1633</v>
      </c>
      <c r="BH99" s="1" t="s">
        <v>1462</v>
      </c>
      <c r="BI99" s="1">
        <v>80</v>
      </c>
      <c r="BJ99" s="1" t="s">
        <v>1475</v>
      </c>
      <c r="BK99" s="1" t="s">
        <v>1678</v>
      </c>
    </row>
    <row r="100" spans="2:63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82</v>
      </c>
      <c r="Q100" s="1" t="s">
        <v>82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84"/>
      <c r="BE100" s="1">
        <v>143</v>
      </c>
      <c r="BF100" s="1" t="s">
        <v>1590</v>
      </c>
      <c r="BG100" s="1" t="s">
        <v>1591</v>
      </c>
      <c r="BH100" s="1" t="s">
        <v>1462</v>
      </c>
      <c r="BI100" s="1">
        <v>140</v>
      </c>
      <c r="BJ100" s="1" t="s">
        <v>1470</v>
      </c>
      <c r="BK100" s="1" t="s">
        <v>1671</v>
      </c>
    </row>
    <row r="101" spans="2:63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834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84"/>
      <c r="BE101" s="1">
        <v>145</v>
      </c>
      <c r="BF101" s="1" t="s">
        <v>1649</v>
      </c>
      <c r="BG101" s="1" t="s">
        <v>1694</v>
      </c>
      <c r="BH101" s="1" t="s">
        <v>1466</v>
      </c>
      <c r="BI101" s="1">
        <v>40</v>
      </c>
      <c r="BJ101" s="1" t="s">
        <v>1472</v>
      </c>
      <c r="BK101" s="1" t="s">
        <v>1674</v>
      </c>
    </row>
    <row r="102" spans="2:63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82</v>
      </c>
      <c r="Q102" s="1" t="s">
        <v>82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84"/>
      <c r="BE102" s="1">
        <v>146</v>
      </c>
      <c r="BF102" s="1" t="s">
        <v>1666</v>
      </c>
      <c r="BG102" s="1" t="s">
        <v>1707</v>
      </c>
      <c r="BH102" s="1" t="s">
        <v>1462</v>
      </c>
      <c r="BI102" s="1">
        <v>70</v>
      </c>
      <c r="BJ102" s="1" t="s">
        <v>765</v>
      </c>
      <c r="BK102" s="1" t="s">
        <v>1672</v>
      </c>
    </row>
    <row r="103" spans="2:63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836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84"/>
      <c r="BE103" s="1">
        <v>149</v>
      </c>
      <c r="BF103" s="1" t="s">
        <v>1667</v>
      </c>
      <c r="BG103" s="1" t="s">
        <v>1706</v>
      </c>
      <c r="BH103" s="1" t="s">
        <v>1466</v>
      </c>
      <c r="BI103" s="1">
        <v>60</v>
      </c>
      <c r="BJ103" s="1" t="s">
        <v>1471</v>
      </c>
      <c r="BK103" s="1" t="s">
        <v>1675</v>
      </c>
    </row>
    <row r="104" spans="2:63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82</v>
      </c>
      <c r="Q104" s="1" t="s">
        <v>82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84"/>
      <c r="BE104" s="1">
        <v>152</v>
      </c>
      <c r="BF104" s="1" t="s">
        <v>1588</v>
      </c>
      <c r="BG104" s="1" t="s">
        <v>1589</v>
      </c>
      <c r="BH104" s="1" t="s">
        <v>1462</v>
      </c>
      <c r="BI104" s="1">
        <v>100</v>
      </c>
      <c r="BJ104" s="1" t="s">
        <v>1472</v>
      </c>
      <c r="BK104" s="1" t="s">
        <v>1674</v>
      </c>
    </row>
    <row r="105" spans="2:63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838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84"/>
      <c r="BE105" s="1">
        <v>153</v>
      </c>
      <c r="BF105" s="1" t="s">
        <v>1535</v>
      </c>
      <c r="BG105" s="1" t="s">
        <v>1535</v>
      </c>
      <c r="BH105" s="1" t="s">
        <v>1462</v>
      </c>
      <c r="BI105" s="1">
        <v>250</v>
      </c>
      <c r="BJ105" s="1" t="s">
        <v>765</v>
      </c>
      <c r="BK105" s="1" t="s">
        <v>1672</v>
      </c>
    </row>
    <row r="106" spans="2:63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82</v>
      </c>
      <c r="Q106" s="1" t="s">
        <v>82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84"/>
      <c r="BE106" s="1">
        <v>154</v>
      </c>
      <c r="BF106" s="1" t="s">
        <v>1496</v>
      </c>
      <c r="BG106" s="1" t="s">
        <v>1497</v>
      </c>
      <c r="BH106" s="1" t="s">
        <v>1462</v>
      </c>
      <c r="BI106" s="1">
        <v>18</v>
      </c>
      <c r="BJ106" s="1" t="s">
        <v>765</v>
      </c>
      <c r="BK106" s="1" t="s">
        <v>1672</v>
      </c>
    </row>
    <row r="107" spans="2:63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840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84"/>
      <c r="BE107" s="1">
        <v>155</v>
      </c>
      <c r="BF107" s="1" t="s">
        <v>1655</v>
      </c>
      <c r="BG107" s="1" t="s">
        <v>1699</v>
      </c>
      <c r="BH107" s="1" t="s">
        <v>1462</v>
      </c>
      <c r="BI107" s="1">
        <v>50</v>
      </c>
      <c r="BJ107" s="1" t="s">
        <v>1465</v>
      </c>
      <c r="BK107" s="1" t="s">
        <v>1668</v>
      </c>
    </row>
    <row r="108" spans="2:63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82</v>
      </c>
      <c r="Q108" s="1" t="s">
        <v>82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84"/>
      <c r="BE108" s="1">
        <v>157</v>
      </c>
      <c r="BF108" s="1" t="s">
        <v>1525</v>
      </c>
      <c r="BG108" s="1" t="s">
        <v>1526</v>
      </c>
      <c r="BH108" s="1" t="s">
        <v>1462</v>
      </c>
      <c r="BI108" s="1">
        <v>75</v>
      </c>
      <c r="BJ108" s="1" t="s">
        <v>1474</v>
      </c>
      <c r="BK108" s="1" t="s">
        <v>1680</v>
      </c>
    </row>
    <row r="109" spans="2:63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82</v>
      </c>
      <c r="Q109" s="1" t="s">
        <v>82</v>
      </c>
      <c r="R109" s="1" t="s">
        <v>82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84"/>
      <c r="BE109" s="1">
        <v>158</v>
      </c>
      <c r="BF109" s="1" t="s">
        <v>1645</v>
      </c>
      <c r="BG109" s="1" t="s">
        <v>1691</v>
      </c>
      <c r="BH109" s="1" t="s">
        <v>1462</v>
      </c>
      <c r="BI109" s="1">
        <v>80</v>
      </c>
      <c r="BJ109" s="1" t="s">
        <v>765</v>
      </c>
      <c r="BK109" s="1" t="s">
        <v>1672</v>
      </c>
    </row>
    <row r="110" spans="2:63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82</v>
      </c>
      <c r="Q110" s="1" t="s">
        <v>82</v>
      </c>
      <c r="R110" s="1" t="s">
        <v>82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84"/>
      <c r="BE110" s="1">
        <v>161</v>
      </c>
      <c r="BF110" s="1" t="s">
        <v>1622</v>
      </c>
      <c r="BG110" s="1" t="s">
        <v>1623</v>
      </c>
      <c r="BH110" s="1" t="s">
        <v>1466</v>
      </c>
      <c r="BI110" s="1">
        <v>80</v>
      </c>
      <c r="BJ110" s="1" t="s">
        <v>765</v>
      </c>
      <c r="BK110" s="1" t="s">
        <v>1672</v>
      </c>
    </row>
    <row r="111" spans="2:63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1117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84"/>
      <c r="BE111" s="1">
        <v>162</v>
      </c>
      <c r="BF111" s="1" t="s">
        <v>1501</v>
      </c>
      <c r="BG111" s="1" t="s">
        <v>1502</v>
      </c>
      <c r="BH111" s="1" t="s">
        <v>1462</v>
      </c>
      <c r="BI111" s="1">
        <v>60</v>
      </c>
      <c r="BJ111" s="1" t="s">
        <v>765</v>
      </c>
      <c r="BK111" s="1" t="s">
        <v>1672</v>
      </c>
    </row>
    <row r="112" spans="2:63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845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84"/>
      <c r="BE112" s="1">
        <v>163</v>
      </c>
      <c r="BF112" s="1" t="s">
        <v>1620</v>
      </c>
      <c r="BG112" s="1" t="s">
        <v>1621</v>
      </c>
      <c r="BH112" s="1" t="s">
        <v>1462</v>
      </c>
      <c r="BI112" s="1">
        <v>70</v>
      </c>
      <c r="BJ112" s="1" t="s">
        <v>765</v>
      </c>
      <c r="BK112" s="1" t="s">
        <v>1672</v>
      </c>
    </row>
    <row r="113" spans="2:63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82</v>
      </c>
      <c r="Q113" s="1" t="s">
        <v>82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84"/>
      <c r="BE113" s="1">
        <v>165</v>
      </c>
      <c r="BF113" s="1" t="s">
        <v>1570</v>
      </c>
      <c r="BG113" s="1" t="s">
        <v>1571</v>
      </c>
      <c r="BH113" s="1" t="s">
        <v>1462</v>
      </c>
      <c r="BI113" s="1">
        <v>50</v>
      </c>
      <c r="BJ113" s="1" t="s">
        <v>765</v>
      </c>
      <c r="BK113" s="1" t="s">
        <v>1672</v>
      </c>
    </row>
    <row r="114" spans="2:63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847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84"/>
    </row>
    <row r="115" spans="2:63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1118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84"/>
    </row>
    <row r="116" spans="2:63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948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84"/>
    </row>
    <row r="117" spans="2:63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1119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84"/>
    </row>
    <row r="118" spans="2:63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82</v>
      </c>
      <c r="Q118" s="1" t="s">
        <v>82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84"/>
    </row>
    <row r="119" spans="2:63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852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84"/>
    </row>
    <row r="120" spans="2:63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940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84"/>
    </row>
    <row r="121" spans="2:63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854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84"/>
    </row>
    <row r="122" spans="2:63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82</v>
      </c>
      <c r="Q122" s="1" t="s">
        <v>82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84"/>
    </row>
    <row r="123" spans="2:63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856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84"/>
    </row>
    <row r="124" spans="2:63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82</v>
      </c>
      <c r="Q124" s="1" t="s">
        <v>82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84"/>
    </row>
    <row r="125" spans="2:63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82</v>
      </c>
      <c r="Q125" s="1" t="s">
        <v>82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84"/>
    </row>
    <row r="126" spans="2:63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82</v>
      </c>
      <c r="Q126" s="1" t="s">
        <v>82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84"/>
    </row>
    <row r="127" spans="2:63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82</v>
      </c>
      <c r="Q127" s="1" t="s">
        <v>82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84"/>
    </row>
    <row r="128" spans="2:63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1120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84"/>
    </row>
    <row r="129" spans="2:42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1121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84"/>
    </row>
    <row r="130" spans="2:42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82</v>
      </c>
      <c r="Q130" s="1" t="s">
        <v>82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84"/>
    </row>
    <row r="131" spans="2:42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82</v>
      </c>
      <c r="Q131" s="1" t="s">
        <v>82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84"/>
    </row>
    <row r="132" spans="2:42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863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84"/>
    </row>
    <row r="133" spans="2:42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82</v>
      </c>
      <c r="Q133" s="1" t="s">
        <v>82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84"/>
    </row>
    <row r="134" spans="2:42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82</v>
      </c>
      <c r="Q134" s="1" t="s">
        <v>82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84"/>
    </row>
    <row r="135" spans="2:42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82</v>
      </c>
      <c r="Q135" s="1" t="s">
        <v>82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84"/>
    </row>
    <row r="136" spans="2:42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51" t="s">
        <v>869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84"/>
    </row>
    <row r="137" spans="2:42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82</v>
      </c>
      <c r="Q137" s="1" t="s">
        <v>82</v>
      </c>
      <c r="R137" s="1" t="s">
        <v>82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84"/>
    </row>
    <row r="138" spans="2:42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82</v>
      </c>
      <c r="Q138" s="1" t="s">
        <v>82</v>
      </c>
      <c r="R138" s="1" t="s">
        <v>82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84"/>
    </row>
    <row r="139" spans="2:42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82</v>
      </c>
      <c r="Q139" s="1" t="s">
        <v>82</v>
      </c>
      <c r="R139" s="1" t="s">
        <v>82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84"/>
    </row>
    <row r="140" spans="2:42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499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84"/>
    </row>
    <row r="141" spans="2:42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872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84"/>
    </row>
    <row r="142" spans="2:42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82</v>
      </c>
      <c r="Q142" s="1" t="s">
        <v>82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84"/>
    </row>
    <row r="143" spans="2:42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591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84"/>
    </row>
    <row r="144" spans="2:42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82</v>
      </c>
      <c r="Q144" s="1" t="s">
        <v>82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84"/>
    </row>
    <row r="145" spans="2:42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82</v>
      </c>
      <c r="Q145" s="1" t="s">
        <v>82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84"/>
    </row>
    <row r="146" spans="2:42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82</v>
      </c>
      <c r="Q146" s="1" t="s">
        <v>82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84"/>
    </row>
    <row r="147" spans="2:42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82</v>
      </c>
      <c r="Q147" s="1" t="s">
        <v>82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84"/>
    </row>
    <row r="148" spans="2:42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82</v>
      </c>
      <c r="Q148" s="1" t="s">
        <v>82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84"/>
    </row>
    <row r="149" spans="2:42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82</v>
      </c>
      <c r="Q149" s="1" t="s">
        <v>82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84"/>
    </row>
    <row r="150" spans="2:42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879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84"/>
    </row>
    <row r="151" spans="2:42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880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84"/>
    </row>
    <row r="152" spans="2:42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82</v>
      </c>
      <c r="Q152" s="1" t="s">
        <v>82</v>
      </c>
      <c r="R152" s="1" t="s">
        <v>82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84"/>
    </row>
    <row r="153" spans="2:42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82</v>
      </c>
      <c r="Q153" s="1" t="s">
        <v>82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84"/>
    </row>
    <row r="154" spans="2:42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82</v>
      </c>
      <c r="Q154" s="1" t="s">
        <v>82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84"/>
    </row>
    <row r="155" spans="2:42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882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84"/>
    </row>
    <row r="156" spans="2:42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883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84"/>
    </row>
    <row r="157" spans="2:42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82</v>
      </c>
      <c r="Q157" s="1" t="s">
        <v>82</v>
      </c>
      <c r="R157" s="1" t="s">
        <v>82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84"/>
    </row>
    <row r="158" spans="2:42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885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84"/>
    </row>
    <row r="159" spans="2:42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575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84"/>
    </row>
    <row r="160" spans="2:42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82</v>
      </c>
      <c r="Q160" s="1" t="s">
        <v>82</v>
      </c>
      <c r="R160" s="1" t="s">
        <v>82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84"/>
    </row>
    <row r="161" spans="2:42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84"/>
    </row>
    <row r="162" spans="2:42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888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84"/>
    </row>
    <row r="163" spans="2:42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82</v>
      </c>
      <c r="Q163" s="1" t="s">
        <v>82</v>
      </c>
      <c r="R163" s="1" t="s">
        <v>82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84"/>
    </row>
    <row r="164" spans="2:42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890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84"/>
    </row>
    <row r="165" spans="2:42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82</v>
      </c>
      <c r="Q165" s="1" t="s">
        <v>82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84"/>
    </row>
    <row r="166" spans="2:42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891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84"/>
    </row>
    <row r="167" spans="2:42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82</v>
      </c>
      <c r="Q167" s="1" t="s">
        <v>82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84"/>
    </row>
    <row r="168" spans="2:42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893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84"/>
    </row>
    <row r="169" spans="2:42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82</v>
      </c>
      <c r="Q169" s="1" t="s">
        <v>82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84"/>
    </row>
    <row r="170" spans="2:42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895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84"/>
    </row>
    <row r="171" spans="2:42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82</v>
      </c>
      <c r="Q171" s="1" t="s">
        <v>82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84"/>
    </row>
    <row r="172" spans="2:42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82</v>
      </c>
      <c r="Q172" s="1" t="s">
        <v>82</v>
      </c>
      <c r="R172" s="1" t="s">
        <v>82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84"/>
    </row>
    <row r="173" spans="2:42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561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84"/>
    </row>
    <row r="174" spans="2:42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82</v>
      </c>
      <c r="Q174" s="1" t="s">
        <v>82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84"/>
    </row>
    <row r="175" spans="2:42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707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84"/>
    </row>
    <row r="176" spans="2:42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776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84"/>
    </row>
    <row r="177" spans="2:42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781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84"/>
    </row>
    <row r="178" spans="2:42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556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84"/>
    </row>
    <row r="179" spans="2:42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264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84"/>
    </row>
    <row r="180" spans="2:42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554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84"/>
    </row>
    <row r="181" spans="2:42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82</v>
      </c>
      <c r="Q181" s="1" t="s">
        <v>82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84"/>
    </row>
    <row r="182" spans="2:42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901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84"/>
    </row>
    <row r="183" spans="2:42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902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84"/>
    </row>
    <row r="184" spans="2:42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82</v>
      </c>
      <c r="Q184" s="1" t="s">
        <v>82</v>
      </c>
      <c r="R184" s="1" t="s">
        <v>82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84"/>
    </row>
    <row r="185" spans="2:42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82</v>
      </c>
      <c r="Q185" s="1" t="s">
        <v>82</v>
      </c>
      <c r="R185" s="1" t="s">
        <v>82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84"/>
    </row>
    <row r="186" spans="2:42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548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84"/>
    </row>
    <row r="187" spans="2:42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82</v>
      </c>
      <c r="Q187" s="1" t="s">
        <v>82</v>
      </c>
      <c r="R187" s="1" t="s">
        <v>82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84"/>
    </row>
    <row r="188" spans="2:42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82</v>
      </c>
      <c r="Q188" s="1" t="s">
        <v>82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84"/>
    </row>
    <row r="189" spans="2:42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82</v>
      </c>
      <c r="Q189" s="1" t="s">
        <v>82</v>
      </c>
      <c r="R189" s="1" t="s">
        <v>82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84"/>
    </row>
    <row r="190" spans="2:42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907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84"/>
    </row>
    <row r="191" spans="2:42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908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84"/>
    </row>
    <row r="192" spans="2:42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82</v>
      </c>
      <c r="Q192" s="1" t="s">
        <v>82</v>
      </c>
      <c r="R192" s="1" t="s">
        <v>82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84"/>
    </row>
    <row r="193" spans="2:42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1083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84"/>
    </row>
    <row r="194" spans="2:42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911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84"/>
    </row>
    <row r="195" spans="2:42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82</v>
      </c>
      <c r="Q195" s="1" t="s">
        <v>82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84"/>
    </row>
    <row r="196" spans="2:42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263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84"/>
    </row>
    <row r="197" spans="2:42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913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84"/>
    </row>
    <row r="198" spans="2:42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82</v>
      </c>
      <c r="Q198" s="1" t="s">
        <v>82</v>
      </c>
      <c r="R198" s="1" t="s">
        <v>82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84"/>
    </row>
    <row r="199" spans="2:42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82</v>
      </c>
      <c r="Q199" s="1" t="s">
        <v>82</v>
      </c>
      <c r="R199" s="1" t="s">
        <v>82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84"/>
    </row>
    <row r="200" spans="2:42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82</v>
      </c>
      <c r="Q200" s="1" t="s">
        <v>82</v>
      </c>
      <c r="R200" s="1" t="s">
        <v>82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84"/>
    </row>
    <row r="201" spans="2:42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1089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84"/>
    </row>
    <row r="202" spans="2:42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82</v>
      </c>
      <c r="Q202" s="1" t="s">
        <v>82</v>
      </c>
      <c r="R202" s="1" t="s">
        <v>82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84"/>
    </row>
    <row r="203" spans="2:42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1088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84"/>
    </row>
    <row r="204" spans="2:42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82</v>
      </c>
      <c r="Q204" s="1" t="s">
        <v>82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84"/>
    </row>
    <row r="205" spans="2:42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82</v>
      </c>
      <c r="Q205" s="1" t="s">
        <v>82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84"/>
    </row>
    <row r="206" spans="2:42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82</v>
      </c>
      <c r="Q206" s="1" t="s">
        <v>82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84"/>
    </row>
    <row r="207" spans="2:42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922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84"/>
    </row>
    <row r="208" spans="2:42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82</v>
      </c>
      <c r="Q208" s="1" t="s">
        <v>82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84"/>
    </row>
    <row r="209" spans="2:42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82</v>
      </c>
      <c r="Q209" s="1" t="s">
        <v>82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84"/>
    </row>
    <row r="210" spans="2:42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1124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84"/>
    </row>
    <row r="211" spans="2:42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82</v>
      </c>
      <c r="Q211" s="1" t="s">
        <v>82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84"/>
    </row>
    <row r="212" spans="2:42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522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84"/>
    </row>
    <row r="213" spans="2:42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82</v>
      </c>
      <c r="Q213" s="1" t="s">
        <v>82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84"/>
    </row>
    <row r="214" spans="2:42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82</v>
      </c>
      <c r="Q214" s="1" t="s">
        <v>82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84"/>
    </row>
    <row r="215" spans="2:42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82</v>
      </c>
      <c r="Q215" s="1" t="s">
        <v>82</v>
      </c>
      <c r="R215" s="1" t="s">
        <v>82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84"/>
    </row>
    <row r="216" spans="2:42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82</v>
      </c>
      <c r="Q216" s="1" t="s">
        <v>82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84"/>
    </row>
    <row r="217" spans="2:42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82</v>
      </c>
      <c r="Q217" s="1" t="s">
        <v>82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84"/>
    </row>
    <row r="218" spans="2:42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51" t="s">
        <v>1115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84"/>
    </row>
    <row r="219" spans="2:42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515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84"/>
    </row>
    <row r="220" spans="2:42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82</v>
      </c>
      <c r="Q220" s="1" t="s">
        <v>82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84"/>
    </row>
    <row r="221" spans="2:42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930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84"/>
    </row>
    <row r="222" spans="2:42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82</v>
      </c>
      <c r="Q222" s="1" t="s">
        <v>82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84"/>
    </row>
    <row r="223" spans="2:42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932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84"/>
    </row>
    <row r="224" spans="2:42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1125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84"/>
    </row>
    <row r="225" spans="2:42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82</v>
      </c>
      <c r="Q225" s="1" t="s">
        <v>82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84"/>
    </row>
    <row r="226" spans="2:42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508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84"/>
    </row>
    <row r="227" spans="2:42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82</v>
      </c>
      <c r="Q227" s="1" t="s">
        <v>82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84"/>
    </row>
    <row r="228" spans="2:42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82</v>
      </c>
      <c r="Q228" s="1" t="s">
        <v>82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84"/>
    </row>
    <row r="229" spans="2:42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82</v>
      </c>
      <c r="Q229" s="1" t="s">
        <v>82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84"/>
    </row>
    <row r="230" spans="2:42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82</v>
      </c>
      <c r="Q230" s="1" t="s">
        <v>82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84"/>
    </row>
    <row r="231" spans="2:42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939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84"/>
    </row>
    <row r="232" spans="2:42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82</v>
      </c>
      <c r="Q232" s="1" t="s">
        <v>82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84"/>
    </row>
    <row r="233" spans="2:42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82</v>
      </c>
      <c r="Q233" s="1" t="s">
        <v>82</v>
      </c>
      <c r="R233" s="1" t="s">
        <v>82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84"/>
    </row>
    <row r="234" spans="2:42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500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84"/>
    </row>
    <row r="235" spans="2:42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82</v>
      </c>
      <c r="Q235" s="1" t="s">
        <v>82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84"/>
    </row>
    <row r="236" spans="2:42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258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84"/>
    </row>
    <row r="237" spans="2:42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82</v>
      </c>
      <c r="Q237" s="1" t="s">
        <v>82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84"/>
    </row>
    <row r="238" spans="2:42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82</v>
      </c>
      <c r="Q238" s="1" t="s">
        <v>82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84"/>
    </row>
    <row r="239" spans="2:42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841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84"/>
    </row>
    <row r="240" spans="2:42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82</v>
      </c>
      <c r="Q240" s="1" t="s">
        <v>82</v>
      </c>
      <c r="R240" s="1" t="s">
        <v>82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84"/>
    </row>
    <row r="241" spans="2:42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859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84"/>
    </row>
    <row r="242" spans="2:42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860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84"/>
    </row>
    <row r="243" spans="2:42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606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84"/>
    </row>
    <row r="244" spans="2:42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82</v>
      </c>
      <c r="Q244" s="1" t="s">
        <v>82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84"/>
    </row>
    <row r="245" spans="2:42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82</v>
      </c>
      <c r="Q245" s="1" t="s">
        <v>82</v>
      </c>
      <c r="R245" s="1" t="s">
        <v>82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84"/>
    </row>
    <row r="246" spans="2:42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82</v>
      </c>
      <c r="Q246" s="1" t="s">
        <v>82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84"/>
    </row>
    <row r="247" spans="2:42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82</v>
      </c>
      <c r="Q247" s="1" t="s">
        <v>82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84"/>
    </row>
    <row r="248" spans="2:42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82</v>
      </c>
      <c r="Q248" s="1" t="s">
        <v>82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84"/>
    </row>
    <row r="249" spans="2:42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950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84"/>
    </row>
    <row r="250" spans="2:42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951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84"/>
    </row>
    <row r="251" spans="2:42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82</v>
      </c>
      <c r="Q251" s="1" t="s">
        <v>82</v>
      </c>
      <c r="R251" s="1" t="s">
        <v>82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84"/>
    </row>
    <row r="252" spans="2:42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82</v>
      </c>
      <c r="Q252" s="1" t="s">
        <v>82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84"/>
    </row>
    <row r="253" spans="2:42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82</v>
      </c>
      <c r="Q253" s="1" t="s">
        <v>82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84"/>
    </row>
    <row r="254" spans="2:42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82</v>
      </c>
      <c r="Q254" s="1" t="s">
        <v>82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84"/>
    </row>
    <row r="255" spans="2:42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954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84"/>
    </row>
    <row r="256" spans="2:42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955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84"/>
    </row>
    <row r="257" spans="2:42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82</v>
      </c>
      <c r="Q257" s="1" t="s">
        <v>82</v>
      </c>
      <c r="R257" s="1" t="s">
        <v>82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84"/>
    </row>
    <row r="258" spans="2:42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957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84"/>
    </row>
    <row r="259" spans="2:42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958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84"/>
    </row>
    <row r="260" spans="2:42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82</v>
      </c>
      <c r="Q260" s="1" t="s">
        <v>82</v>
      </c>
      <c r="R260" s="1" t="s">
        <v>82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84"/>
    </row>
    <row r="261" spans="2:42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960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84"/>
    </row>
    <row r="262" spans="2:42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961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84"/>
    </row>
    <row r="263" spans="2:42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82</v>
      </c>
      <c r="Q263" s="1" t="s">
        <v>82</v>
      </c>
      <c r="R263" s="1" t="s">
        <v>82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84"/>
    </row>
    <row r="264" spans="2:42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963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84"/>
    </row>
    <row r="265" spans="2:42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82</v>
      </c>
      <c r="Q265" s="1" t="s">
        <v>82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84"/>
    </row>
    <row r="266" spans="2:42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965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84"/>
    </row>
    <row r="267" spans="2:42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82</v>
      </c>
      <c r="Q267" s="1" t="s">
        <v>82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84"/>
    </row>
    <row r="268" spans="2:42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967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84"/>
    </row>
    <row r="269" spans="2:42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82</v>
      </c>
      <c r="R269" s="1" t="s">
        <v>82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84"/>
    </row>
    <row r="270" spans="2:42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82</v>
      </c>
      <c r="Q270" s="1" t="s">
        <v>82</v>
      </c>
      <c r="R270" s="1" t="s">
        <v>82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84"/>
    </row>
    <row r="271" spans="2:42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82</v>
      </c>
      <c r="R271" s="1" t="s">
        <v>82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84"/>
    </row>
    <row r="272" spans="2:42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82</v>
      </c>
      <c r="Q272" s="1" t="s">
        <v>82</v>
      </c>
      <c r="R272" s="1" t="s">
        <v>82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84"/>
    </row>
    <row r="273" spans="2:42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461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84"/>
    </row>
    <row r="274" spans="2:42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460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84"/>
    </row>
    <row r="275" spans="2:42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82</v>
      </c>
      <c r="Q275" s="1" t="s">
        <v>82</v>
      </c>
      <c r="R275" s="1" t="s">
        <v>82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84"/>
    </row>
    <row r="276" spans="2:42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973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84"/>
    </row>
    <row r="277" spans="2:42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974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84"/>
    </row>
    <row r="278" spans="2:42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82</v>
      </c>
      <c r="Q278" s="1" t="s">
        <v>82</v>
      </c>
      <c r="R278" s="1" t="s">
        <v>82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84"/>
    </row>
    <row r="279" spans="2:42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976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84"/>
    </row>
    <row r="280" spans="2:42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82</v>
      </c>
      <c r="Q280" s="1" t="s">
        <v>82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84"/>
    </row>
    <row r="281" spans="2:42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978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84"/>
    </row>
    <row r="282" spans="2:42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82</v>
      </c>
      <c r="Q282" s="1" t="s">
        <v>82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84"/>
    </row>
    <row r="283" spans="2:42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451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84"/>
    </row>
    <row r="284" spans="2:42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450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84"/>
    </row>
    <row r="285" spans="2:42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82</v>
      </c>
      <c r="Q285" s="1" t="s">
        <v>82</v>
      </c>
      <c r="R285" s="1" t="s">
        <v>82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84"/>
    </row>
    <row r="286" spans="2:42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981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84"/>
    </row>
    <row r="287" spans="2:42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82</v>
      </c>
      <c r="Q287" s="1" t="s">
        <v>82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84"/>
    </row>
    <row r="288" spans="2:42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983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84"/>
    </row>
    <row r="289" spans="2:42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82</v>
      </c>
      <c r="Q289" s="1" t="s">
        <v>82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84"/>
    </row>
    <row r="290" spans="2:42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444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84"/>
    </row>
    <row r="291" spans="2:42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985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84"/>
    </row>
    <row r="292" spans="2:42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82</v>
      </c>
      <c r="Q292" s="1" t="s">
        <v>82</v>
      </c>
      <c r="R292" s="1" t="s">
        <v>82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84"/>
    </row>
    <row r="293" spans="2:42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441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84"/>
    </row>
    <row r="294" spans="2:42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82</v>
      </c>
      <c r="Q294" s="1" t="s">
        <v>82</v>
      </c>
      <c r="R294" s="1" t="s">
        <v>82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84"/>
    </row>
    <row r="295" spans="2:42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82</v>
      </c>
      <c r="Q295" s="1" t="s">
        <v>82</v>
      </c>
      <c r="R295" s="1" t="s">
        <v>82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84"/>
    </row>
    <row r="296" spans="2:42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989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84"/>
    </row>
    <row r="297" spans="2:42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990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84"/>
    </row>
    <row r="298" spans="2:42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82</v>
      </c>
      <c r="Q298" s="1" t="s">
        <v>82</v>
      </c>
      <c r="R298" s="1" t="s">
        <v>82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84"/>
    </row>
    <row r="299" spans="2:42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435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84"/>
    </row>
    <row r="300" spans="2:42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82</v>
      </c>
      <c r="Q300" s="1" t="s">
        <v>82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84"/>
    </row>
    <row r="301" spans="2:42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549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84"/>
    </row>
    <row r="302" spans="2:42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1127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84"/>
    </row>
    <row r="303" spans="2:42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431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84"/>
    </row>
    <row r="304" spans="2:42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82</v>
      </c>
      <c r="Q304" s="1" t="s">
        <v>82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84"/>
    </row>
    <row r="305" spans="2:42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82</v>
      </c>
      <c r="Q305" s="1" t="s">
        <v>82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84"/>
    </row>
    <row r="306" spans="2:42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82</v>
      </c>
      <c r="Q306" s="1" t="s">
        <v>82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84"/>
    </row>
    <row r="307" spans="2:42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995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84"/>
    </row>
    <row r="308" spans="2:42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996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84"/>
    </row>
    <row r="309" spans="2:42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82</v>
      </c>
      <c r="Q309" s="1" t="s">
        <v>82</v>
      </c>
      <c r="R309" s="1" t="s">
        <v>82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84"/>
    </row>
    <row r="310" spans="2:42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998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82</v>
      </c>
      <c r="Q311" s="1" t="s">
        <v>82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1000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82</v>
      </c>
      <c r="Q313" s="1" t="s">
        <v>82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82</v>
      </c>
      <c r="Q314" s="1" t="s">
        <v>82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82</v>
      </c>
      <c r="Q315" s="1" t="s">
        <v>82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82</v>
      </c>
      <c r="Q316" s="1" t="s">
        <v>82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82</v>
      </c>
      <c r="Q317" s="1" t="s">
        <v>82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325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1007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82</v>
      </c>
      <c r="Q320" s="1" t="s">
        <v>82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82</v>
      </c>
      <c r="Q322" s="1" t="s">
        <v>82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411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82</v>
      </c>
      <c r="Q324" s="1" t="s">
        <v>82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1009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82</v>
      </c>
      <c r="Q326" s="1" t="s">
        <v>82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82</v>
      </c>
      <c r="Q327" s="1" t="s">
        <v>82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1011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82</v>
      </c>
      <c r="Q329" s="1" t="s">
        <v>82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82</v>
      </c>
      <c r="Q330" s="1" t="s">
        <v>82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1013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1014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82</v>
      </c>
      <c r="Q333" s="1" t="s">
        <v>82</v>
      </c>
      <c r="R333" s="1" t="s">
        <v>82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400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82</v>
      </c>
      <c r="Q335" s="1" t="s">
        <v>82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398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82</v>
      </c>
      <c r="Q337" s="1" t="s">
        <v>82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82</v>
      </c>
      <c r="Q338" s="1" t="s">
        <v>82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82</v>
      </c>
      <c r="Q339" s="1" t="s">
        <v>82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82</v>
      </c>
      <c r="Q340" s="1" t="s">
        <v>82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82</v>
      </c>
      <c r="Q341" s="1" t="s">
        <v>82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1021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82</v>
      </c>
      <c r="Q343" s="1" t="s">
        <v>82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1023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82</v>
      </c>
      <c r="Q345" s="1" t="s">
        <v>82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1025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82</v>
      </c>
      <c r="Q347" s="1" t="s">
        <v>82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1027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82</v>
      </c>
      <c r="Q349" s="1" t="s">
        <v>82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384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82</v>
      </c>
      <c r="Q351" s="1" t="s">
        <v>82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1029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82</v>
      </c>
      <c r="Q353" s="1" t="s">
        <v>82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82</v>
      </c>
      <c r="Q354" s="1" t="s">
        <v>82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82</v>
      </c>
      <c r="Q355" s="1" t="s">
        <v>82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1032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82</v>
      </c>
      <c r="Q357" s="1" t="s">
        <v>82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1034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1128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82</v>
      </c>
      <c r="Q360" s="1" t="s">
        <v>82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82</v>
      </c>
      <c r="Q361" s="1" t="s">
        <v>82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82</v>
      </c>
      <c r="Q362" s="1" t="s">
        <v>82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920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1038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82</v>
      </c>
      <c r="Q365" s="1" t="s">
        <v>82</v>
      </c>
      <c r="R365" s="1" t="s">
        <v>82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1040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1041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82</v>
      </c>
      <c r="Q368" s="1" t="s">
        <v>82</v>
      </c>
      <c r="R368" s="1" t="s">
        <v>82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1043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82</v>
      </c>
      <c r="Q370" s="1" t="s">
        <v>82</v>
      </c>
      <c r="R370" s="1" t="s">
        <v>82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82</v>
      </c>
      <c r="Q371" s="1" t="s">
        <v>82</v>
      </c>
      <c r="R371" s="1" t="s">
        <v>82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82</v>
      </c>
      <c r="Q372" s="1" t="s">
        <v>82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82</v>
      </c>
      <c r="Q373" s="1" t="s">
        <v>82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1047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1048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82</v>
      </c>
      <c r="Q376" s="1" t="s">
        <v>82</v>
      </c>
      <c r="R376" s="1" t="s">
        <v>82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1050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1051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82</v>
      </c>
      <c r="Q379" s="1" t="s">
        <v>82</v>
      </c>
      <c r="R379" s="1" t="s">
        <v>82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82</v>
      </c>
      <c r="Q380" s="1" t="s">
        <v>82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82</v>
      </c>
      <c r="Q381" s="1" t="s">
        <v>82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82</v>
      </c>
      <c r="Q382" s="1" t="s">
        <v>82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82</v>
      </c>
      <c r="Q383" s="1" t="s">
        <v>82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82</v>
      </c>
      <c r="Q384" s="1" t="s">
        <v>82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82</v>
      </c>
      <c r="Q385" s="1" t="s">
        <v>82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82</v>
      </c>
      <c r="Q386" s="1" t="s">
        <v>82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82</v>
      </c>
      <c r="Q387" s="1" t="s">
        <v>82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82</v>
      </c>
      <c r="Q388" s="1" t="s">
        <v>82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82</v>
      </c>
      <c r="Q389" s="1" t="s">
        <v>82</v>
      </c>
      <c r="R389" s="1" t="s">
        <v>82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1054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343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82</v>
      </c>
      <c r="Q392" s="1" t="s">
        <v>82</v>
      </c>
      <c r="R392" s="1" t="s">
        <v>82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1056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1057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82</v>
      </c>
      <c r="Q395" s="1" t="s">
        <v>82</v>
      </c>
      <c r="R395" s="1" t="s">
        <v>82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1059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1060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82</v>
      </c>
      <c r="Q398" s="1" t="s">
        <v>82</v>
      </c>
      <c r="R398" s="1" t="s">
        <v>82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1062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1063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82</v>
      </c>
      <c r="Q401" s="1" t="s">
        <v>82</v>
      </c>
      <c r="R401" s="1" t="s">
        <v>82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1065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82</v>
      </c>
      <c r="Q403" s="1" t="s">
        <v>82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1067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82</v>
      </c>
      <c r="Q405" s="1" t="s">
        <v>82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328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327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82</v>
      </c>
      <c r="Q408" s="1" t="s">
        <v>82</v>
      </c>
      <c r="R408" s="1" t="s">
        <v>82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1005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82</v>
      </c>
      <c r="Q410" s="1" t="s">
        <v>82</v>
      </c>
      <c r="R410" s="1" t="s">
        <v>82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1071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82</v>
      </c>
      <c r="Q412" s="1" t="s">
        <v>82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321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82</v>
      </c>
      <c r="Q414" s="1" t="s">
        <v>82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1289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82</v>
      </c>
      <c r="Q416" s="1" t="s">
        <v>82</v>
      </c>
      <c r="R416" s="1" t="s">
        <v>82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82</v>
      </c>
      <c r="Q417" s="1" t="s">
        <v>82</v>
      </c>
      <c r="R417" s="1" t="s">
        <v>82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1076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82</v>
      </c>
      <c r="Q419" s="1" t="s">
        <v>82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82</v>
      </c>
      <c r="Q420" s="1" t="s">
        <v>82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1078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82</v>
      </c>
      <c r="Q422" s="1" t="s">
        <v>82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1080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82</v>
      </c>
      <c r="Q424" s="1" t="s">
        <v>82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1082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82</v>
      </c>
      <c r="Q426" s="1" t="s">
        <v>82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82</v>
      </c>
      <c r="Q427" s="1" t="s">
        <v>82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1085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82</v>
      </c>
      <c r="Q429" s="1" t="s">
        <v>82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1087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82</v>
      </c>
      <c r="Q431" s="1" t="s">
        <v>82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82</v>
      </c>
      <c r="Q432" s="1" t="s">
        <v>82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82</v>
      </c>
      <c r="Q433" s="1" t="s">
        <v>82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1091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82</v>
      </c>
      <c r="Q435" s="1" t="s">
        <v>82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1035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1094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82</v>
      </c>
      <c r="Q438" s="1" t="s">
        <v>82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1096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82</v>
      </c>
      <c r="Q440" s="1" t="s">
        <v>82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904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857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848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82</v>
      </c>
      <c r="Q444" s="1" t="s">
        <v>82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82</v>
      </c>
      <c r="Q445" s="1" t="s">
        <v>82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1101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1102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82</v>
      </c>
      <c r="Q448" s="1" t="s">
        <v>82</v>
      </c>
      <c r="R448" s="1" t="s">
        <v>82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874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284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82</v>
      </c>
      <c r="Q451" s="1" t="s">
        <v>82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1104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82</v>
      </c>
      <c r="Q453" s="1" t="s">
        <v>82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1106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82</v>
      </c>
      <c r="Q455" s="1" t="s">
        <v>82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1108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82</v>
      </c>
      <c r="Q457" s="1" t="s">
        <v>82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82</v>
      </c>
      <c r="Q458" s="1" t="s">
        <v>82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1111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82</v>
      </c>
      <c r="Q460" s="1" t="s">
        <v>82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936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1114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82</v>
      </c>
      <c r="Q463" s="1" t="s">
        <v>82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82</v>
      </c>
      <c r="Q464" s="1" t="s">
        <v>82</v>
      </c>
      <c r="R464" s="1" t="s">
        <v>82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82</v>
      </c>
      <c r="Q465" s="1" t="s">
        <v>82</v>
      </c>
      <c r="R465" s="1" t="s">
        <v>82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82</v>
      </c>
      <c r="Q466" s="1" t="s">
        <v>82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82</v>
      </c>
      <c r="Q467" s="1" t="s">
        <v>82</v>
      </c>
      <c r="R467" s="1" t="s">
        <v>82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82</v>
      </c>
      <c r="Q468" s="1" t="s">
        <v>82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82</v>
      </c>
      <c r="Q469" s="1" t="s">
        <v>82</v>
      </c>
      <c r="R469" s="1" t="s">
        <v>82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82</v>
      </c>
      <c r="Q470" s="1" t="s">
        <v>82</v>
      </c>
      <c r="R470" s="1" t="s">
        <v>82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82</v>
      </c>
      <c r="Q471" s="1" t="s">
        <v>82</v>
      </c>
      <c r="R471" s="1" t="s">
        <v>82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82</v>
      </c>
      <c r="Q472" s="1" t="s">
        <v>82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82</v>
      </c>
      <c r="Q473" s="1" t="s">
        <v>82</v>
      </c>
      <c r="R473" s="1" t="s">
        <v>82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82</v>
      </c>
      <c r="Q474" s="1" t="s">
        <v>82</v>
      </c>
      <c r="R474" s="1" t="s">
        <v>82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82</v>
      </c>
      <c r="Q475" s="1" t="s">
        <v>82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82</v>
      </c>
      <c r="Q476" s="1" t="s">
        <v>82</v>
      </c>
      <c r="R476" s="1" t="s">
        <v>82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82</v>
      </c>
      <c r="Q477" s="1" t="s">
        <v>82</v>
      </c>
      <c r="R477" s="1" t="s">
        <v>82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82</v>
      </c>
      <c r="Q478" s="1" t="s">
        <v>82</v>
      </c>
      <c r="R478" s="1" t="s">
        <v>82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82</v>
      </c>
      <c r="Q479" s="1" t="s">
        <v>82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82</v>
      </c>
      <c r="Q480" s="1" t="s">
        <v>82</v>
      </c>
      <c r="R480" s="1" t="s">
        <v>82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82</v>
      </c>
      <c r="Q481" s="1" t="s">
        <v>82</v>
      </c>
      <c r="R481" s="1" t="s">
        <v>82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82</v>
      </c>
      <c r="Q482" s="1" t="s">
        <v>82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82</v>
      </c>
      <c r="Q483" s="1" t="s">
        <v>82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82</v>
      </c>
      <c r="Q484" s="1" t="s">
        <v>82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82</v>
      </c>
      <c r="Q485" s="1" t="s">
        <v>82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82</v>
      </c>
      <c r="Q486" s="1" t="s">
        <v>82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82</v>
      </c>
      <c r="Q487" s="1" t="s">
        <v>82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82</v>
      </c>
      <c r="Q488" s="1" t="s">
        <v>82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82</v>
      </c>
      <c r="Q489" s="1" t="s">
        <v>82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82</v>
      </c>
      <c r="Q490" s="1" t="s">
        <v>82</v>
      </c>
      <c r="R490" s="1" t="s">
        <v>82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82</v>
      </c>
      <c r="Q491" s="1" t="s">
        <v>82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82</v>
      </c>
      <c r="Q492" s="1" t="s">
        <v>82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82</v>
      </c>
      <c r="Q493" s="1" t="s">
        <v>82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82</v>
      </c>
      <c r="Q494" s="1" t="s">
        <v>82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82</v>
      </c>
      <c r="Q495" s="1" t="s">
        <v>82</v>
      </c>
      <c r="R495" s="1" t="s">
        <v>82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82</v>
      </c>
      <c r="Q496" s="1" t="s">
        <v>82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82</v>
      </c>
      <c r="Q497" s="1" t="s">
        <v>82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1137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1138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82</v>
      </c>
      <c r="Q500" s="1" t="s">
        <v>82</v>
      </c>
      <c r="R500" s="1" t="s">
        <v>82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1140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1141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82</v>
      </c>
      <c r="Q503" s="1" t="s">
        <v>82</v>
      </c>
      <c r="R503" s="1" t="s">
        <v>82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1143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1144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82</v>
      </c>
      <c r="Q506" s="1" t="s">
        <v>82</v>
      </c>
      <c r="R506" s="1" t="s">
        <v>82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1146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82</v>
      </c>
      <c r="Q508" s="1" t="s">
        <v>82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1148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1149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82</v>
      </c>
      <c r="Q511" s="1" t="s">
        <v>82</v>
      </c>
      <c r="R511" s="1" t="s">
        <v>82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1151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82</v>
      </c>
      <c r="Q513" s="1" t="s">
        <v>82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1153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82</v>
      </c>
      <c r="Q515" s="1" t="s">
        <v>82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1155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82</v>
      </c>
      <c r="Q517" s="1" t="s">
        <v>82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1157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82</v>
      </c>
      <c r="Q519" s="1" t="s">
        <v>82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1158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82</v>
      </c>
      <c r="Q521" s="1" t="s">
        <v>82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1160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1161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82</v>
      </c>
      <c r="Q524" s="1" t="s">
        <v>82</v>
      </c>
      <c r="R524" s="1" t="s">
        <v>82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1163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82</v>
      </c>
      <c r="Q526" s="1" t="s">
        <v>82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1165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1166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82</v>
      </c>
      <c r="Q529" s="1" t="s">
        <v>82</v>
      </c>
      <c r="R529" s="1" t="s">
        <v>82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1168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82</v>
      </c>
      <c r="Q531" s="1" t="s">
        <v>82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1170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82</v>
      </c>
      <c r="Q533" s="1" t="s">
        <v>82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82</v>
      </c>
      <c r="Q534" s="1" t="s">
        <v>82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1173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1174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82</v>
      </c>
      <c r="Q537" s="1" t="s">
        <v>82</v>
      </c>
      <c r="R537" s="1" t="s">
        <v>82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1176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1177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82</v>
      </c>
      <c r="Q540" s="1" t="s">
        <v>82</v>
      </c>
      <c r="R540" s="1" t="s">
        <v>82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82</v>
      </c>
      <c r="Q541" s="1" t="s">
        <v>82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82</v>
      </c>
      <c r="Q542" s="1" t="s">
        <v>82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1181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1182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82</v>
      </c>
      <c r="Q545" s="1" t="s">
        <v>82</v>
      </c>
      <c r="R545" s="1" t="s">
        <v>82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1184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1185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82</v>
      </c>
      <c r="Q548" s="1" t="s">
        <v>82</v>
      </c>
      <c r="R548" s="1" t="s">
        <v>82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1187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82</v>
      </c>
      <c r="Q550" s="1" t="s">
        <v>82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1189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82</v>
      </c>
      <c r="Q552" s="1" t="s">
        <v>82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82</v>
      </c>
      <c r="Q553" s="1" t="s">
        <v>82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1192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1193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82</v>
      </c>
      <c r="Q556" s="1" t="s">
        <v>82</v>
      </c>
      <c r="R556" s="1" t="s">
        <v>82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1288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82</v>
      </c>
      <c r="Q558" s="1" t="s">
        <v>82</v>
      </c>
      <c r="R558" s="1" t="s">
        <v>82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82</v>
      </c>
      <c r="Q559" s="1" t="s">
        <v>82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1197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82</v>
      </c>
      <c r="Q561" s="1" t="s">
        <v>82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1199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82</v>
      </c>
      <c r="Q563" s="1" t="s">
        <v>82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82</v>
      </c>
      <c r="Q564" s="1" t="s">
        <v>82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1202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82</v>
      </c>
      <c r="Q566" s="1" t="s">
        <v>82</v>
      </c>
      <c r="R566" s="1" t="s">
        <v>82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1204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82</v>
      </c>
      <c r="Q568" s="1" t="s">
        <v>82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1206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82</v>
      </c>
      <c r="Q570" s="1" t="s">
        <v>82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1208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82</v>
      </c>
      <c r="Q572" s="1" t="s">
        <v>82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161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82</v>
      </c>
      <c r="Q574" s="1" t="s">
        <v>82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1210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82</v>
      </c>
      <c r="Q576" s="1" t="s">
        <v>82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1212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1213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82</v>
      </c>
      <c r="Q579" s="1" t="s">
        <v>82</v>
      </c>
      <c r="R579" s="1" t="s">
        <v>82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1215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1216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82</v>
      </c>
      <c r="Q582" s="1" t="s">
        <v>82</v>
      </c>
      <c r="R582" s="1" t="s">
        <v>82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1218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82</v>
      </c>
      <c r="Q584" s="1" t="s">
        <v>82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1220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1221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82</v>
      </c>
      <c r="Q587" s="1" t="s">
        <v>82</v>
      </c>
      <c r="R587" s="1" t="s">
        <v>82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1223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82</v>
      </c>
      <c r="Q589" s="1" t="s">
        <v>82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82</v>
      </c>
      <c r="Q590" s="1" t="s">
        <v>82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1225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82</v>
      </c>
      <c r="Q592" s="1" t="s">
        <v>82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1227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82</v>
      </c>
      <c r="Q594" s="1" t="s">
        <v>82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1229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82</v>
      </c>
      <c r="Q596" s="1" t="s">
        <v>82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82</v>
      </c>
      <c r="Q597" s="1" t="s">
        <v>82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1232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82</v>
      </c>
      <c r="Q599" s="1" t="s">
        <v>82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1234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82</v>
      </c>
      <c r="Q601" s="1" t="s">
        <v>82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1236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1237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82</v>
      </c>
      <c r="Q604" s="1" t="s">
        <v>82</v>
      </c>
      <c r="R604" s="1" t="s">
        <v>82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1239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1240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82</v>
      </c>
      <c r="Q607" s="1" t="s">
        <v>82</v>
      </c>
      <c r="R607" s="1" t="s">
        <v>82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1242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82</v>
      </c>
      <c r="Q609" s="1" t="s">
        <v>82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1244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1245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82</v>
      </c>
      <c r="Q612" s="1" t="s">
        <v>82</v>
      </c>
      <c r="R612" s="1" t="s">
        <v>82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1247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1248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82</v>
      </c>
      <c r="Q615" s="1" t="s">
        <v>82</v>
      </c>
      <c r="R615" s="1" t="s">
        <v>82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1250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82</v>
      </c>
      <c r="Q617" s="1" t="s">
        <v>82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82</v>
      </c>
      <c r="Q618" s="1" t="s">
        <v>82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1253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82</v>
      </c>
      <c r="Q620" s="1" t="s">
        <v>82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82</v>
      </c>
      <c r="Q621" s="1" t="s">
        <v>82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1256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82</v>
      </c>
      <c r="Q623" s="1" t="s">
        <v>82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82</v>
      </c>
      <c r="Q624" s="1" t="s">
        <v>82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1259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82</v>
      </c>
      <c r="Q626" s="1" t="s">
        <v>82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1261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82</v>
      </c>
      <c r="Q628" s="1" t="s">
        <v>82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82</v>
      </c>
      <c r="Q629" s="1" t="s">
        <v>82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1264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82</v>
      </c>
      <c r="Q631" s="1" t="s">
        <v>82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1266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82</v>
      </c>
      <c r="Q633" s="1" t="s">
        <v>82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82</v>
      </c>
      <c r="Q634" s="1" t="s">
        <v>82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82</v>
      </c>
      <c r="Q635" s="1" t="s">
        <v>82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1270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1271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82</v>
      </c>
      <c r="Q638" s="1" t="s">
        <v>82</v>
      </c>
      <c r="R638" s="1" t="s">
        <v>82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1273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82</v>
      </c>
      <c r="Q640" s="1" t="s">
        <v>82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82</v>
      </c>
      <c r="Q641" s="1" t="s">
        <v>82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82</v>
      </c>
      <c r="Q642" s="1" t="s">
        <v>82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82</v>
      </c>
      <c r="Q643" s="1" t="s">
        <v>82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82</v>
      </c>
      <c r="Q644" s="1" t="s">
        <v>82</v>
      </c>
      <c r="R644" s="1" t="s">
        <v>82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82</v>
      </c>
      <c r="Q645" s="1" t="s">
        <v>82</v>
      </c>
      <c r="R645" s="1" t="s">
        <v>82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82</v>
      </c>
      <c r="Q646" s="1" t="s">
        <v>82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82</v>
      </c>
      <c r="Q647" s="1" t="s">
        <v>82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82</v>
      </c>
      <c r="Q648" s="1" t="s">
        <v>82</v>
      </c>
      <c r="R648" s="1" t="s">
        <v>82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82</v>
      </c>
      <c r="Q649" s="1" t="s">
        <v>82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82</v>
      </c>
      <c r="Q650" s="1" t="s">
        <v>82</v>
      </c>
      <c r="R650" s="1" t="s">
        <v>82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82</v>
      </c>
      <c r="Q651" s="1" t="s">
        <v>82</v>
      </c>
      <c r="R651" s="1" t="s">
        <v>82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82</v>
      </c>
      <c r="Q652" s="1" t="s">
        <v>82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82</v>
      </c>
      <c r="R653" s="1" t="s">
        <v>82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254" t="s">
        <v>1293</v>
      </c>
      <c r="C2" s="255"/>
      <c r="D2" s="255"/>
      <c r="E2" s="256"/>
    </row>
    <row r="3" spans="2:5">
      <c r="B3" s="202"/>
      <c r="C3" s="203"/>
      <c r="D3" s="202"/>
      <c r="E3" s="203"/>
    </row>
    <row r="4" spans="2:5">
      <c r="B4" s="204"/>
      <c r="C4" s="205"/>
      <c r="D4" s="204"/>
      <c r="E4" s="205"/>
    </row>
    <row r="5" spans="2:5">
      <c r="B5" s="204"/>
      <c r="C5" s="205"/>
      <c r="D5" s="204"/>
      <c r="E5" s="205"/>
    </row>
    <row r="6" spans="2:5" ht="15" thickBot="1">
      <c r="B6" s="204"/>
      <c r="C6" s="205"/>
      <c r="D6" s="206"/>
      <c r="E6" s="159"/>
    </row>
    <row r="7" spans="2:5">
      <c r="B7" s="204"/>
      <c r="C7" s="205"/>
    </row>
    <row r="8" spans="2:5">
      <c r="B8" s="204"/>
      <c r="C8" s="205"/>
    </row>
    <row r="9" spans="2:5">
      <c r="B9" s="204"/>
      <c r="C9" s="205"/>
    </row>
    <row r="10" spans="2:5">
      <c r="B10" s="204"/>
      <c r="C10" s="205"/>
    </row>
    <row r="11" spans="2:5">
      <c r="B11" s="204"/>
      <c r="C11" s="205"/>
    </row>
    <row r="12" spans="2:5">
      <c r="B12" s="204"/>
      <c r="C12" s="205"/>
    </row>
    <row r="13" spans="2:5" ht="15" thickBot="1">
      <c r="B13" s="206"/>
      <c r="C13" s="159"/>
    </row>
    <row r="14" spans="2:5" ht="15" thickBot="1"/>
    <row r="15" spans="2:5" ht="15" thickBot="1">
      <c r="B15" s="254" t="s">
        <v>1294</v>
      </c>
      <c r="C15" s="255"/>
      <c r="D15" s="255"/>
      <c r="E15" s="256"/>
    </row>
    <row r="22" spans="2:5" ht="15" thickBot="1"/>
    <row r="23" spans="2:5" ht="15" thickBot="1">
      <c r="B23" s="254" t="s">
        <v>1295</v>
      </c>
      <c r="C23" s="255"/>
      <c r="D23" s="255"/>
      <c r="E23" s="256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257" t="s">
        <v>62</v>
      </c>
      <c r="D16" s="258"/>
      <c r="F16" s="106" t="s">
        <v>57</v>
      </c>
      <c r="G16" s="257" t="s">
        <v>62</v>
      </c>
      <c r="H16" s="258"/>
    </row>
    <row r="17" spans="2:8">
      <c r="B17" s="107" t="s">
        <v>58</v>
      </c>
      <c r="C17" s="259" t="s">
        <v>45</v>
      </c>
      <c r="D17" s="260"/>
      <c r="F17" s="107" t="s">
        <v>58</v>
      </c>
      <c r="G17" s="259" t="s">
        <v>45</v>
      </c>
      <c r="H17" s="260"/>
    </row>
    <row r="18" spans="2:8" ht="15" thickBot="1">
      <c r="B18" s="108" t="s">
        <v>59</v>
      </c>
      <c r="C18" s="261" t="str">
        <f>C17&amp;"_Originel"</f>
        <v>Hero_Marche_Originel</v>
      </c>
      <c r="D18" s="262"/>
      <c r="F18" s="108" t="s">
        <v>59</v>
      </c>
      <c r="G18" s="261" t="str">
        <f>G17&amp;"_Originel"</f>
        <v>Hero_Marche_Originel</v>
      </c>
      <c r="H18" s="262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257" t="s">
        <v>62</v>
      </c>
      <c r="D36" s="258"/>
    </row>
    <row r="37" spans="2:4">
      <c r="B37" s="107" t="s">
        <v>58</v>
      </c>
      <c r="C37" s="259" t="s">
        <v>45</v>
      </c>
      <c r="D37" s="260"/>
    </row>
    <row r="38" spans="2:4" ht="15" thickBot="1">
      <c r="B38" s="108" t="s">
        <v>59</v>
      </c>
      <c r="C38" s="261" t="str">
        <f>C37&amp;"_Originel"</f>
        <v>Hero_Marche_Originel</v>
      </c>
      <c r="D38" s="262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1319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Pause</v>
      </c>
    </row>
    <row r="11" spans="2:12">
      <c r="B11" s="1">
        <v>8</v>
      </c>
      <c r="C11" s="1">
        <v>0.5</v>
      </c>
      <c r="D11" s="1">
        <v>4.8</v>
      </c>
      <c r="F11" s="1" t="str">
        <v>TODO LIST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zoomScale="145" zoomScaleNormal="145" workbookViewId="0">
      <selection activeCell="J3" sqref="J3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14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263" t="s">
        <v>80</v>
      </c>
      <c r="J16" s="263"/>
      <c r="K16" s="263"/>
      <c r="L16" s="263"/>
      <c r="M16" s="263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264"/>
      <c r="J17" s="264"/>
      <c r="K17" s="264"/>
      <c r="L17" s="264"/>
      <c r="M17" s="264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E11"/>
  <sheetViews>
    <sheetView workbookViewId="0">
      <selection activeCell="D8" sqref="D8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5" ht="15" thickBot="1"/>
    <row r="4" spans="2:5" ht="15" thickBot="1">
      <c r="B4" s="234" t="s">
        <v>1344</v>
      </c>
      <c r="C4" s="1"/>
      <c r="D4" s="1"/>
      <c r="E4" s="188" t="s">
        <v>1335</v>
      </c>
    </row>
    <row r="5" spans="2:5">
      <c r="B5" s="232" t="s">
        <v>1335</v>
      </c>
      <c r="C5" s="1"/>
      <c r="D5" s="1"/>
      <c r="E5" s="229" t="s">
        <v>1340</v>
      </c>
    </row>
    <row r="6" spans="2:5">
      <c r="B6" s="233" t="s">
        <v>1336</v>
      </c>
      <c r="C6" s="1"/>
      <c r="D6" s="1"/>
      <c r="E6" s="230" t="s">
        <v>1341</v>
      </c>
    </row>
    <row r="7" spans="2:5">
      <c r="B7" s="233" t="s">
        <v>1337</v>
      </c>
      <c r="C7" s="1"/>
      <c r="D7" s="1"/>
      <c r="E7" s="230" t="s">
        <v>1342</v>
      </c>
    </row>
    <row r="8" spans="2:5" ht="15" thickBot="1">
      <c r="B8" s="233" t="s">
        <v>1338</v>
      </c>
      <c r="C8" s="1"/>
      <c r="D8" s="1"/>
      <c r="E8" s="231" t="s">
        <v>1343</v>
      </c>
    </row>
    <row r="9" spans="2:5">
      <c r="B9" s="233" t="s">
        <v>1339</v>
      </c>
      <c r="C9" s="1"/>
      <c r="D9" s="1"/>
      <c r="E9" s="1"/>
    </row>
    <row r="10" spans="2:5">
      <c r="B10" s="233" t="s">
        <v>1319</v>
      </c>
      <c r="C10" s="1"/>
      <c r="D10" s="1"/>
      <c r="E10" s="1"/>
    </row>
    <row r="11" spans="2:5">
      <c r="B11" s="228" t="s">
        <v>1345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265" t="b">
        <f>'Data Game'!C6</f>
        <v>1</v>
      </c>
      <c r="D2" s="266"/>
      <c r="E2" s="267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2" sqref="B12"/>
    </sheetView>
  </sheetViews>
  <sheetFormatPr baseColWidth="10" defaultRowHeight="14.4"/>
  <cols>
    <col min="4" max="4" width="14" customWidth="1"/>
  </cols>
  <sheetData>
    <row r="2" spans="2:4">
      <c r="B2" t="s">
        <v>1296</v>
      </c>
      <c r="C2" t="s">
        <v>1297</v>
      </c>
      <c r="D2" t="s">
        <v>1298</v>
      </c>
    </row>
    <row r="3" spans="2:4">
      <c r="B3" s="165" t="s">
        <v>1299</v>
      </c>
    </row>
    <row r="4" spans="2:4">
      <c r="B4" s="165" t="s">
        <v>1300</v>
      </c>
      <c r="C4" t="s">
        <v>1301</v>
      </c>
    </row>
    <row r="5" spans="2:4">
      <c r="B5" s="165" t="s">
        <v>1302</v>
      </c>
      <c r="C5" s="207" t="s">
        <v>1305</v>
      </c>
    </row>
    <row r="6" spans="2:4">
      <c r="B6" s="165" t="s">
        <v>1303</v>
      </c>
      <c r="C6" s="207" t="s">
        <v>1304</v>
      </c>
    </row>
    <row r="7" spans="2:4">
      <c r="B7" s="165" t="s">
        <v>1306</v>
      </c>
      <c r="D7" t="s">
        <v>1307</v>
      </c>
    </row>
    <row r="8" spans="2:4">
      <c r="B8" s="165" t="s">
        <v>1308</v>
      </c>
    </row>
    <row r="9" spans="2:4">
      <c r="B9" s="165" t="s">
        <v>1309</v>
      </c>
    </row>
    <row r="10" spans="2:4">
      <c r="B10" s="165" t="s">
        <v>1310</v>
      </c>
      <c r="D10" s="165"/>
    </row>
    <row r="11" spans="2:4">
      <c r="B11" s="165" t="s">
        <v>1317</v>
      </c>
    </row>
    <row r="12" spans="2:4">
      <c r="B12" s="165" t="s">
        <v>1440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</hyperlinks>
  <pageMargins left="0.7" right="0.7" top="0.75" bottom="0.75" header="0.3" footer="0.3"/>
  <tableParts count="1">
    <tablePart r:id="rId1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T29"/>
  <sheetViews>
    <sheetView tabSelected="1" zoomScale="190" zoomScaleNormal="190" workbookViewId="0">
      <selection activeCell="D8" sqref="D8"/>
    </sheetView>
  </sheetViews>
  <sheetFormatPr baseColWidth="10" defaultColWidth="11.44140625" defaultRowHeight="14.4"/>
  <cols>
    <col min="2" max="2" width="12.5546875" bestFit="1" customWidth="1"/>
    <col min="4" max="4" width="12.5546875" bestFit="1" customWidth="1"/>
  </cols>
  <sheetData>
    <row r="1" spans="1:20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 ht="15" thickBot="1">
      <c r="A2" s="40"/>
      <c r="B2" s="40"/>
      <c r="C2" s="40"/>
      <c r="D2" s="40"/>
      <c r="E2" s="40"/>
      <c r="F2" s="81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0">
      <c r="A3" s="40"/>
      <c r="B3" t="s">
        <v>1</v>
      </c>
      <c r="C3" s="40"/>
      <c r="D3" t="s">
        <v>44</v>
      </c>
      <c r="E3" s="40"/>
      <c r="F3" s="287" t="s">
        <v>2043</v>
      </c>
      <c r="G3" s="288" t="s">
        <v>2061</v>
      </c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>
      <c r="A4" s="40"/>
      <c r="B4" t="s">
        <v>2</v>
      </c>
      <c r="C4" s="40"/>
      <c r="D4" t="b">
        <v>1</v>
      </c>
      <c r="E4" s="40"/>
      <c r="F4" s="289" t="s">
        <v>2044</v>
      </c>
      <c r="G4" s="290" t="s">
        <v>2062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>
      <c r="A5" s="40"/>
      <c r="B5" t="s">
        <v>3</v>
      </c>
      <c r="C5" s="40"/>
      <c r="D5" t="b">
        <v>0</v>
      </c>
      <c r="E5" s="40"/>
      <c r="F5" s="291" t="s">
        <v>2045</v>
      </c>
      <c r="G5" s="290" t="s">
        <v>2063</v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>
      <c r="A6" s="40"/>
      <c r="B6" s="40"/>
      <c r="C6" s="40"/>
      <c r="D6" s="40"/>
      <c r="E6" s="40"/>
      <c r="F6" s="292" t="s">
        <v>2046</v>
      </c>
      <c r="G6" s="290" t="s">
        <v>2064</v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>
      <c r="A7" s="40"/>
      <c r="B7" s="40"/>
      <c r="C7" s="40"/>
      <c r="D7" s="40"/>
      <c r="E7" s="40"/>
      <c r="F7" s="293" t="s">
        <v>2047</v>
      </c>
      <c r="G7" s="290" t="s">
        <v>2065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>
      <c r="A8" s="40"/>
      <c r="B8" s="40"/>
      <c r="C8" s="40"/>
      <c r="D8" s="40"/>
      <c r="E8" s="40"/>
      <c r="F8" s="294" t="s">
        <v>2048</v>
      </c>
      <c r="G8" s="290" t="s">
        <v>2066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>
      <c r="A9" s="40"/>
      <c r="B9" s="40"/>
      <c r="C9" s="40"/>
      <c r="D9" s="40"/>
      <c r="E9" s="40"/>
      <c r="F9" s="295" t="s">
        <v>2049</v>
      </c>
      <c r="G9" s="290" t="s">
        <v>2067</v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0">
      <c r="A10" s="40"/>
      <c r="B10" s="40"/>
      <c r="C10" s="40"/>
      <c r="D10" s="40"/>
      <c r="E10" s="40"/>
      <c r="F10" s="296" t="s">
        <v>2050</v>
      </c>
      <c r="G10" s="290" t="s">
        <v>2068</v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>
      <c r="A11" s="40"/>
      <c r="B11" s="40"/>
      <c r="C11" s="40"/>
      <c r="D11" s="40"/>
      <c r="E11" s="40"/>
      <c r="F11" s="297" t="s">
        <v>2051</v>
      </c>
      <c r="G11" s="290" t="s">
        <v>2069</v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>
      <c r="A12" s="40"/>
      <c r="B12" s="40"/>
      <c r="C12" s="40"/>
      <c r="D12" s="40"/>
      <c r="E12" s="40"/>
      <c r="F12" s="298" t="s">
        <v>2052</v>
      </c>
      <c r="G12" s="290" t="s">
        <v>2070</v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>
      <c r="A13" s="40"/>
      <c r="B13" s="40"/>
      <c r="C13" s="40"/>
      <c r="D13" s="40"/>
      <c r="E13" s="40"/>
      <c r="F13" s="299" t="s">
        <v>2053</v>
      </c>
      <c r="G13" s="290" t="s">
        <v>2071</v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>
      <c r="A14" s="40"/>
      <c r="B14" s="40"/>
      <c r="C14" s="40"/>
      <c r="D14" s="40"/>
      <c r="E14" s="40"/>
      <c r="F14" s="300" t="s">
        <v>2054</v>
      </c>
      <c r="G14" s="290" t="s">
        <v>2072</v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>
      <c r="A15" s="40"/>
      <c r="B15" s="40"/>
      <c r="C15" s="40"/>
      <c r="D15" s="40"/>
      <c r="E15" s="40"/>
      <c r="F15" s="301" t="s">
        <v>2055</v>
      </c>
      <c r="G15" s="290" t="s">
        <v>2073</v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>
      <c r="A16" s="40"/>
      <c r="B16" s="40"/>
      <c r="C16" s="40"/>
      <c r="D16" s="40"/>
      <c r="E16" s="40"/>
      <c r="F16" s="302" t="s">
        <v>2056</v>
      </c>
      <c r="G16" s="290">
        <v>735797</v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>
      <c r="A17" s="40"/>
      <c r="B17" s="40"/>
      <c r="C17" s="40"/>
      <c r="D17" s="40"/>
      <c r="E17" s="40"/>
      <c r="F17" s="303" t="s">
        <v>2057</v>
      </c>
      <c r="G17" s="290" t="s">
        <v>2074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>
      <c r="A18" s="40"/>
      <c r="B18" s="40"/>
      <c r="C18" s="40"/>
      <c r="D18" s="40"/>
      <c r="E18" s="40"/>
      <c r="F18" s="304" t="s">
        <v>2058</v>
      </c>
      <c r="G18" s="290">
        <v>705746</v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>
      <c r="A19" s="40"/>
      <c r="B19" s="40"/>
      <c r="C19" s="40"/>
      <c r="D19" s="40"/>
      <c r="E19" s="40"/>
      <c r="F19" s="305" t="s">
        <v>2059</v>
      </c>
      <c r="G19" s="290" t="s">
        <v>2075</v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 ht="15" thickBot="1">
      <c r="A20" s="40"/>
      <c r="B20" s="40"/>
      <c r="C20" s="40"/>
      <c r="D20" s="40"/>
      <c r="E20" s="40"/>
      <c r="F20" s="306" t="s">
        <v>2060</v>
      </c>
      <c r="G20" s="307" t="s">
        <v>2076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1:CD653"/>
  <sheetViews>
    <sheetView showGridLines="0" topLeftCell="BH8" zoomScale="85" zoomScaleNormal="85" workbookViewId="0">
      <selection activeCell="BM23" sqref="BM22:BN39"/>
    </sheetView>
  </sheetViews>
  <sheetFormatPr baseColWidth="10" defaultRowHeight="14.4"/>
  <cols>
    <col min="8" max="8" width="22" bestFit="1" customWidth="1"/>
    <col min="14" max="14" width="19.88671875" bestFit="1" customWidth="1"/>
    <col min="15" max="15" width="25.21875" bestFit="1" customWidth="1"/>
    <col min="16" max="16" width="15.5546875" bestFit="1" customWidth="1"/>
    <col min="17" max="20" width="15.5546875" customWidth="1"/>
    <col min="21" max="21" width="27.44140625" bestFit="1" customWidth="1"/>
    <col min="22" max="32" width="15.5546875" customWidth="1"/>
    <col min="33" max="33" width="7.33203125" customWidth="1"/>
    <col min="35" max="35" width="15.21875" bestFit="1" customWidth="1"/>
    <col min="56" max="56" width="14.88671875" bestFit="1" customWidth="1"/>
    <col min="62" max="62" width="4.21875" customWidth="1"/>
    <col min="63" max="63" width="9" bestFit="1" customWidth="1"/>
    <col min="64" max="64" width="7.44140625" bestFit="1" customWidth="1"/>
    <col min="65" max="65" width="10.109375" bestFit="1" customWidth="1"/>
    <col min="66" max="66" width="13.33203125" bestFit="1" customWidth="1"/>
    <col min="67" max="67" width="14.88671875" bestFit="1" customWidth="1"/>
    <col min="68" max="68" width="12.77734375" bestFit="1" customWidth="1"/>
    <col min="69" max="69" width="13.21875" bestFit="1" customWidth="1"/>
    <col min="70" max="70" width="13.6640625" bestFit="1" customWidth="1"/>
    <col min="71" max="71" width="6.6640625" bestFit="1" customWidth="1"/>
    <col min="72" max="72" width="6.88671875" bestFit="1" customWidth="1"/>
    <col min="73" max="73" width="3.88671875" bestFit="1" customWidth="1"/>
    <col min="74" max="74" width="6.33203125" bestFit="1" customWidth="1"/>
    <col min="75" max="75" width="3.6640625" bestFit="1" customWidth="1"/>
    <col min="76" max="76" width="7.6640625" bestFit="1" customWidth="1"/>
    <col min="77" max="77" width="9" bestFit="1" customWidth="1"/>
    <col min="78" max="78" width="3.77734375" bestFit="1" customWidth="1"/>
    <col min="79" max="79" width="12.6640625" bestFit="1" customWidth="1"/>
    <col min="80" max="80" width="8.88671875" bestFit="1" customWidth="1"/>
    <col min="81" max="81" width="12.109375" bestFit="1" customWidth="1"/>
    <col min="82" max="82" width="13.6640625" bestFit="1" customWidth="1"/>
    <col min="83" max="83" width="17.33203125" bestFit="1" customWidth="1"/>
    <col min="84" max="84" width="10" bestFit="1" customWidth="1"/>
    <col min="85" max="85" width="13.44140625" bestFit="1" customWidth="1"/>
    <col min="86" max="86" width="14.44140625" bestFit="1" customWidth="1"/>
    <col min="87" max="87" width="18" bestFit="1" customWidth="1"/>
    <col min="88" max="88" width="13.33203125" bestFit="1" customWidth="1"/>
    <col min="89" max="89" width="17" bestFit="1" customWidth="1"/>
    <col min="90" max="90" width="12.77734375" bestFit="1" customWidth="1"/>
    <col min="91" max="91" width="16.33203125" bestFit="1" customWidth="1"/>
    <col min="92" max="92" width="14.33203125" bestFit="1" customWidth="1"/>
    <col min="93" max="93" width="18" bestFit="1" customWidth="1"/>
    <col min="94" max="94" width="8.44140625" bestFit="1" customWidth="1"/>
    <col min="95" max="95" width="11.6640625" bestFit="1" customWidth="1"/>
    <col min="96" max="96" width="13.109375" bestFit="1" customWidth="1"/>
    <col min="97" max="97" width="16.44140625" bestFit="1" customWidth="1"/>
    <col min="98" max="98" width="14.21875" bestFit="1" customWidth="1"/>
    <col min="99" max="99" width="17.88671875" bestFit="1" customWidth="1"/>
    <col min="100" max="100" width="11.21875" bestFit="1" customWidth="1"/>
    <col min="101" max="101" width="14.77734375" bestFit="1" customWidth="1"/>
    <col min="102" max="102" width="10.44140625" bestFit="1" customWidth="1"/>
    <col min="103" max="103" width="13.88671875" bestFit="1" customWidth="1"/>
    <col min="104" max="104" width="11.109375" bestFit="1" customWidth="1"/>
    <col min="105" max="105" width="14.44140625" bestFit="1" customWidth="1"/>
    <col min="106" max="106" width="16" bestFit="1" customWidth="1"/>
    <col min="107" max="107" width="19.6640625" bestFit="1" customWidth="1"/>
    <col min="108" max="108" width="13.5546875" bestFit="1" customWidth="1"/>
    <col min="109" max="109" width="17.21875" bestFit="1" customWidth="1"/>
    <col min="110" max="110" width="12.109375" bestFit="1" customWidth="1"/>
    <col min="111" max="111" width="15.6640625" bestFit="1" customWidth="1"/>
    <col min="112" max="112" width="12.5546875" bestFit="1" customWidth="1"/>
    <col min="113" max="113" width="16.109375" bestFit="1" customWidth="1"/>
    <col min="114" max="114" width="13.5546875" bestFit="1" customWidth="1"/>
    <col min="115" max="115" width="17.21875" bestFit="1" customWidth="1"/>
    <col min="116" max="116" width="12.88671875" bestFit="1" customWidth="1"/>
    <col min="117" max="117" width="16.44140625" bestFit="1" customWidth="1"/>
    <col min="118" max="118" width="9.6640625" bestFit="1" customWidth="1"/>
    <col min="119" max="119" width="13.21875" bestFit="1" customWidth="1"/>
    <col min="120" max="120" width="11" bestFit="1" customWidth="1"/>
    <col min="121" max="121" width="14.44140625" bestFit="1" customWidth="1"/>
    <col min="122" max="122" width="13.6640625" bestFit="1" customWidth="1"/>
    <col min="123" max="123" width="17.33203125" bestFit="1" customWidth="1"/>
    <col min="124" max="124" width="13.33203125" bestFit="1" customWidth="1"/>
    <col min="125" max="125" width="17" bestFit="1" customWidth="1"/>
    <col min="126" max="126" width="12.6640625" bestFit="1" customWidth="1"/>
    <col min="127" max="127" width="16.21875" bestFit="1" customWidth="1"/>
    <col min="128" max="128" width="13.33203125" bestFit="1" customWidth="1"/>
    <col min="129" max="129" width="17" bestFit="1" customWidth="1"/>
    <col min="130" max="130" width="7.5546875" bestFit="1" customWidth="1"/>
    <col min="131" max="131" width="10.77734375" bestFit="1" customWidth="1"/>
    <col min="132" max="132" width="12.77734375" bestFit="1" customWidth="1"/>
    <col min="133" max="133" width="16.33203125" bestFit="1" customWidth="1"/>
    <col min="134" max="134" width="11.5546875" bestFit="1" customWidth="1"/>
    <col min="135" max="135" width="15" bestFit="1" customWidth="1"/>
    <col min="136" max="136" width="8.6640625" bestFit="1" customWidth="1"/>
    <col min="137" max="137" width="11.88671875" bestFit="1" customWidth="1"/>
    <col min="138" max="138" width="13.77734375" bestFit="1" customWidth="1"/>
    <col min="139" max="139" width="17.44140625" bestFit="1" customWidth="1"/>
    <col min="140" max="140" width="9.6640625" bestFit="1" customWidth="1"/>
    <col min="141" max="141" width="13.21875" bestFit="1" customWidth="1"/>
    <col min="142" max="142" width="11" bestFit="1" customWidth="1"/>
    <col min="143" max="143" width="14.44140625" bestFit="1" customWidth="1"/>
    <col min="144" max="144" width="13.6640625" bestFit="1" customWidth="1"/>
    <col min="145" max="145" width="17.33203125" bestFit="1" customWidth="1"/>
    <col min="146" max="146" width="12.6640625" bestFit="1" customWidth="1"/>
    <col min="147" max="147" width="16.109375" bestFit="1" customWidth="1"/>
    <col min="148" max="148" width="7.5546875" bestFit="1" customWidth="1"/>
    <col min="149" max="149" width="10.77734375" bestFit="1" customWidth="1"/>
    <col min="150" max="150" width="14" bestFit="1" customWidth="1"/>
    <col min="151" max="151" width="17.6640625" bestFit="1" customWidth="1"/>
    <col min="152" max="152" width="13.5546875" bestFit="1" customWidth="1"/>
    <col min="153" max="153" width="17.21875" bestFit="1" customWidth="1"/>
    <col min="154" max="154" width="13.5546875" bestFit="1" customWidth="1"/>
    <col min="155" max="155" width="17.21875" bestFit="1" customWidth="1"/>
    <col min="156" max="156" width="9.88671875" bestFit="1" customWidth="1"/>
    <col min="157" max="157" width="13.33203125" bestFit="1" customWidth="1"/>
    <col min="158" max="158" width="7.5546875" bestFit="1" customWidth="1"/>
    <col min="159" max="159" width="10.44140625" bestFit="1" customWidth="1"/>
    <col min="160" max="160" width="7.6640625" bestFit="1" customWidth="1"/>
    <col min="161" max="161" width="11" bestFit="1" customWidth="1"/>
    <col min="162" max="162" width="11.21875" bestFit="1" customWidth="1"/>
    <col min="163" max="163" width="14.77734375" bestFit="1" customWidth="1"/>
    <col min="164" max="164" width="13.44140625" bestFit="1" customWidth="1"/>
    <col min="165" max="165" width="17.109375" bestFit="1" customWidth="1"/>
    <col min="166" max="166" width="9.44140625" bestFit="1" customWidth="1"/>
    <col min="167" max="167" width="12.77734375" bestFit="1" customWidth="1"/>
    <col min="168" max="168" width="11.77734375" bestFit="1" customWidth="1"/>
    <col min="169" max="169" width="15.21875" bestFit="1" customWidth="1"/>
    <col min="170" max="170" width="13" bestFit="1" customWidth="1"/>
    <col min="171" max="171" width="16.6640625" bestFit="1" customWidth="1"/>
    <col min="172" max="172" width="16" bestFit="1" customWidth="1"/>
    <col min="173" max="173" width="19.5546875" bestFit="1" customWidth="1"/>
    <col min="174" max="174" width="13" bestFit="1" customWidth="1"/>
    <col min="175" max="175" width="16.6640625" bestFit="1" customWidth="1"/>
    <col min="176" max="176" width="12.33203125" bestFit="1" customWidth="1"/>
    <col min="177" max="177" width="15.88671875" bestFit="1" customWidth="1"/>
    <col min="178" max="178" width="11.44140625" bestFit="1" customWidth="1"/>
    <col min="179" max="179" width="15" bestFit="1" customWidth="1"/>
    <col min="180" max="180" width="10.109375" bestFit="1" customWidth="1"/>
    <col min="181" max="181" width="13.5546875" bestFit="1" customWidth="1"/>
    <col min="182" max="182" width="7.5546875" bestFit="1" customWidth="1"/>
    <col min="183" max="183" width="10.6640625" bestFit="1" customWidth="1"/>
    <col min="184" max="184" width="8.33203125" bestFit="1" customWidth="1"/>
    <col min="185" max="185" width="11.6640625" bestFit="1" customWidth="1"/>
    <col min="186" max="186" width="11" bestFit="1" customWidth="1"/>
    <col min="187" max="187" width="14.33203125" bestFit="1" customWidth="1"/>
    <col min="188" max="188" width="14.5546875" bestFit="1" customWidth="1"/>
    <col min="189" max="189" width="18.33203125" bestFit="1" customWidth="1"/>
    <col min="190" max="190" width="15.44140625" bestFit="1" customWidth="1"/>
    <col min="191" max="191" width="19.109375" bestFit="1" customWidth="1"/>
    <col min="192" max="192" width="11" bestFit="1" customWidth="1"/>
    <col min="193" max="193" width="14.44140625" bestFit="1" customWidth="1"/>
    <col min="194" max="194" width="10.109375" bestFit="1" customWidth="1"/>
    <col min="195" max="195" width="13.5546875" bestFit="1" customWidth="1"/>
    <col min="196" max="196" width="17.6640625" bestFit="1" customWidth="1"/>
    <col min="197" max="197" width="21.33203125" bestFit="1" customWidth="1"/>
    <col min="198" max="198" width="14.5546875" bestFit="1" customWidth="1"/>
    <col min="199" max="199" width="18.33203125" bestFit="1" customWidth="1"/>
    <col min="201" max="201" width="15" bestFit="1" customWidth="1"/>
    <col min="202" max="202" width="10.21875" bestFit="1" customWidth="1"/>
    <col min="203" max="203" width="13.6640625" bestFit="1" customWidth="1"/>
    <col min="204" max="204" width="9.77734375" bestFit="1" customWidth="1"/>
    <col min="205" max="205" width="13.21875" bestFit="1" customWidth="1"/>
    <col min="206" max="206" width="7.88671875" bestFit="1" customWidth="1"/>
    <col min="207" max="207" width="11.21875" bestFit="1" customWidth="1"/>
    <col min="208" max="208" width="12" bestFit="1" customWidth="1"/>
    <col min="209" max="209" width="15.5546875" bestFit="1" customWidth="1"/>
    <col min="210" max="210" width="13.21875" bestFit="1" customWidth="1"/>
    <col min="211" max="211" width="16.88671875" bestFit="1" customWidth="1"/>
    <col min="212" max="212" width="11.33203125" bestFit="1" customWidth="1"/>
    <col min="213" max="213" width="14.88671875" bestFit="1" customWidth="1"/>
    <col min="214" max="214" width="13.5546875" bestFit="1" customWidth="1"/>
    <col min="215" max="215" width="17.109375" bestFit="1" customWidth="1"/>
    <col min="216" max="216" width="7.77734375" bestFit="1" customWidth="1"/>
    <col min="217" max="217" width="11.109375" bestFit="1" customWidth="1"/>
    <col min="218" max="218" width="12.77734375" bestFit="1" customWidth="1"/>
    <col min="219" max="219" width="16.33203125" bestFit="1" customWidth="1"/>
    <col min="220" max="220" width="10.77734375" bestFit="1" customWidth="1"/>
    <col min="221" max="221" width="14.21875" bestFit="1" customWidth="1"/>
    <col min="222" max="222" width="14.88671875" bestFit="1" customWidth="1"/>
    <col min="223" max="223" width="18.5546875" bestFit="1" customWidth="1"/>
    <col min="224" max="224" width="12.88671875" bestFit="1" customWidth="1"/>
    <col min="225" max="225" width="16.44140625" bestFit="1" customWidth="1"/>
    <col min="226" max="226" width="11.21875" bestFit="1" customWidth="1"/>
    <col min="227" max="227" width="14.77734375" bestFit="1" customWidth="1"/>
    <col min="228" max="228" width="12.88671875" bestFit="1" customWidth="1"/>
    <col min="229" max="229" width="16.44140625" bestFit="1" customWidth="1"/>
    <col min="230" max="230" width="14" bestFit="1" customWidth="1"/>
    <col min="231" max="231" width="17.6640625" bestFit="1" customWidth="1"/>
    <col min="232" max="232" width="8" bestFit="1" customWidth="1"/>
    <col min="233" max="233" width="11.21875" bestFit="1" customWidth="1"/>
    <col min="234" max="234" width="11.44140625" bestFit="1" customWidth="1"/>
    <col min="235" max="235" width="15" bestFit="1" customWidth="1"/>
    <col min="237" max="237" width="15" bestFit="1" customWidth="1"/>
    <col min="238" max="238" width="9.21875" bestFit="1" customWidth="1"/>
    <col min="239" max="239" width="12.6640625" bestFit="1" customWidth="1"/>
    <col min="240" max="240" width="10" bestFit="1" customWidth="1"/>
    <col min="241" max="241" width="13.44140625" bestFit="1" customWidth="1"/>
    <col min="242" max="242" width="8.88671875" bestFit="1" customWidth="1"/>
    <col min="243" max="243" width="12.109375" bestFit="1" customWidth="1"/>
    <col min="244" max="244" width="13" bestFit="1" customWidth="1"/>
    <col min="245" max="245" width="16.6640625" bestFit="1" customWidth="1"/>
    <col min="246" max="246" width="11.33203125" bestFit="1" customWidth="1"/>
    <col min="247" max="247" width="14.77734375" bestFit="1" customWidth="1"/>
    <col min="248" max="248" width="6.44140625" bestFit="1" customWidth="1"/>
    <col min="249" max="249" width="9.6640625" bestFit="1" customWidth="1"/>
    <col min="250" max="250" width="10.6640625" bestFit="1" customWidth="1"/>
    <col min="251" max="251" width="14.21875" bestFit="1" customWidth="1"/>
    <col min="252" max="252" width="11.21875" bestFit="1" customWidth="1"/>
    <col min="253" max="253" width="14.77734375" bestFit="1" customWidth="1"/>
    <col min="254" max="254" width="10" bestFit="1" customWidth="1"/>
    <col min="255" max="255" width="13.44140625" bestFit="1" customWidth="1"/>
    <col min="256" max="256" width="9.77734375" bestFit="1" customWidth="1"/>
    <col min="257" max="257" width="13.21875" bestFit="1" customWidth="1"/>
    <col min="258" max="258" width="14.44140625" bestFit="1" customWidth="1"/>
    <col min="259" max="259" width="18.109375" bestFit="1" customWidth="1"/>
    <col min="260" max="260" width="13.5546875" bestFit="1" customWidth="1"/>
    <col min="261" max="261" width="17.21875" bestFit="1" customWidth="1"/>
    <col min="262" max="262" width="8.77734375" bestFit="1" customWidth="1"/>
    <col min="263" max="263" width="12.109375" bestFit="1" customWidth="1"/>
    <col min="264" max="264" width="13.44140625" bestFit="1" customWidth="1"/>
    <col min="265" max="265" width="17.109375" bestFit="1" customWidth="1"/>
    <col min="266" max="266" width="13.44140625" bestFit="1" customWidth="1"/>
    <col min="267" max="267" width="17.109375" bestFit="1" customWidth="1"/>
    <col min="268" max="268" width="11.109375" bestFit="1" customWidth="1"/>
    <col min="269" max="269" width="14.6640625" bestFit="1" customWidth="1"/>
    <col min="270" max="270" width="10.88671875" bestFit="1" customWidth="1"/>
    <col min="271" max="271" width="14.33203125" bestFit="1" customWidth="1"/>
    <col min="272" max="272" width="11.6640625" bestFit="1" customWidth="1"/>
    <col min="273" max="273" width="15" bestFit="1" customWidth="1"/>
    <col min="274" max="274" width="13" bestFit="1" customWidth="1"/>
    <col min="275" max="275" width="16.44140625" bestFit="1" customWidth="1"/>
    <col min="276" max="276" width="14.21875" bestFit="1" customWidth="1"/>
    <col min="277" max="277" width="17.88671875" bestFit="1" customWidth="1"/>
    <col min="278" max="278" width="5.77734375" bestFit="1" customWidth="1"/>
    <col min="279" max="279" width="8.88671875" bestFit="1" customWidth="1"/>
    <col min="280" max="280" width="10.109375" bestFit="1" customWidth="1"/>
    <col min="281" max="281" width="13.33203125" bestFit="1" customWidth="1"/>
    <col min="282" max="282" width="12.6640625" bestFit="1" customWidth="1"/>
  </cols>
  <sheetData>
    <row r="1" spans="2:82">
      <c r="BV1" s="165" t="s">
        <v>2088</v>
      </c>
      <c r="BX1" s="165" t="s">
        <v>2033</v>
      </c>
    </row>
    <row r="2" spans="2:82" ht="15" thickBot="1">
      <c r="S2" s="165" t="s">
        <v>1414</v>
      </c>
      <c r="BX2" t="s">
        <v>2032</v>
      </c>
    </row>
    <row r="3" spans="2:82" ht="15" thickBot="1">
      <c r="B3" s="247" t="s">
        <v>1291</v>
      </c>
      <c r="C3" s="248" t="s">
        <v>31</v>
      </c>
      <c r="D3" s="248" t="s">
        <v>732</v>
      </c>
      <c r="E3" s="248" t="s">
        <v>733</v>
      </c>
      <c r="F3" s="248" t="s">
        <v>734</v>
      </c>
      <c r="G3" s="248" t="s">
        <v>1346</v>
      </c>
      <c r="H3" s="248" t="s">
        <v>1347</v>
      </c>
      <c r="I3" s="284" t="s">
        <v>736</v>
      </c>
      <c r="J3" s="284" t="s">
        <v>737</v>
      </c>
      <c r="K3" s="284" t="s">
        <v>738</v>
      </c>
      <c r="L3" s="284" t="s">
        <v>741</v>
      </c>
      <c r="M3" s="284" t="s">
        <v>2026</v>
      </c>
      <c r="N3" s="248" t="s">
        <v>1446</v>
      </c>
      <c r="O3" s="248" t="s">
        <v>1292</v>
      </c>
      <c r="P3" s="248" t="s">
        <v>1287</v>
      </c>
      <c r="Q3" s="249" t="s">
        <v>1290</v>
      </c>
      <c r="R3" s="1"/>
      <c r="S3" s="1" t="s">
        <v>1351</v>
      </c>
      <c r="T3" s="1" t="s">
        <v>1416</v>
      </c>
      <c r="U3" s="1" t="s">
        <v>1352</v>
      </c>
      <c r="V3" s="1" t="s">
        <v>1353</v>
      </c>
      <c r="W3" s="1" t="s">
        <v>1354</v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87" t="s">
        <v>1284</v>
      </c>
      <c r="AI3" s="185" t="s">
        <v>823</v>
      </c>
      <c r="AJ3" s="270" t="s">
        <v>1285</v>
      </c>
      <c r="AK3" s="270"/>
      <c r="AL3" s="270"/>
      <c r="AM3" s="270"/>
      <c r="AN3" s="270"/>
      <c r="AO3" s="270"/>
      <c r="AP3" s="270"/>
      <c r="AQ3" s="270"/>
      <c r="AR3" s="270"/>
      <c r="AS3" s="270"/>
      <c r="AT3" s="270"/>
      <c r="AU3" s="270"/>
      <c r="AV3" s="270"/>
      <c r="AW3" s="270"/>
      <c r="AX3" s="270"/>
      <c r="AY3" s="270"/>
      <c r="AZ3" s="270"/>
      <c r="BA3" s="271"/>
      <c r="BC3" t="s">
        <v>1684</v>
      </c>
      <c r="BD3" t="s">
        <v>31</v>
      </c>
      <c r="BE3" t="s">
        <v>732</v>
      </c>
      <c r="BF3" t="s">
        <v>16</v>
      </c>
      <c r="BG3" t="s">
        <v>1603</v>
      </c>
      <c r="BH3" t="s">
        <v>1460</v>
      </c>
      <c r="BI3" t="s">
        <v>1685</v>
      </c>
      <c r="BM3" s="188" t="s">
        <v>1460</v>
      </c>
      <c r="BN3" s="322">
        <v>1</v>
      </c>
      <c r="BO3" s="323">
        <v>2</v>
      </c>
      <c r="BP3" s="323">
        <v>3</v>
      </c>
      <c r="BQ3" s="323">
        <v>4</v>
      </c>
      <c r="BR3" s="324">
        <v>5</v>
      </c>
    </row>
    <row r="4" spans="2:82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>
        <v>45</v>
      </c>
      <c r="J4">
        <v>49</v>
      </c>
      <c r="K4">
        <v>49</v>
      </c>
      <c r="L4">
        <v>45</v>
      </c>
      <c r="M4">
        <v>65</v>
      </c>
      <c r="N4" s="1">
        <v>16</v>
      </c>
      <c r="O4" s="1">
        <v>2</v>
      </c>
      <c r="P4" s="1" t="s">
        <v>745</v>
      </c>
      <c r="Q4" s="1"/>
      <c r="R4" s="1"/>
      <c r="S4" s="1" t="s">
        <v>1400</v>
      </c>
      <c r="T4" s="1" t="s">
        <v>1330</v>
      </c>
      <c r="U4" s="1" t="s">
        <v>1389</v>
      </c>
      <c r="V4" s="1">
        <v>2</v>
      </c>
      <c r="W4" s="1">
        <v>5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86" t="s">
        <v>752</v>
      </c>
      <c r="AI4" s="188" cm="1">
        <f t="array" ref="AI4">_xlfn.XLOOKUP(AH4,AI5:AI22,_xlfn.XLOOKUP(AI3,AJ4:BA4,AJ5:BA22))</f>
        <v>1</v>
      </c>
      <c r="AJ4" s="191" t="s">
        <v>765</v>
      </c>
      <c r="AK4" s="191" t="s">
        <v>748</v>
      </c>
      <c r="AL4" s="191" t="s">
        <v>754</v>
      </c>
      <c r="AM4" s="191" t="s">
        <v>772</v>
      </c>
      <c r="AN4" s="191" t="s">
        <v>743</v>
      </c>
      <c r="AO4" s="191" t="s">
        <v>823</v>
      </c>
      <c r="AP4" s="191" t="s">
        <v>796</v>
      </c>
      <c r="AQ4" s="191" t="s">
        <v>744</v>
      </c>
      <c r="AR4" s="191" t="s">
        <v>774</v>
      </c>
      <c r="AS4" s="191" t="s">
        <v>751</v>
      </c>
      <c r="AT4" s="191" t="s">
        <v>803</v>
      </c>
      <c r="AU4" s="191" t="s">
        <v>758</v>
      </c>
      <c r="AV4" s="191" t="s">
        <v>811</v>
      </c>
      <c r="AW4" s="191" t="s">
        <v>829</v>
      </c>
      <c r="AX4" s="191" t="s">
        <v>752</v>
      </c>
      <c r="AY4" s="191" t="s">
        <v>864</v>
      </c>
      <c r="AZ4" s="191" t="s">
        <v>818</v>
      </c>
      <c r="BA4" s="192" t="s">
        <v>777</v>
      </c>
      <c r="BC4" s="1">
        <v>1</v>
      </c>
      <c r="BD4" s="1" t="s">
        <v>1648</v>
      </c>
      <c r="BE4" s="1" t="s">
        <v>1529</v>
      </c>
      <c r="BF4" s="1" t="s">
        <v>1462</v>
      </c>
      <c r="BG4" s="1">
        <v>40</v>
      </c>
      <c r="BH4" s="1" t="s">
        <v>765</v>
      </c>
      <c r="BI4" s="1" t="s">
        <v>1672</v>
      </c>
      <c r="BM4" s="359" t="s">
        <v>765</v>
      </c>
      <c r="BN4" s="325" t="s">
        <v>2031</v>
      </c>
      <c r="BO4" s="326" t="s">
        <v>1499</v>
      </c>
      <c r="BP4" s="326" t="s">
        <v>1620</v>
      </c>
      <c r="BQ4" s="326" t="s">
        <v>1540</v>
      </c>
      <c r="BR4" s="327" t="s">
        <v>1505</v>
      </c>
    </row>
    <row r="5" spans="2:82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>
        <v>60</v>
      </c>
      <c r="J5">
        <v>62</v>
      </c>
      <c r="K5">
        <v>63</v>
      </c>
      <c r="L5">
        <v>60</v>
      </c>
      <c r="M5">
        <v>80</v>
      </c>
      <c r="N5" s="1">
        <v>32</v>
      </c>
      <c r="O5" s="1">
        <v>3</v>
      </c>
      <c r="P5" s="1" t="s">
        <v>746</v>
      </c>
      <c r="Q5" s="1"/>
      <c r="R5" s="1"/>
      <c r="S5" s="1" t="s">
        <v>1401</v>
      </c>
      <c r="T5" s="1" t="s">
        <v>1329</v>
      </c>
      <c r="U5" s="1" t="s">
        <v>1390</v>
      </c>
      <c r="V5" s="1">
        <v>3</v>
      </c>
      <c r="W5" s="1">
        <v>6</v>
      </c>
      <c r="X5" s="1"/>
      <c r="Y5" s="1"/>
      <c r="Z5" s="1"/>
      <c r="AA5" s="1"/>
      <c r="AB5" s="1"/>
      <c r="AC5" s="1"/>
      <c r="AD5" s="1"/>
      <c r="AE5" s="1"/>
      <c r="AF5" s="1"/>
      <c r="AG5" s="1"/>
      <c r="AH5" s="268" t="s">
        <v>1283</v>
      </c>
      <c r="AI5" s="189" t="s">
        <v>765</v>
      </c>
      <c r="AJ5" s="194">
        <v>1</v>
      </c>
      <c r="AK5" s="195">
        <v>1</v>
      </c>
      <c r="AL5" s="195">
        <v>1</v>
      </c>
      <c r="AM5" s="195">
        <v>1</v>
      </c>
      <c r="AN5" s="195">
        <v>1</v>
      </c>
      <c r="AO5" s="195">
        <v>1</v>
      </c>
      <c r="AP5" s="195">
        <v>1</v>
      </c>
      <c r="AQ5" s="195">
        <v>1</v>
      </c>
      <c r="AR5" s="195">
        <v>1</v>
      </c>
      <c r="AS5" s="195">
        <v>1</v>
      </c>
      <c r="AT5" s="195">
        <v>1</v>
      </c>
      <c r="AU5" s="195">
        <v>1</v>
      </c>
      <c r="AV5" s="195">
        <v>0.5</v>
      </c>
      <c r="AW5" s="195">
        <v>0</v>
      </c>
      <c r="AX5" s="195">
        <v>1</v>
      </c>
      <c r="AY5" s="195">
        <v>1</v>
      </c>
      <c r="AZ5" s="195">
        <v>0.5</v>
      </c>
      <c r="BA5" s="196">
        <v>1</v>
      </c>
      <c r="BC5" s="1">
        <v>2</v>
      </c>
      <c r="BD5" s="1" t="s">
        <v>1661</v>
      </c>
      <c r="BE5" s="1" t="s">
        <v>1703</v>
      </c>
      <c r="BF5" s="1" t="s">
        <v>1462</v>
      </c>
      <c r="BG5" s="1">
        <v>50</v>
      </c>
      <c r="BH5" s="1" t="s">
        <v>1476</v>
      </c>
      <c r="BI5" s="1" t="s">
        <v>1670</v>
      </c>
      <c r="BM5" s="360" t="s">
        <v>1476</v>
      </c>
      <c r="BN5" s="328" t="s">
        <v>2030</v>
      </c>
      <c r="BO5" s="308" t="s">
        <v>2029</v>
      </c>
      <c r="BP5" s="308" t="s">
        <v>2077</v>
      </c>
      <c r="BQ5" s="308" t="s">
        <v>2028</v>
      </c>
      <c r="BR5" s="329" t="s">
        <v>2027</v>
      </c>
    </row>
    <row r="6" spans="2:82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>
        <v>80</v>
      </c>
      <c r="J6">
        <v>82</v>
      </c>
      <c r="K6">
        <v>83</v>
      </c>
      <c r="L6">
        <v>80</v>
      </c>
      <c r="M6">
        <v>100</v>
      </c>
      <c r="N6" s="1" t="s">
        <v>82</v>
      </c>
      <c r="O6" s="1" t="s">
        <v>82</v>
      </c>
      <c r="P6" s="1" t="s">
        <v>82</v>
      </c>
      <c r="Q6" s="1"/>
      <c r="R6" s="1"/>
      <c r="S6" s="1" t="s">
        <v>1402</v>
      </c>
      <c r="T6" s="1" t="s">
        <v>1328</v>
      </c>
      <c r="U6" s="1" t="s">
        <v>1393</v>
      </c>
      <c r="V6" s="1">
        <v>6</v>
      </c>
      <c r="W6" s="1">
        <v>8</v>
      </c>
      <c r="X6" s="1"/>
      <c r="Y6" s="1"/>
      <c r="Z6" s="1"/>
      <c r="AA6" s="1"/>
      <c r="AB6" s="1"/>
      <c r="AC6" s="1"/>
      <c r="AD6" s="1"/>
      <c r="AE6" s="1"/>
      <c r="AF6" s="1"/>
      <c r="AG6" s="1"/>
      <c r="AH6" s="268"/>
      <c r="AI6" s="189" t="s">
        <v>748</v>
      </c>
      <c r="AJ6" s="197">
        <v>1</v>
      </c>
      <c r="AK6" s="193">
        <v>0.5</v>
      </c>
      <c r="AL6" s="193">
        <v>0.5</v>
      </c>
      <c r="AM6" s="193">
        <v>1</v>
      </c>
      <c r="AN6" s="193">
        <v>2</v>
      </c>
      <c r="AO6" s="193">
        <v>2</v>
      </c>
      <c r="AP6" s="193">
        <v>1</v>
      </c>
      <c r="AQ6" s="193">
        <v>1</v>
      </c>
      <c r="AR6" s="193">
        <v>1</v>
      </c>
      <c r="AS6" s="193">
        <v>1</v>
      </c>
      <c r="AT6" s="193">
        <v>1</v>
      </c>
      <c r="AU6" s="193">
        <v>2</v>
      </c>
      <c r="AV6" s="193">
        <v>0.5</v>
      </c>
      <c r="AW6" s="193">
        <v>1</v>
      </c>
      <c r="AX6" s="193">
        <v>0.5</v>
      </c>
      <c r="AY6" s="193">
        <v>1</v>
      </c>
      <c r="AZ6" s="193">
        <v>2</v>
      </c>
      <c r="BA6" s="198">
        <v>1</v>
      </c>
      <c r="BC6" s="1">
        <v>3</v>
      </c>
      <c r="BD6" s="1" t="s">
        <v>1664</v>
      </c>
      <c r="BE6" s="1" t="s">
        <v>1705</v>
      </c>
      <c r="BF6" s="1" t="s">
        <v>1462</v>
      </c>
      <c r="BG6" s="1">
        <v>35</v>
      </c>
      <c r="BH6" s="1" t="s">
        <v>765</v>
      </c>
      <c r="BI6" s="1" t="s">
        <v>1672</v>
      </c>
      <c r="BM6" s="361" t="s">
        <v>1473</v>
      </c>
      <c r="BN6" s="330" t="s">
        <v>2078</v>
      </c>
      <c r="BO6" s="316" t="s">
        <v>2037</v>
      </c>
      <c r="BP6" s="316" t="s">
        <v>2036</v>
      </c>
      <c r="BQ6" s="316" t="s">
        <v>2034</v>
      </c>
      <c r="BR6" s="331" t="s">
        <v>2035</v>
      </c>
    </row>
    <row r="7" spans="2:82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>
        <v>39</v>
      </c>
      <c r="J7">
        <v>52</v>
      </c>
      <c r="K7">
        <v>43</v>
      </c>
      <c r="L7">
        <v>65</v>
      </c>
      <c r="M7">
        <v>50</v>
      </c>
      <c r="N7" s="1">
        <v>16</v>
      </c>
      <c r="O7" s="1">
        <v>5</v>
      </c>
      <c r="P7" s="1" t="s">
        <v>749</v>
      </c>
      <c r="Q7" s="1"/>
      <c r="R7" s="1"/>
      <c r="S7" s="1" t="s">
        <v>1403</v>
      </c>
      <c r="T7" s="1" t="s">
        <v>1355</v>
      </c>
      <c r="U7" s="1" t="s">
        <v>1394</v>
      </c>
      <c r="V7" s="1">
        <v>8</v>
      </c>
      <c r="W7" s="1">
        <v>12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268"/>
      <c r="AI7" s="189" t="s">
        <v>754</v>
      </c>
      <c r="AJ7" s="197">
        <v>1</v>
      </c>
      <c r="AK7" s="193">
        <v>2</v>
      </c>
      <c r="AL7" s="193">
        <v>0.5</v>
      </c>
      <c r="AM7" s="193">
        <v>1</v>
      </c>
      <c r="AN7" s="193">
        <v>0.5</v>
      </c>
      <c r="AO7" s="193">
        <v>1</v>
      </c>
      <c r="AP7" s="193">
        <v>1</v>
      </c>
      <c r="AQ7" s="193">
        <v>1</v>
      </c>
      <c r="AR7" s="193">
        <v>2</v>
      </c>
      <c r="AS7" s="193">
        <v>1</v>
      </c>
      <c r="AT7" s="193">
        <v>1</v>
      </c>
      <c r="AU7" s="193">
        <v>1</v>
      </c>
      <c r="AV7" s="193">
        <v>2</v>
      </c>
      <c r="AW7" s="193">
        <v>1</v>
      </c>
      <c r="AX7" s="193">
        <v>0.5</v>
      </c>
      <c r="AY7" s="193">
        <v>1</v>
      </c>
      <c r="AZ7" s="193">
        <v>1</v>
      </c>
      <c r="BA7" s="198">
        <v>1</v>
      </c>
      <c r="BC7" s="1">
        <v>4</v>
      </c>
      <c r="BD7" s="1" t="s">
        <v>1660</v>
      </c>
      <c r="BE7" s="1" t="s">
        <v>1702</v>
      </c>
      <c r="BF7" s="1" t="s">
        <v>1462</v>
      </c>
      <c r="BG7" s="1">
        <v>40</v>
      </c>
      <c r="BH7" s="1" t="s">
        <v>1476</v>
      </c>
      <c r="BI7" s="1" t="s">
        <v>1672</v>
      </c>
      <c r="BM7" s="362" t="s">
        <v>1477</v>
      </c>
      <c r="BN7" s="332" t="s">
        <v>2038</v>
      </c>
      <c r="BO7" s="312" t="s">
        <v>2039</v>
      </c>
      <c r="BP7" s="312"/>
      <c r="BQ7" s="312" t="s">
        <v>1564</v>
      </c>
      <c r="BR7" s="333" t="s">
        <v>1486</v>
      </c>
      <c r="CD7" s="286"/>
    </row>
    <row r="8" spans="2:82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>
        <v>58</v>
      </c>
      <c r="J8">
        <v>64</v>
      </c>
      <c r="K8">
        <v>58</v>
      </c>
      <c r="L8">
        <v>80</v>
      </c>
      <c r="M8">
        <v>65</v>
      </c>
      <c r="N8" s="1">
        <v>36</v>
      </c>
      <c r="O8" s="1">
        <v>6</v>
      </c>
      <c r="P8" s="1" t="s">
        <v>750</v>
      </c>
      <c r="Q8" s="1"/>
      <c r="R8" s="1"/>
      <c r="S8" s="1" t="s">
        <v>1404</v>
      </c>
      <c r="T8" s="1" t="s">
        <v>1356</v>
      </c>
      <c r="U8" s="1" t="s">
        <v>1395</v>
      </c>
      <c r="V8" s="1">
        <v>13</v>
      </c>
      <c r="W8" s="1">
        <v>16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268"/>
      <c r="AI8" s="189" t="s">
        <v>772</v>
      </c>
      <c r="AJ8" s="197">
        <v>1</v>
      </c>
      <c r="AK8" s="193">
        <v>1</v>
      </c>
      <c r="AL8" s="193">
        <v>2</v>
      </c>
      <c r="AM8" s="193">
        <v>0.5</v>
      </c>
      <c r="AN8" s="193">
        <v>0.5</v>
      </c>
      <c r="AO8" s="193">
        <v>1</v>
      </c>
      <c r="AP8" s="193">
        <v>1</v>
      </c>
      <c r="AQ8" s="193">
        <v>1</v>
      </c>
      <c r="AR8" s="193">
        <v>0</v>
      </c>
      <c r="AS8" s="193">
        <v>2</v>
      </c>
      <c r="AT8" s="193">
        <v>1</v>
      </c>
      <c r="AU8" s="193">
        <v>1</v>
      </c>
      <c r="AV8" s="193">
        <v>1</v>
      </c>
      <c r="AW8" s="193">
        <v>1</v>
      </c>
      <c r="AX8" s="193">
        <v>0.5</v>
      </c>
      <c r="AY8" s="193">
        <v>1</v>
      </c>
      <c r="AZ8" s="193">
        <v>1</v>
      </c>
      <c r="BA8" s="198">
        <v>1</v>
      </c>
      <c r="BC8" s="1">
        <v>5</v>
      </c>
      <c r="BD8" s="1" t="s">
        <v>1626</v>
      </c>
      <c r="BE8" s="1" t="s">
        <v>1627</v>
      </c>
      <c r="BF8" s="1" t="s">
        <v>1462</v>
      </c>
      <c r="BG8" s="1">
        <v>80</v>
      </c>
      <c r="BH8" s="1" t="s">
        <v>765</v>
      </c>
      <c r="BI8" s="1" t="s">
        <v>1672</v>
      </c>
      <c r="BM8" s="363" t="s">
        <v>1487</v>
      </c>
      <c r="BN8" s="334" t="s">
        <v>2041</v>
      </c>
      <c r="BO8" s="310" t="s">
        <v>2040</v>
      </c>
      <c r="BP8" s="310" t="s">
        <v>2079</v>
      </c>
      <c r="BQ8" s="310" t="s">
        <v>1615</v>
      </c>
      <c r="BR8" s="335" t="s">
        <v>1536</v>
      </c>
      <c r="CD8" s="285"/>
    </row>
    <row r="9" spans="2:82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>
        <v>78</v>
      </c>
      <c r="J9">
        <v>84</v>
      </c>
      <c r="K9">
        <v>78</v>
      </c>
      <c r="L9">
        <v>100</v>
      </c>
      <c r="M9">
        <v>85</v>
      </c>
      <c r="N9" s="1" t="s">
        <v>82</v>
      </c>
      <c r="O9" s="1" t="s">
        <v>82</v>
      </c>
      <c r="P9" s="1" t="s">
        <v>82</v>
      </c>
      <c r="Q9" s="1"/>
      <c r="R9" s="1"/>
      <c r="S9" s="1" t="s">
        <v>1405</v>
      </c>
      <c r="T9" s="1" t="s">
        <v>1357</v>
      </c>
      <c r="U9" s="1" t="s">
        <v>1396</v>
      </c>
      <c r="V9" s="1">
        <v>13</v>
      </c>
      <c r="W9" s="1">
        <v>16</v>
      </c>
      <c r="X9" s="1"/>
      <c r="Y9" s="1"/>
      <c r="Z9" s="1"/>
      <c r="AA9" s="1"/>
      <c r="AB9" s="1"/>
      <c r="AC9" s="1"/>
      <c r="AD9" s="1"/>
      <c r="AE9" s="1"/>
      <c r="AF9" s="1"/>
      <c r="AG9" s="1"/>
      <c r="AH9" s="268"/>
      <c r="AI9" s="189" t="s">
        <v>743</v>
      </c>
      <c r="AJ9" s="197">
        <v>1</v>
      </c>
      <c r="AK9" s="193">
        <v>0.5</v>
      </c>
      <c r="AL9" s="193">
        <v>2</v>
      </c>
      <c r="AM9" s="193">
        <v>1</v>
      </c>
      <c r="AN9" s="193">
        <v>0.5</v>
      </c>
      <c r="AO9" s="193">
        <v>1</v>
      </c>
      <c r="AP9" s="193">
        <v>1</v>
      </c>
      <c r="AQ9" s="193">
        <v>0.5</v>
      </c>
      <c r="AR9" s="193">
        <v>2</v>
      </c>
      <c r="AS9" s="193">
        <v>0.5</v>
      </c>
      <c r="AT9" s="193">
        <v>1</v>
      </c>
      <c r="AU9" s="193">
        <v>0.5</v>
      </c>
      <c r="AV9" s="193">
        <v>2</v>
      </c>
      <c r="AW9" s="193">
        <v>1</v>
      </c>
      <c r="AX9" s="193">
        <v>0.5</v>
      </c>
      <c r="AY9" s="193">
        <v>1</v>
      </c>
      <c r="AZ9" s="193">
        <v>0.5</v>
      </c>
      <c r="BA9" s="198">
        <v>1</v>
      </c>
      <c r="BC9" s="1">
        <v>6</v>
      </c>
      <c r="BD9" s="1" t="s">
        <v>1555</v>
      </c>
      <c r="BE9" s="1" t="s">
        <v>1556</v>
      </c>
      <c r="BF9" s="1" t="s">
        <v>1462</v>
      </c>
      <c r="BG9" s="1">
        <v>40</v>
      </c>
      <c r="BH9" s="1" t="s">
        <v>765</v>
      </c>
      <c r="BI9" s="1" t="s">
        <v>1672</v>
      </c>
      <c r="BM9" s="364" t="s">
        <v>1470</v>
      </c>
      <c r="BN9" s="336" t="s">
        <v>1584</v>
      </c>
      <c r="BO9" s="319" t="s">
        <v>1617</v>
      </c>
      <c r="BP9" s="319" t="s">
        <v>1503</v>
      </c>
      <c r="BQ9" s="319" t="s">
        <v>1470</v>
      </c>
      <c r="BR9" s="337" t="s">
        <v>2042</v>
      </c>
      <c r="CD9" s="285"/>
    </row>
    <row r="10" spans="2:82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>
        <v>44</v>
      </c>
      <c r="J10">
        <v>48</v>
      </c>
      <c r="K10">
        <v>65</v>
      </c>
      <c r="L10">
        <v>43</v>
      </c>
      <c r="M10">
        <v>50</v>
      </c>
      <c r="N10" s="1">
        <v>16</v>
      </c>
      <c r="O10" s="1">
        <v>8</v>
      </c>
      <c r="P10" s="1" t="s">
        <v>755</v>
      </c>
      <c r="Q10" s="1"/>
      <c r="R10" s="1"/>
      <c r="S10" s="1" t="s">
        <v>1406</v>
      </c>
      <c r="T10" s="1" t="s">
        <v>1358</v>
      </c>
      <c r="U10" s="1" t="s">
        <v>1397</v>
      </c>
      <c r="V10" s="1">
        <v>18</v>
      </c>
      <c r="W10" s="1">
        <v>22</v>
      </c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268"/>
      <c r="AI10" s="189" t="s">
        <v>823</v>
      </c>
      <c r="AJ10" s="197">
        <v>1</v>
      </c>
      <c r="AK10" s="193">
        <v>0.5</v>
      </c>
      <c r="AL10" s="193">
        <v>0.5</v>
      </c>
      <c r="AM10" s="193">
        <v>1</v>
      </c>
      <c r="AN10" s="193">
        <v>2</v>
      </c>
      <c r="AO10" s="193">
        <v>0.5</v>
      </c>
      <c r="AP10" s="193">
        <v>1</v>
      </c>
      <c r="AQ10" s="193">
        <v>1</v>
      </c>
      <c r="AR10" s="193">
        <v>2</v>
      </c>
      <c r="AS10" s="193">
        <v>2</v>
      </c>
      <c r="AT10" s="193">
        <v>1</v>
      </c>
      <c r="AU10" s="193">
        <v>1</v>
      </c>
      <c r="AV10" s="193">
        <v>1</v>
      </c>
      <c r="AW10" s="193">
        <v>1</v>
      </c>
      <c r="AX10" s="193">
        <v>2</v>
      </c>
      <c r="AY10" s="193">
        <v>1</v>
      </c>
      <c r="AZ10" s="193">
        <v>0.5</v>
      </c>
      <c r="BA10" s="198">
        <v>1</v>
      </c>
      <c r="BC10" s="1">
        <v>7</v>
      </c>
      <c r="BD10" s="1" t="s">
        <v>1598</v>
      </c>
      <c r="BE10" s="1" t="s">
        <v>1599</v>
      </c>
      <c r="BF10" s="1" t="s">
        <v>1462</v>
      </c>
      <c r="BG10" s="1">
        <v>75</v>
      </c>
      <c r="BH10" s="1" t="s">
        <v>1473</v>
      </c>
      <c r="BI10" s="1" t="s">
        <v>1676</v>
      </c>
      <c r="BM10" s="365" t="s">
        <v>1469</v>
      </c>
      <c r="BN10" s="338" t="s">
        <v>2081</v>
      </c>
      <c r="BO10" s="311" t="s">
        <v>2082</v>
      </c>
      <c r="BP10" s="311" t="s">
        <v>2083</v>
      </c>
      <c r="BQ10" s="311" t="s">
        <v>2080</v>
      </c>
      <c r="BR10" s="339" t="s">
        <v>1562</v>
      </c>
      <c r="CD10" s="285"/>
    </row>
    <row r="11" spans="2:82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>
        <v>59</v>
      </c>
      <c r="J11">
        <v>63</v>
      </c>
      <c r="K11">
        <v>80</v>
      </c>
      <c r="L11">
        <v>58</v>
      </c>
      <c r="M11">
        <v>65</v>
      </c>
      <c r="N11" s="1">
        <v>36</v>
      </c>
      <c r="O11" s="1">
        <v>9</v>
      </c>
      <c r="P11" s="1" t="s">
        <v>756</v>
      </c>
      <c r="Q11" s="1"/>
      <c r="R11" s="1"/>
      <c r="S11" s="1" t="s">
        <v>1407</v>
      </c>
      <c r="T11" s="1" t="s">
        <v>1359</v>
      </c>
      <c r="U11" s="1" t="s">
        <v>1398</v>
      </c>
      <c r="V11" s="1">
        <v>18</v>
      </c>
      <c r="W11" s="1">
        <v>24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268"/>
      <c r="AI11" s="189" t="s">
        <v>796</v>
      </c>
      <c r="AJ11" s="197">
        <v>2</v>
      </c>
      <c r="AK11" s="193">
        <v>1</v>
      </c>
      <c r="AL11" s="193">
        <v>1</v>
      </c>
      <c r="AM11" s="193">
        <v>1</v>
      </c>
      <c r="AN11" s="193">
        <v>1</v>
      </c>
      <c r="AO11" s="193">
        <v>2</v>
      </c>
      <c r="AP11" s="193">
        <v>1</v>
      </c>
      <c r="AQ11" s="193">
        <v>0.5</v>
      </c>
      <c r="AR11" s="193">
        <v>1</v>
      </c>
      <c r="AS11" s="193">
        <v>0.5</v>
      </c>
      <c r="AT11" s="193">
        <v>0.5</v>
      </c>
      <c r="AU11" s="193">
        <v>0.5</v>
      </c>
      <c r="AV11" s="193">
        <v>2</v>
      </c>
      <c r="AW11" s="193">
        <v>0</v>
      </c>
      <c r="AX11" s="193">
        <v>1</v>
      </c>
      <c r="AY11" s="193">
        <v>2</v>
      </c>
      <c r="AZ11" s="193">
        <v>2</v>
      </c>
      <c r="BA11" s="198">
        <v>0.5</v>
      </c>
      <c r="BC11" s="1">
        <v>8</v>
      </c>
      <c r="BD11" s="1" t="s">
        <v>1600</v>
      </c>
      <c r="BE11" s="1" t="s">
        <v>1601</v>
      </c>
      <c r="BF11" s="1" t="s">
        <v>1462</v>
      </c>
      <c r="BG11" s="1">
        <v>75</v>
      </c>
      <c r="BH11" s="1" t="s">
        <v>1477</v>
      </c>
      <c r="BI11" s="1" t="s">
        <v>1673</v>
      </c>
      <c r="BM11" s="366" t="s">
        <v>744</v>
      </c>
      <c r="BN11" s="340" t="s">
        <v>1513</v>
      </c>
      <c r="BO11" s="313" t="s">
        <v>2086</v>
      </c>
      <c r="BP11" s="313" t="s">
        <v>2087</v>
      </c>
      <c r="BQ11" s="313" t="s">
        <v>2084</v>
      </c>
      <c r="BR11" s="341" t="s">
        <v>2085</v>
      </c>
      <c r="CD11" s="285"/>
    </row>
    <row r="12" spans="2:82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>
        <v>79</v>
      </c>
      <c r="J12">
        <v>83</v>
      </c>
      <c r="K12">
        <v>100</v>
      </c>
      <c r="L12">
        <v>78</v>
      </c>
      <c r="M12">
        <v>85</v>
      </c>
      <c r="N12" s="1" t="s">
        <v>82</v>
      </c>
      <c r="O12" s="1" t="s">
        <v>82</v>
      </c>
      <c r="P12" s="1" t="s">
        <v>82</v>
      </c>
      <c r="Q12" s="1"/>
      <c r="R12" s="1"/>
      <c r="S12" s="1" t="s">
        <v>1408</v>
      </c>
      <c r="T12" s="1" t="s">
        <v>1360</v>
      </c>
      <c r="U12" s="1" t="s">
        <v>1399</v>
      </c>
      <c r="V12" s="1">
        <v>13</v>
      </c>
      <c r="W12" s="1">
        <v>17</v>
      </c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268"/>
      <c r="AI12" s="189" t="s">
        <v>744</v>
      </c>
      <c r="AJ12" s="197">
        <v>1</v>
      </c>
      <c r="AK12" s="193">
        <v>1</v>
      </c>
      <c r="AL12" s="193">
        <v>1</v>
      </c>
      <c r="AM12" s="193">
        <v>1</v>
      </c>
      <c r="AN12" s="193">
        <v>2</v>
      </c>
      <c r="AO12" s="193">
        <v>1</v>
      </c>
      <c r="AP12" s="193">
        <v>1</v>
      </c>
      <c r="AQ12" s="193">
        <v>0.5</v>
      </c>
      <c r="AR12" s="193">
        <v>0.5</v>
      </c>
      <c r="AS12" s="193">
        <v>1</v>
      </c>
      <c r="AT12" s="193">
        <v>1</v>
      </c>
      <c r="AU12" s="193">
        <v>1</v>
      </c>
      <c r="AV12" s="193">
        <v>0.5</v>
      </c>
      <c r="AW12" s="193">
        <v>0.5</v>
      </c>
      <c r="AX12" s="193">
        <v>1</v>
      </c>
      <c r="AY12" s="193">
        <v>1</v>
      </c>
      <c r="AZ12" s="193">
        <v>0</v>
      </c>
      <c r="BA12" s="198">
        <v>2</v>
      </c>
      <c r="BC12" s="1">
        <v>9</v>
      </c>
      <c r="BD12" s="1" t="s">
        <v>1596</v>
      </c>
      <c r="BE12" s="1" t="s">
        <v>1597</v>
      </c>
      <c r="BF12" s="1" t="s">
        <v>1462</v>
      </c>
      <c r="BG12" s="1">
        <v>75</v>
      </c>
      <c r="BH12" s="1" t="s">
        <v>1487</v>
      </c>
      <c r="BI12" s="1" t="s">
        <v>1681</v>
      </c>
      <c r="BM12" s="367" t="s">
        <v>1475</v>
      </c>
      <c r="BN12" s="342" t="s">
        <v>1511</v>
      </c>
      <c r="BO12" s="317" t="s">
        <v>2090</v>
      </c>
      <c r="BP12" s="317" t="s">
        <v>2089</v>
      </c>
      <c r="BQ12" s="317" t="s">
        <v>2091</v>
      </c>
      <c r="BR12" s="343" t="s">
        <v>2092</v>
      </c>
      <c r="CD12" s="285"/>
    </row>
    <row r="13" spans="2:82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>
        <v>45</v>
      </c>
      <c r="J13">
        <v>30</v>
      </c>
      <c r="K13">
        <v>35</v>
      </c>
      <c r="L13">
        <v>45</v>
      </c>
      <c r="M13">
        <v>20</v>
      </c>
      <c r="N13" s="1">
        <v>7</v>
      </c>
      <c r="O13" s="1">
        <v>11</v>
      </c>
      <c r="P13" s="1" t="s">
        <v>759</v>
      </c>
      <c r="Q13" s="1"/>
      <c r="R13" s="1"/>
      <c r="S13" s="1" t="s">
        <v>1361</v>
      </c>
      <c r="T13" s="1" t="s">
        <v>1362</v>
      </c>
      <c r="U13" s="1" t="s">
        <v>1409</v>
      </c>
      <c r="V13" s="1">
        <v>14</v>
      </c>
      <c r="W13" s="1">
        <v>17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268"/>
      <c r="AI13" s="189" t="s">
        <v>774</v>
      </c>
      <c r="AJ13" s="197">
        <v>1</v>
      </c>
      <c r="AK13" s="193">
        <v>2</v>
      </c>
      <c r="AL13" s="193">
        <v>1</v>
      </c>
      <c r="AM13" s="193">
        <v>2</v>
      </c>
      <c r="AN13" s="193">
        <v>0.5</v>
      </c>
      <c r="AO13" s="193">
        <v>1</v>
      </c>
      <c r="AP13" s="193">
        <v>1</v>
      </c>
      <c r="AQ13" s="193">
        <v>2</v>
      </c>
      <c r="AR13" s="193">
        <v>1</v>
      </c>
      <c r="AS13" s="193">
        <v>0</v>
      </c>
      <c r="AT13" s="193">
        <v>1</v>
      </c>
      <c r="AU13" s="193">
        <v>0.5</v>
      </c>
      <c r="AV13" s="193">
        <v>2</v>
      </c>
      <c r="AW13" s="193">
        <v>1</v>
      </c>
      <c r="AX13" s="193">
        <v>1</v>
      </c>
      <c r="AY13" s="193">
        <v>1</v>
      </c>
      <c r="AZ13" s="193">
        <v>2</v>
      </c>
      <c r="BA13" s="198">
        <v>1</v>
      </c>
      <c r="BC13" s="1">
        <v>10</v>
      </c>
      <c r="BD13" s="1" t="s">
        <v>1550</v>
      </c>
      <c r="BE13" s="1" t="s">
        <v>1551</v>
      </c>
      <c r="BF13" s="1" t="s">
        <v>1462</v>
      </c>
      <c r="BG13" s="1">
        <v>40</v>
      </c>
      <c r="BH13" s="1" t="s">
        <v>765</v>
      </c>
      <c r="BI13" s="1" t="s">
        <v>1672</v>
      </c>
      <c r="BM13" s="368" t="s">
        <v>1461</v>
      </c>
      <c r="BN13" s="344" t="s">
        <v>2094</v>
      </c>
      <c r="BO13" s="321" t="s">
        <v>2096</v>
      </c>
      <c r="BP13" s="321" t="s">
        <v>1578</v>
      </c>
      <c r="BQ13" s="321" t="s">
        <v>2093</v>
      </c>
      <c r="BR13" s="345" t="s">
        <v>2095</v>
      </c>
      <c r="CD13" s="285"/>
    </row>
    <row r="14" spans="2:82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>
        <v>50</v>
      </c>
      <c r="J14">
        <v>20</v>
      </c>
      <c r="K14">
        <v>55</v>
      </c>
      <c r="L14">
        <v>30</v>
      </c>
      <c r="M14">
        <v>25</v>
      </c>
      <c r="N14" s="1">
        <v>10</v>
      </c>
      <c r="O14" s="1">
        <v>12</v>
      </c>
      <c r="P14" s="1" t="s">
        <v>760</v>
      </c>
      <c r="Q14" s="1"/>
      <c r="R14" s="1"/>
      <c r="S14" s="1" t="s">
        <v>1363</v>
      </c>
      <c r="T14" s="1" t="s">
        <v>1364</v>
      </c>
      <c r="U14" s="1" t="s">
        <v>1410</v>
      </c>
      <c r="V14" s="1">
        <v>14</v>
      </c>
      <c r="W14" s="1">
        <v>17</v>
      </c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268"/>
      <c r="AI14" s="189" t="s">
        <v>751</v>
      </c>
      <c r="AJ14" s="197">
        <v>1</v>
      </c>
      <c r="AK14" s="193">
        <v>1</v>
      </c>
      <c r="AL14" s="193">
        <v>1</v>
      </c>
      <c r="AM14" s="193">
        <v>0.5</v>
      </c>
      <c r="AN14" s="193">
        <v>2</v>
      </c>
      <c r="AO14" s="193">
        <v>1</v>
      </c>
      <c r="AP14" s="193">
        <v>2</v>
      </c>
      <c r="AQ14" s="193">
        <v>1</v>
      </c>
      <c r="AR14" s="193">
        <v>1</v>
      </c>
      <c r="AS14" s="193">
        <v>1</v>
      </c>
      <c r="AT14" s="193">
        <v>1</v>
      </c>
      <c r="AU14" s="193">
        <v>2</v>
      </c>
      <c r="AV14" s="193">
        <v>0.5</v>
      </c>
      <c r="AW14" s="193">
        <v>1</v>
      </c>
      <c r="AX14" s="193">
        <v>1</v>
      </c>
      <c r="AY14" s="193">
        <v>1</v>
      </c>
      <c r="AZ14" s="193">
        <v>0.5</v>
      </c>
      <c r="BA14" s="198">
        <v>1</v>
      </c>
      <c r="BC14" s="1">
        <v>11</v>
      </c>
      <c r="BD14" s="1" t="s">
        <v>1542</v>
      </c>
      <c r="BE14" s="1" t="s">
        <v>1543</v>
      </c>
      <c r="BF14" s="1" t="s">
        <v>1462</v>
      </c>
      <c r="BG14" s="1">
        <v>55</v>
      </c>
      <c r="BH14" s="1" t="s">
        <v>765</v>
      </c>
      <c r="BI14" s="1" t="s">
        <v>1672</v>
      </c>
      <c r="BM14" s="369" t="s">
        <v>1472</v>
      </c>
      <c r="BN14" s="346" t="s">
        <v>1592</v>
      </c>
      <c r="BO14" s="309" t="s">
        <v>1488</v>
      </c>
      <c r="BP14" s="309" t="s">
        <v>2097</v>
      </c>
      <c r="BQ14" s="309" t="s">
        <v>1614</v>
      </c>
      <c r="BR14" s="347" t="s">
        <v>1553</v>
      </c>
      <c r="CD14" s="285"/>
    </row>
    <row r="15" spans="2:82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>
        <v>60</v>
      </c>
      <c r="J15">
        <v>45</v>
      </c>
      <c r="K15">
        <v>50</v>
      </c>
      <c r="L15">
        <v>70</v>
      </c>
      <c r="M15">
        <v>80</v>
      </c>
      <c r="N15" s="1" t="s">
        <v>82</v>
      </c>
      <c r="O15" s="1" t="s">
        <v>82</v>
      </c>
      <c r="P15" s="1" t="s">
        <v>82</v>
      </c>
      <c r="Q15" s="1"/>
      <c r="R15" s="1"/>
      <c r="S15" s="1" t="s">
        <v>1365</v>
      </c>
      <c r="T15" s="1" t="s">
        <v>1366</v>
      </c>
      <c r="U15" s="1" t="s">
        <v>1411</v>
      </c>
      <c r="V15" s="1">
        <v>22</v>
      </c>
      <c r="W15" s="1">
        <v>30</v>
      </c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268"/>
      <c r="AI15" s="189" t="s">
        <v>803</v>
      </c>
      <c r="AJ15" s="197">
        <v>1</v>
      </c>
      <c r="AK15" s="193">
        <v>1</v>
      </c>
      <c r="AL15" s="193">
        <v>1</v>
      </c>
      <c r="AM15" s="193">
        <v>1</v>
      </c>
      <c r="AN15" s="193">
        <v>1</v>
      </c>
      <c r="AO15" s="193">
        <v>1</v>
      </c>
      <c r="AP15" s="193">
        <v>2</v>
      </c>
      <c r="AQ15" s="193">
        <v>2</v>
      </c>
      <c r="AR15" s="193">
        <v>1</v>
      </c>
      <c r="AS15" s="193">
        <v>1</v>
      </c>
      <c r="AT15" s="193">
        <v>0.5</v>
      </c>
      <c r="AU15" s="193">
        <v>1</v>
      </c>
      <c r="AV15" s="193">
        <v>1</v>
      </c>
      <c r="AW15" s="193">
        <v>1</v>
      </c>
      <c r="AX15" s="193">
        <v>1</v>
      </c>
      <c r="AY15" s="193">
        <v>0</v>
      </c>
      <c r="AZ15" s="193">
        <v>0.5</v>
      </c>
      <c r="BA15" s="198">
        <v>1</v>
      </c>
      <c r="BC15" s="1">
        <v>12</v>
      </c>
      <c r="BD15" s="1" t="s">
        <v>1552</v>
      </c>
      <c r="BE15" s="1" t="s">
        <v>1552</v>
      </c>
      <c r="BF15" s="1" t="s">
        <v>1462</v>
      </c>
      <c r="BG15" s="1">
        <v>80</v>
      </c>
      <c r="BH15" s="1" t="s">
        <v>765</v>
      </c>
      <c r="BI15" s="1" t="s">
        <v>1672</v>
      </c>
      <c r="BM15" s="370" t="s">
        <v>1471</v>
      </c>
      <c r="BN15" s="348" t="s">
        <v>1494</v>
      </c>
      <c r="BO15" s="315" t="s">
        <v>1606</v>
      </c>
      <c r="BP15" s="315" t="s">
        <v>2098</v>
      </c>
      <c r="BQ15" s="315" t="s">
        <v>1602</v>
      </c>
      <c r="BR15" s="349" t="s">
        <v>1521</v>
      </c>
      <c r="CD15" s="285"/>
    </row>
    <row r="16" spans="2:82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>
        <v>40</v>
      </c>
      <c r="J16">
        <v>35</v>
      </c>
      <c r="K16">
        <v>30</v>
      </c>
      <c r="L16">
        <v>50</v>
      </c>
      <c r="M16">
        <v>20</v>
      </c>
      <c r="N16" s="1">
        <v>7</v>
      </c>
      <c r="O16" s="1">
        <v>14</v>
      </c>
      <c r="P16" s="1" t="s">
        <v>762</v>
      </c>
      <c r="Q16" s="1"/>
      <c r="R16" s="1"/>
      <c r="S16" s="1" t="s">
        <v>1367</v>
      </c>
      <c r="T16" s="1" t="s">
        <v>1368</v>
      </c>
      <c r="U16" s="1" t="s">
        <v>1412</v>
      </c>
      <c r="V16" s="1">
        <v>25</v>
      </c>
      <c r="W16" s="1">
        <v>30</v>
      </c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268"/>
      <c r="AI16" s="189" t="s">
        <v>758</v>
      </c>
      <c r="AJ16" s="197">
        <v>1</v>
      </c>
      <c r="AK16" s="193">
        <v>0.5</v>
      </c>
      <c r="AL16" s="193">
        <v>1</v>
      </c>
      <c r="AM16" s="193">
        <v>1</v>
      </c>
      <c r="AN16" s="193">
        <v>2</v>
      </c>
      <c r="AO16" s="193">
        <v>1</v>
      </c>
      <c r="AP16" s="193">
        <v>0.5</v>
      </c>
      <c r="AQ16" s="193">
        <v>0.5</v>
      </c>
      <c r="AR16" s="193">
        <v>1</v>
      </c>
      <c r="AS16" s="193">
        <v>0.5</v>
      </c>
      <c r="AT16" s="193">
        <v>2</v>
      </c>
      <c r="AU16" s="193">
        <v>1</v>
      </c>
      <c r="AV16" s="193">
        <v>1</v>
      </c>
      <c r="AW16" s="193">
        <v>0.5</v>
      </c>
      <c r="AX16" s="193">
        <v>1</v>
      </c>
      <c r="AY16" s="193">
        <v>2</v>
      </c>
      <c r="AZ16" s="193">
        <v>0.5</v>
      </c>
      <c r="BA16" s="198">
        <v>0.5</v>
      </c>
      <c r="BC16" s="1">
        <v>13</v>
      </c>
      <c r="BD16" s="1" t="s">
        <v>1644</v>
      </c>
      <c r="BE16" s="1" t="s">
        <v>1690</v>
      </c>
      <c r="BF16" s="1" t="s">
        <v>1466</v>
      </c>
      <c r="BG16" s="1">
        <v>80</v>
      </c>
      <c r="BH16" s="1" t="s">
        <v>1470</v>
      </c>
      <c r="BI16" s="1" t="s">
        <v>1671</v>
      </c>
      <c r="BM16" s="371" t="s">
        <v>752</v>
      </c>
      <c r="BN16" s="350" t="s">
        <v>2101</v>
      </c>
      <c r="BO16" s="320" t="s">
        <v>2103</v>
      </c>
      <c r="BP16" s="320" t="s">
        <v>2102</v>
      </c>
      <c r="BQ16" s="320" t="s">
        <v>2100</v>
      </c>
      <c r="BR16" s="351" t="s">
        <v>2099</v>
      </c>
      <c r="CD16" s="285"/>
    </row>
    <row r="17" spans="2:82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>
        <v>45</v>
      </c>
      <c r="J17">
        <v>25</v>
      </c>
      <c r="K17">
        <v>50</v>
      </c>
      <c r="L17">
        <v>35</v>
      </c>
      <c r="M17">
        <v>25</v>
      </c>
      <c r="N17" s="1">
        <v>10</v>
      </c>
      <c r="O17" s="1">
        <v>15</v>
      </c>
      <c r="P17" s="1" t="s">
        <v>763</v>
      </c>
      <c r="Q17" s="1"/>
      <c r="R17" s="1"/>
      <c r="S17" s="1" t="s">
        <v>1369</v>
      </c>
      <c r="T17" s="1" t="s">
        <v>1370</v>
      </c>
      <c r="U17" s="1" t="s">
        <v>1413</v>
      </c>
      <c r="V17" s="1">
        <v>26</v>
      </c>
      <c r="W17" s="1">
        <v>31</v>
      </c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268"/>
      <c r="AI17" s="189" t="s">
        <v>811</v>
      </c>
      <c r="AJ17" s="197">
        <v>1</v>
      </c>
      <c r="AK17" s="193">
        <v>2</v>
      </c>
      <c r="AL17" s="193">
        <v>1</v>
      </c>
      <c r="AM17" s="193">
        <v>1</v>
      </c>
      <c r="AN17" s="193">
        <v>1</v>
      </c>
      <c r="AO17" s="193">
        <v>2</v>
      </c>
      <c r="AP17" s="193">
        <v>0.5</v>
      </c>
      <c r="AQ17" s="193">
        <v>1</v>
      </c>
      <c r="AR17" s="193">
        <v>0.5</v>
      </c>
      <c r="AS17" s="193">
        <v>2</v>
      </c>
      <c r="AT17" s="193">
        <v>1</v>
      </c>
      <c r="AU17" s="193">
        <v>2</v>
      </c>
      <c r="AV17" s="193">
        <v>1</v>
      </c>
      <c r="AW17" s="193">
        <v>1</v>
      </c>
      <c r="AX17" s="193">
        <v>1</v>
      </c>
      <c r="AY17" s="193">
        <v>1</v>
      </c>
      <c r="AZ17" s="193">
        <v>0.5</v>
      </c>
      <c r="BA17" s="198">
        <v>1</v>
      </c>
      <c r="BC17" s="1">
        <v>15</v>
      </c>
      <c r="BD17" s="1" t="s">
        <v>1499</v>
      </c>
      <c r="BE17" s="1" t="s">
        <v>1500</v>
      </c>
      <c r="BF17" s="1" t="s">
        <v>1462</v>
      </c>
      <c r="BG17" s="1">
        <v>50</v>
      </c>
      <c r="BH17" s="1" t="s">
        <v>765</v>
      </c>
      <c r="BI17" s="1" t="s">
        <v>1672</v>
      </c>
      <c r="BM17" s="372" t="s">
        <v>1474</v>
      </c>
      <c r="BN17" s="352" t="s">
        <v>2105</v>
      </c>
      <c r="BO17" s="318" t="s">
        <v>1557</v>
      </c>
      <c r="BP17" s="318" t="s">
        <v>2106</v>
      </c>
      <c r="BQ17" s="318" t="s">
        <v>1525</v>
      </c>
      <c r="BR17" s="353" t="s">
        <v>2104</v>
      </c>
      <c r="CD17" s="285"/>
    </row>
    <row r="18" spans="2:82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>
        <v>65</v>
      </c>
      <c r="J18">
        <v>80</v>
      </c>
      <c r="K18">
        <v>40</v>
      </c>
      <c r="L18">
        <v>75</v>
      </c>
      <c r="M18">
        <v>45</v>
      </c>
      <c r="N18" s="1" t="s">
        <v>82</v>
      </c>
      <c r="O18" s="1" t="s">
        <v>82</v>
      </c>
      <c r="P18" s="1" t="s">
        <v>82</v>
      </c>
      <c r="Q18" s="1"/>
      <c r="R18" s="1"/>
      <c r="S18" s="1" t="s">
        <v>1371</v>
      </c>
      <c r="T18" s="1" t="s">
        <v>1372</v>
      </c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268"/>
      <c r="AI18" s="189" t="s">
        <v>829</v>
      </c>
      <c r="AJ18" s="197">
        <v>0</v>
      </c>
      <c r="AK18" s="193">
        <v>1</v>
      </c>
      <c r="AL18" s="193">
        <v>1</v>
      </c>
      <c r="AM18" s="193">
        <v>1</v>
      </c>
      <c r="AN18" s="193">
        <v>1</v>
      </c>
      <c r="AO18" s="193">
        <v>1</v>
      </c>
      <c r="AP18" s="193">
        <v>1</v>
      </c>
      <c r="AQ18" s="193">
        <v>1</v>
      </c>
      <c r="AR18" s="193">
        <v>1</v>
      </c>
      <c r="AS18" s="193">
        <v>1</v>
      </c>
      <c r="AT18" s="193">
        <v>2</v>
      </c>
      <c r="AU18" s="193">
        <v>1</v>
      </c>
      <c r="AV18" s="193">
        <v>1</v>
      </c>
      <c r="AW18" s="193">
        <v>2</v>
      </c>
      <c r="AX18" s="193">
        <v>1</v>
      </c>
      <c r="AY18" s="193">
        <v>0.5</v>
      </c>
      <c r="AZ18" s="193">
        <v>1</v>
      </c>
      <c r="BA18" s="198">
        <v>1</v>
      </c>
      <c r="BC18" s="1">
        <v>16</v>
      </c>
      <c r="BD18" s="1" t="s">
        <v>1617</v>
      </c>
      <c r="BE18" s="1" t="s">
        <v>1618</v>
      </c>
      <c r="BF18" s="1" t="s">
        <v>1466</v>
      </c>
      <c r="BG18" s="1">
        <v>40</v>
      </c>
      <c r="BH18" s="1" t="s">
        <v>1470</v>
      </c>
      <c r="BI18" s="1" t="s">
        <v>1671</v>
      </c>
      <c r="BM18" s="373" t="s">
        <v>1465</v>
      </c>
      <c r="BN18" s="354" t="s">
        <v>2107</v>
      </c>
      <c r="BO18" s="314" t="s">
        <v>2109</v>
      </c>
      <c r="BP18" s="314" t="s">
        <v>2108</v>
      </c>
      <c r="BQ18" s="314" t="s">
        <v>1624</v>
      </c>
      <c r="BR18" s="355" t="s">
        <v>1610</v>
      </c>
      <c r="CD18" s="285"/>
    </row>
    <row r="19" spans="2:82" ht="15" thickBot="1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>
        <v>40</v>
      </c>
      <c r="J19">
        <v>45</v>
      </c>
      <c r="K19">
        <v>40</v>
      </c>
      <c r="L19">
        <v>56</v>
      </c>
      <c r="M19">
        <v>35</v>
      </c>
      <c r="N19" s="1">
        <v>18</v>
      </c>
      <c r="O19" s="1">
        <v>17</v>
      </c>
      <c r="P19" s="1" t="s">
        <v>766</v>
      </c>
      <c r="Q19" s="1"/>
      <c r="R19" s="1"/>
      <c r="S19" s="1" t="s">
        <v>1373</v>
      </c>
      <c r="T19" s="1" t="s">
        <v>1374</v>
      </c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268"/>
      <c r="AI19" s="189" t="s">
        <v>752</v>
      </c>
      <c r="AJ19" s="197">
        <v>1</v>
      </c>
      <c r="AK19" s="193">
        <v>1</v>
      </c>
      <c r="AL19" s="193">
        <v>1</v>
      </c>
      <c r="AM19" s="193">
        <v>1</v>
      </c>
      <c r="AN19" s="193">
        <v>1</v>
      </c>
      <c r="AO19" s="193">
        <v>1</v>
      </c>
      <c r="AP19" s="193">
        <v>1</v>
      </c>
      <c r="AQ19" s="193">
        <v>1</v>
      </c>
      <c r="AR19" s="193">
        <v>1</v>
      </c>
      <c r="AS19" s="193">
        <v>1</v>
      </c>
      <c r="AT19" s="193">
        <v>1</v>
      </c>
      <c r="AU19" s="193">
        <v>1</v>
      </c>
      <c r="AV19" s="193">
        <v>1</v>
      </c>
      <c r="AW19" s="193">
        <v>1</v>
      </c>
      <c r="AX19" s="193">
        <v>2</v>
      </c>
      <c r="AY19" s="193">
        <v>1</v>
      </c>
      <c r="AZ19" s="193">
        <v>0.5</v>
      </c>
      <c r="BA19" s="198">
        <v>0</v>
      </c>
      <c r="BC19" s="1">
        <v>17</v>
      </c>
      <c r="BD19" s="1" t="s">
        <v>1503</v>
      </c>
      <c r="BE19" s="1" t="s">
        <v>1504</v>
      </c>
      <c r="BF19" s="1" t="s">
        <v>1462</v>
      </c>
      <c r="BG19" s="1">
        <v>60</v>
      </c>
      <c r="BH19" s="1" t="s">
        <v>1470</v>
      </c>
      <c r="BI19" s="1" t="s">
        <v>1671</v>
      </c>
      <c r="BM19" s="374" t="s">
        <v>1480</v>
      </c>
      <c r="BN19" s="356" t="s">
        <v>2113</v>
      </c>
      <c r="BO19" s="357" t="s">
        <v>1580</v>
      </c>
      <c r="BP19" s="357" t="s">
        <v>2112</v>
      </c>
      <c r="BQ19" s="357" t="s">
        <v>2110</v>
      </c>
      <c r="BR19" s="358" t="s">
        <v>2111</v>
      </c>
      <c r="CD19" s="285"/>
    </row>
    <row r="20" spans="2:82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>
        <v>63</v>
      </c>
      <c r="J20">
        <v>60</v>
      </c>
      <c r="K20">
        <v>55</v>
      </c>
      <c r="L20">
        <v>71</v>
      </c>
      <c r="M20">
        <v>50</v>
      </c>
      <c r="N20" s="1">
        <v>36</v>
      </c>
      <c r="O20" s="1">
        <v>18</v>
      </c>
      <c r="P20" s="1" t="s">
        <v>767</v>
      </c>
      <c r="Q20" s="1"/>
      <c r="R20" s="1"/>
      <c r="S20" s="1" t="s">
        <v>1375</v>
      </c>
      <c r="T20" s="1" t="s">
        <v>1376</v>
      </c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268"/>
      <c r="AI20" s="189" t="s">
        <v>864</v>
      </c>
      <c r="AJ20" s="197">
        <v>1</v>
      </c>
      <c r="AK20" s="193">
        <v>1</v>
      </c>
      <c r="AL20" s="193">
        <v>1</v>
      </c>
      <c r="AM20" s="193">
        <v>1</v>
      </c>
      <c r="AN20" s="193">
        <v>1</v>
      </c>
      <c r="AO20" s="193">
        <v>1</v>
      </c>
      <c r="AP20" s="193">
        <v>0.5</v>
      </c>
      <c r="AQ20" s="193">
        <v>1</v>
      </c>
      <c r="AR20" s="193">
        <v>1</v>
      </c>
      <c r="AS20" s="193">
        <v>1</v>
      </c>
      <c r="AT20" s="193">
        <v>2</v>
      </c>
      <c r="AU20" s="193">
        <v>1</v>
      </c>
      <c r="AV20" s="193">
        <v>1</v>
      </c>
      <c r="AW20" s="193">
        <v>2</v>
      </c>
      <c r="AX20" s="193">
        <v>1</v>
      </c>
      <c r="AY20" s="193">
        <v>0.5</v>
      </c>
      <c r="AZ20" s="193">
        <v>1</v>
      </c>
      <c r="BA20" s="198">
        <v>0.5</v>
      </c>
      <c r="BC20" s="1">
        <v>19</v>
      </c>
      <c r="BD20" s="1" t="s">
        <v>1470</v>
      </c>
      <c r="BE20" s="1" t="s">
        <v>1636</v>
      </c>
      <c r="BF20" s="1" t="s">
        <v>1462</v>
      </c>
      <c r="BG20" s="1">
        <v>90</v>
      </c>
      <c r="BH20" s="1" t="s">
        <v>1470</v>
      </c>
      <c r="BI20" s="1" t="s">
        <v>1671</v>
      </c>
      <c r="CD20" s="285"/>
    </row>
    <row r="21" spans="2:82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>
        <v>83</v>
      </c>
      <c r="J21">
        <v>80</v>
      </c>
      <c r="K21">
        <v>75</v>
      </c>
      <c r="L21">
        <v>91</v>
      </c>
      <c r="M21">
        <v>70</v>
      </c>
      <c r="N21" s="1" t="s">
        <v>82</v>
      </c>
      <c r="O21" s="1" t="s">
        <v>82</v>
      </c>
      <c r="P21" s="1" t="s">
        <v>82</v>
      </c>
      <c r="Q21" s="1"/>
      <c r="R21" s="1"/>
      <c r="S21" s="1" t="s">
        <v>1377</v>
      </c>
      <c r="T21" s="1" t="s">
        <v>1378</v>
      </c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268"/>
      <c r="AI21" s="189" t="s">
        <v>818</v>
      </c>
      <c r="AJ21" s="197">
        <v>1</v>
      </c>
      <c r="AK21" s="193">
        <v>0.5</v>
      </c>
      <c r="AL21" s="193">
        <v>0.5</v>
      </c>
      <c r="AM21" s="193">
        <v>0.5</v>
      </c>
      <c r="AN21" s="193">
        <v>1</v>
      </c>
      <c r="AO21" s="193">
        <v>2</v>
      </c>
      <c r="AP21" s="193">
        <v>1</v>
      </c>
      <c r="AQ21" s="193">
        <v>1</v>
      </c>
      <c r="AR21" s="193">
        <v>1</v>
      </c>
      <c r="AS21" s="193">
        <v>1</v>
      </c>
      <c r="AT21" s="193">
        <v>1</v>
      </c>
      <c r="AU21" s="193">
        <v>1</v>
      </c>
      <c r="AV21" s="193">
        <v>2</v>
      </c>
      <c r="AW21" s="193">
        <v>1</v>
      </c>
      <c r="AX21" s="193">
        <v>1</v>
      </c>
      <c r="AY21" s="193">
        <v>1</v>
      </c>
      <c r="AZ21" s="193">
        <v>0.5</v>
      </c>
      <c r="BA21" s="198">
        <v>2</v>
      </c>
      <c r="BC21" s="1">
        <v>20</v>
      </c>
      <c r="BD21" s="1" t="s">
        <v>1533</v>
      </c>
      <c r="BE21" s="1" t="s">
        <v>1534</v>
      </c>
      <c r="BF21" s="1" t="s">
        <v>1462</v>
      </c>
      <c r="BG21" s="1">
        <v>15</v>
      </c>
      <c r="BH21" s="1" t="s">
        <v>765</v>
      </c>
      <c r="BI21" s="1" t="s">
        <v>1672</v>
      </c>
      <c r="CD21" s="285"/>
    </row>
    <row r="22" spans="2:82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>
        <v>30</v>
      </c>
      <c r="J22">
        <v>56</v>
      </c>
      <c r="K22">
        <v>35</v>
      </c>
      <c r="L22">
        <v>72</v>
      </c>
      <c r="M22">
        <v>25</v>
      </c>
      <c r="N22" s="1">
        <v>20</v>
      </c>
      <c r="O22" s="1">
        <v>20</v>
      </c>
      <c r="P22" s="1" t="s">
        <v>768</v>
      </c>
      <c r="Q22" s="1"/>
      <c r="R22" s="1"/>
      <c r="S22" s="1" t="s">
        <v>1379</v>
      </c>
      <c r="T22" s="1" t="s">
        <v>1380</v>
      </c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269"/>
      <c r="AI22" s="190" t="s">
        <v>777</v>
      </c>
      <c r="AJ22" s="199">
        <v>1</v>
      </c>
      <c r="AK22" s="200">
        <v>0.5</v>
      </c>
      <c r="AL22" s="200">
        <v>1</v>
      </c>
      <c r="AM22" s="200">
        <v>1</v>
      </c>
      <c r="AN22" s="200">
        <v>1</v>
      </c>
      <c r="AO22" s="200">
        <v>1</v>
      </c>
      <c r="AP22" s="200">
        <v>2</v>
      </c>
      <c r="AQ22" s="200">
        <v>0.5</v>
      </c>
      <c r="AR22" s="200">
        <v>1</v>
      </c>
      <c r="AS22" s="200">
        <v>1</v>
      </c>
      <c r="AT22" s="200">
        <v>1</v>
      </c>
      <c r="AU22" s="200">
        <v>1</v>
      </c>
      <c r="AV22" s="200">
        <v>1</v>
      </c>
      <c r="AW22" s="200">
        <v>1</v>
      </c>
      <c r="AX22" s="200">
        <v>2</v>
      </c>
      <c r="AY22" s="200">
        <v>2</v>
      </c>
      <c r="AZ22" s="200">
        <v>0.5</v>
      </c>
      <c r="BA22" s="201">
        <v>1</v>
      </c>
      <c r="BC22" s="1">
        <v>21</v>
      </c>
      <c r="BD22" s="1" t="s">
        <v>1612</v>
      </c>
      <c r="BE22" s="1" t="s">
        <v>1613</v>
      </c>
      <c r="BF22" s="1" t="s">
        <v>1462</v>
      </c>
      <c r="BG22" s="1">
        <v>80</v>
      </c>
      <c r="BH22" s="1" t="s">
        <v>765</v>
      </c>
      <c r="BI22" s="1" t="s">
        <v>1672</v>
      </c>
      <c r="CD22" s="285"/>
    </row>
    <row r="23" spans="2:82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>
        <v>55</v>
      </c>
      <c r="J23">
        <v>81</v>
      </c>
      <c r="K23">
        <v>60</v>
      </c>
      <c r="L23">
        <v>97</v>
      </c>
      <c r="M23">
        <v>50</v>
      </c>
      <c r="N23" s="1" t="s">
        <v>82</v>
      </c>
      <c r="O23" s="1" t="s">
        <v>82</v>
      </c>
      <c r="P23" s="1"/>
      <c r="Q23" s="1"/>
      <c r="R23" s="1"/>
      <c r="S23" s="1" t="s">
        <v>1381</v>
      </c>
      <c r="T23" s="1" t="s">
        <v>1382</v>
      </c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BC23" s="1">
        <v>22</v>
      </c>
      <c r="BD23" s="1" t="s">
        <v>1544</v>
      </c>
      <c r="BE23" s="1" t="s">
        <v>1545</v>
      </c>
      <c r="BF23" s="1" t="s">
        <v>1462</v>
      </c>
      <c r="BG23" s="1">
        <v>45</v>
      </c>
      <c r="BH23" s="1" t="s">
        <v>1469</v>
      </c>
      <c r="BI23" s="1" t="s">
        <v>1677</v>
      </c>
      <c r="CD23" s="285"/>
    </row>
    <row r="24" spans="2:82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>
        <v>40</v>
      </c>
      <c r="J24">
        <v>60</v>
      </c>
      <c r="K24">
        <v>30</v>
      </c>
      <c r="L24">
        <v>70</v>
      </c>
      <c r="M24">
        <v>31</v>
      </c>
      <c r="N24" s="1">
        <v>20</v>
      </c>
      <c r="O24" s="1">
        <v>22</v>
      </c>
      <c r="P24" s="1" t="s">
        <v>770</v>
      </c>
      <c r="Q24" s="1"/>
      <c r="R24" s="1"/>
      <c r="S24" s="1" t="s">
        <v>1383</v>
      </c>
      <c r="T24" s="1" t="s">
        <v>1384</v>
      </c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I24" s="184"/>
      <c r="BC24" s="1">
        <v>23</v>
      </c>
      <c r="BD24" s="1" t="s">
        <v>1530</v>
      </c>
      <c r="BE24" s="1" t="s">
        <v>1531</v>
      </c>
      <c r="BF24" s="1" t="s">
        <v>1462</v>
      </c>
      <c r="BG24" s="1">
        <v>65</v>
      </c>
      <c r="BH24" s="1" t="s">
        <v>765</v>
      </c>
      <c r="BI24" s="1" t="s">
        <v>1672</v>
      </c>
      <c r="CD24" s="285"/>
    </row>
    <row r="25" spans="2:82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>
        <v>65</v>
      </c>
      <c r="J25">
        <v>90</v>
      </c>
      <c r="K25">
        <v>65</v>
      </c>
      <c r="L25">
        <v>100</v>
      </c>
      <c r="M25">
        <v>61</v>
      </c>
      <c r="N25" s="1" t="s">
        <v>82</v>
      </c>
      <c r="O25" s="1" t="s">
        <v>82</v>
      </c>
      <c r="P25" s="1"/>
      <c r="Q25" s="1"/>
      <c r="R25" s="1"/>
      <c r="S25" s="1" t="s">
        <v>1385</v>
      </c>
      <c r="T25" s="1" t="s">
        <v>1386</v>
      </c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I25" s="184"/>
      <c r="BC25" s="1">
        <v>24</v>
      </c>
      <c r="BD25" s="1" t="s">
        <v>1523</v>
      </c>
      <c r="BE25" s="1" t="s">
        <v>1524</v>
      </c>
      <c r="BF25" s="1" t="s">
        <v>1462</v>
      </c>
      <c r="BG25" s="1">
        <v>30</v>
      </c>
      <c r="BH25" s="1" t="s">
        <v>1476</v>
      </c>
      <c r="BI25" s="1" t="s">
        <v>1670</v>
      </c>
      <c r="CD25" s="285"/>
    </row>
    <row r="26" spans="2:82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>
        <v>35</v>
      </c>
      <c r="J26">
        <v>60</v>
      </c>
      <c r="K26">
        <v>44</v>
      </c>
      <c r="L26">
        <v>55</v>
      </c>
      <c r="M26">
        <v>40</v>
      </c>
      <c r="N26" s="1">
        <v>22</v>
      </c>
      <c r="O26" s="1">
        <v>24</v>
      </c>
      <c r="P26" s="1" t="s">
        <v>708</v>
      </c>
      <c r="Q26" s="1"/>
      <c r="R26" s="1"/>
      <c r="S26" s="1" t="s">
        <v>1387</v>
      </c>
      <c r="T26" s="1" t="s">
        <v>1388</v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BC26" s="1">
        <v>25</v>
      </c>
      <c r="BD26" s="1" t="s">
        <v>1628</v>
      </c>
      <c r="BE26" s="1" t="s">
        <v>1629</v>
      </c>
      <c r="BF26" s="1" t="s">
        <v>1462</v>
      </c>
      <c r="BG26" s="1">
        <v>120</v>
      </c>
      <c r="BH26" s="1" t="s">
        <v>765</v>
      </c>
      <c r="BI26" s="1" t="s">
        <v>1672</v>
      </c>
      <c r="CD26" s="285"/>
    </row>
    <row r="27" spans="2:82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>
        <v>60</v>
      </c>
      <c r="J27">
        <v>85</v>
      </c>
      <c r="K27">
        <v>69</v>
      </c>
      <c r="L27">
        <v>80</v>
      </c>
      <c r="M27">
        <v>65</v>
      </c>
      <c r="N27" s="1" t="s">
        <v>82</v>
      </c>
      <c r="O27" s="1" t="s">
        <v>82</v>
      </c>
      <c r="P27" s="1"/>
      <c r="Q27" s="1"/>
      <c r="R27" s="1"/>
      <c r="S27" s="1" t="s">
        <v>1415</v>
      </c>
      <c r="T27" s="1" t="s">
        <v>1326</v>
      </c>
      <c r="U27" s="1" t="s">
        <v>1417</v>
      </c>
      <c r="V27" s="1">
        <v>3</v>
      </c>
      <c r="W27" s="1">
        <v>7</v>
      </c>
      <c r="X27" s="1"/>
      <c r="Y27" s="1"/>
      <c r="Z27" s="1"/>
      <c r="AA27" s="1"/>
      <c r="AB27" s="1"/>
      <c r="AC27" s="1"/>
      <c r="AD27" s="1"/>
      <c r="AE27" s="1"/>
      <c r="AF27" s="1"/>
      <c r="AG27" s="1"/>
      <c r="BC27" s="1">
        <v>26</v>
      </c>
      <c r="BD27" s="1" t="s">
        <v>1658</v>
      </c>
      <c r="BE27" s="1" t="s">
        <v>1701</v>
      </c>
      <c r="BF27" s="1" t="s">
        <v>1462</v>
      </c>
      <c r="BG27" s="1">
        <v>70</v>
      </c>
      <c r="BH27" s="1" t="s">
        <v>1476</v>
      </c>
      <c r="BI27" s="1" t="s">
        <v>1670</v>
      </c>
      <c r="CD27" s="285"/>
    </row>
    <row r="28" spans="2:82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>
        <v>35</v>
      </c>
      <c r="J28">
        <v>55</v>
      </c>
      <c r="K28">
        <v>30</v>
      </c>
      <c r="L28">
        <v>90</v>
      </c>
      <c r="M28">
        <v>50</v>
      </c>
      <c r="N28" s="1">
        <v>30</v>
      </c>
      <c r="O28" s="1">
        <v>26</v>
      </c>
      <c r="P28" s="1" t="s">
        <v>706</v>
      </c>
      <c r="Q28" s="1" t="b">
        <v>1</v>
      </c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N28" s="184"/>
      <c r="BC28" s="1">
        <v>27</v>
      </c>
      <c r="BD28" s="1" t="s">
        <v>1654</v>
      </c>
      <c r="BE28" s="1" t="s">
        <v>1697</v>
      </c>
      <c r="BF28" s="1" t="s">
        <v>1462</v>
      </c>
      <c r="BG28" s="1">
        <v>60</v>
      </c>
      <c r="BH28" s="1" t="s">
        <v>1476</v>
      </c>
      <c r="BI28" s="1" t="s">
        <v>1670</v>
      </c>
      <c r="CD28" s="285"/>
    </row>
    <row r="29" spans="2:82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>
        <v>60</v>
      </c>
      <c r="J29">
        <v>90</v>
      </c>
      <c r="K29">
        <v>55</v>
      </c>
      <c r="L29">
        <v>100</v>
      </c>
      <c r="M29">
        <v>90</v>
      </c>
      <c r="N29" s="1" t="s">
        <v>82</v>
      </c>
      <c r="O29" s="1" t="s">
        <v>82</v>
      </c>
      <c r="P29" s="1" t="s">
        <v>82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N29" s="184"/>
      <c r="BC29" s="1">
        <v>29</v>
      </c>
      <c r="BD29" s="1" t="s">
        <v>1643</v>
      </c>
      <c r="BE29" s="1" t="s">
        <v>1498</v>
      </c>
      <c r="BF29" s="1" t="s">
        <v>1462</v>
      </c>
      <c r="BG29" s="1">
        <v>70</v>
      </c>
      <c r="BH29" s="1" t="s">
        <v>765</v>
      </c>
      <c r="BI29" s="1" t="s">
        <v>1672</v>
      </c>
      <c r="CD29" s="285"/>
    </row>
    <row r="30" spans="2:82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>
        <v>50</v>
      </c>
      <c r="J30">
        <v>75</v>
      </c>
      <c r="K30">
        <v>85</v>
      </c>
      <c r="L30">
        <v>40</v>
      </c>
      <c r="M30">
        <v>30</v>
      </c>
      <c r="N30" s="1">
        <v>22</v>
      </c>
      <c r="O30" s="1">
        <v>28</v>
      </c>
      <c r="P30" s="1" t="s">
        <v>775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N30" s="184"/>
      <c r="BC30" s="1">
        <v>30</v>
      </c>
      <c r="BD30" s="1" t="s">
        <v>1652</v>
      </c>
      <c r="BE30" s="1" t="s">
        <v>1559</v>
      </c>
      <c r="BF30" s="1" t="s">
        <v>1462</v>
      </c>
      <c r="BG30" s="1">
        <v>65</v>
      </c>
      <c r="BH30" s="1" t="s">
        <v>765</v>
      </c>
      <c r="BI30" s="1" t="s">
        <v>1672</v>
      </c>
      <c r="CD30" s="285"/>
    </row>
    <row r="31" spans="2:82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>
        <v>75</v>
      </c>
      <c r="J31">
        <v>100</v>
      </c>
      <c r="K31">
        <v>110</v>
      </c>
      <c r="L31">
        <v>65</v>
      </c>
      <c r="M31">
        <v>55</v>
      </c>
      <c r="N31" s="1" t="s">
        <v>82</v>
      </c>
      <c r="O31" s="1" t="s">
        <v>82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N31" s="184"/>
      <c r="BC31" s="1">
        <v>31</v>
      </c>
      <c r="BD31" s="1" t="s">
        <v>1548</v>
      </c>
      <c r="BE31" s="1" t="s">
        <v>1549</v>
      </c>
      <c r="BF31" s="1" t="s">
        <v>1462</v>
      </c>
      <c r="BG31" s="1">
        <v>15</v>
      </c>
      <c r="BH31" s="1" t="s">
        <v>765</v>
      </c>
      <c r="BI31" s="1" t="s">
        <v>1672</v>
      </c>
      <c r="CD31" s="285"/>
    </row>
    <row r="32" spans="2:82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>
        <v>55</v>
      </c>
      <c r="J32">
        <v>47</v>
      </c>
      <c r="K32">
        <v>52</v>
      </c>
      <c r="L32">
        <v>41</v>
      </c>
      <c r="M32">
        <v>40</v>
      </c>
      <c r="N32" s="1">
        <v>16</v>
      </c>
      <c r="O32" s="1" t="s">
        <v>82</v>
      </c>
      <c r="P32" s="1" t="s">
        <v>82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N32" s="184"/>
      <c r="BC32" s="1">
        <v>32</v>
      </c>
      <c r="BD32" s="1" t="s">
        <v>1650</v>
      </c>
      <c r="BE32" s="1" t="s">
        <v>1532</v>
      </c>
      <c r="BF32" s="1" t="s">
        <v>1462</v>
      </c>
      <c r="BG32" s="1">
        <v>100</v>
      </c>
      <c r="BH32" s="1" t="s">
        <v>765</v>
      </c>
      <c r="BI32" s="1" t="s">
        <v>1672</v>
      </c>
      <c r="CD32" s="285"/>
    </row>
    <row r="33" spans="2:82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>
        <v>70</v>
      </c>
      <c r="J33">
        <v>62</v>
      </c>
      <c r="K33">
        <v>67</v>
      </c>
      <c r="L33">
        <v>56</v>
      </c>
      <c r="M33">
        <v>55</v>
      </c>
      <c r="N33" s="1">
        <v>30</v>
      </c>
      <c r="O33" s="1">
        <v>31</v>
      </c>
      <c r="P33" s="1" t="s">
        <v>701</v>
      </c>
      <c r="Q33" s="1" t="b">
        <v>1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N33" s="184"/>
      <c r="BC33" s="1">
        <v>33</v>
      </c>
      <c r="BD33" s="1" t="s">
        <v>1492</v>
      </c>
      <c r="BE33" s="1" t="s">
        <v>1493</v>
      </c>
      <c r="BF33" s="1" t="s">
        <v>1462</v>
      </c>
      <c r="BG33" s="1">
        <v>40</v>
      </c>
      <c r="BH33" s="1" t="s">
        <v>765</v>
      </c>
      <c r="BI33" s="1" t="s">
        <v>1672</v>
      </c>
      <c r="CD33" s="285"/>
    </row>
    <row r="34" spans="2:82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>
        <v>90</v>
      </c>
      <c r="J34">
        <v>82</v>
      </c>
      <c r="K34">
        <v>87</v>
      </c>
      <c r="L34">
        <v>76</v>
      </c>
      <c r="M34">
        <v>75</v>
      </c>
      <c r="N34" s="1" t="s">
        <v>82</v>
      </c>
      <c r="O34" s="1" t="s">
        <v>82</v>
      </c>
      <c r="P34" s="1" t="s">
        <v>82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N34" s="184"/>
      <c r="BC34" s="1">
        <v>34</v>
      </c>
      <c r="BD34" s="1" t="s">
        <v>1594</v>
      </c>
      <c r="BE34" s="1" t="s">
        <v>1595</v>
      </c>
      <c r="BF34" s="1" t="s">
        <v>1462</v>
      </c>
      <c r="BG34" s="1">
        <v>85</v>
      </c>
      <c r="BH34" s="1" t="s">
        <v>765</v>
      </c>
      <c r="BI34" s="1" t="s">
        <v>1672</v>
      </c>
      <c r="CD34" s="285"/>
    </row>
    <row r="35" spans="2:82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>
        <v>46</v>
      </c>
      <c r="J35">
        <v>57</v>
      </c>
      <c r="K35">
        <v>40</v>
      </c>
      <c r="L35">
        <v>50</v>
      </c>
      <c r="M35">
        <v>40</v>
      </c>
      <c r="N35" s="1">
        <v>16</v>
      </c>
      <c r="O35" s="1" t="s">
        <v>82</v>
      </c>
      <c r="P35" s="1" t="s">
        <v>82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N35" s="184"/>
      <c r="BC35" s="1">
        <v>35</v>
      </c>
      <c r="BD35" s="1" t="s">
        <v>1568</v>
      </c>
      <c r="BE35" s="1" t="s">
        <v>1569</v>
      </c>
      <c r="BF35" s="1" t="s">
        <v>1462</v>
      </c>
      <c r="BG35" s="1">
        <v>15</v>
      </c>
      <c r="BH35" s="1" t="s">
        <v>765</v>
      </c>
      <c r="BI35" s="1" t="s">
        <v>1672</v>
      </c>
    </row>
    <row r="36" spans="2:82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>
        <v>61</v>
      </c>
      <c r="J36">
        <v>72</v>
      </c>
      <c r="K36">
        <v>57</v>
      </c>
      <c r="L36">
        <v>65</v>
      </c>
      <c r="M36">
        <v>55</v>
      </c>
      <c r="N36" s="1">
        <v>30</v>
      </c>
      <c r="O36" s="1">
        <v>34</v>
      </c>
      <c r="P36" s="1" t="s">
        <v>698</v>
      </c>
      <c r="Q36" s="1" t="b">
        <v>1</v>
      </c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N36" s="184"/>
      <c r="BC36" s="1">
        <v>36</v>
      </c>
      <c r="BD36" s="1" t="s">
        <v>1484</v>
      </c>
      <c r="BE36" s="1" t="s">
        <v>1485</v>
      </c>
      <c r="BF36" s="1" t="s">
        <v>1462</v>
      </c>
      <c r="BG36" s="1">
        <v>90</v>
      </c>
      <c r="BH36" s="1" t="s">
        <v>765</v>
      </c>
      <c r="BI36" s="1" t="s">
        <v>1672</v>
      </c>
    </row>
    <row r="37" spans="2:82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>
        <v>81</v>
      </c>
      <c r="J37">
        <v>92</v>
      </c>
      <c r="K37">
        <v>77</v>
      </c>
      <c r="L37">
        <v>85</v>
      </c>
      <c r="M37">
        <v>75</v>
      </c>
      <c r="N37" s="1" t="s">
        <v>82</v>
      </c>
      <c r="O37" s="1" t="s">
        <v>82</v>
      </c>
      <c r="P37" s="1" t="s">
        <v>82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N37" s="184"/>
      <c r="BC37" s="1">
        <v>37</v>
      </c>
      <c r="BD37" s="1" t="s">
        <v>1572</v>
      </c>
      <c r="BE37" s="1" t="s">
        <v>1573</v>
      </c>
      <c r="BF37" s="1" t="s">
        <v>1462</v>
      </c>
      <c r="BG37" s="1">
        <v>120</v>
      </c>
      <c r="BH37" s="1" t="s">
        <v>765</v>
      </c>
      <c r="BI37" s="1" t="s">
        <v>1672</v>
      </c>
    </row>
    <row r="38" spans="2:82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>
        <v>70</v>
      </c>
      <c r="J38">
        <v>45</v>
      </c>
      <c r="K38">
        <v>48</v>
      </c>
      <c r="L38">
        <v>35</v>
      </c>
      <c r="M38">
        <v>60</v>
      </c>
      <c r="N38" s="1">
        <v>30</v>
      </c>
      <c r="O38" s="1">
        <v>36</v>
      </c>
      <c r="P38" s="1" t="s">
        <v>778</v>
      </c>
      <c r="Q38" s="1" t="b">
        <v>1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N38" s="184"/>
      <c r="BC38" s="1">
        <v>38</v>
      </c>
      <c r="BD38" s="1" t="s">
        <v>1505</v>
      </c>
      <c r="BE38" s="1" t="s">
        <v>1506</v>
      </c>
      <c r="BF38" s="1" t="s">
        <v>1462</v>
      </c>
      <c r="BG38" s="1">
        <v>120</v>
      </c>
      <c r="BH38" s="1" t="s">
        <v>765</v>
      </c>
      <c r="BI38" s="1" t="s">
        <v>1672</v>
      </c>
    </row>
    <row r="39" spans="2:82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>
        <v>95</v>
      </c>
      <c r="J39">
        <v>70</v>
      </c>
      <c r="K39">
        <v>73</v>
      </c>
      <c r="L39">
        <v>60</v>
      </c>
      <c r="M39">
        <v>85</v>
      </c>
      <c r="N39" s="1" t="s">
        <v>82</v>
      </c>
      <c r="O39" s="1" t="s">
        <v>82</v>
      </c>
      <c r="P39" s="1" t="s">
        <v>82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N39" s="184"/>
      <c r="BC39" s="1">
        <v>40</v>
      </c>
      <c r="BD39" s="1" t="s">
        <v>1513</v>
      </c>
      <c r="BE39" s="1" t="s">
        <v>1514</v>
      </c>
      <c r="BF39" s="1" t="s">
        <v>1462</v>
      </c>
      <c r="BG39" s="1">
        <v>15</v>
      </c>
      <c r="BH39" s="1" t="s">
        <v>744</v>
      </c>
      <c r="BI39" s="1" t="s">
        <v>1669</v>
      </c>
    </row>
    <row r="40" spans="2:82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>
        <v>38</v>
      </c>
      <c r="J40">
        <v>41</v>
      </c>
      <c r="K40">
        <v>40</v>
      </c>
      <c r="L40">
        <v>65</v>
      </c>
      <c r="M40">
        <v>65</v>
      </c>
      <c r="N40" s="1">
        <v>30</v>
      </c>
      <c r="O40" s="1">
        <v>38</v>
      </c>
      <c r="P40" s="1" t="s">
        <v>780</v>
      </c>
      <c r="Q40" s="1" t="b">
        <v>1</v>
      </c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N40" s="184"/>
      <c r="BC40" s="1">
        <v>41</v>
      </c>
      <c r="BD40" s="1" t="s">
        <v>1646</v>
      </c>
      <c r="BE40" s="1" t="s">
        <v>1692</v>
      </c>
      <c r="BF40" s="1" t="s">
        <v>1462</v>
      </c>
      <c r="BG40" s="1">
        <v>25</v>
      </c>
      <c r="BH40" s="1" t="s">
        <v>1475</v>
      </c>
      <c r="BI40" s="1" t="s">
        <v>1678</v>
      </c>
    </row>
    <row r="41" spans="2:82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>
        <v>73</v>
      </c>
      <c r="J41">
        <v>76</v>
      </c>
      <c r="K41">
        <v>75</v>
      </c>
      <c r="L41">
        <v>100</v>
      </c>
      <c r="M41">
        <v>100</v>
      </c>
      <c r="N41" s="1" t="s">
        <v>82</v>
      </c>
      <c r="O41" s="1" t="s">
        <v>82</v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N41" s="184"/>
      <c r="BC41" s="1">
        <v>42</v>
      </c>
      <c r="BD41" s="1" t="s">
        <v>1511</v>
      </c>
      <c r="BE41" s="1" t="s">
        <v>1512</v>
      </c>
      <c r="BF41" s="1" t="s">
        <v>1462</v>
      </c>
      <c r="BG41" s="1">
        <v>25</v>
      </c>
      <c r="BH41" s="1" t="s">
        <v>1475</v>
      </c>
      <c r="BI41" s="1" t="s">
        <v>1678</v>
      </c>
    </row>
    <row r="42" spans="2:82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>
        <v>115</v>
      </c>
      <c r="J42">
        <v>45</v>
      </c>
      <c r="K42">
        <v>20</v>
      </c>
      <c r="L42">
        <v>20</v>
      </c>
      <c r="M42">
        <v>25</v>
      </c>
      <c r="N42" s="1">
        <v>30</v>
      </c>
      <c r="O42" s="1">
        <v>40</v>
      </c>
      <c r="P42" s="1" t="s">
        <v>782</v>
      </c>
      <c r="Q42" s="1" t="b">
        <v>1</v>
      </c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N42" s="184"/>
      <c r="BC42" s="1">
        <v>44</v>
      </c>
      <c r="BD42" s="1" t="s">
        <v>1578</v>
      </c>
      <c r="BE42" s="1" t="s">
        <v>1579</v>
      </c>
      <c r="BF42" s="1" t="s">
        <v>1462</v>
      </c>
      <c r="BG42" s="1">
        <v>60</v>
      </c>
      <c r="BH42" s="1" t="s">
        <v>1461</v>
      </c>
      <c r="BI42" s="1" t="s">
        <v>1683</v>
      </c>
    </row>
    <row r="43" spans="2:82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>
        <v>140</v>
      </c>
      <c r="J43">
        <v>70</v>
      </c>
      <c r="K43">
        <v>45</v>
      </c>
      <c r="L43">
        <v>45</v>
      </c>
      <c r="M43">
        <v>50</v>
      </c>
      <c r="N43" s="1" t="s">
        <v>82</v>
      </c>
      <c r="O43" s="1" t="s">
        <v>82</v>
      </c>
      <c r="P43" s="1" t="s">
        <v>82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N43" s="184"/>
      <c r="BC43" s="1">
        <v>49</v>
      </c>
      <c r="BD43" s="1" t="s">
        <v>1663</v>
      </c>
      <c r="BE43" s="1" t="s">
        <v>1663</v>
      </c>
      <c r="BF43" s="1" t="s">
        <v>1466</v>
      </c>
      <c r="BG43" s="1">
        <v>30</v>
      </c>
      <c r="BH43" s="1" t="s">
        <v>765</v>
      </c>
      <c r="BI43" s="1" t="s">
        <v>1672</v>
      </c>
    </row>
    <row r="44" spans="2:82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>
        <v>40</v>
      </c>
      <c r="J44">
        <v>45</v>
      </c>
      <c r="K44">
        <v>35</v>
      </c>
      <c r="L44">
        <v>55</v>
      </c>
      <c r="M44">
        <v>40</v>
      </c>
      <c r="N44" s="1">
        <v>22</v>
      </c>
      <c r="O44" s="1">
        <v>42</v>
      </c>
      <c r="P44" s="1" t="s">
        <v>784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N44" s="184"/>
      <c r="BC44" s="1">
        <v>51</v>
      </c>
      <c r="BD44" s="1" t="s">
        <v>1467</v>
      </c>
      <c r="BE44" s="1" t="s">
        <v>1468</v>
      </c>
      <c r="BF44" s="1" t="s">
        <v>1466</v>
      </c>
      <c r="BG44" s="1">
        <v>40</v>
      </c>
      <c r="BH44" s="1" t="s">
        <v>744</v>
      </c>
      <c r="BI44" s="1" t="s">
        <v>1669</v>
      </c>
    </row>
    <row r="45" spans="2:82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>
        <v>75</v>
      </c>
      <c r="J45">
        <v>80</v>
      </c>
      <c r="K45">
        <v>70</v>
      </c>
      <c r="L45">
        <v>90</v>
      </c>
      <c r="M45">
        <v>75</v>
      </c>
      <c r="N45" s="1">
        <v>30</v>
      </c>
      <c r="O45" s="1">
        <v>169</v>
      </c>
      <c r="P45" s="1" t="s">
        <v>896</v>
      </c>
      <c r="Q45" s="1" t="b">
        <v>1</v>
      </c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N45" s="184"/>
      <c r="BC45" s="1">
        <v>52</v>
      </c>
      <c r="BD45" s="1" t="s">
        <v>1538</v>
      </c>
      <c r="BE45" s="1" t="s">
        <v>1539</v>
      </c>
      <c r="BF45" s="1" t="s">
        <v>1466</v>
      </c>
      <c r="BG45" s="1">
        <v>40</v>
      </c>
      <c r="BH45" s="1" t="s">
        <v>1473</v>
      </c>
      <c r="BI45" s="1" t="s">
        <v>1676</v>
      </c>
    </row>
    <row r="46" spans="2:82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>
        <v>45</v>
      </c>
      <c r="J46">
        <v>50</v>
      </c>
      <c r="K46">
        <v>55</v>
      </c>
      <c r="L46">
        <v>30</v>
      </c>
      <c r="M46">
        <v>75</v>
      </c>
      <c r="N46" s="1">
        <v>21</v>
      </c>
      <c r="O46" s="1">
        <v>44</v>
      </c>
      <c r="P46" s="1" t="s">
        <v>786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N46" s="184"/>
      <c r="BC46" s="1">
        <v>53</v>
      </c>
      <c r="BD46" s="1" t="s">
        <v>1560</v>
      </c>
      <c r="BE46" s="1" t="s">
        <v>1561</v>
      </c>
      <c r="BF46" s="1" t="s">
        <v>1466</v>
      </c>
      <c r="BG46" s="1">
        <v>90</v>
      </c>
      <c r="BH46" s="1" t="s">
        <v>1473</v>
      </c>
      <c r="BI46" s="1" t="s">
        <v>1676</v>
      </c>
    </row>
    <row r="47" spans="2:82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>
        <v>60</v>
      </c>
      <c r="J47">
        <v>65</v>
      </c>
      <c r="K47">
        <v>70</v>
      </c>
      <c r="L47">
        <v>40</v>
      </c>
      <c r="M47">
        <v>85</v>
      </c>
      <c r="N47" s="1">
        <v>30</v>
      </c>
      <c r="O47" s="1">
        <v>45</v>
      </c>
      <c r="P47" s="251" t="s">
        <v>787</v>
      </c>
      <c r="Q47" s="1" t="b">
        <v>1</v>
      </c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N47" s="184"/>
      <c r="BC47" s="1">
        <v>55</v>
      </c>
      <c r="BD47" s="1" t="s">
        <v>1592</v>
      </c>
      <c r="BE47" s="1" t="s">
        <v>1593</v>
      </c>
      <c r="BF47" s="1" t="s">
        <v>1466</v>
      </c>
      <c r="BG47" s="1">
        <v>40</v>
      </c>
      <c r="BH47" s="1" t="s">
        <v>1472</v>
      </c>
      <c r="BI47" s="1" t="s">
        <v>1674</v>
      </c>
    </row>
    <row r="48" spans="2:82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>
        <v>75</v>
      </c>
      <c r="J48">
        <v>80</v>
      </c>
      <c r="K48">
        <v>85</v>
      </c>
      <c r="L48">
        <v>50</v>
      </c>
      <c r="M48">
        <v>100</v>
      </c>
      <c r="N48" s="1" t="s">
        <v>82</v>
      </c>
      <c r="O48" s="1" t="s">
        <v>82</v>
      </c>
      <c r="P48" s="1" t="s">
        <v>82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N48" s="184"/>
      <c r="BC48" s="1">
        <v>56</v>
      </c>
      <c r="BD48" s="1" t="s">
        <v>1553</v>
      </c>
      <c r="BE48" s="1" t="s">
        <v>1554</v>
      </c>
      <c r="BF48" s="1" t="s">
        <v>1466</v>
      </c>
      <c r="BG48" s="1">
        <v>110</v>
      </c>
      <c r="BH48" s="1" t="s">
        <v>1472</v>
      </c>
      <c r="BI48" s="1" t="s">
        <v>1674</v>
      </c>
    </row>
    <row r="49" spans="2:61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>
        <v>35</v>
      </c>
      <c r="J49">
        <v>70</v>
      </c>
      <c r="K49">
        <v>55</v>
      </c>
      <c r="L49">
        <v>25</v>
      </c>
      <c r="M49">
        <v>55</v>
      </c>
      <c r="N49" s="1">
        <v>24</v>
      </c>
      <c r="O49" s="1">
        <v>47</v>
      </c>
      <c r="P49" s="1" t="s">
        <v>685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N49" s="184"/>
      <c r="BC49" s="1">
        <v>57</v>
      </c>
      <c r="BD49" s="1" t="s">
        <v>1614</v>
      </c>
      <c r="BE49" s="1" t="s">
        <v>1614</v>
      </c>
      <c r="BF49" s="1" t="s">
        <v>1466</v>
      </c>
      <c r="BG49" s="1">
        <v>90</v>
      </c>
      <c r="BH49" s="1" t="s">
        <v>1472</v>
      </c>
      <c r="BI49" s="1" t="s">
        <v>1674</v>
      </c>
    </row>
    <row r="50" spans="2:61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>
        <v>60</v>
      </c>
      <c r="J50">
        <v>95</v>
      </c>
      <c r="K50">
        <v>80</v>
      </c>
      <c r="L50">
        <v>30</v>
      </c>
      <c r="M50">
        <v>80</v>
      </c>
      <c r="N50" s="1" t="s">
        <v>82</v>
      </c>
      <c r="O50" s="1" t="s">
        <v>82</v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N50" s="184"/>
      <c r="BC50" s="1">
        <v>58</v>
      </c>
      <c r="BD50" s="1" t="s">
        <v>1564</v>
      </c>
      <c r="BE50" s="1" t="s">
        <v>1565</v>
      </c>
      <c r="BF50" s="1" t="s">
        <v>1466</v>
      </c>
      <c r="BG50" s="1">
        <v>90</v>
      </c>
      <c r="BH50" s="1" t="s">
        <v>1477</v>
      </c>
      <c r="BI50" s="1" t="s">
        <v>1673</v>
      </c>
    </row>
    <row r="51" spans="2:61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>
        <v>60</v>
      </c>
      <c r="J51">
        <v>55</v>
      </c>
      <c r="K51">
        <v>50</v>
      </c>
      <c r="L51">
        <v>45</v>
      </c>
      <c r="M51">
        <v>40</v>
      </c>
      <c r="N51" s="1">
        <v>31</v>
      </c>
      <c r="O51" s="1">
        <v>49</v>
      </c>
      <c r="P51" s="1" t="s">
        <v>789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N51" s="184"/>
      <c r="BC51" s="1">
        <v>59</v>
      </c>
      <c r="BD51" s="1" t="s">
        <v>1486</v>
      </c>
      <c r="BE51" s="1" t="s">
        <v>1486</v>
      </c>
      <c r="BF51" s="1" t="s">
        <v>1466</v>
      </c>
      <c r="BG51" s="1">
        <v>110</v>
      </c>
      <c r="BH51" s="1" t="s">
        <v>1477</v>
      </c>
      <c r="BI51" s="1" t="s">
        <v>1673</v>
      </c>
    </row>
    <row r="52" spans="2:61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>
        <v>70</v>
      </c>
      <c r="J52">
        <v>65</v>
      </c>
      <c r="K52">
        <v>60</v>
      </c>
      <c r="L52">
        <v>90</v>
      </c>
      <c r="M52">
        <v>90</v>
      </c>
      <c r="N52" s="1" t="s">
        <v>82</v>
      </c>
      <c r="O52" s="1" t="s">
        <v>82</v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N52" s="184"/>
      <c r="BC52" s="1">
        <v>60</v>
      </c>
      <c r="BD52" s="1" t="s">
        <v>1606</v>
      </c>
      <c r="BE52" s="1" t="s">
        <v>1607</v>
      </c>
      <c r="BF52" s="1" t="s">
        <v>1466</v>
      </c>
      <c r="BG52" s="1">
        <v>65</v>
      </c>
      <c r="BH52" s="1" t="s">
        <v>1471</v>
      </c>
      <c r="BI52" s="1" t="s">
        <v>1675</v>
      </c>
    </row>
    <row r="53" spans="2:61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>
        <v>10</v>
      </c>
      <c r="J53">
        <v>55</v>
      </c>
      <c r="K53">
        <v>25</v>
      </c>
      <c r="L53">
        <v>95</v>
      </c>
      <c r="M53">
        <v>45</v>
      </c>
      <c r="N53" s="1">
        <v>26</v>
      </c>
      <c r="O53" s="1">
        <v>51</v>
      </c>
      <c r="P53" s="1" t="s">
        <v>791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N53" s="184"/>
      <c r="BC53" s="1">
        <v>61</v>
      </c>
      <c r="BD53" s="1" t="s">
        <v>1488</v>
      </c>
      <c r="BE53" s="1" t="s">
        <v>1489</v>
      </c>
      <c r="BF53" s="1" t="s">
        <v>1466</v>
      </c>
      <c r="BG53" s="1">
        <v>65</v>
      </c>
      <c r="BH53" s="1" t="s">
        <v>1472</v>
      </c>
      <c r="BI53" s="1" t="s">
        <v>1674</v>
      </c>
    </row>
    <row r="54" spans="2:61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>
        <v>35</v>
      </c>
      <c r="J54">
        <v>80</v>
      </c>
      <c r="K54">
        <v>50</v>
      </c>
      <c r="L54">
        <v>120</v>
      </c>
      <c r="M54">
        <v>70</v>
      </c>
      <c r="N54" s="1" t="s">
        <v>82</v>
      </c>
      <c r="O54" s="1" t="s">
        <v>82</v>
      </c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N54" s="184"/>
      <c r="BC54" s="1">
        <v>62</v>
      </c>
      <c r="BD54" s="1" t="s">
        <v>1582</v>
      </c>
      <c r="BE54" s="1" t="s">
        <v>1583</v>
      </c>
      <c r="BF54" s="1" t="s">
        <v>1466</v>
      </c>
      <c r="BG54" s="1">
        <v>65</v>
      </c>
      <c r="BH54" s="1" t="s">
        <v>1477</v>
      </c>
      <c r="BI54" s="1" t="s">
        <v>1673</v>
      </c>
    </row>
    <row r="55" spans="2:61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>
        <v>40</v>
      </c>
      <c r="J55">
        <v>45</v>
      </c>
      <c r="K55">
        <v>35</v>
      </c>
      <c r="L55">
        <v>90</v>
      </c>
      <c r="M55">
        <v>40</v>
      </c>
      <c r="N55" s="1">
        <v>28</v>
      </c>
      <c r="O55" s="1">
        <v>53</v>
      </c>
      <c r="P55" s="1" t="s">
        <v>679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N55" s="184"/>
      <c r="BC55" s="1">
        <v>63</v>
      </c>
      <c r="BD55" s="1" t="s">
        <v>1630</v>
      </c>
      <c r="BE55" s="1" t="s">
        <v>1631</v>
      </c>
      <c r="BF55" s="1" t="s">
        <v>1466</v>
      </c>
      <c r="BG55" s="1">
        <v>150</v>
      </c>
      <c r="BH55" s="1" t="s">
        <v>765</v>
      </c>
      <c r="BI55" s="1" t="s">
        <v>1672</v>
      </c>
    </row>
    <row r="56" spans="2:61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>
        <v>65</v>
      </c>
      <c r="J56">
        <v>70</v>
      </c>
      <c r="K56">
        <v>60</v>
      </c>
      <c r="L56">
        <v>115</v>
      </c>
      <c r="M56">
        <v>65</v>
      </c>
      <c r="N56" s="1" t="s">
        <v>82</v>
      </c>
      <c r="O56" s="1" t="s">
        <v>82</v>
      </c>
      <c r="P56" s="1" t="s">
        <v>82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N56" s="184"/>
      <c r="BC56" s="1">
        <v>64</v>
      </c>
      <c r="BD56" s="1" t="s">
        <v>1584</v>
      </c>
      <c r="BE56" s="1" t="s">
        <v>1585</v>
      </c>
      <c r="BF56" s="1" t="s">
        <v>1462</v>
      </c>
      <c r="BG56" s="1">
        <v>35</v>
      </c>
      <c r="BH56" s="1" t="s">
        <v>1470</v>
      </c>
      <c r="BI56" s="1" t="s">
        <v>1671</v>
      </c>
    </row>
    <row r="57" spans="2:61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>
        <v>50</v>
      </c>
      <c r="J57">
        <v>52</v>
      </c>
      <c r="K57">
        <v>48</v>
      </c>
      <c r="L57">
        <v>55</v>
      </c>
      <c r="M57">
        <v>50</v>
      </c>
      <c r="N57" s="1">
        <v>33</v>
      </c>
      <c r="O57" s="1">
        <v>55</v>
      </c>
      <c r="P57" s="1" t="s">
        <v>794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N57" s="184"/>
      <c r="BC57" s="1">
        <v>65</v>
      </c>
      <c r="BD57" s="1" t="s">
        <v>1482</v>
      </c>
      <c r="BE57" s="1" t="s">
        <v>1483</v>
      </c>
      <c r="BF57" s="1" t="s">
        <v>1462</v>
      </c>
      <c r="BG57" s="1">
        <v>80</v>
      </c>
      <c r="BH57" s="1" t="s">
        <v>1470</v>
      </c>
      <c r="BI57" s="1" t="s">
        <v>1671</v>
      </c>
    </row>
    <row r="58" spans="2:61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>
        <v>80</v>
      </c>
      <c r="J58">
        <v>82</v>
      </c>
      <c r="K58">
        <v>78</v>
      </c>
      <c r="L58">
        <v>85</v>
      </c>
      <c r="M58">
        <v>80</v>
      </c>
      <c r="N58" s="1" t="s">
        <v>82</v>
      </c>
      <c r="O58" s="1" t="s">
        <v>82</v>
      </c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N58" s="184"/>
      <c r="BC58" s="1">
        <v>66</v>
      </c>
      <c r="BD58" s="1" t="s">
        <v>1662</v>
      </c>
      <c r="BE58" s="1" t="s">
        <v>1704</v>
      </c>
      <c r="BF58" s="1" t="s">
        <v>1462</v>
      </c>
      <c r="BG58" s="1">
        <v>75</v>
      </c>
      <c r="BH58" s="1" t="s">
        <v>1476</v>
      </c>
      <c r="BI58" s="1" t="s">
        <v>1670</v>
      </c>
    </row>
    <row r="59" spans="2:61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>
        <v>40</v>
      </c>
      <c r="J59">
        <v>80</v>
      </c>
      <c r="K59">
        <v>35</v>
      </c>
      <c r="L59">
        <v>70</v>
      </c>
      <c r="M59">
        <v>35</v>
      </c>
      <c r="N59" s="1">
        <v>28</v>
      </c>
      <c r="O59" s="1">
        <v>57</v>
      </c>
      <c r="P59" s="1" t="s">
        <v>797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N59" s="184"/>
      <c r="BC59" s="1">
        <v>67</v>
      </c>
      <c r="BD59" s="1" t="s">
        <v>1478</v>
      </c>
      <c r="BE59" s="1" t="s">
        <v>1479</v>
      </c>
      <c r="BF59" s="1" t="s">
        <v>1462</v>
      </c>
      <c r="BG59" s="1">
        <v>60</v>
      </c>
      <c r="BH59" s="1" t="s">
        <v>1476</v>
      </c>
      <c r="BI59" s="1" t="s">
        <v>1670</v>
      </c>
    </row>
    <row r="60" spans="2:61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>
        <v>65</v>
      </c>
      <c r="J60">
        <v>105</v>
      </c>
      <c r="K60">
        <v>60</v>
      </c>
      <c r="L60">
        <v>95</v>
      </c>
      <c r="M60">
        <v>60</v>
      </c>
      <c r="N60" s="1" t="s">
        <v>82</v>
      </c>
      <c r="O60" s="1" t="s">
        <v>82</v>
      </c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N60" s="184"/>
      <c r="BC60" s="1">
        <v>68</v>
      </c>
      <c r="BD60" s="1" t="s">
        <v>1608</v>
      </c>
      <c r="BE60" s="1" t="s">
        <v>1609</v>
      </c>
      <c r="BF60" s="1" t="s">
        <v>1462</v>
      </c>
      <c r="BG60" s="1">
        <v>45</v>
      </c>
      <c r="BH60" s="1" t="s">
        <v>1476</v>
      </c>
      <c r="BI60" s="1" t="s">
        <v>1670</v>
      </c>
    </row>
    <row r="61" spans="2:61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>
        <v>55</v>
      </c>
      <c r="J61">
        <v>70</v>
      </c>
      <c r="K61">
        <v>45</v>
      </c>
      <c r="L61">
        <v>60</v>
      </c>
      <c r="M61">
        <v>50</v>
      </c>
      <c r="N61" s="1">
        <v>30</v>
      </c>
      <c r="O61" s="1">
        <v>59</v>
      </c>
      <c r="P61" s="1" t="s">
        <v>799</v>
      </c>
      <c r="Q61" s="1" t="b">
        <v>1</v>
      </c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N61" s="184"/>
      <c r="BC61" s="1">
        <v>69</v>
      </c>
      <c r="BD61" s="1" t="s">
        <v>1546</v>
      </c>
      <c r="BE61" s="1" t="s">
        <v>1547</v>
      </c>
      <c r="BF61" s="1" t="s">
        <v>1462</v>
      </c>
      <c r="BG61" s="1">
        <v>60</v>
      </c>
      <c r="BH61" s="1" t="s">
        <v>1476</v>
      </c>
      <c r="BI61" s="1" t="s">
        <v>1670</v>
      </c>
    </row>
    <row r="62" spans="2:61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>
        <v>90</v>
      </c>
      <c r="J62">
        <v>110</v>
      </c>
      <c r="K62">
        <v>80</v>
      </c>
      <c r="L62">
        <v>95</v>
      </c>
      <c r="M62">
        <v>80</v>
      </c>
      <c r="N62" s="1" t="s">
        <v>82</v>
      </c>
      <c r="O62" s="1" t="s">
        <v>82</v>
      </c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N62" s="184"/>
      <c r="BC62" s="1">
        <v>70</v>
      </c>
      <c r="BD62" s="1" t="s">
        <v>1540</v>
      </c>
      <c r="BE62" s="1" t="s">
        <v>1541</v>
      </c>
      <c r="BF62" s="1" t="s">
        <v>1462</v>
      </c>
      <c r="BG62" s="1">
        <v>80</v>
      </c>
      <c r="BH62" s="1" t="s">
        <v>765</v>
      </c>
      <c r="BI62" s="1" t="s">
        <v>1672</v>
      </c>
    </row>
    <row r="63" spans="2:61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>
        <v>40</v>
      </c>
      <c r="J63">
        <v>50</v>
      </c>
      <c r="K63">
        <v>40</v>
      </c>
      <c r="L63">
        <v>90</v>
      </c>
      <c r="M63">
        <v>40</v>
      </c>
      <c r="N63" s="1">
        <v>25</v>
      </c>
      <c r="O63" s="1">
        <v>61</v>
      </c>
      <c r="P63" s="1" t="s">
        <v>801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N63" s="184"/>
      <c r="BC63" s="1">
        <v>71</v>
      </c>
      <c r="BD63" s="1" t="s">
        <v>1637</v>
      </c>
      <c r="BE63" s="1" t="s">
        <v>1638</v>
      </c>
      <c r="BF63" s="1" t="s">
        <v>1466</v>
      </c>
      <c r="BG63" s="1">
        <v>20</v>
      </c>
      <c r="BH63" s="1" t="s">
        <v>1469</v>
      </c>
      <c r="BI63" s="1" t="s">
        <v>1677</v>
      </c>
    </row>
    <row r="64" spans="2:61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>
        <v>65</v>
      </c>
      <c r="J64">
        <v>65</v>
      </c>
      <c r="K64">
        <v>65</v>
      </c>
      <c r="L64">
        <v>90</v>
      </c>
      <c r="M64">
        <v>50</v>
      </c>
      <c r="N64" s="1">
        <v>30</v>
      </c>
      <c r="O64" s="1">
        <v>62</v>
      </c>
      <c r="P64" s="1" t="s">
        <v>802</v>
      </c>
      <c r="Q64" s="1" t="b">
        <v>1</v>
      </c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N64" s="184"/>
      <c r="BC64" s="1">
        <v>72</v>
      </c>
      <c r="BD64" s="1" t="s">
        <v>1574</v>
      </c>
      <c r="BE64" s="1" t="s">
        <v>1575</v>
      </c>
      <c r="BF64" s="1" t="s">
        <v>1466</v>
      </c>
      <c r="BG64" s="1">
        <v>40</v>
      </c>
      <c r="BH64" s="1" t="s">
        <v>1469</v>
      </c>
      <c r="BI64" s="1" t="s">
        <v>1677</v>
      </c>
    </row>
    <row r="65" spans="2:61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>
        <v>90</v>
      </c>
      <c r="J65">
        <v>85</v>
      </c>
      <c r="K65">
        <v>95</v>
      </c>
      <c r="L65">
        <v>70</v>
      </c>
      <c r="M65">
        <v>70</v>
      </c>
      <c r="N65" s="1" t="s">
        <v>82</v>
      </c>
      <c r="O65" s="1" t="s">
        <v>82</v>
      </c>
      <c r="P65" s="1" t="s">
        <v>82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N65" s="184"/>
      <c r="BC65" s="1">
        <v>75</v>
      </c>
      <c r="BD65" s="1" t="s">
        <v>1665</v>
      </c>
      <c r="BE65" s="1" t="s">
        <v>1619</v>
      </c>
      <c r="BF65" s="1" t="s">
        <v>1466</v>
      </c>
      <c r="BG65" s="1">
        <v>55</v>
      </c>
      <c r="BH65" s="1" t="s">
        <v>1469</v>
      </c>
      <c r="BI65" s="1" t="s">
        <v>1677</v>
      </c>
    </row>
    <row r="66" spans="2:61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>
        <v>25</v>
      </c>
      <c r="J66">
        <v>20</v>
      </c>
      <c r="K66">
        <v>15</v>
      </c>
      <c r="L66">
        <v>90</v>
      </c>
      <c r="M66">
        <v>105</v>
      </c>
      <c r="N66" s="1">
        <v>16</v>
      </c>
      <c r="O66" s="1">
        <v>64</v>
      </c>
      <c r="P66" s="1" t="s">
        <v>668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N66" s="184"/>
      <c r="BC66" s="1">
        <v>76</v>
      </c>
      <c r="BD66" s="1" t="s">
        <v>1562</v>
      </c>
      <c r="BE66" s="1" t="s">
        <v>1563</v>
      </c>
      <c r="BF66" s="1" t="s">
        <v>1466</v>
      </c>
      <c r="BG66" s="1">
        <v>120</v>
      </c>
      <c r="BH66" s="1" t="s">
        <v>1469</v>
      </c>
      <c r="BI66" s="1" t="s">
        <v>1677</v>
      </c>
    </row>
    <row r="67" spans="2:61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>
        <v>40</v>
      </c>
      <c r="J67">
        <v>35</v>
      </c>
      <c r="K67">
        <v>30</v>
      </c>
      <c r="L67">
        <v>105</v>
      </c>
      <c r="M67">
        <v>120</v>
      </c>
      <c r="N67" s="1">
        <v>30</v>
      </c>
      <c r="O67" s="1">
        <v>65</v>
      </c>
      <c r="P67" s="1" t="s">
        <v>667</v>
      </c>
      <c r="Q67" s="1" t="b">
        <v>1</v>
      </c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N67" s="184"/>
      <c r="BC67" s="1">
        <v>80</v>
      </c>
      <c r="BD67" s="1" t="s">
        <v>1509</v>
      </c>
      <c r="BE67" s="1" t="s">
        <v>1510</v>
      </c>
      <c r="BF67" s="1" t="s">
        <v>1466</v>
      </c>
      <c r="BG67" s="1">
        <v>120</v>
      </c>
      <c r="BH67" s="1" t="s">
        <v>1469</v>
      </c>
      <c r="BI67" s="1" t="s">
        <v>1677</v>
      </c>
    </row>
    <row r="68" spans="2:61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>
        <v>55</v>
      </c>
      <c r="J68">
        <v>50</v>
      </c>
      <c r="K68">
        <v>45</v>
      </c>
      <c r="L68">
        <v>120</v>
      </c>
      <c r="M68">
        <v>135</v>
      </c>
      <c r="N68" s="1" t="s">
        <v>82</v>
      </c>
      <c r="O68" s="1" t="s">
        <v>82</v>
      </c>
      <c r="P68" s="1" t="s">
        <v>82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N68" s="184"/>
      <c r="BC68" s="1">
        <v>82</v>
      </c>
      <c r="BD68" s="1" t="s">
        <v>1647</v>
      </c>
      <c r="BE68" s="1" t="s">
        <v>1693</v>
      </c>
      <c r="BF68" s="1" t="s">
        <v>1466</v>
      </c>
      <c r="BG68" s="1">
        <v>40</v>
      </c>
      <c r="BH68" s="1" t="s">
        <v>752</v>
      </c>
      <c r="BI68" s="1" t="s">
        <v>1679</v>
      </c>
    </row>
    <row r="69" spans="2:61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>
        <v>70</v>
      </c>
      <c r="J69">
        <v>80</v>
      </c>
      <c r="K69">
        <v>50</v>
      </c>
      <c r="L69">
        <v>35</v>
      </c>
      <c r="M69">
        <v>35</v>
      </c>
      <c r="N69" s="1">
        <v>28</v>
      </c>
      <c r="O69" s="1">
        <v>67</v>
      </c>
      <c r="P69" s="1" t="s">
        <v>805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N69" s="184"/>
      <c r="BC69" s="1">
        <v>83</v>
      </c>
      <c r="BD69" s="1" t="s">
        <v>1507</v>
      </c>
      <c r="BE69" s="1" t="s">
        <v>1508</v>
      </c>
      <c r="BF69" s="1" t="s">
        <v>1466</v>
      </c>
      <c r="BG69" s="1">
        <v>35</v>
      </c>
      <c r="BH69" s="1" t="s">
        <v>1473</v>
      </c>
      <c r="BI69" s="1" t="s">
        <v>1676</v>
      </c>
    </row>
    <row r="70" spans="2:61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>
        <v>80</v>
      </c>
      <c r="J70">
        <v>100</v>
      </c>
      <c r="K70">
        <v>70</v>
      </c>
      <c r="L70">
        <v>45</v>
      </c>
      <c r="M70">
        <v>50</v>
      </c>
      <c r="N70" s="1">
        <v>30</v>
      </c>
      <c r="O70" s="1">
        <v>68</v>
      </c>
      <c r="P70" s="1" t="s">
        <v>806</v>
      </c>
      <c r="Q70" s="1" t="b">
        <v>1</v>
      </c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N70" s="184"/>
      <c r="BC70" s="1">
        <v>84</v>
      </c>
      <c r="BD70" s="1" t="s">
        <v>1527</v>
      </c>
      <c r="BE70" s="1" t="s">
        <v>1528</v>
      </c>
      <c r="BF70" s="1" t="s">
        <v>1466</v>
      </c>
      <c r="BG70" s="1">
        <v>40</v>
      </c>
      <c r="BH70" s="1" t="s">
        <v>1487</v>
      </c>
      <c r="BI70" s="1" t="s">
        <v>1681</v>
      </c>
    </row>
    <row r="71" spans="2:61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>
        <v>90</v>
      </c>
      <c r="J71">
        <v>130</v>
      </c>
      <c r="K71">
        <v>80</v>
      </c>
      <c r="L71">
        <v>55</v>
      </c>
      <c r="M71">
        <v>65</v>
      </c>
      <c r="N71" s="1" t="s">
        <v>82</v>
      </c>
      <c r="O71" s="1" t="s">
        <v>82</v>
      </c>
      <c r="P71" s="1" t="s">
        <v>82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N71" s="184"/>
      <c r="BC71" s="1">
        <v>85</v>
      </c>
      <c r="BD71" s="1" t="s">
        <v>1615</v>
      </c>
      <c r="BE71" s="1" t="s">
        <v>1616</v>
      </c>
      <c r="BF71" s="1" t="s">
        <v>1466</v>
      </c>
      <c r="BG71" s="1">
        <v>90</v>
      </c>
      <c r="BH71" s="1" t="s">
        <v>1487</v>
      </c>
      <c r="BI71" s="1" t="s">
        <v>1681</v>
      </c>
    </row>
    <row r="72" spans="2:61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>
        <v>50</v>
      </c>
      <c r="J72">
        <v>75</v>
      </c>
      <c r="K72">
        <v>35</v>
      </c>
      <c r="L72">
        <v>40</v>
      </c>
      <c r="M72">
        <v>70</v>
      </c>
      <c r="N72" s="1">
        <v>21</v>
      </c>
      <c r="O72" s="1">
        <v>70</v>
      </c>
      <c r="P72" s="1" t="s">
        <v>808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N72" s="184"/>
      <c r="BC72" s="1">
        <v>87</v>
      </c>
      <c r="BD72" s="1" t="s">
        <v>1536</v>
      </c>
      <c r="BE72" s="1" t="s">
        <v>1537</v>
      </c>
      <c r="BF72" s="1" t="s">
        <v>1466</v>
      </c>
      <c r="BG72" s="1">
        <v>110</v>
      </c>
      <c r="BH72" s="1" t="s">
        <v>1487</v>
      </c>
      <c r="BI72" s="1" t="s">
        <v>1681</v>
      </c>
    </row>
    <row r="73" spans="2:61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>
        <v>65</v>
      </c>
      <c r="J73">
        <v>90</v>
      </c>
      <c r="K73">
        <v>50</v>
      </c>
      <c r="L73">
        <v>55</v>
      </c>
      <c r="M73">
        <v>85</v>
      </c>
      <c r="N73" s="1">
        <v>30</v>
      </c>
      <c r="O73" s="1">
        <v>71</v>
      </c>
      <c r="P73" s="1" t="s">
        <v>809</v>
      </c>
      <c r="Q73" s="1" t="b">
        <v>1</v>
      </c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N73" s="184"/>
      <c r="BC73" s="1">
        <v>88</v>
      </c>
      <c r="BD73" s="1" t="s">
        <v>1557</v>
      </c>
      <c r="BE73" s="1" t="s">
        <v>1558</v>
      </c>
      <c r="BF73" s="1" t="s">
        <v>1462</v>
      </c>
      <c r="BG73" s="1">
        <v>50</v>
      </c>
      <c r="BH73" s="1" t="s">
        <v>1474</v>
      </c>
      <c r="BI73" s="1" t="s">
        <v>1680</v>
      </c>
    </row>
    <row r="74" spans="2:61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>
        <v>80</v>
      </c>
      <c r="J74">
        <v>105</v>
      </c>
      <c r="K74">
        <v>65</v>
      </c>
      <c r="L74">
        <v>70</v>
      </c>
      <c r="M74">
        <v>100</v>
      </c>
      <c r="N74" s="1" t="s">
        <v>82</v>
      </c>
      <c r="O74" s="1" t="s">
        <v>82</v>
      </c>
      <c r="P74" s="1" t="s">
        <v>82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N74" s="184"/>
      <c r="BC74" s="1">
        <v>89</v>
      </c>
      <c r="BD74" s="1" t="s">
        <v>1610</v>
      </c>
      <c r="BE74" s="1" t="s">
        <v>1611</v>
      </c>
      <c r="BF74" s="1" t="s">
        <v>1462</v>
      </c>
      <c r="BG74" s="1">
        <v>100</v>
      </c>
      <c r="BH74" s="1" t="s">
        <v>1465</v>
      </c>
      <c r="BI74" s="1" t="s">
        <v>1668</v>
      </c>
    </row>
    <row r="75" spans="2:61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>
        <v>40</v>
      </c>
      <c r="J75">
        <v>40</v>
      </c>
      <c r="K75">
        <v>35</v>
      </c>
      <c r="L75">
        <v>70</v>
      </c>
      <c r="M75">
        <v>100</v>
      </c>
      <c r="N75" s="1">
        <v>30</v>
      </c>
      <c r="O75" s="1">
        <v>73</v>
      </c>
      <c r="P75" s="1" t="s">
        <v>659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N75" s="184"/>
      <c r="BC75" s="1">
        <v>90</v>
      </c>
      <c r="BD75" s="1" t="s">
        <v>1463</v>
      </c>
      <c r="BE75" s="1" t="s">
        <v>1464</v>
      </c>
      <c r="BF75" s="1" t="s">
        <v>1462</v>
      </c>
      <c r="BG75" s="1">
        <v>80</v>
      </c>
      <c r="BH75" s="1" t="s">
        <v>1465</v>
      </c>
      <c r="BI75" s="1" t="s">
        <v>1668</v>
      </c>
    </row>
    <row r="76" spans="2:61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>
        <v>80</v>
      </c>
      <c r="J76">
        <v>70</v>
      </c>
      <c r="K76">
        <v>65</v>
      </c>
      <c r="L76">
        <v>100</v>
      </c>
      <c r="M76">
        <v>120</v>
      </c>
      <c r="N76" s="1" t="s">
        <v>82</v>
      </c>
      <c r="O76" s="1" t="s">
        <v>82</v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N76" s="184"/>
      <c r="BC76" s="1">
        <v>91</v>
      </c>
      <c r="BD76" s="1" t="s">
        <v>1624</v>
      </c>
      <c r="BE76" s="1" t="s">
        <v>1625</v>
      </c>
      <c r="BF76" s="1" t="s">
        <v>1462</v>
      </c>
      <c r="BG76" s="1">
        <v>80</v>
      </c>
      <c r="BH76" s="1" t="s">
        <v>1465</v>
      </c>
      <c r="BI76" s="1" t="s">
        <v>1668</v>
      </c>
    </row>
    <row r="77" spans="2:61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>
        <v>40</v>
      </c>
      <c r="J77">
        <v>80</v>
      </c>
      <c r="K77">
        <v>100</v>
      </c>
      <c r="L77">
        <v>20</v>
      </c>
      <c r="M77">
        <v>30</v>
      </c>
      <c r="N77" s="1">
        <v>25</v>
      </c>
      <c r="O77" s="1">
        <v>75</v>
      </c>
      <c r="P77" s="1" t="s">
        <v>812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N77" s="184"/>
      <c r="BC77" s="1">
        <v>93</v>
      </c>
      <c r="BD77" s="1" t="s">
        <v>1494</v>
      </c>
      <c r="BE77" s="1" t="s">
        <v>1495</v>
      </c>
      <c r="BF77" s="1" t="s">
        <v>1466</v>
      </c>
      <c r="BG77" s="1">
        <v>50</v>
      </c>
      <c r="BH77" s="1" t="s">
        <v>1471</v>
      </c>
      <c r="BI77" s="1" t="s">
        <v>1675</v>
      </c>
    </row>
    <row r="78" spans="2:61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>
        <v>55</v>
      </c>
      <c r="J78">
        <v>95</v>
      </c>
      <c r="K78">
        <v>115</v>
      </c>
      <c r="L78">
        <v>35</v>
      </c>
      <c r="M78">
        <v>45</v>
      </c>
      <c r="N78" s="1">
        <v>30</v>
      </c>
      <c r="O78" s="1">
        <v>76</v>
      </c>
      <c r="P78" s="1" t="s">
        <v>813</v>
      </c>
      <c r="Q78" s="1" t="b">
        <v>1</v>
      </c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N78" s="184"/>
      <c r="BC78" s="1">
        <v>94</v>
      </c>
      <c r="BD78" s="1" t="s">
        <v>1602</v>
      </c>
      <c r="BE78" s="1" t="s">
        <v>803</v>
      </c>
      <c r="BF78" s="1" t="s">
        <v>1466</v>
      </c>
      <c r="BG78" s="1">
        <v>90</v>
      </c>
      <c r="BH78" s="1" t="s">
        <v>1471</v>
      </c>
      <c r="BI78" s="1" t="s">
        <v>1675</v>
      </c>
    </row>
    <row r="79" spans="2:61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>
        <v>80</v>
      </c>
      <c r="J79">
        <v>110</v>
      </c>
      <c r="K79">
        <v>130</v>
      </c>
      <c r="L79">
        <v>45</v>
      </c>
      <c r="M79">
        <v>55</v>
      </c>
      <c r="N79" s="1" t="s">
        <v>82</v>
      </c>
      <c r="O79" s="1" t="s">
        <v>82</v>
      </c>
      <c r="P79" s="1" t="s">
        <v>82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N79" s="184"/>
      <c r="BC79" s="1">
        <v>98</v>
      </c>
      <c r="BD79" s="1" t="s">
        <v>1634</v>
      </c>
      <c r="BE79" s="1" t="s">
        <v>1635</v>
      </c>
      <c r="BF79" s="1" t="s">
        <v>1462</v>
      </c>
      <c r="BG79" s="1">
        <v>40</v>
      </c>
      <c r="BH79" s="1" t="s">
        <v>765</v>
      </c>
      <c r="BI79" s="1" t="s">
        <v>1672</v>
      </c>
    </row>
    <row r="80" spans="2:61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>
        <v>50</v>
      </c>
      <c r="J80">
        <v>85</v>
      </c>
      <c r="K80">
        <v>55</v>
      </c>
      <c r="L80">
        <v>90</v>
      </c>
      <c r="M80">
        <v>65</v>
      </c>
      <c r="N80" s="1">
        <v>40</v>
      </c>
      <c r="O80" s="1">
        <v>78</v>
      </c>
      <c r="P80" s="1" t="s">
        <v>814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N80" s="184"/>
      <c r="BC80" s="1">
        <v>99</v>
      </c>
      <c r="BD80" s="1" t="s">
        <v>1651</v>
      </c>
      <c r="BE80" s="1" t="s">
        <v>1695</v>
      </c>
      <c r="BF80" s="1" t="s">
        <v>1462</v>
      </c>
      <c r="BG80" s="1">
        <v>20</v>
      </c>
      <c r="BH80" s="1" t="s">
        <v>765</v>
      </c>
      <c r="BI80" s="1" t="s">
        <v>1672</v>
      </c>
    </row>
    <row r="81" spans="2:61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>
        <v>65</v>
      </c>
      <c r="J81">
        <v>100</v>
      </c>
      <c r="K81">
        <v>70</v>
      </c>
      <c r="L81">
        <v>105</v>
      </c>
      <c r="M81">
        <v>80</v>
      </c>
      <c r="N81" s="1" t="s">
        <v>82</v>
      </c>
      <c r="O81" s="1" t="s">
        <v>82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N81" s="184"/>
      <c r="BC81" s="1">
        <v>101</v>
      </c>
      <c r="BD81" s="1" t="s">
        <v>1580</v>
      </c>
      <c r="BE81" s="1" t="s">
        <v>1581</v>
      </c>
      <c r="BF81" s="1" t="s">
        <v>1466</v>
      </c>
      <c r="BG81" s="1">
        <v>45</v>
      </c>
      <c r="BH81" s="1" t="s">
        <v>1480</v>
      </c>
      <c r="BI81" s="1" t="s">
        <v>1682</v>
      </c>
    </row>
    <row r="82" spans="2:61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>
        <v>90</v>
      </c>
      <c r="J82">
        <v>65</v>
      </c>
      <c r="K82">
        <v>65</v>
      </c>
      <c r="L82">
        <v>15</v>
      </c>
      <c r="M82">
        <v>40</v>
      </c>
      <c r="N82" s="1">
        <v>37</v>
      </c>
      <c r="O82" s="1">
        <v>80</v>
      </c>
      <c r="P82" s="251" t="s">
        <v>816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N82" s="184"/>
      <c r="BC82" s="1">
        <v>117</v>
      </c>
      <c r="BD82" s="1" t="s">
        <v>1656</v>
      </c>
      <c r="BE82" s="1" t="s">
        <v>1698</v>
      </c>
      <c r="BF82" s="1" t="s">
        <v>1462</v>
      </c>
      <c r="BG82" s="1">
        <v>35</v>
      </c>
      <c r="BH82" s="1" t="s">
        <v>765</v>
      </c>
      <c r="BI82" s="1" t="s">
        <v>1672</v>
      </c>
    </row>
    <row r="83" spans="2:61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>
        <v>95</v>
      </c>
      <c r="J83">
        <v>75</v>
      </c>
      <c r="K83">
        <v>110</v>
      </c>
      <c r="L83">
        <v>30</v>
      </c>
      <c r="M83">
        <v>80</v>
      </c>
      <c r="N83" s="1" t="s">
        <v>82</v>
      </c>
      <c r="O83" s="1" t="s">
        <v>82</v>
      </c>
      <c r="P83" s="1" t="s">
        <v>82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N83" s="184"/>
      <c r="BC83" s="1">
        <v>120</v>
      </c>
      <c r="BD83" s="1" t="s">
        <v>1517</v>
      </c>
      <c r="BE83" s="1" t="s">
        <v>1518</v>
      </c>
      <c r="BF83" s="1" t="s">
        <v>1462</v>
      </c>
      <c r="BG83" s="1">
        <v>200</v>
      </c>
      <c r="BH83" s="1" t="s">
        <v>765</v>
      </c>
      <c r="BI83" s="1" t="s">
        <v>1672</v>
      </c>
    </row>
    <row r="84" spans="2:61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>
        <v>25</v>
      </c>
      <c r="J84">
        <v>35</v>
      </c>
      <c r="K84">
        <v>70</v>
      </c>
      <c r="L84">
        <v>45</v>
      </c>
      <c r="M84">
        <v>95</v>
      </c>
      <c r="N84" s="1">
        <v>30</v>
      </c>
      <c r="O84" s="1">
        <v>82</v>
      </c>
      <c r="P84" s="1" t="s">
        <v>819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N84" s="184"/>
      <c r="BC84" s="1">
        <v>121</v>
      </c>
      <c r="BD84" s="1" t="s">
        <v>1639</v>
      </c>
      <c r="BE84" s="1" t="s">
        <v>1686</v>
      </c>
      <c r="BF84" s="1" t="s">
        <v>1462</v>
      </c>
      <c r="BG84" s="1">
        <v>100</v>
      </c>
      <c r="BH84" s="1" t="s">
        <v>765</v>
      </c>
      <c r="BI84" s="1" t="s">
        <v>1672</v>
      </c>
    </row>
    <row r="85" spans="2:61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>
        <v>50</v>
      </c>
      <c r="J85">
        <v>60</v>
      </c>
      <c r="K85">
        <v>95</v>
      </c>
      <c r="L85">
        <v>70</v>
      </c>
      <c r="M85">
        <v>120</v>
      </c>
      <c r="N85" s="1">
        <v>30</v>
      </c>
      <c r="O85" s="1">
        <v>462</v>
      </c>
      <c r="P85" s="1" t="s">
        <v>1116</v>
      </c>
      <c r="Q85" s="1" t="b">
        <v>1</v>
      </c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N85" s="184"/>
      <c r="BC85" s="1">
        <v>122</v>
      </c>
      <c r="BD85" s="1" t="s">
        <v>1566</v>
      </c>
      <c r="BE85" s="1" t="s">
        <v>1567</v>
      </c>
      <c r="BF85" s="1" t="s">
        <v>1462</v>
      </c>
      <c r="BG85" s="1">
        <v>30</v>
      </c>
      <c r="BH85" s="1" t="s">
        <v>1480</v>
      </c>
      <c r="BI85" s="1" t="s">
        <v>1682</v>
      </c>
    </row>
    <row r="86" spans="2:61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>
        <v>52</v>
      </c>
      <c r="J86">
        <v>65</v>
      </c>
      <c r="K86">
        <v>55</v>
      </c>
      <c r="L86">
        <v>60</v>
      </c>
      <c r="M86">
        <v>58</v>
      </c>
      <c r="N86" s="1" t="s">
        <v>82</v>
      </c>
      <c r="O86" s="1" t="s">
        <v>82</v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N86" s="184"/>
      <c r="BC86" s="1">
        <v>123</v>
      </c>
      <c r="BD86" s="1" t="s">
        <v>1604</v>
      </c>
      <c r="BE86" s="1" t="s">
        <v>1605</v>
      </c>
      <c r="BF86" s="1" t="s">
        <v>1466</v>
      </c>
      <c r="BG86" s="1">
        <v>30</v>
      </c>
      <c r="BH86" s="1" t="s">
        <v>744</v>
      </c>
      <c r="BI86" s="1" t="s">
        <v>1669</v>
      </c>
    </row>
    <row r="87" spans="2:61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>
        <v>35</v>
      </c>
      <c r="J87">
        <v>85</v>
      </c>
      <c r="K87">
        <v>45</v>
      </c>
      <c r="L87">
        <v>75</v>
      </c>
      <c r="M87">
        <v>35</v>
      </c>
      <c r="N87" s="1">
        <v>31</v>
      </c>
      <c r="O87" s="1">
        <v>85</v>
      </c>
      <c r="P87" s="1" t="s">
        <v>647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N87" s="184"/>
      <c r="BC87" s="1">
        <v>124</v>
      </c>
      <c r="BD87" s="1" t="s">
        <v>1519</v>
      </c>
      <c r="BE87" s="1" t="s">
        <v>1520</v>
      </c>
      <c r="BF87" s="1" t="s">
        <v>1466</v>
      </c>
      <c r="BG87" s="1">
        <v>65</v>
      </c>
      <c r="BH87" s="1" t="s">
        <v>744</v>
      </c>
      <c r="BI87" s="1" t="s">
        <v>1669</v>
      </c>
    </row>
    <row r="88" spans="2:61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>
        <v>60</v>
      </c>
      <c r="J88">
        <v>110</v>
      </c>
      <c r="K88">
        <v>70</v>
      </c>
      <c r="L88">
        <v>100</v>
      </c>
      <c r="M88">
        <v>60</v>
      </c>
      <c r="N88" s="1" t="s">
        <v>82</v>
      </c>
      <c r="O88" s="1" t="s">
        <v>82</v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N88" s="184"/>
      <c r="BC88" s="1">
        <v>125</v>
      </c>
      <c r="BD88" s="1" t="s">
        <v>1653</v>
      </c>
      <c r="BE88" s="1" t="s">
        <v>1696</v>
      </c>
      <c r="BF88" s="1" t="s">
        <v>1462</v>
      </c>
      <c r="BG88" s="1">
        <v>65</v>
      </c>
      <c r="BH88" s="1" t="s">
        <v>1465</v>
      </c>
      <c r="BI88" s="1" t="s">
        <v>1668</v>
      </c>
    </row>
    <row r="89" spans="2:61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>
        <v>65</v>
      </c>
      <c r="J89">
        <v>45</v>
      </c>
      <c r="K89">
        <v>55</v>
      </c>
      <c r="L89">
        <v>45</v>
      </c>
      <c r="M89">
        <v>70</v>
      </c>
      <c r="N89" s="1">
        <v>34</v>
      </c>
      <c r="O89" s="1">
        <v>87</v>
      </c>
      <c r="P89" s="1" t="s">
        <v>822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N89" s="184"/>
      <c r="BC89" s="1">
        <v>126</v>
      </c>
      <c r="BD89" s="1" t="s">
        <v>1515</v>
      </c>
      <c r="BE89" s="1" t="s">
        <v>1516</v>
      </c>
      <c r="BF89" s="1" t="s">
        <v>1466</v>
      </c>
      <c r="BG89" s="1">
        <v>110</v>
      </c>
      <c r="BH89" s="1" t="s">
        <v>1473</v>
      </c>
      <c r="BI89" s="1" t="s">
        <v>1676</v>
      </c>
    </row>
    <row r="90" spans="2:61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>
        <v>90</v>
      </c>
      <c r="J90">
        <v>70</v>
      </c>
      <c r="K90">
        <v>80</v>
      </c>
      <c r="L90">
        <v>70</v>
      </c>
      <c r="M90">
        <v>95</v>
      </c>
      <c r="N90" s="1" t="s">
        <v>82</v>
      </c>
      <c r="O90" s="1" t="s">
        <v>82</v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N90" s="184"/>
      <c r="BC90" s="1">
        <v>127</v>
      </c>
      <c r="BD90" s="1" t="s">
        <v>1490</v>
      </c>
      <c r="BE90" s="1" t="s">
        <v>1491</v>
      </c>
      <c r="BF90" s="1" t="s">
        <v>1462</v>
      </c>
      <c r="BG90" s="1">
        <v>80</v>
      </c>
      <c r="BH90" s="1" t="s">
        <v>1472</v>
      </c>
      <c r="BI90" s="1" t="s">
        <v>1674</v>
      </c>
    </row>
    <row r="91" spans="2:61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>
        <v>80</v>
      </c>
      <c r="J91">
        <v>80</v>
      </c>
      <c r="K91">
        <v>50</v>
      </c>
      <c r="L91">
        <v>25</v>
      </c>
      <c r="M91">
        <v>40</v>
      </c>
      <c r="N91" s="1">
        <v>38</v>
      </c>
      <c r="O91" s="1">
        <v>89</v>
      </c>
      <c r="P91" s="1" t="s">
        <v>825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N91" s="184"/>
      <c r="BC91" s="1">
        <v>128</v>
      </c>
      <c r="BD91" s="1" t="s">
        <v>1640</v>
      </c>
      <c r="BE91" s="1" t="s">
        <v>1687</v>
      </c>
      <c r="BF91" s="1" t="s">
        <v>1462</v>
      </c>
      <c r="BG91" s="1">
        <v>35</v>
      </c>
      <c r="BH91" s="1" t="s">
        <v>1472</v>
      </c>
      <c r="BI91" s="1" t="s">
        <v>1674</v>
      </c>
    </row>
    <row r="92" spans="2:61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>
        <v>105</v>
      </c>
      <c r="J92">
        <v>105</v>
      </c>
      <c r="K92">
        <v>75</v>
      </c>
      <c r="L92">
        <v>50</v>
      </c>
      <c r="M92">
        <v>65</v>
      </c>
      <c r="N92" s="1" t="s">
        <v>82</v>
      </c>
      <c r="O92" s="1" t="s">
        <v>82</v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N92" s="184"/>
      <c r="BC92" s="1">
        <v>129</v>
      </c>
      <c r="BD92" s="1" t="s">
        <v>1576</v>
      </c>
      <c r="BE92" s="1" t="s">
        <v>1577</v>
      </c>
      <c r="BF92" s="1" t="s">
        <v>1466</v>
      </c>
      <c r="BG92" s="1">
        <v>60</v>
      </c>
      <c r="BH92" s="1" t="s">
        <v>765</v>
      </c>
      <c r="BI92" s="1" t="s">
        <v>1672</v>
      </c>
    </row>
    <row r="93" spans="2:61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>
        <v>30</v>
      </c>
      <c r="J93">
        <v>65</v>
      </c>
      <c r="K93">
        <v>100</v>
      </c>
      <c r="L93">
        <v>40</v>
      </c>
      <c r="M93">
        <v>45</v>
      </c>
      <c r="N93" s="1">
        <v>30</v>
      </c>
      <c r="O93" s="1">
        <v>91</v>
      </c>
      <c r="P93" s="1" t="s">
        <v>827</v>
      </c>
      <c r="Q93" s="1" t="b">
        <v>1</v>
      </c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N93" s="184"/>
      <c r="BC93" s="1">
        <v>130</v>
      </c>
      <c r="BD93" s="1" t="s">
        <v>1642</v>
      </c>
      <c r="BE93" s="1" t="s">
        <v>1689</v>
      </c>
      <c r="BF93" s="1" t="s">
        <v>1462</v>
      </c>
      <c r="BG93" s="1">
        <v>130</v>
      </c>
      <c r="BH93" s="1" t="s">
        <v>765</v>
      </c>
      <c r="BI93" s="1" t="s">
        <v>1672</v>
      </c>
    </row>
    <row r="94" spans="2:61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>
        <v>50</v>
      </c>
      <c r="J94">
        <v>95</v>
      </c>
      <c r="K94">
        <v>180</v>
      </c>
      <c r="L94">
        <v>70</v>
      </c>
      <c r="M94">
        <v>85</v>
      </c>
      <c r="N94" s="1" t="s">
        <v>82</v>
      </c>
      <c r="O94" s="1" t="s">
        <v>82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N94" s="184"/>
      <c r="BC94" s="1">
        <v>131</v>
      </c>
      <c r="BD94" s="1" t="s">
        <v>1657</v>
      </c>
      <c r="BE94" s="1" t="s">
        <v>1700</v>
      </c>
      <c r="BF94" s="1" t="s">
        <v>1462</v>
      </c>
      <c r="BG94" s="1">
        <v>45</v>
      </c>
      <c r="BH94" s="1" t="s">
        <v>765</v>
      </c>
      <c r="BI94" s="1" t="s">
        <v>1672</v>
      </c>
    </row>
    <row r="95" spans="2:61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>
        <v>30</v>
      </c>
      <c r="J95">
        <v>35</v>
      </c>
      <c r="K95">
        <v>30</v>
      </c>
      <c r="L95">
        <v>80</v>
      </c>
      <c r="M95">
        <v>100</v>
      </c>
      <c r="N95" s="1">
        <v>25</v>
      </c>
      <c r="O95" s="1">
        <v>93</v>
      </c>
      <c r="P95" s="1" t="s">
        <v>830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N95" s="184"/>
      <c r="BC95" s="1">
        <v>132</v>
      </c>
      <c r="BD95" s="1" t="s">
        <v>1641</v>
      </c>
      <c r="BE95" s="1" t="s">
        <v>1688</v>
      </c>
      <c r="BF95" s="1" t="s">
        <v>1462</v>
      </c>
      <c r="BG95" s="1">
        <v>10</v>
      </c>
      <c r="BH95" s="1" t="s">
        <v>765</v>
      </c>
      <c r="BI95" s="1" t="s">
        <v>1672</v>
      </c>
    </row>
    <row r="96" spans="2:61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>
        <v>45</v>
      </c>
      <c r="J96">
        <v>50</v>
      </c>
      <c r="K96">
        <v>45</v>
      </c>
      <c r="L96">
        <v>95</v>
      </c>
      <c r="M96">
        <v>115</v>
      </c>
      <c r="N96" s="1">
        <v>30</v>
      </c>
      <c r="O96" s="1">
        <v>94</v>
      </c>
      <c r="P96" s="1" t="s">
        <v>831</v>
      </c>
      <c r="Q96" s="1" t="b">
        <v>1</v>
      </c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N96" s="184"/>
      <c r="BC96" s="1">
        <v>136</v>
      </c>
      <c r="BD96" s="1" t="s">
        <v>1586</v>
      </c>
      <c r="BE96" s="1" t="s">
        <v>1587</v>
      </c>
      <c r="BF96" s="1" t="s">
        <v>1462</v>
      </c>
      <c r="BG96" s="1">
        <v>130</v>
      </c>
      <c r="BH96" s="1" t="s">
        <v>1476</v>
      </c>
      <c r="BI96" s="1" t="s">
        <v>1670</v>
      </c>
    </row>
    <row r="97" spans="2:61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>
        <v>60</v>
      </c>
      <c r="J97">
        <v>65</v>
      </c>
      <c r="K97">
        <v>60</v>
      </c>
      <c r="L97">
        <v>110</v>
      </c>
      <c r="M97">
        <v>130</v>
      </c>
      <c r="N97" s="1" t="s">
        <v>82</v>
      </c>
      <c r="O97" s="1" t="s">
        <v>82</v>
      </c>
      <c r="P97" s="1" t="s">
        <v>82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N97" s="184"/>
      <c r="BC97" s="1">
        <v>138</v>
      </c>
      <c r="BD97" s="1" t="s">
        <v>1521</v>
      </c>
      <c r="BE97" s="1" t="s">
        <v>1522</v>
      </c>
      <c r="BF97" s="1" t="s">
        <v>1466</v>
      </c>
      <c r="BG97" s="1">
        <v>100</v>
      </c>
      <c r="BH97" s="1" t="s">
        <v>1471</v>
      </c>
      <c r="BI97" s="1" t="s">
        <v>1675</v>
      </c>
    </row>
    <row r="98" spans="2:61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>
        <v>35</v>
      </c>
      <c r="J98">
        <v>45</v>
      </c>
      <c r="K98">
        <v>160</v>
      </c>
      <c r="L98">
        <v>70</v>
      </c>
      <c r="M98">
        <v>30</v>
      </c>
      <c r="N98" s="1">
        <v>30</v>
      </c>
      <c r="O98" s="1">
        <v>208</v>
      </c>
      <c r="P98" s="1" t="s">
        <v>524</v>
      </c>
      <c r="Q98" s="1" t="b">
        <v>1</v>
      </c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N98" s="184"/>
      <c r="BC98" s="1">
        <v>140</v>
      </c>
      <c r="BD98" s="1" t="s">
        <v>1659</v>
      </c>
      <c r="BE98" s="1" t="s">
        <v>1481</v>
      </c>
      <c r="BF98" s="1" t="s">
        <v>1462</v>
      </c>
      <c r="BG98" s="1">
        <v>20</v>
      </c>
      <c r="BH98" s="1" t="s">
        <v>765</v>
      </c>
      <c r="BI98" s="1" t="s">
        <v>1672</v>
      </c>
    </row>
    <row r="99" spans="2:61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>
        <v>60</v>
      </c>
      <c r="J99">
        <v>48</v>
      </c>
      <c r="K99">
        <v>45</v>
      </c>
      <c r="L99">
        <v>42</v>
      </c>
      <c r="M99">
        <v>90</v>
      </c>
      <c r="N99" s="1">
        <v>26</v>
      </c>
      <c r="O99" s="1">
        <v>97</v>
      </c>
      <c r="P99" s="1" t="s">
        <v>833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N99" s="184"/>
      <c r="BC99" s="1">
        <v>141</v>
      </c>
      <c r="BD99" s="1" t="s">
        <v>1632</v>
      </c>
      <c r="BE99" s="1" t="s">
        <v>1633</v>
      </c>
      <c r="BF99" s="1" t="s">
        <v>1462</v>
      </c>
      <c r="BG99" s="1">
        <v>80</v>
      </c>
      <c r="BH99" s="1" t="s">
        <v>1475</v>
      </c>
      <c r="BI99" s="1" t="s">
        <v>1678</v>
      </c>
    </row>
    <row r="100" spans="2:61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>
        <v>85</v>
      </c>
      <c r="J100">
        <v>73</v>
      </c>
      <c r="K100">
        <v>70</v>
      </c>
      <c r="L100">
        <v>67</v>
      </c>
      <c r="M100">
        <v>115</v>
      </c>
      <c r="N100" s="1" t="s">
        <v>82</v>
      </c>
      <c r="O100" s="1" t="s">
        <v>82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N100" s="184"/>
      <c r="BC100" s="1">
        <v>143</v>
      </c>
      <c r="BD100" s="1" t="s">
        <v>1590</v>
      </c>
      <c r="BE100" s="1" t="s">
        <v>1591</v>
      </c>
      <c r="BF100" s="1" t="s">
        <v>1462</v>
      </c>
      <c r="BG100" s="1">
        <v>140</v>
      </c>
      <c r="BH100" s="1" t="s">
        <v>1470</v>
      </c>
      <c r="BI100" s="1" t="s">
        <v>1671</v>
      </c>
    </row>
    <row r="101" spans="2:61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>
        <v>30</v>
      </c>
      <c r="J101">
        <v>105</v>
      </c>
      <c r="K101">
        <v>90</v>
      </c>
      <c r="L101">
        <v>50</v>
      </c>
      <c r="M101">
        <v>25</v>
      </c>
      <c r="N101" s="1">
        <v>28</v>
      </c>
      <c r="O101" s="1">
        <v>99</v>
      </c>
      <c r="P101" s="1" t="s">
        <v>834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N101" s="184"/>
      <c r="BC101" s="1">
        <v>145</v>
      </c>
      <c r="BD101" s="1" t="s">
        <v>1649</v>
      </c>
      <c r="BE101" s="1" t="s">
        <v>1694</v>
      </c>
      <c r="BF101" s="1" t="s">
        <v>1466</v>
      </c>
      <c r="BG101" s="1">
        <v>40</v>
      </c>
      <c r="BH101" s="1" t="s">
        <v>1472</v>
      </c>
      <c r="BI101" s="1" t="s">
        <v>1674</v>
      </c>
    </row>
    <row r="102" spans="2:61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>
        <v>55</v>
      </c>
      <c r="J102">
        <v>130</v>
      </c>
      <c r="K102">
        <v>115</v>
      </c>
      <c r="L102">
        <v>75</v>
      </c>
      <c r="M102">
        <v>50</v>
      </c>
      <c r="N102" s="1" t="s">
        <v>82</v>
      </c>
      <c r="O102" s="1" t="s">
        <v>82</v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N102" s="184"/>
      <c r="BC102" s="1">
        <v>146</v>
      </c>
      <c r="BD102" s="1" t="s">
        <v>1666</v>
      </c>
      <c r="BE102" s="1" t="s">
        <v>1707</v>
      </c>
      <c r="BF102" s="1" t="s">
        <v>1462</v>
      </c>
      <c r="BG102" s="1">
        <v>70</v>
      </c>
      <c r="BH102" s="1" t="s">
        <v>765</v>
      </c>
      <c r="BI102" s="1" t="s">
        <v>1672</v>
      </c>
    </row>
    <row r="103" spans="2:61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>
        <v>40</v>
      </c>
      <c r="J103">
        <v>30</v>
      </c>
      <c r="K103">
        <v>50</v>
      </c>
      <c r="L103">
        <v>100</v>
      </c>
      <c r="M103">
        <v>55</v>
      </c>
      <c r="N103" s="1">
        <v>30</v>
      </c>
      <c r="O103" s="1">
        <v>101</v>
      </c>
      <c r="P103" s="1" t="s">
        <v>836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N103" s="184"/>
      <c r="BC103" s="1">
        <v>149</v>
      </c>
      <c r="BD103" s="1" t="s">
        <v>1667</v>
      </c>
      <c r="BE103" s="1" t="s">
        <v>1706</v>
      </c>
      <c r="BF103" s="1" t="s">
        <v>1466</v>
      </c>
      <c r="BG103" s="1">
        <v>60</v>
      </c>
      <c r="BH103" s="1" t="s">
        <v>1471</v>
      </c>
      <c r="BI103" s="1" t="s">
        <v>1675</v>
      </c>
    </row>
    <row r="104" spans="2:61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>
        <v>60</v>
      </c>
      <c r="J104">
        <v>50</v>
      </c>
      <c r="K104">
        <v>70</v>
      </c>
      <c r="L104">
        <v>140</v>
      </c>
      <c r="M104">
        <v>80</v>
      </c>
      <c r="N104" s="1" t="s">
        <v>82</v>
      </c>
      <c r="O104" s="1" t="s">
        <v>82</v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N104" s="184"/>
      <c r="BC104" s="1">
        <v>152</v>
      </c>
      <c r="BD104" s="1" t="s">
        <v>1588</v>
      </c>
      <c r="BE104" s="1" t="s">
        <v>1589</v>
      </c>
      <c r="BF104" s="1" t="s">
        <v>1462</v>
      </c>
      <c r="BG104" s="1">
        <v>100</v>
      </c>
      <c r="BH104" s="1" t="s">
        <v>1472</v>
      </c>
      <c r="BI104" s="1" t="s">
        <v>1674</v>
      </c>
    </row>
    <row r="105" spans="2:61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>
        <v>60</v>
      </c>
      <c r="J105">
        <v>40</v>
      </c>
      <c r="K105">
        <v>80</v>
      </c>
      <c r="L105">
        <v>40</v>
      </c>
      <c r="M105">
        <v>60</v>
      </c>
      <c r="N105" s="1">
        <v>30</v>
      </c>
      <c r="O105" s="1">
        <v>103</v>
      </c>
      <c r="P105" s="1" t="s">
        <v>838</v>
      </c>
      <c r="Q105" s="1" t="b">
        <v>1</v>
      </c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N105" s="184"/>
      <c r="BC105" s="1">
        <v>153</v>
      </c>
      <c r="BD105" s="1" t="s">
        <v>1535</v>
      </c>
      <c r="BE105" s="1" t="s">
        <v>1535</v>
      </c>
      <c r="BF105" s="1" t="s">
        <v>1462</v>
      </c>
      <c r="BG105" s="1">
        <v>250</v>
      </c>
      <c r="BH105" s="1" t="s">
        <v>765</v>
      </c>
      <c r="BI105" s="1" t="s">
        <v>1672</v>
      </c>
    </row>
    <row r="106" spans="2:61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>
        <v>95</v>
      </c>
      <c r="J106">
        <v>95</v>
      </c>
      <c r="K106">
        <v>85</v>
      </c>
      <c r="L106">
        <v>55</v>
      </c>
      <c r="M106">
        <v>125</v>
      </c>
      <c r="N106" s="1" t="s">
        <v>82</v>
      </c>
      <c r="O106" s="1" t="s">
        <v>82</v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N106" s="184"/>
      <c r="BC106" s="1">
        <v>154</v>
      </c>
      <c r="BD106" s="1" t="s">
        <v>1496</v>
      </c>
      <c r="BE106" s="1" t="s">
        <v>1497</v>
      </c>
      <c r="BF106" s="1" t="s">
        <v>1462</v>
      </c>
      <c r="BG106" s="1">
        <v>18</v>
      </c>
      <c r="BH106" s="1" t="s">
        <v>765</v>
      </c>
      <c r="BI106" s="1" t="s">
        <v>1672</v>
      </c>
    </row>
    <row r="107" spans="2:61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>
        <v>50</v>
      </c>
      <c r="J107">
        <v>50</v>
      </c>
      <c r="K107">
        <v>95</v>
      </c>
      <c r="L107">
        <v>35</v>
      </c>
      <c r="M107">
        <v>40</v>
      </c>
      <c r="N107" s="1">
        <v>28</v>
      </c>
      <c r="O107" s="1">
        <v>105</v>
      </c>
      <c r="P107" s="1" t="s">
        <v>840</v>
      </c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N107" s="184"/>
      <c r="BC107" s="1">
        <v>155</v>
      </c>
      <c r="BD107" s="1" t="s">
        <v>1655</v>
      </c>
      <c r="BE107" s="1" t="s">
        <v>1699</v>
      </c>
      <c r="BF107" s="1" t="s">
        <v>1462</v>
      </c>
      <c r="BG107" s="1">
        <v>50</v>
      </c>
      <c r="BH107" s="1" t="s">
        <v>1465</v>
      </c>
      <c r="BI107" s="1" t="s">
        <v>1668</v>
      </c>
    </row>
    <row r="108" spans="2:61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>
        <v>60</v>
      </c>
      <c r="J108">
        <v>80</v>
      </c>
      <c r="K108">
        <v>110</v>
      </c>
      <c r="L108">
        <v>45</v>
      </c>
      <c r="M108">
        <v>50</v>
      </c>
      <c r="N108" s="1" t="s">
        <v>82</v>
      </c>
      <c r="O108" s="1" t="s">
        <v>82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N108" s="184"/>
      <c r="BC108" s="1">
        <v>157</v>
      </c>
      <c r="BD108" s="1" t="s">
        <v>1525</v>
      </c>
      <c r="BE108" s="1" t="s">
        <v>1526</v>
      </c>
      <c r="BF108" s="1" t="s">
        <v>1462</v>
      </c>
      <c r="BG108" s="1">
        <v>75</v>
      </c>
      <c r="BH108" s="1" t="s">
        <v>1474</v>
      </c>
      <c r="BI108" s="1" t="s">
        <v>1680</v>
      </c>
    </row>
    <row r="109" spans="2:61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>
        <v>50</v>
      </c>
      <c r="J109">
        <v>120</v>
      </c>
      <c r="K109">
        <v>53</v>
      </c>
      <c r="L109">
        <v>87</v>
      </c>
      <c r="M109">
        <v>35</v>
      </c>
      <c r="N109" s="1" t="s">
        <v>82</v>
      </c>
      <c r="O109" s="1" t="s">
        <v>82</v>
      </c>
      <c r="P109" s="1" t="s">
        <v>82</v>
      </c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N109" s="184"/>
      <c r="BC109" s="1">
        <v>158</v>
      </c>
      <c r="BD109" s="1" t="s">
        <v>1645</v>
      </c>
      <c r="BE109" s="1" t="s">
        <v>1691</v>
      </c>
      <c r="BF109" s="1" t="s">
        <v>1462</v>
      </c>
      <c r="BG109" s="1">
        <v>80</v>
      </c>
      <c r="BH109" s="1" t="s">
        <v>765</v>
      </c>
      <c r="BI109" s="1" t="s">
        <v>1672</v>
      </c>
    </row>
    <row r="110" spans="2:61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>
        <v>50</v>
      </c>
      <c r="J110">
        <v>105</v>
      </c>
      <c r="K110">
        <v>79</v>
      </c>
      <c r="L110">
        <v>76</v>
      </c>
      <c r="M110">
        <v>35</v>
      </c>
      <c r="N110" s="1" t="s">
        <v>82</v>
      </c>
      <c r="O110" s="1" t="s">
        <v>82</v>
      </c>
      <c r="P110" s="1" t="s">
        <v>82</v>
      </c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N110" s="184"/>
      <c r="BC110" s="1">
        <v>161</v>
      </c>
      <c r="BD110" s="1" t="s">
        <v>1622</v>
      </c>
      <c r="BE110" s="1" t="s">
        <v>1623</v>
      </c>
      <c r="BF110" s="1" t="s">
        <v>1466</v>
      </c>
      <c r="BG110" s="1">
        <v>80</v>
      </c>
      <c r="BH110" s="1" t="s">
        <v>765</v>
      </c>
      <c r="BI110" s="1" t="s">
        <v>1672</v>
      </c>
    </row>
    <row r="111" spans="2:61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>
        <v>90</v>
      </c>
      <c r="J111">
        <v>55</v>
      </c>
      <c r="K111">
        <v>75</v>
      </c>
      <c r="L111">
        <v>30</v>
      </c>
      <c r="M111">
        <v>60</v>
      </c>
      <c r="N111" s="1">
        <v>30</v>
      </c>
      <c r="O111" s="1">
        <v>463</v>
      </c>
      <c r="P111" s="1" t="s">
        <v>1117</v>
      </c>
      <c r="Q111" s="1" t="b">
        <v>1</v>
      </c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N111" s="184"/>
      <c r="BC111" s="1">
        <v>162</v>
      </c>
      <c r="BD111" s="1" t="s">
        <v>1501</v>
      </c>
      <c r="BE111" s="1" t="s">
        <v>1502</v>
      </c>
      <c r="BF111" s="1" t="s">
        <v>1462</v>
      </c>
      <c r="BG111" s="1">
        <v>60</v>
      </c>
      <c r="BH111" s="1" t="s">
        <v>765</v>
      </c>
      <c r="BI111" s="1" t="s">
        <v>1672</v>
      </c>
    </row>
    <row r="112" spans="2:61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>
        <v>40</v>
      </c>
      <c r="J112">
        <v>65</v>
      </c>
      <c r="K112">
        <v>95</v>
      </c>
      <c r="L112">
        <v>35</v>
      </c>
      <c r="M112">
        <v>60</v>
      </c>
      <c r="N112" s="1">
        <v>35</v>
      </c>
      <c r="O112" s="1">
        <v>110</v>
      </c>
      <c r="P112" s="1" t="s">
        <v>845</v>
      </c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N112" s="184"/>
      <c r="BC112" s="1">
        <v>163</v>
      </c>
      <c r="BD112" s="1" t="s">
        <v>1620</v>
      </c>
      <c r="BE112" s="1" t="s">
        <v>1621</v>
      </c>
      <c r="BF112" s="1" t="s">
        <v>1462</v>
      </c>
      <c r="BG112" s="1">
        <v>70</v>
      </c>
      <c r="BH112" s="1" t="s">
        <v>765</v>
      </c>
      <c r="BI112" s="1" t="s">
        <v>1672</v>
      </c>
    </row>
    <row r="113" spans="2:61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>
        <v>65</v>
      </c>
      <c r="J113">
        <v>90</v>
      </c>
      <c r="K113">
        <v>120</v>
      </c>
      <c r="L113">
        <v>60</v>
      </c>
      <c r="M113">
        <v>85</v>
      </c>
      <c r="N113" s="1" t="s">
        <v>82</v>
      </c>
      <c r="O113" s="1" t="s">
        <v>82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N113" s="184"/>
      <c r="BC113" s="1">
        <v>165</v>
      </c>
      <c r="BD113" s="1" t="s">
        <v>1570</v>
      </c>
      <c r="BE113" s="1" t="s">
        <v>1571</v>
      </c>
      <c r="BF113" s="1" t="s">
        <v>1462</v>
      </c>
      <c r="BG113" s="1">
        <v>50</v>
      </c>
      <c r="BH113" s="1" t="s">
        <v>765</v>
      </c>
      <c r="BI113" s="1" t="s">
        <v>1672</v>
      </c>
    </row>
    <row r="114" spans="2:61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>
        <v>80</v>
      </c>
      <c r="J114">
        <v>85</v>
      </c>
      <c r="K114">
        <v>95</v>
      </c>
      <c r="L114">
        <v>25</v>
      </c>
      <c r="M114">
        <v>30</v>
      </c>
      <c r="N114" s="1">
        <v>42</v>
      </c>
      <c r="O114" s="1">
        <v>112</v>
      </c>
      <c r="P114" s="1" t="s">
        <v>847</v>
      </c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N114" s="184"/>
    </row>
    <row r="115" spans="2:61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>
        <v>105</v>
      </c>
      <c r="J115">
        <v>130</v>
      </c>
      <c r="K115">
        <v>120</v>
      </c>
      <c r="L115">
        <v>40</v>
      </c>
      <c r="M115">
        <v>45</v>
      </c>
      <c r="N115" s="1">
        <v>30</v>
      </c>
      <c r="O115" s="1">
        <v>464</v>
      </c>
      <c r="P115" s="1" t="s">
        <v>1118</v>
      </c>
      <c r="Q115" s="1" t="b">
        <v>1</v>
      </c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N115" s="184"/>
    </row>
    <row r="116" spans="2:61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>
        <v>250</v>
      </c>
      <c r="J116">
        <v>5</v>
      </c>
      <c r="K116">
        <v>5</v>
      </c>
      <c r="L116">
        <v>50</v>
      </c>
      <c r="M116">
        <v>105</v>
      </c>
      <c r="N116" s="1">
        <v>30</v>
      </c>
      <c r="O116" s="1">
        <v>242</v>
      </c>
      <c r="P116" s="1" t="s">
        <v>948</v>
      </c>
      <c r="Q116" s="1" t="b">
        <v>1</v>
      </c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N116" s="184"/>
    </row>
    <row r="117" spans="2:61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>
        <v>65</v>
      </c>
      <c r="J117">
        <v>55</v>
      </c>
      <c r="K117">
        <v>115</v>
      </c>
      <c r="L117">
        <v>60</v>
      </c>
      <c r="M117">
        <v>100</v>
      </c>
      <c r="N117" s="1">
        <v>30</v>
      </c>
      <c r="O117" s="1">
        <v>465</v>
      </c>
      <c r="P117" s="1" t="s">
        <v>1119</v>
      </c>
      <c r="Q117" s="1" t="b">
        <v>1</v>
      </c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N117" s="184"/>
    </row>
    <row r="118" spans="2:61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>
        <v>105</v>
      </c>
      <c r="J118">
        <v>95</v>
      </c>
      <c r="K118">
        <v>80</v>
      </c>
      <c r="L118">
        <v>90</v>
      </c>
      <c r="M118">
        <v>40</v>
      </c>
      <c r="N118" s="1" t="s">
        <v>82</v>
      </c>
      <c r="O118" s="1" t="s">
        <v>82</v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N118" s="184"/>
    </row>
    <row r="119" spans="2:61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>
        <v>30</v>
      </c>
      <c r="J119">
        <v>40</v>
      </c>
      <c r="K119">
        <v>70</v>
      </c>
      <c r="L119">
        <v>60</v>
      </c>
      <c r="M119">
        <v>70</v>
      </c>
      <c r="N119" s="1">
        <v>32</v>
      </c>
      <c r="O119" s="1">
        <v>117</v>
      </c>
      <c r="P119" s="1" t="s">
        <v>852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N119" s="184"/>
    </row>
    <row r="120" spans="2:61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>
        <v>55</v>
      </c>
      <c r="J120">
        <v>65</v>
      </c>
      <c r="K120">
        <v>95</v>
      </c>
      <c r="L120">
        <v>85</v>
      </c>
      <c r="M120">
        <v>95</v>
      </c>
      <c r="N120" s="1">
        <v>30</v>
      </c>
      <c r="O120" s="1">
        <v>230</v>
      </c>
      <c r="P120" s="1" t="s">
        <v>940</v>
      </c>
      <c r="Q120" s="1" t="b">
        <v>1</v>
      </c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N120" s="184"/>
    </row>
    <row r="121" spans="2:61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>
        <v>45</v>
      </c>
      <c r="J121">
        <v>67</v>
      </c>
      <c r="K121">
        <v>60</v>
      </c>
      <c r="L121">
        <v>63</v>
      </c>
      <c r="M121">
        <v>50</v>
      </c>
      <c r="N121" s="1">
        <v>33</v>
      </c>
      <c r="O121" s="1">
        <v>119</v>
      </c>
      <c r="P121" s="1" t="s">
        <v>854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N121" s="184"/>
    </row>
    <row r="122" spans="2:61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>
        <v>80</v>
      </c>
      <c r="J122">
        <v>92</v>
      </c>
      <c r="K122">
        <v>65</v>
      </c>
      <c r="L122">
        <v>68</v>
      </c>
      <c r="M122">
        <v>80</v>
      </c>
      <c r="N122" s="1" t="s">
        <v>82</v>
      </c>
      <c r="O122" s="1" t="s">
        <v>82</v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N122" s="184"/>
    </row>
    <row r="123" spans="2:61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>
        <v>30</v>
      </c>
      <c r="J123">
        <v>45</v>
      </c>
      <c r="K123">
        <v>55</v>
      </c>
      <c r="L123">
        <v>85</v>
      </c>
      <c r="M123">
        <v>70</v>
      </c>
      <c r="N123" s="1">
        <v>30</v>
      </c>
      <c r="O123" s="1">
        <v>121</v>
      </c>
      <c r="P123" s="1" t="s">
        <v>856</v>
      </c>
      <c r="Q123" s="1" t="b">
        <v>1</v>
      </c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N123" s="184"/>
    </row>
    <row r="124" spans="2:61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>
        <v>60</v>
      </c>
      <c r="J124">
        <v>75</v>
      </c>
      <c r="K124">
        <v>85</v>
      </c>
      <c r="L124">
        <v>115</v>
      </c>
      <c r="M124">
        <v>100</v>
      </c>
      <c r="N124" s="1" t="s">
        <v>82</v>
      </c>
      <c r="O124" s="1" t="s">
        <v>82</v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N124" s="184"/>
    </row>
    <row r="125" spans="2:61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>
        <v>40</v>
      </c>
      <c r="J125">
        <v>45</v>
      </c>
      <c r="K125">
        <v>65</v>
      </c>
      <c r="L125">
        <v>90</v>
      </c>
      <c r="M125">
        <v>100</v>
      </c>
      <c r="N125" s="1" t="s">
        <v>82</v>
      </c>
      <c r="O125" s="1" t="s">
        <v>82</v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N125" s="184"/>
    </row>
    <row r="126" spans="2:61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>
        <v>70</v>
      </c>
      <c r="J126">
        <v>110</v>
      </c>
      <c r="K126">
        <v>80</v>
      </c>
      <c r="L126">
        <v>105</v>
      </c>
      <c r="M126">
        <v>55</v>
      </c>
      <c r="N126" s="1" t="s">
        <v>82</v>
      </c>
      <c r="O126" s="1" t="s">
        <v>82</v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N126" s="184"/>
    </row>
    <row r="127" spans="2:61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>
        <v>65</v>
      </c>
      <c r="J127">
        <v>50</v>
      </c>
      <c r="K127">
        <v>35</v>
      </c>
      <c r="L127">
        <v>95</v>
      </c>
      <c r="M127">
        <v>95</v>
      </c>
      <c r="N127" s="1" t="s">
        <v>82</v>
      </c>
      <c r="O127" s="1" t="s">
        <v>82</v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N127" s="184"/>
    </row>
    <row r="128" spans="2:61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>
        <v>65</v>
      </c>
      <c r="J128">
        <v>83</v>
      </c>
      <c r="K128">
        <v>57</v>
      </c>
      <c r="L128">
        <v>105</v>
      </c>
      <c r="M128">
        <v>85</v>
      </c>
      <c r="N128" s="1">
        <v>30</v>
      </c>
      <c r="O128" s="1">
        <v>466</v>
      </c>
      <c r="P128" s="1" t="s">
        <v>1120</v>
      </c>
      <c r="Q128" s="1" t="b">
        <v>1</v>
      </c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N128" s="184"/>
    </row>
    <row r="129" spans="2:40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>
        <v>65</v>
      </c>
      <c r="J129">
        <v>95</v>
      </c>
      <c r="K129">
        <v>57</v>
      </c>
      <c r="L129">
        <v>93</v>
      </c>
      <c r="M129">
        <v>85</v>
      </c>
      <c r="N129" s="1">
        <v>30</v>
      </c>
      <c r="O129" s="1">
        <v>467</v>
      </c>
      <c r="P129" s="1" t="s">
        <v>1121</v>
      </c>
      <c r="Q129" s="1" t="b">
        <v>1</v>
      </c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N129" s="184"/>
    </row>
    <row r="130" spans="2:40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>
        <v>65</v>
      </c>
      <c r="J130">
        <v>125</v>
      </c>
      <c r="K130">
        <v>100</v>
      </c>
      <c r="L130">
        <v>85</v>
      </c>
      <c r="M130">
        <v>55</v>
      </c>
      <c r="N130" s="1" t="s">
        <v>82</v>
      </c>
      <c r="O130" s="1" t="s">
        <v>82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N130" s="184"/>
    </row>
    <row r="131" spans="2:40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>
        <v>75</v>
      </c>
      <c r="J131">
        <v>100</v>
      </c>
      <c r="K131">
        <v>95</v>
      </c>
      <c r="L131">
        <v>110</v>
      </c>
      <c r="M131">
        <v>70</v>
      </c>
      <c r="N131" s="1" t="s">
        <v>82</v>
      </c>
      <c r="O131" s="1" t="s">
        <v>82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N131" s="184"/>
    </row>
    <row r="132" spans="2:40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>
        <v>20</v>
      </c>
      <c r="J132">
        <v>10</v>
      </c>
      <c r="K132">
        <v>55</v>
      </c>
      <c r="L132">
        <v>80</v>
      </c>
      <c r="M132">
        <v>20</v>
      </c>
      <c r="N132" s="1">
        <v>20</v>
      </c>
      <c r="O132" s="1">
        <v>130</v>
      </c>
      <c r="P132" s="1" t="s">
        <v>863</v>
      </c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N132" s="184"/>
    </row>
    <row r="133" spans="2:40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>
        <v>95</v>
      </c>
      <c r="J133">
        <v>125</v>
      </c>
      <c r="K133">
        <v>79</v>
      </c>
      <c r="L133">
        <v>81</v>
      </c>
      <c r="M133">
        <v>100</v>
      </c>
      <c r="N133" s="1" t="s">
        <v>82</v>
      </c>
      <c r="O133" s="1" t="s">
        <v>82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N133" s="184"/>
    </row>
    <row r="134" spans="2:40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>
        <v>130</v>
      </c>
      <c r="J134">
        <v>85</v>
      </c>
      <c r="K134">
        <v>80</v>
      </c>
      <c r="L134">
        <v>60</v>
      </c>
      <c r="M134">
        <v>95</v>
      </c>
      <c r="N134" s="1" t="s">
        <v>82</v>
      </c>
      <c r="O134" s="1" t="s">
        <v>82</v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N134" s="184"/>
    </row>
    <row r="135" spans="2:40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>
        <v>48</v>
      </c>
      <c r="J135">
        <v>48</v>
      </c>
      <c r="K135">
        <v>48</v>
      </c>
      <c r="L135">
        <v>48</v>
      </c>
      <c r="M135">
        <v>48</v>
      </c>
      <c r="N135" s="1" t="s">
        <v>82</v>
      </c>
      <c r="O135" s="1" t="s">
        <v>82</v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N135" s="184"/>
    </row>
    <row r="136" spans="2:40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>
        <v>55</v>
      </c>
      <c r="J136">
        <v>55</v>
      </c>
      <c r="K136">
        <v>50</v>
      </c>
      <c r="L136">
        <v>55</v>
      </c>
      <c r="M136">
        <v>65</v>
      </c>
      <c r="N136" s="1">
        <v>30</v>
      </c>
      <c r="O136" s="1">
        <v>135</v>
      </c>
      <c r="P136" s="251" t="s">
        <v>869</v>
      </c>
      <c r="Q136" s="1" t="b">
        <v>1</v>
      </c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N136" s="184"/>
    </row>
    <row r="137" spans="2:40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>
        <v>130</v>
      </c>
      <c r="J137">
        <v>65</v>
      </c>
      <c r="K137">
        <v>60</v>
      </c>
      <c r="L137">
        <v>65</v>
      </c>
      <c r="M137">
        <v>110</v>
      </c>
      <c r="N137" s="1" t="s">
        <v>82</v>
      </c>
      <c r="O137" s="1" t="s">
        <v>82</v>
      </c>
      <c r="P137" s="1" t="s">
        <v>82</v>
      </c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N137" s="184"/>
    </row>
    <row r="138" spans="2:40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>
        <v>65</v>
      </c>
      <c r="J138">
        <v>65</v>
      </c>
      <c r="K138">
        <v>60</v>
      </c>
      <c r="L138">
        <v>130</v>
      </c>
      <c r="M138">
        <v>110</v>
      </c>
      <c r="N138" s="1" t="s">
        <v>82</v>
      </c>
      <c r="O138" s="1" t="s">
        <v>82</v>
      </c>
      <c r="P138" s="1" t="s">
        <v>82</v>
      </c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N138" s="184"/>
    </row>
    <row r="139" spans="2:40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>
        <v>65</v>
      </c>
      <c r="J139">
        <v>130</v>
      </c>
      <c r="K139">
        <v>60</v>
      </c>
      <c r="L139">
        <v>65</v>
      </c>
      <c r="M139">
        <v>110</v>
      </c>
      <c r="N139" s="1" t="s">
        <v>82</v>
      </c>
      <c r="O139" s="1" t="s">
        <v>82</v>
      </c>
      <c r="P139" s="1" t="s">
        <v>82</v>
      </c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N139" s="184"/>
    </row>
    <row r="140" spans="2:40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>
        <v>65</v>
      </c>
      <c r="J140">
        <v>60</v>
      </c>
      <c r="K140">
        <v>70</v>
      </c>
      <c r="L140">
        <v>40</v>
      </c>
      <c r="M140">
        <v>75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N140" s="184"/>
    </row>
    <row r="141" spans="2:40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>
        <v>35</v>
      </c>
      <c r="J141">
        <v>40</v>
      </c>
      <c r="K141">
        <v>100</v>
      </c>
      <c r="L141">
        <v>35</v>
      </c>
      <c r="M141">
        <v>90</v>
      </c>
      <c r="N141" s="1">
        <v>40</v>
      </c>
      <c r="O141" s="1">
        <v>139</v>
      </c>
      <c r="P141" s="1" t="s">
        <v>872</v>
      </c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N141" s="184"/>
    </row>
    <row r="142" spans="2:40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>
        <v>70</v>
      </c>
      <c r="J142">
        <v>60</v>
      </c>
      <c r="K142">
        <v>125</v>
      </c>
      <c r="L142">
        <v>55</v>
      </c>
      <c r="M142">
        <v>115</v>
      </c>
      <c r="N142" s="1" t="s">
        <v>82</v>
      </c>
      <c r="O142" s="1" t="s">
        <v>82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N142" s="184"/>
    </row>
    <row r="143" spans="2:40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>
        <v>30</v>
      </c>
      <c r="J143">
        <v>80</v>
      </c>
      <c r="K143">
        <v>90</v>
      </c>
      <c r="L143">
        <v>55</v>
      </c>
      <c r="M143">
        <v>45</v>
      </c>
      <c r="N143" s="1">
        <v>40</v>
      </c>
      <c r="O143" s="1">
        <v>141</v>
      </c>
      <c r="P143" s="1" t="s">
        <v>591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N143" s="184"/>
    </row>
    <row r="144" spans="2:40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>
        <v>60</v>
      </c>
      <c r="J144">
        <v>115</v>
      </c>
      <c r="K144">
        <v>105</v>
      </c>
      <c r="L144">
        <v>80</v>
      </c>
      <c r="M144">
        <v>70</v>
      </c>
      <c r="N144" s="1" t="s">
        <v>82</v>
      </c>
      <c r="O144" s="1" t="s">
        <v>82</v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N144" s="184"/>
    </row>
    <row r="145" spans="2:40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>
        <v>80</v>
      </c>
      <c r="J145">
        <v>105</v>
      </c>
      <c r="K145">
        <v>65</v>
      </c>
      <c r="L145">
        <v>130</v>
      </c>
      <c r="M145">
        <v>60</v>
      </c>
      <c r="N145" s="1" t="s">
        <v>82</v>
      </c>
      <c r="O145" s="1" t="s">
        <v>82</v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N145" s="184"/>
    </row>
    <row r="146" spans="2:40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>
        <v>160</v>
      </c>
      <c r="J146">
        <v>110</v>
      </c>
      <c r="K146">
        <v>65</v>
      </c>
      <c r="L146">
        <v>30</v>
      </c>
      <c r="M146">
        <v>65</v>
      </c>
      <c r="N146" s="1" t="s">
        <v>82</v>
      </c>
      <c r="O146" s="1" t="s">
        <v>82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N146" s="184"/>
    </row>
    <row r="147" spans="2:40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>
        <v>90</v>
      </c>
      <c r="J147">
        <v>85</v>
      </c>
      <c r="K147">
        <v>100</v>
      </c>
      <c r="L147">
        <v>85</v>
      </c>
      <c r="M147">
        <v>125</v>
      </c>
      <c r="N147" s="1" t="s">
        <v>82</v>
      </c>
      <c r="O147" s="1" t="s">
        <v>82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N147" s="184"/>
    </row>
    <row r="148" spans="2:40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>
        <v>90</v>
      </c>
      <c r="J148">
        <v>90</v>
      </c>
      <c r="K148">
        <v>85</v>
      </c>
      <c r="L148">
        <v>100</v>
      </c>
      <c r="M148">
        <v>125</v>
      </c>
      <c r="N148" s="1" t="s">
        <v>82</v>
      </c>
      <c r="O148" s="1" t="s">
        <v>82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N148" s="184"/>
    </row>
    <row r="149" spans="2:40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>
        <v>90</v>
      </c>
      <c r="J149">
        <v>100</v>
      </c>
      <c r="K149">
        <v>90</v>
      </c>
      <c r="L149">
        <v>90</v>
      </c>
      <c r="M149">
        <v>125</v>
      </c>
      <c r="N149" s="1" t="s">
        <v>82</v>
      </c>
      <c r="O149" s="1" t="s">
        <v>82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N149" s="184"/>
    </row>
    <row r="150" spans="2:40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>
        <v>41</v>
      </c>
      <c r="J150">
        <v>64</v>
      </c>
      <c r="K150">
        <v>45</v>
      </c>
      <c r="L150">
        <v>50</v>
      </c>
      <c r="M150">
        <v>50</v>
      </c>
      <c r="N150" s="1">
        <v>30</v>
      </c>
      <c r="O150" s="1">
        <v>148</v>
      </c>
      <c r="P150" s="1" t="s">
        <v>879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N150" s="184"/>
    </row>
    <row r="151" spans="2:40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>
        <v>61</v>
      </c>
      <c r="J151">
        <v>84</v>
      </c>
      <c r="K151">
        <v>65</v>
      </c>
      <c r="L151">
        <v>70</v>
      </c>
      <c r="M151">
        <v>70</v>
      </c>
      <c r="N151" s="1">
        <v>55</v>
      </c>
      <c r="O151" s="1">
        <v>149</v>
      </c>
      <c r="P151" s="1" t="s">
        <v>880</v>
      </c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N151" s="184"/>
    </row>
    <row r="152" spans="2:40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>
        <v>91</v>
      </c>
      <c r="J152">
        <v>134</v>
      </c>
      <c r="K152">
        <v>95</v>
      </c>
      <c r="L152">
        <v>80</v>
      </c>
      <c r="M152">
        <v>100</v>
      </c>
      <c r="N152" s="1" t="s">
        <v>82</v>
      </c>
      <c r="O152" s="1" t="s">
        <v>82</v>
      </c>
      <c r="P152" s="1" t="s">
        <v>82</v>
      </c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N152" s="184"/>
    </row>
    <row r="153" spans="2:40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>
        <v>106</v>
      </c>
      <c r="J153">
        <v>110</v>
      </c>
      <c r="K153">
        <v>90</v>
      </c>
      <c r="L153">
        <v>130</v>
      </c>
      <c r="M153">
        <v>154</v>
      </c>
      <c r="N153" s="1" t="s">
        <v>82</v>
      </c>
      <c r="O153" s="1" t="s">
        <v>82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N153" s="184"/>
    </row>
    <row r="154" spans="2:40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>
        <v>100</v>
      </c>
      <c r="J154">
        <v>100</v>
      </c>
      <c r="K154">
        <v>100</v>
      </c>
      <c r="L154">
        <v>100</v>
      </c>
      <c r="M154">
        <v>100</v>
      </c>
      <c r="N154" s="1" t="s">
        <v>82</v>
      </c>
      <c r="O154" s="1" t="s">
        <v>82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N154" s="184"/>
    </row>
    <row r="155" spans="2:40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49</v>
      </c>
      <c r="M155" s="1">
        <v>65</v>
      </c>
      <c r="N155" s="1">
        <v>16</v>
      </c>
      <c r="O155" s="1">
        <v>153</v>
      </c>
      <c r="P155" s="1" t="s">
        <v>882</v>
      </c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N155" s="184"/>
    </row>
    <row r="156" spans="2:40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63</v>
      </c>
      <c r="M156" s="1">
        <v>80</v>
      </c>
      <c r="N156" s="1">
        <v>32</v>
      </c>
      <c r="O156" s="1">
        <v>154</v>
      </c>
      <c r="P156" s="1" t="s">
        <v>883</v>
      </c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N156" s="184"/>
    </row>
    <row r="157" spans="2:40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83</v>
      </c>
      <c r="M157" s="1">
        <v>100</v>
      </c>
      <c r="N157" s="1" t="s">
        <v>82</v>
      </c>
      <c r="O157" s="1" t="s">
        <v>82</v>
      </c>
      <c r="P157" s="1" t="s">
        <v>82</v>
      </c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N157" s="184"/>
    </row>
    <row r="158" spans="2:40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60</v>
      </c>
      <c r="M158" s="1">
        <v>50</v>
      </c>
      <c r="N158" s="1">
        <v>14</v>
      </c>
      <c r="O158" s="1">
        <v>156</v>
      </c>
      <c r="P158" s="1" t="s">
        <v>885</v>
      </c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N158" s="184"/>
    </row>
    <row r="159" spans="2:40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80</v>
      </c>
      <c r="M159" s="1">
        <v>65</v>
      </c>
      <c r="N159" s="1">
        <v>36</v>
      </c>
      <c r="O159" s="1">
        <v>157</v>
      </c>
      <c r="P159" s="1" t="s">
        <v>575</v>
      </c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N159" s="184"/>
    </row>
    <row r="160" spans="2:40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109</v>
      </c>
      <c r="M160" s="1">
        <v>85</v>
      </c>
      <c r="N160" s="1" t="s">
        <v>82</v>
      </c>
      <c r="O160" s="1" t="s">
        <v>82</v>
      </c>
      <c r="P160" s="1" t="s">
        <v>82</v>
      </c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N160" s="184"/>
    </row>
    <row r="161" spans="2:40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44</v>
      </c>
      <c r="M161" s="1">
        <v>48</v>
      </c>
      <c r="N161" s="1">
        <v>18</v>
      </c>
      <c r="O161" s="1">
        <v>159</v>
      </c>
      <c r="P161" s="1" t="s">
        <v>887</v>
      </c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N161" s="184"/>
    </row>
    <row r="162" spans="2:40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59</v>
      </c>
      <c r="M162" s="1">
        <v>63</v>
      </c>
      <c r="N162" s="1">
        <v>30</v>
      </c>
      <c r="O162" s="1">
        <v>160</v>
      </c>
      <c r="P162" s="1" t="s">
        <v>888</v>
      </c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N162" s="184"/>
    </row>
    <row r="163" spans="2:40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79</v>
      </c>
      <c r="M163" s="1">
        <v>83</v>
      </c>
      <c r="N163" s="1" t="s">
        <v>82</v>
      </c>
      <c r="O163" s="1" t="s">
        <v>82</v>
      </c>
      <c r="P163" s="1" t="s">
        <v>82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N163" s="184"/>
    </row>
    <row r="164" spans="2:40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35</v>
      </c>
      <c r="M164" s="1">
        <v>45</v>
      </c>
      <c r="N164" s="1">
        <v>15</v>
      </c>
      <c r="O164" s="1">
        <v>162</v>
      </c>
      <c r="P164" s="1" t="s">
        <v>890</v>
      </c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N164" s="184"/>
    </row>
    <row r="165" spans="2:40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45</v>
      </c>
      <c r="M165" s="1">
        <v>55</v>
      </c>
      <c r="N165" s="1" t="s">
        <v>82</v>
      </c>
      <c r="O165" s="1" t="s">
        <v>82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N165" s="184"/>
    </row>
    <row r="166" spans="2:40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36</v>
      </c>
      <c r="M166" s="1">
        <v>56</v>
      </c>
      <c r="N166" s="1">
        <v>20</v>
      </c>
      <c r="O166" s="1">
        <v>164</v>
      </c>
      <c r="P166" s="1" t="s">
        <v>891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N166" s="184"/>
    </row>
    <row r="167" spans="2:40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76</v>
      </c>
      <c r="M167" s="1">
        <v>96</v>
      </c>
      <c r="N167" s="1" t="s">
        <v>82</v>
      </c>
      <c r="O167" s="1" t="s">
        <v>82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N167" s="184"/>
    </row>
    <row r="168" spans="2:40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40</v>
      </c>
      <c r="M168" s="1">
        <v>80</v>
      </c>
      <c r="N168" s="1">
        <v>18</v>
      </c>
      <c r="O168" s="1">
        <v>166</v>
      </c>
      <c r="P168" s="1" t="s">
        <v>893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N168" s="184"/>
    </row>
    <row r="169" spans="2:40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55</v>
      </c>
      <c r="M169" s="1">
        <v>110</v>
      </c>
      <c r="N169" s="1" t="s">
        <v>82</v>
      </c>
      <c r="O169" s="1" t="s">
        <v>82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N169" s="184"/>
    </row>
    <row r="170" spans="2:40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895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N170" s="184"/>
    </row>
    <row r="171" spans="2:40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82</v>
      </c>
      <c r="O171" s="1" t="s">
        <v>82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N171" s="184"/>
    </row>
    <row r="172" spans="2:40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70</v>
      </c>
      <c r="M172" s="1">
        <v>80</v>
      </c>
      <c r="N172" s="1" t="s">
        <v>82</v>
      </c>
      <c r="O172" s="1" t="s">
        <v>82</v>
      </c>
      <c r="P172" s="1" t="s">
        <v>82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N172" s="184"/>
    </row>
    <row r="173" spans="2:40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561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N173" s="184"/>
    </row>
    <row r="174" spans="2:40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82</v>
      </c>
      <c r="O174" s="1" t="s">
        <v>82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N174" s="184"/>
    </row>
    <row r="175" spans="2:40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N175" s="184"/>
    </row>
    <row r="176" spans="2:40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45</v>
      </c>
      <c r="M176" s="1">
        <v>55</v>
      </c>
      <c r="N176" s="1">
        <v>15</v>
      </c>
      <c r="O176" s="1">
        <v>35</v>
      </c>
      <c r="P176" s="1" t="s">
        <v>776</v>
      </c>
      <c r="Q176" s="1" t="b">
        <v>1</v>
      </c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N176" s="184"/>
    </row>
    <row r="177" spans="2:40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40</v>
      </c>
      <c r="M177" s="1">
        <v>20</v>
      </c>
      <c r="N177" s="1">
        <v>15</v>
      </c>
      <c r="O177" s="1">
        <v>39</v>
      </c>
      <c r="P177" s="1" t="s">
        <v>781</v>
      </c>
      <c r="Q177" s="1" t="b">
        <v>1</v>
      </c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N177" s="184"/>
    </row>
    <row r="178" spans="2:40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40</v>
      </c>
      <c r="M178" s="1">
        <v>65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N178" s="184"/>
    </row>
    <row r="179" spans="2:40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80</v>
      </c>
      <c r="M179" s="1">
        <v>105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N179" s="184"/>
    </row>
    <row r="180" spans="2:40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70</v>
      </c>
      <c r="M180" s="1">
        <v>45</v>
      </c>
      <c r="N180" s="1">
        <v>25</v>
      </c>
      <c r="O180" s="1">
        <v>178</v>
      </c>
      <c r="P180" s="1" t="s">
        <v>554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N180" s="184"/>
    </row>
    <row r="181" spans="2:40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95</v>
      </c>
      <c r="M181" s="1">
        <v>70</v>
      </c>
      <c r="N181" s="1" t="s">
        <v>82</v>
      </c>
      <c r="O181" s="1" t="s">
        <v>82</v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N181" s="184"/>
    </row>
    <row r="182" spans="2:40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65</v>
      </c>
      <c r="M182" s="1">
        <v>45</v>
      </c>
      <c r="N182" s="1">
        <v>15</v>
      </c>
      <c r="O182" s="1">
        <v>180</v>
      </c>
      <c r="P182" s="1" t="s">
        <v>901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N182" s="184"/>
    </row>
    <row r="183" spans="2:40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80</v>
      </c>
      <c r="M183" s="1">
        <v>60</v>
      </c>
      <c r="N183" s="1">
        <v>30</v>
      </c>
      <c r="O183" s="1">
        <v>181</v>
      </c>
      <c r="P183" s="1" t="s">
        <v>902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N183" s="184"/>
    </row>
    <row r="184" spans="2:40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115</v>
      </c>
      <c r="M184" s="1">
        <v>90</v>
      </c>
      <c r="N184" s="1" t="s">
        <v>82</v>
      </c>
      <c r="O184" s="1" t="s">
        <v>82</v>
      </c>
      <c r="P184" s="1" t="s">
        <v>82</v>
      </c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N184" s="184"/>
    </row>
    <row r="185" spans="2:40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90</v>
      </c>
      <c r="M185" s="1">
        <v>100</v>
      </c>
      <c r="N185" s="1" t="s">
        <v>82</v>
      </c>
      <c r="O185" s="1" t="s">
        <v>82</v>
      </c>
      <c r="P185" s="1" t="s">
        <v>82</v>
      </c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N185" s="184"/>
    </row>
    <row r="186" spans="2:40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20</v>
      </c>
      <c r="M186" s="1">
        <v>50</v>
      </c>
      <c r="N186" s="1">
        <v>18</v>
      </c>
      <c r="O186" s="1">
        <v>184</v>
      </c>
      <c r="P186" s="1" t="s">
        <v>548</v>
      </c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N186" s="184"/>
    </row>
    <row r="187" spans="2:40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60</v>
      </c>
      <c r="M187" s="1">
        <v>80</v>
      </c>
      <c r="N187" s="1" t="s">
        <v>82</v>
      </c>
      <c r="O187" s="1" t="s">
        <v>82</v>
      </c>
      <c r="P187" s="1" t="s">
        <v>82</v>
      </c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N187" s="184"/>
    </row>
    <row r="188" spans="2:40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30</v>
      </c>
      <c r="M188" s="1">
        <v>65</v>
      </c>
      <c r="N188" s="1" t="s">
        <v>82</v>
      </c>
      <c r="O188" s="1" t="s">
        <v>82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N188" s="184"/>
    </row>
    <row r="189" spans="2:40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90</v>
      </c>
      <c r="M189" s="1">
        <v>100</v>
      </c>
      <c r="N189" s="1" t="s">
        <v>82</v>
      </c>
      <c r="O189" s="1" t="s">
        <v>82</v>
      </c>
      <c r="P189" s="1" t="s">
        <v>82</v>
      </c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N189" s="184"/>
    </row>
    <row r="190" spans="2:40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35</v>
      </c>
      <c r="M190" s="1">
        <v>55</v>
      </c>
      <c r="N190" s="1">
        <v>18</v>
      </c>
      <c r="O190" s="1">
        <v>188</v>
      </c>
      <c r="P190" s="1" t="s">
        <v>907</v>
      </c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N190" s="184"/>
    </row>
    <row r="191" spans="2:40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45</v>
      </c>
      <c r="M191" s="1">
        <v>65</v>
      </c>
      <c r="N191" s="1">
        <v>27</v>
      </c>
      <c r="O191" s="1">
        <v>189</v>
      </c>
      <c r="P191" s="1" t="s">
        <v>908</v>
      </c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N191" s="184"/>
    </row>
    <row r="192" spans="2:40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55</v>
      </c>
      <c r="M192" s="1">
        <v>95</v>
      </c>
      <c r="N192" s="1" t="s">
        <v>82</v>
      </c>
      <c r="O192" s="1" t="s">
        <v>82</v>
      </c>
      <c r="P192" s="1" t="s">
        <v>82</v>
      </c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N192" s="184"/>
    </row>
    <row r="193" spans="2:40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40</v>
      </c>
      <c r="M193" s="1">
        <v>55</v>
      </c>
      <c r="N193" s="1">
        <v>25</v>
      </c>
      <c r="O193" s="1">
        <v>424</v>
      </c>
      <c r="P193" s="1" t="s">
        <v>1083</v>
      </c>
      <c r="Q193" s="1" t="b">
        <v>1</v>
      </c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N193" s="184"/>
    </row>
    <row r="194" spans="2:40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911</v>
      </c>
      <c r="Q194" s="1" t="b">
        <v>1</v>
      </c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N194" s="184"/>
    </row>
    <row r="195" spans="2:40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105</v>
      </c>
      <c r="M195" s="1">
        <v>85</v>
      </c>
      <c r="N195" s="1" t="s">
        <v>82</v>
      </c>
      <c r="O195" s="1" t="s">
        <v>82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N195" s="184"/>
    </row>
    <row r="196" spans="2:40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75</v>
      </c>
      <c r="M196" s="1">
        <v>45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N196" s="184"/>
    </row>
    <row r="197" spans="2:40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913</v>
      </c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N197" s="184"/>
    </row>
    <row r="198" spans="2:40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82</v>
      </c>
      <c r="O198" s="1" t="s">
        <v>82</v>
      </c>
      <c r="P198" s="1" t="s">
        <v>82</v>
      </c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N198" s="184"/>
    </row>
    <row r="199" spans="2:40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130</v>
      </c>
      <c r="M199" s="1">
        <v>95</v>
      </c>
      <c r="N199" s="1" t="s">
        <v>82</v>
      </c>
      <c r="O199" s="1" t="s">
        <v>82</v>
      </c>
      <c r="P199" s="1" t="s">
        <v>82</v>
      </c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N199" s="184"/>
    </row>
    <row r="200" spans="2:40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60</v>
      </c>
      <c r="M200" s="1">
        <v>130</v>
      </c>
      <c r="N200" s="1" t="s">
        <v>82</v>
      </c>
      <c r="O200" s="1" t="s">
        <v>82</v>
      </c>
      <c r="P200" s="1" t="s">
        <v>82</v>
      </c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N200" s="184"/>
    </row>
    <row r="201" spans="2:40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85</v>
      </c>
      <c r="M201" s="1">
        <v>42</v>
      </c>
      <c r="N201" s="1">
        <v>30</v>
      </c>
      <c r="O201" s="1">
        <v>430</v>
      </c>
      <c r="P201" s="1" t="s">
        <v>1089</v>
      </c>
      <c r="Q201" s="1" t="b">
        <v>1</v>
      </c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N201" s="184"/>
    </row>
    <row r="202" spans="2:40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100</v>
      </c>
      <c r="M202" s="1">
        <v>110</v>
      </c>
      <c r="N202" s="1" t="s">
        <v>82</v>
      </c>
      <c r="O202" s="1" t="s">
        <v>82</v>
      </c>
      <c r="P202" s="1" t="s">
        <v>82</v>
      </c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N202" s="184"/>
    </row>
    <row r="203" spans="2:40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1088</v>
      </c>
      <c r="Q203" s="1" t="b">
        <v>1</v>
      </c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N203" s="184"/>
    </row>
    <row r="204" spans="2:40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72</v>
      </c>
      <c r="M204" s="1">
        <v>48</v>
      </c>
      <c r="N204" s="1" t="s">
        <v>82</v>
      </c>
      <c r="O204" s="1" t="s">
        <v>82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N204" s="184"/>
    </row>
    <row r="205" spans="2:40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33</v>
      </c>
      <c r="M205" s="1">
        <v>58</v>
      </c>
      <c r="N205" s="1" t="s">
        <v>82</v>
      </c>
      <c r="O205" s="1" t="s">
        <v>82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N205" s="184"/>
    </row>
    <row r="206" spans="2:40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90</v>
      </c>
      <c r="M206" s="1">
        <v>65</v>
      </c>
      <c r="N206" s="1" t="s">
        <v>82</v>
      </c>
      <c r="O206" s="1" t="s">
        <v>82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N206" s="184"/>
    </row>
    <row r="207" spans="2:40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922</v>
      </c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N207" s="184"/>
    </row>
    <row r="208" spans="2:40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82</v>
      </c>
      <c r="O208" s="1" t="s">
        <v>82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N208" s="184"/>
    </row>
    <row r="209" spans="2:40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82</v>
      </c>
      <c r="O209" s="1" t="s">
        <v>82</v>
      </c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N209" s="184"/>
    </row>
    <row r="210" spans="2:40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35</v>
      </c>
      <c r="M210" s="1">
        <v>65</v>
      </c>
      <c r="N210" s="1">
        <v>30</v>
      </c>
      <c r="O210" s="1">
        <v>472</v>
      </c>
      <c r="P210" s="1" t="s">
        <v>1124</v>
      </c>
      <c r="Q210" s="1" t="b">
        <v>1</v>
      </c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N210" s="184"/>
    </row>
    <row r="211" spans="2:40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55</v>
      </c>
      <c r="M211" s="1">
        <v>65</v>
      </c>
      <c r="N211" s="1" t="s">
        <v>82</v>
      </c>
      <c r="O211" s="1" t="s">
        <v>82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N211" s="184"/>
    </row>
    <row r="212" spans="2:40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522</v>
      </c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N212" s="184"/>
    </row>
    <row r="213" spans="2:40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82</v>
      </c>
      <c r="O213" s="1" t="s">
        <v>82</v>
      </c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N213" s="184"/>
    </row>
    <row r="214" spans="2:40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82</v>
      </c>
      <c r="O214" s="1" t="s">
        <v>82</v>
      </c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N214" s="184"/>
    </row>
    <row r="215" spans="2:40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55</v>
      </c>
      <c r="M215" s="1">
        <v>80</v>
      </c>
      <c r="N215" s="1" t="s">
        <v>82</v>
      </c>
      <c r="O215" s="1" t="s">
        <v>82</v>
      </c>
      <c r="P215" s="1" t="s">
        <v>82</v>
      </c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N215" s="184"/>
    </row>
    <row r="216" spans="2:40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10</v>
      </c>
      <c r="M216" s="1">
        <v>230</v>
      </c>
      <c r="N216" s="1" t="s">
        <v>82</v>
      </c>
      <c r="O216" s="1" t="s">
        <v>82</v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N216" s="184"/>
    </row>
    <row r="217" spans="2:40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40</v>
      </c>
      <c r="M217" s="1">
        <v>95</v>
      </c>
      <c r="N217" s="1" t="s">
        <v>82</v>
      </c>
      <c r="O217" s="1" t="s">
        <v>82</v>
      </c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N217" s="184"/>
    </row>
    <row r="218" spans="2:40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35</v>
      </c>
      <c r="M218" s="1">
        <v>75</v>
      </c>
      <c r="N218" s="1">
        <v>35</v>
      </c>
      <c r="O218" s="1">
        <v>461</v>
      </c>
      <c r="P218" s="251" t="s">
        <v>1115</v>
      </c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N218" s="184"/>
    </row>
    <row r="219" spans="2:40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515</v>
      </c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N219" s="184"/>
    </row>
    <row r="220" spans="2:40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82</v>
      </c>
      <c r="O220" s="1" t="s">
        <v>82</v>
      </c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N220" s="184"/>
    </row>
    <row r="221" spans="2:40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70</v>
      </c>
      <c r="M221" s="1">
        <v>40</v>
      </c>
      <c r="N221" s="1">
        <v>38</v>
      </c>
      <c r="O221" s="1">
        <v>219</v>
      </c>
      <c r="P221" s="1" t="s">
        <v>930</v>
      </c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N221" s="184"/>
    </row>
    <row r="222" spans="2:40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82</v>
      </c>
      <c r="O222" s="1" t="s">
        <v>82</v>
      </c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N222" s="184"/>
    </row>
    <row r="223" spans="2:40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932</v>
      </c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N223" s="184"/>
    </row>
    <row r="224" spans="2:40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1125</v>
      </c>
      <c r="Q224" s="1" t="b">
        <v>1</v>
      </c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N224" s="184"/>
    </row>
    <row r="225" spans="2:40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65</v>
      </c>
      <c r="M225" s="1">
        <v>85</v>
      </c>
      <c r="N225" s="1" t="s">
        <v>82</v>
      </c>
      <c r="O225" s="1" t="s">
        <v>82</v>
      </c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N225" s="184"/>
    </row>
    <row r="226" spans="2:40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65</v>
      </c>
      <c r="M226" s="1">
        <v>35</v>
      </c>
      <c r="N226" s="1">
        <v>25</v>
      </c>
      <c r="O226" s="1">
        <v>224</v>
      </c>
      <c r="P226" s="1" t="s">
        <v>508</v>
      </c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N226" s="184"/>
    </row>
    <row r="227" spans="2:40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105</v>
      </c>
      <c r="M227" s="1">
        <v>75</v>
      </c>
      <c r="N227" s="1" t="s">
        <v>82</v>
      </c>
      <c r="O227" s="1" t="s">
        <v>82</v>
      </c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N227" s="184"/>
    </row>
    <row r="228" spans="2:40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65</v>
      </c>
      <c r="M228" s="1">
        <v>45</v>
      </c>
      <c r="N228" s="1" t="s">
        <v>82</v>
      </c>
      <c r="O228" s="1" t="s">
        <v>82</v>
      </c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N228" s="184"/>
    </row>
    <row r="229" spans="2:40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80</v>
      </c>
      <c r="M229" s="1">
        <v>140</v>
      </c>
      <c r="N229" s="1" t="s">
        <v>82</v>
      </c>
      <c r="O229" s="1" t="s">
        <v>82</v>
      </c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N229" s="184"/>
    </row>
    <row r="230" spans="2:40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40</v>
      </c>
      <c r="M230" s="1">
        <v>70</v>
      </c>
      <c r="N230" s="1" t="s">
        <v>82</v>
      </c>
      <c r="O230" s="1" t="s">
        <v>82</v>
      </c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N230" s="184"/>
    </row>
    <row r="231" spans="2:40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80</v>
      </c>
      <c r="M231" s="1">
        <v>50</v>
      </c>
      <c r="N231" s="1">
        <v>24</v>
      </c>
      <c r="O231" s="1">
        <v>229</v>
      </c>
      <c r="P231" s="1" t="s">
        <v>939</v>
      </c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N231" s="184"/>
    </row>
    <row r="232" spans="2:40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110</v>
      </c>
      <c r="M232" s="1">
        <v>80</v>
      </c>
      <c r="N232" s="1" t="s">
        <v>82</v>
      </c>
      <c r="O232" s="1" t="s">
        <v>82</v>
      </c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N232" s="184"/>
    </row>
    <row r="233" spans="2:40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82</v>
      </c>
      <c r="O233" s="1" t="s">
        <v>82</v>
      </c>
      <c r="P233" s="1" t="s">
        <v>82</v>
      </c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N233" s="184"/>
    </row>
    <row r="234" spans="2:40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N234" s="184"/>
    </row>
    <row r="235" spans="2:40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82</v>
      </c>
      <c r="O235" s="1" t="s">
        <v>82</v>
      </c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N235" s="184"/>
    </row>
    <row r="236" spans="2:40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105</v>
      </c>
      <c r="M236" s="1">
        <v>95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N236" s="184"/>
    </row>
    <row r="237" spans="2:40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85</v>
      </c>
      <c r="M237" s="1">
        <v>65</v>
      </c>
      <c r="N237" s="1" t="s">
        <v>82</v>
      </c>
      <c r="O237" s="1" t="s">
        <v>82</v>
      </c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N237" s="184"/>
    </row>
    <row r="238" spans="2:40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20</v>
      </c>
      <c r="M238" s="1">
        <v>45</v>
      </c>
      <c r="N238" s="1" t="s">
        <v>82</v>
      </c>
      <c r="O238" s="1" t="s">
        <v>82</v>
      </c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N238" s="184"/>
    </row>
    <row r="239" spans="2:40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841</v>
      </c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N239" s="184"/>
    </row>
    <row r="240" spans="2:40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35</v>
      </c>
      <c r="M240" s="1">
        <v>110</v>
      </c>
      <c r="N240" s="1" t="s">
        <v>82</v>
      </c>
      <c r="O240" s="1" t="s">
        <v>82</v>
      </c>
      <c r="P240" s="1" t="s">
        <v>82</v>
      </c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N240" s="184"/>
    </row>
    <row r="241" spans="2:40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85</v>
      </c>
      <c r="M241" s="1">
        <v>65</v>
      </c>
      <c r="N241" s="1">
        <v>30</v>
      </c>
      <c r="O241" s="1">
        <v>124</v>
      </c>
      <c r="P241" s="1" t="s">
        <v>859</v>
      </c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N241" s="184"/>
    </row>
    <row r="242" spans="2:40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65</v>
      </c>
      <c r="M242" s="1">
        <v>55</v>
      </c>
      <c r="N242" s="1">
        <v>30</v>
      </c>
      <c r="O242" s="1">
        <v>125</v>
      </c>
      <c r="P242" s="1" t="s">
        <v>860</v>
      </c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N242" s="184"/>
    </row>
    <row r="243" spans="2:40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70</v>
      </c>
      <c r="M243" s="1">
        <v>55</v>
      </c>
      <c r="N243" s="1">
        <v>30</v>
      </c>
      <c r="O243" s="1">
        <v>126</v>
      </c>
      <c r="P243" s="1" t="s">
        <v>606</v>
      </c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N243" s="184"/>
    </row>
    <row r="244" spans="2:40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40</v>
      </c>
      <c r="M244" s="1">
        <v>70</v>
      </c>
      <c r="N244" s="1" t="s">
        <v>82</v>
      </c>
      <c r="O244" s="1" t="s">
        <v>82</v>
      </c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N244" s="184"/>
    </row>
    <row r="245" spans="2:40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75</v>
      </c>
      <c r="M245" s="1">
        <v>135</v>
      </c>
      <c r="N245" s="1" t="s">
        <v>82</v>
      </c>
      <c r="O245" s="1" t="s">
        <v>82</v>
      </c>
      <c r="P245" s="1" t="s">
        <v>82</v>
      </c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N245" s="184"/>
    </row>
    <row r="246" spans="2:40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115</v>
      </c>
      <c r="M246" s="1">
        <v>100</v>
      </c>
      <c r="N246" s="1" t="s">
        <v>82</v>
      </c>
      <c r="O246" s="1" t="s">
        <v>82</v>
      </c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N246" s="184"/>
    </row>
    <row r="247" spans="2:40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90</v>
      </c>
      <c r="M247" s="1">
        <v>75</v>
      </c>
      <c r="N247" s="1" t="s">
        <v>82</v>
      </c>
      <c r="O247" s="1" t="s">
        <v>82</v>
      </c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N247" s="184"/>
    </row>
    <row r="248" spans="2:40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90</v>
      </c>
      <c r="M248" s="1">
        <v>115</v>
      </c>
      <c r="N248" s="1" t="s">
        <v>82</v>
      </c>
      <c r="O248" s="1" t="s">
        <v>82</v>
      </c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N248" s="184"/>
    </row>
    <row r="249" spans="2:40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45</v>
      </c>
      <c r="M249" s="1">
        <v>50</v>
      </c>
      <c r="N249" s="1">
        <v>30</v>
      </c>
      <c r="O249" s="1">
        <v>247</v>
      </c>
      <c r="P249" s="1" t="s">
        <v>950</v>
      </c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N249" s="184"/>
    </row>
    <row r="250" spans="2:40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65</v>
      </c>
      <c r="M250" s="1">
        <v>70</v>
      </c>
      <c r="N250" s="1">
        <v>55</v>
      </c>
      <c r="O250" s="1">
        <v>248</v>
      </c>
      <c r="P250" s="1" t="s">
        <v>951</v>
      </c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N250" s="184"/>
    </row>
    <row r="251" spans="2:40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95</v>
      </c>
      <c r="M251" s="1">
        <v>100</v>
      </c>
      <c r="N251" s="1" t="s">
        <v>82</v>
      </c>
      <c r="O251" s="1" t="s">
        <v>82</v>
      </c>
      <c r="P251" s="1" t="s">
        <v>82</v>
      </c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N251" s="184"/>
    </row>
    <row r="252" spans="2:40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90</v>
      </c>
      <c r="M252" s="1">
        <v>154</v>
      </c>
      <c r="N252" s="1" t="s">
        <v>82</v>
      </c>
      <c r="O252" s="1" t="s">
        <v>82</v>
      </c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N252" s="184"/>
    </row>
    <row r="253" spans="2:40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110</v>
      </c>
      <c r="M253" s="1">
        <v>154</v>
      </c>
      <c r="N253" s="1" t="s">
        <v>82</v>
      </c>
      <c r="O253" s="1" t="s">
        <v>82</v>
      </c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N253" s="184"/>
    </row>
    <row r="254" spans="2:40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N254" s="184"/>
    </row>
    <row r="255" spans="2:40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65</v>
      </c>
      <c r="M255" s="1">
        <v>55</v>
      </c>
      <c r="N255" s="1">
        <v>16</v>
      </c>
      <c r="O255" s="1">
        <v>253</v>
      </c>
      <c r="P255" s="1" t="s">
        <v>954</v>
      </c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N255" s="184"/>
    </row>
    <row r="256" spans="2:40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85</v>
      </c>
      <c r="M256" s="1">
        <v>65</v>
      </c>
      <c r="N256" s="1">
        <v>36</v>
      </c>
      <c r="O256" s="1">
        <v>254</v>
      </c>
      <c r="P256" s="1" t="s">
        <v>955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N256" s="184"/>
    </row>
    <row r="257" spans="2:40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105</v>
      </c>
      <c r="M257" s="1">
        <v>85</v>
      </c>
      <c r="N257" s="1" t="s">
        <v>82</v>
      </c>
      <c r="O257" s="1" t="s">
        <v>82</v>
      </c>
      <c r="P257" s="1" t="s">
        <v>82</v>
      </c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N257" s="184"/>
    </row>
    <row r="258" spans="2:40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70</v>
      </c>
      <c r="M258" s="1">
        <v>50</v>
      </c>
      <c r="N258" s="1">
        <v>16</v>
      </c>
      <c r="O258" s="1">
        <v>256</v>
      </c>
      <c r="P258" s="1" t="s">
        <v>957</v>
      </c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N258" s="184"/>
    </row>
    <row r="259" spans="2:40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85</v>
      </c>
      <c r="M259" s="1">
        <v>60</v>
      </c>
      <c r="N259" s="1">
        <v>36</v>
      </c>
      <c r="O259" s="1">
        <v>257</v>
      </c>
      <c r="P259" s="1" t="s">
        <v>958</v>
      </c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N259" s="184"/>
    </row>
    <row r="260" spans="2:40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110</v>
      </c>
      <c r="M260" s="1">
        <v>70</v>
      </c>
      <c r="N260" s="1" t="s">
        <v>82</v>
      </c>
      <c r="O260" s="1" t="s">
        <v>82</v>
      </c>
      <c r="P260" s="1" t="s">
        <v>82</v>
      </c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N260" s="184"/>
    </row>
    <row r="261" spans="2:40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960</v>
      </c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N261" s="184"/>
    </row>
    <row r="262" spans="2:40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60</v>
      </c>
      <c r="M262" s="1">
        <v>70</v>
      </c>
      <c r="N262" s="1">
        <v>36</v>
      </c>
      <c r="O262" s="1">
        <v>260</v>
      </c>
      <c r="P262" s="1" t="s">
        <v>961</v>
      </c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N262" s="184"/>
    </row>
    <row r="263" spans="2:40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85</v>
      </c>
      <c r="M263" s="1">
        <v>90</v>
      </c>
      <c r="N263" s="1" t="s">
        <v>82</v>
      </c>
      <c r="O263" s="1" t="s">
        <v>82</v>
      </c>
      <c r="P263" s="1" t="s">
        <v>82</v>
      </c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N263" s="184"/>
    </row>
    <row r="264" spans="2:40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963</v>
      </c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N264" s="184"/>
    </row>
    <row r="265" spans="2:40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82</v>
      </c>
      <c r="O265" s="1" t="s">
        <v>82</v>
      </c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N265" s="184"/>
    </row>
    <row r="266" spans="2:40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30</v>
      </c>
      <c r="M266" s="1">
        <v>41</v>
      </c>
      <c r="N266" s="1">
        <v>20</v>
      </c>
      <c r="O266" s="1">
        <v>264</v>
      </c>
      <c r="P266" s="1" t="s">
        <v>965</v>
      </c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N266" s="184"/>
    </row>
    <row r="267" spans="2:40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50</v>
      </c>
      <c r="M267" s="1">
        <v>61</v>
      </c>
      <c r="N267" s="1" t="s">
        <v>82</v>
      </c>
      <c r="O267" s="1" t="s">
        <v>82</v>
      </c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N267" s="184"/>
    </row>
    <row r="268" spans="2:40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20</v>
      </c>
      <c r="M268" s="1">
        <v>30</v>
      </c>
      <c r="N268" s="1">
        <v>7</v>
      </c>
      <c r="O268" s="1">
        <v>266</v>
      </c>
      <c r="P268" s="1" t="s">
        <v>967</v>
      </c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N268" s="184"/>
    </row>
    <row r="269" spans="2:40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>
        <v>10</v>
      </c>
      <c r="O269" s="1" t="s">
        <v>82</v>
      </c>
      <c r="P269" s="1" t="s">
        <v>82</v>
      </c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N269" s="184"/>
    </row>
    <row r="270" spans="2:40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100</v>
      </c>
      <c r="M270" s="1">
        <v>50</v>
      </c>
      <c r="N270" s="1" t="s">
        <v>82</v>
      </c>
      <c r="O270" s="1" t="s">
        <v>82</v>
      </c>
      <c r="P270" s="1" t="s">
        <v>82</v>
      </c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N270" s="184"/>
    </row>
    <row r="271" spans="2:40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>
        <v>10</v>
      </c>
      <c r="O271" s="1" t="s">
        <v>82</v>
      </c>
      <c r="P271" s="1" t="s">
        <v>82</v>
      </c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N271" s="184"/>
    </row>
    <row r="272" spans="2:40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50</v>
      </c>
      <c r="M272" s="1">
        <v>90</v>
      </c>
      <c r="N272" s="1" t="s">
        <v>82</v>
      </c>
      <c r="O272" s="1" t="s">
        <v>82</v>
      </c>
      <c r="P272" s="1" t="s">
        <v>82</v>
      </c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N272" s="184"/>
    </row>
    <row r="273" spans="2:40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40</v>
      </c>
      <c r="M273" s="1">
        <v>50</v>
      </c>
      <c r="N273" s="1">
        <v>14</v>
      </c>
      <c r="O273" s="1">
        <v>271</v>
      </c>
      <c r="P273" s="1" t="s">
        <v>461</v>
      </c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N273" s="184"/>
    </row>
    <row r="274" spans="2:40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60</v>
      </c>
      <c r="M274" s="1">
        <v>70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N274" s="184"/>
    </row>
    <row r="275" spans="2:40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90</v>
      </c>
      <c r="M275" s="1">
        <v>100</v>
      </c>
      <c r="N275" s="1" t="s">
        <v>82</v>
      </c>
      <c r="O275" s="1" t="s">
        <v>82</v>
      </c>
      <c r="P275" s="1" t="s">
        <v>82</v>
      </c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N275" s="184"/>
    </row>
    <row r="276" spans="2:40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973</v>
      </c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N276" s="184"/>
    </row>
    <row r="277" spans="2:40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60</v>
      </c>
      <c r="M277" s="1">
        <v>40</v>
      </c>
      <c r="N277" s="1">
        <v>30</v>
      </c>
      <c r="O277" s="1">
        <v>275</v>
      </c>
      <c r="P277" s="1" t="s">
        <v>974</v>
      </c>
      <c r="Q277" s="1" t="b">
        <v>1</v>
      </c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N277" s="184"/>
    </row>
    <row r="278" spans="2:40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90</v>
      </c>
      <c r="M278" s="1">
        <v>60</v>
      </c>
      <c r="N278" s="1" t="s">
        <v>82</v>
      </c>
      <c r="O278" s="1" t="s">
        <v>82</v>
      </c>
      <c r="P278" s="1" t="s">
        <v>82</v>
      </c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N278" s="184"/>
    </row>
    <row r="279" spans="2:40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976</v>
      </c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N279" s="184"/>
    </row>
    <row r="280" spans="2:40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82</v>
      </c>
      <c r="O280" s="1" t="s">
        <v>82</v>
      </c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N280" s="184"/>
    </row>
    <row r="281" spans="2:40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55</v>
      </c>
      <c r="M281" s="1">
        <v>30</v>
      </c>
      <c r="N281" s="1">
        <v>25</v>
      </c>
      <c r="O281" s="1">
        <v>279</v>
      </c>
      <c r="P281" s="1" t="s">
        <v>978</v>
      </c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N281" s="184"/>
    </row>
    <row r="282" spans="2:40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85</v>
      </c>
      <c r="M282" s="1">
        <v>70</v>
      </c>
      <c r="N282" s="1" t="s">
        <v>82</v>
      </c>
      <c r="O282" s="1" t="s">
        <v>82</v>
      </c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N282" s="184"/>
    </row>
    <row r="283" spans="2:40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45</v>
      </c>
      <c r="M283" s="1">
        <v>35</v>
      </c>
      <c r="N283" s="1">
        <v>20</v>
      </c>
      <c r="O283" s="1">
        <v>281</v>
      </c>
      <c r="P283" s="1" t="s">
        <v>451</v>
      </c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N283" s="184"/>
    </row>
    <row r="284" spans="2:40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65</v>
      </c>
      <c r="M284" s="1">
        <v>55</v>
      </c>
      <c r="N284" s="1">
        <v>30</v>
      </c>
      <c r="O284" s="1">
        <v>282</v>
      </c>
      <c r="P284" s="1" t="s">
        <v>450</v>
      </c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N284" s="184"/>
    </row>
    <row r="285" spans="2:40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125</v>
      </c>
      <c r="M285" s="1">
        <v>115</v>
      </c>
      <c r="N285" s="1" t="s">
        <v>82</v>
      </c>
      <c r="O285" s="1" t="s">
        <v>82</v>
      </c>
      <c r="P285" s="1" t="s">
        <v>82</v>
      </c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N285" s="184"/>
    </row>
    <row r="286" spans="2:40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50</v>
      </c>
      <c r="M286" s="1">
        <v>52</v>
      </c>
      <c r="N286" s="1">
        <v>22</v>
      </c>
      <c r="O286" s="1">
        <v>284</v>
      </c>
      <c r="P286" s="1" t="s">
        <v>981</v>
      </c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N286" s="184"/>
    </row>
    <row r="287" spans="2:40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80</v>
      </c>
      <c r="M287" s="1">
        <v>82</v>
      </c>
      <c r="N287" s="1" t="s">
        <v>82</v>
      </c>
      <c r="O287" s="1" t="s">
        <v>82</v>
      </c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N287" s="184"/>
    </row>
    <row r="288" spans="2:40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40</v>
      </c>
      <c r="M288" s="1">
        <v>60</v>
      </c>
      <c r="N288" s="1">
        <v>23</v>
      </c>
      <c r="O288" s="1">
        <v>286</v>
      </c>
      <c r="P288" s="1" t="s">
        <v>983</v>
      </c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N288" s="184"/>
    </row>
    <row r="289" spans="2:40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82</v>
      </c>
      <c r="O289" s="1" t="s">
        <v>82</v>
      </c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N289" s="184"/>
    </row>
    <row r="290" spans="2:40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444</v>
      </c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N290" s="184"/>
    </row>
    <row r="291" spans="2:40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985</v>
      </c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N291" s="184"/>
    </row>
    <row r="292" spans="2:40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95</v>
      </c>
      <c r="M292" s="1">
        <v>65</v>
      </c>
      <c r="N292" s="1" t="s">
        <v>82</v>
      </c>
      <c r="O292" s="1" t="s">
        <v>82</v>
      </c>
      <c r="P292" s="1" t="s">
        <v>82</v>
      </c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N292" s="184"/>
    </row>
    <row r="293" spans="2:40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441</v>
      </c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N293" s="184"/>
    </row>
    <row r="294" spans="2:40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82</v>
      </c>
      <c r="O294" s="1" t="s">
        <v>82</v>
      </c>
      <c r="P294" s="1" t="s">
        <v>82</v>
      </c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N294" s="184"/>
    </row>
    <row r="295" spans="2:40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82</v>
      </c>
      <c r="O295" s="1" t="s">
        <v>82</v>
      </c>
      <c r="P295" s="1" t="s">
        <v>82</v>
      </c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N295" s="184"/>
    </row>
    <row r="296" spans="2:40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51</v>
      </c>
      <c r="M296" s="1">
        <v>23</v>
      </c>
      <c r="N296" s="1">
        <v>20</v>
      </c>
      <c r="O296" s="1">
        <v>294</v>
      </c>
      <c r="P296" s="1" t="s">
        <v>989</v>
      </c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N296" s="184"/>
    </row>
    <row r="297" spans="2:40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71</v>
      </c>
      <c r="M297" s="1">
        <v>43</v>
      </c>
      <c r="N297" s="1">
        <v>40</v>
      </c>
      <c r="O297" s="1">
        <v>295</v>
      </c>
      <c r="P297" s="1" t="s">
        <v>990</v>
      </c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N297" s="184"/>
    </row>
    <row r="298" spans="2:40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91</v>
      </c>
      <c r="M298" s="1">
        <v>73</v>
      </c>
      <c r="N298" s="1" t="s">
        <v>82</v>
      </c>
      <c r="O298" s="1" t="s">
        <v>82</v>
      </c>
      <c r="P298" s="1" t="s">
        <v>82</v>
      </c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N298" s="184"/>
    </row>
    <row r="299" spans="2:40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20</v>
      </c>
      <c r="M299" s="1">
        <v>30</v>
      </c>
      <c r="N299" s="1">
        <v>24</v>
      </c>
      <c r="O299" s="1">
        <v>297</v>
      </c>
      <c r="P299" s="1" t="s">
        <v>435</v>
      </c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N299" s="184"/>
    </row>
    <row r="300" spans="2:40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40</v>
      </c>
      <c r="M300" s="1">
        <v>60</v>
      </c>
      <c r="N300" s="1" t="s">
        <v>82</v>
      </c>
      <c r="O300" s="1" t="s">
        <v>82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N300" s="184"/>
    </row>
    <row r="301" spans="2:40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20</v>
      </c>
      <c r="M301" s="1">
        <v>40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N301" s="184"/>
    </row>
    <row r="302" spans="2:40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45</v>
      </c>
      <c r="M302" s="1">
        <v>90</v>
      </c>
      <c r="N302" s="1">
        <v>30</v>
      </c>
      <c r="O302" s="1">
        <v>476</v>
      </c>
      <c r="P302" s="1" t="s">
        <v>1127</v>
      </c>
      <c r="Q302" s="1" t="b">
        <v>1</v>
      </c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N302" s="184"/>
    </row>
    <row r="303" spans="2:40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N303" s="184"/>
    </row>
    <row r="304" spans="2:40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82</v>
      </c>
      <c r="O304" s="1" t="s">
        <v>82</v>
      </c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N304" s="184"/>
    </row>
    <row r="305" spans="2:40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82</v>
      </c>
      <c r="O305" s="1" t="s">
        <v>82</v>
      </c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N305" s="184"/>
    </row>
    <row r="306" spans="2:40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82</v>
      </c>
      <c r="O306" s="1" t="s">
        <v>82</v>
      </c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N306" s="184"/>
    </row>
    <row r="307" spans="2:40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995</v>
      </c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N307" s="184"/>
    </row>
    <row r="308" spans="2:40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996</v>
      </c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N308" s="184"/>
    </row>
    <row r="309" spans="2:40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82</v>
      </c>
      <c r="O309" s="1" t="s">
        <v>82</v>
      </c>
      <c r="P309" s="1" t="s">
        <v>82</v>
      </c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N309" s="184"/>
    </row>
    <row r="310" spans="2:40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40</v>
      </c>
      <c r="M310" s="1">
        <v>55</v>
      </c>
      <c r="N310" s="1">
        <v>37</v>
      </c>
      <c r="O310" s="1">
        <v>308</v>
      </c>
      <c r="P310" s="1" t="s">
        <v>998</v>
      </c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</row>
    <row r="311" spans="2:40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60</v>
      </c>
      <c r="M311" s="1">
        <v>75</v>
      </c>
      <c r="N311" s="1" t="s">
        <v>82</v>
      </c>
      <c r="O311" s="1" t="s">
        <v>82</v>
      </c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</row>
    <row r="312" spans="2:40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65</v>
      </c>
      <c r="M312" s="1">
        <v>40</v>
      </c>
      <c r="N312" s="1">
        <v>26</v>
      </c>
      <c r="O312" s="1">
        <v>310</v>
      </c>
      <c r="P312" s="1" t="s">
        <v>1000</v>
      </c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</row>
    <row r="313" spans="2:40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105</v>
      </c>
      <c r="M313" s="1">
        <v>60</v>
      </c>
      <c r="N313" s="1" t="s">
        <v>82</v>
      </c>
      <c r="O313" s="1" t="s">
        <v>82</v>
      </c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</row>
    <row r="314" spans="2:40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85</v>
      </c>
      <c r="M314" s="1">
        <v>75</v>
      </c>
      <c r="N314" s="1" t="s">
        <v>82</v>
      </c>
      <c r="O314" s="1" t="s">
        <v>82</v>
      </c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</row>
    <row r="315" spans="2:40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75</v>
      </c>
      <c r="M315" s="1">
        <v>85</v>
      </c>
      <c r="N315" s="1" t="s">
        <v>82</v>
      </c>
      <c r="O315" s="1" t="s">
        <v>82</v>
      </c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</row>
    <row r="316" spans="2:40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47</v>
      </c>
      <c r="M316" s="1">
        <v>75</v>
      </c>
      <c r="N316" s="1" t="s">
        <v>82</v>
      </c>
      <c r="O316" s="1" t="s">
        <v>82</v>
      </c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</row>
    <row r="317" spans="2:40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73</v>
      </c>
      <c r="M317" s="1">
        <v>75</v>
      </c>
      <c r="N317" s="1" t="s">
        <v>82</v>
      </c>
      <c r="O317" s="1" t="s">
        <v>82</v>
      </c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</row>
    <row r="318" spans="2:40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100</v>
      </c>
      <c r="M318" s="1">
        <v>80</v>
      </c>
      <c r="N318" s="1">
        <v>30</v>
      </c>
      <c r="O318" s="1">
        <v>407</v>
      </c>
      <c r="P318" s="1" t="s">
        <v>325</v>
      </c>
      <c r="Q318" s="1" t="b">
        <v>1</v>
      </c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</row>
    <row r="319" spans="2:40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43</v>
      </c>
      <c r="M319" s="1">
        <v>53</v>
      </c>
      <c r="N319" s="1">
        <v>26</v>
      </c>
      <c r="O319" s="1">
        <v>317</v>
      </c>
      <c r="P319" s="1" t="s">
        <v>1007</v>
      </c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</row>
    <row r="320" spans="2:40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73</v>
      </c>
      <c r="M320" s="1">
        <v>83</v>
      </c>
      <c r="N320" s="1" t="s">
        <v>82</v>
      </c>
      <c r="O320" s="1" t="s">
        <v>82</v>
      </c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</row>
    <row r="321" spans="2:33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65</v>
      </c>
      <c r="M321" s="1">
        <v>20</v>
      </c>
      <c r="N321" s="1">
        <v>30</v>
      </c>
      <c r="O321" s="1">
        <v>319</v>
      </c>
      <c r="P321" s="1" t="s">
        <v>413</v>
      </c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</row>
    <row r="322" spans="2:33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95</v>
      </c>
      <c r="M322" s="1">
        <v>40</v>
      </c>
      <c r="N322" s="1" t="s">
        <v>82</v>
      </c>
      <c r="O322" s="1" t="s">
        <v>82</v>
      </c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</row>
    <row r="323" spans="2:33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70</v>
      </c>
      <c r="M323" s="1">
        <v>35</v>
      </c>
      <c r="N323" s="1">
        <v>40</v>
      </c>
      <c r="O323" s="1">
        <v>321</v>
      </c>
      <c r="P323" s="1" t="s">
        <v>411</v>
      </c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</row>
    <row r="324" spans="2:33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90</v>
      </c>
      <c r="M324" s="1">
        <v>45</v>
      </c>
      <c r="N324" s="1" t="s">
        <v>82</v>
      </c>
      <c r="O324" s="1" t="s">
        <v>82</v>
      </c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</row>
    <row r="325" spans="2:33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65</v>
      </c>
      <c r="M325" s="1">
        <v>45</v>
      </c>
      <c r="N325" s="1">
        <v>33</v>
      </c>
      <c r="O325" s="1">
        <v>323</v>
      </c>
      <c r="P325" s="1" t="s">
        <v>1009</v>
      </c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</row>
    <row r="326" spans="2:33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105</v>
      </c>
      <c r="M326" s="1">
        <v>75</v>
      </c>
      <c r="N326" s="1" t="s">
        <v>82</v>
      </c>
      <c r="O326" s="1" t="s">
        <v>82</v>
      </c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</row>
    <row r="327" spans="2:33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85</v>
      </c>
      <c r="M327" s="1">
        <v>70</v>
      </c>
      <c r="N327" s="1" t="s">
        <v>82</v>
      </c>
      <c r="O327" s="1" t="s">
        <v>82</v>
      </c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</row>
    <row r="328" spans="2:33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70</v>
      </c>
      <c r="M328" s="1">
        <v>80</v>
      </c>
      <c r="N328" s="1">
        <v>32</v>
      </c>
      <c r="O328" s="1">
        <v>326</v>
      </c>
      <c r="P328" s="1" t="s">
        <v>1011</v>
      </c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</row>
    <row r="329" spans="2:33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90</v>
      </c>
      <c r="M329" s="1">
        <v>110</v>
      </c>
      <c r="N329" s="1" t="s">
        <v>82</v>
      </c>
      <c r="O329" s="1" t="s">
        <v>82</v>
      </c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</row>
    <row r="330" spans="2:33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</row>
    <row r="331" spans="2:33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1013</v>
      </c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</row>
    <row r="332" spans="2:33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1014</v>
      </c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</row>
    <row r="333" spans="2:33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82</v>
      </c>
      <c r="O333" s="1" t="s">
        <v>82</v>
      </c>
      <c r="P333" s="1" t="s">
        <v>82</v>
      </c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</row>
    <row r="334" spans="2:33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85</v>
      </c>
      <c r="M334" s="1">
        <v>40</v>
      </c>
      <c r="N334" s="1">
        <v>32</v>
      </c>
      <c r="O334" s="1">
        <v>332</v>
      </c>
      <c r="P334" s="1" t="s">
        <v>400</v>
      </c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</row>
    <row r="335" spans="2:33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115</v>
      </c>
      <c r="M335" s="1">
        <v>60</v>
      </c>
      <c r="N335" s="1" t="s">
        <v>82</v>
      </c>
      <c r="O335" s="1" t="s">
        <v>82</v>
      </c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</row>
    <row r="336" spans="2:33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40</v>
      </c>
      <c r="M336" s="1">
        <v>75</v>
      </c>
      <c r="N336" s="1">
        <v>35</v>
      </c>
      <c r="O336" s="1">
        <v>334</v>
      </c>
      <c r="P336" s="1" t="s">
        <v>398</v>
      </c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</row>
    <row r="337" spans="2:33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70</v>
      </c>
      <c r="M337" s="1">
        <v>105</v>
      </c>
      <c r="N337" s="1" t="s">
        <v>82</v>
      </c>
      <c r="O337" s="1" t="s">
        <v>82</v>
      </c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</row>
    <row r="338" spans="2:33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82</v>
      </c>
      <c r="O338" s="1" t="s">
        <v>82</v>
      </c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</row>
    <row r="339" spans="2:33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100</v>
      </c>
      <c r="M339" s="1">
        <v>60</v>
      </c>
      <c r="N339" s="1" t="s">
        <v>82</v>
      </c>
      <c r="O339" s="1" t="s">
        <v>82</v>
      </c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</row>
    <row r="340" spans="2:33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95</v>
      </c>
      <c r="M340" s="1">
        <v>85</v>
      </c>
      <c r="N340" s="1" t="s">
        <v>82</v>
      </c>
      <c r="O340" s="1" t="s">
        <v>82</v>
      </c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</row>
    <row r="341" spans="2:33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55</v>
      </c>
      <c r="M341" s="1">
        <v>65</v>
      </c>
      <c r="N341" s="1" t="s">
        <v>82</v>
      </c>
      <c r="O341" s="1" t="s">
        <v>82</v>
      </c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</row>
    <row r="342" spans="2:33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46</v>
      </c>
      <c r="M342" s="1">
        <v>41</v>
      </c>
      <c r="N342" s="1">
        <v>30</v>
      </c>
      <c r="O342" s="1">
        <v>340</v>
      </c>
      <c r="P342" s="1" t="s">
        <v>1021</v>
      </c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</row>
    <row r="343" spans="2:33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76</v>
      </c>
      <c r="M343" s="1">
        <v>71</v>
      </c>
      <c r="N343" s="1" t="s">
        <v>82</v>
      </c>
      <c r="O343" s="1" t="s">
        <v>82</v>
      </c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</row>
    <row r="344" spans="2:33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50</v>
      </c>
      <c r="M344" s="1">
        <v>35</v>
      </c>
      <c r="N344" s="1">
        <v>30</v>
      </c>
      <c r="O344" s="1">
        <v>342</v>
      </c>
      <c r="P344" s="1" t="s">
        <v>1023</v>
      </c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</row>
    <row r="345" spans="2:33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90</v>
      </c>
      <c r="M345" s="1">
        <v>55</v>
      </c>
      <c r="N345" s="1" t="s">
        <v>82</v>
      </c>
      <c r="O345" s="1" t="s">
        <v>82</v>
      </c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</row>
    <row r="346" spans="2:33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40</v>
      </c>
      <c r="M346" s="1">
        <v>70</v>
      </c>
      <c r="N346" s="1">
        <v>36</v>
      </c>
      <c r="O346" s="1">
        <v>344</v>
      </c>
      <c r="P346" s="1" t="s">
        <v>1025</v>
      </c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</row>
    <row r="347" spans="2:33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70</v>
      </c>
      <c r="M347" s="1">
        <v>120</v>
      </c>
      <c r="N347" s="1" t="s">
        <v>82</v>
      </c>
      <c r="O347" s="1" t="s">
        <v>82</v>
      </c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</row>
    <row r="348" spans="2:33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61</v>
      </c>
      <c r="M348" s="1">
        <v>87</v>
      </c>
      <c r="N348" s="1">
        <v>40</v>
      </c>
      <c r="O348" s="1">
        <v>346</v>
      </c>
      <c r="P348" s="1" t="s">
        <v>1027</v>
      </c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</row>
    <row r="349" spans="2:33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81</v>
      </c>
      <c r="M349" s="1">
        <v>107</v>
      </c>
      <c r="N349" s="1" t="s">
        <v>82</v>
      </c>
      <c r="O349" s="1" t="s">
        <v>82</v>
      </c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</row>
    <row r="350" spans="2:33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40</v>
      </c>
      <c r="M350" s="1">
        <v>50</v>
      </c>
      <c r="N350" s="1">
        <v>40</v>
      </c>
      <c r="O350" s="1">
        <v>348</v>
      </c>
      <c r="P350" s="1" t="s">
        <v>384</v>
      </c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</row>
    <row r="351" spans="2:33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70</v>
      </c>
      <c r="M351" s="1">
        <v>80</v>
      </c>
      <c r="N351" s="1" t="s">
        <v>82</v>
      </c>
      <c r="O351" s="1" t="s">
        <v>82</v>
      </c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</row>
    <row r="352" spans="2:33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10</v>
      </c>
      <c r="M352" s="1">
        <v>55</v>
      </c>
      <c r="N352" s="1">
        <v>30</v>
      </c>
      <c r="O352" s="1">
        <v>350</v>
      </c>
      <c r="P352" s="1" t="s">
        <v>1029</v>
      </c>
      <c r="Q352" s="1" t="b">
        <v>1</v>
      </c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</row>
    <row r="353" spans="2:33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100</v>
      </c>
      <c r="M353" s="1">
        <v>125</v>
      </c>
      <c r="N353" s="1" t="s">
        <v>82</v>
      </c>
      <c r="O353" s="1" t="s">
        <v>82</v>
      </c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</row>
    <row r="354" spans="2:33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</row>
    <row r="355" spans="2:33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60</v>
      </c>
      <c r="M355" s="1">
        <v>120</v>
      </c>
      <c r="N355" s="1" t="s">
        <v>82</v>
      </c>
      <c r="O355" s="1" t="s">
        <v>82</v>
      </c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</row>
    <row r="356" spans="2:33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63</v>
      </c>
      <c r="M356" s="1">
        <v>33</v>
      </c>
      <c r="N356" s="1">
        <v>37</v>
      </c>
      <c r="O356" s="1">
        <v>354</v>
      </c>
      <c r="P356" s="1" t="s">
        <v>1032</v>
      </c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</row>
    <row r="357" spans="2:33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83</v>
      </c>
      <c r="M357" s="1">
        <v>63</v>
      </c>
      <c r="N357" s="1" t="s">
        <v>82</v>
      </c>
      <c r="O357" s="1" t="s">
        <v>82</v>
      </c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</row>
    <row r="358" spans="2:33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30</v>
      </c>
      <c r="M358" s="1">
        <v>90</v>
      </c>
      <c r="N358" s="1">
        <v>37</v>
      </c>
      <c r="O358" s="1">
        <v>356</v>
      </c>
      <c r="P358" s="1" t="s">
        <v>1034</v>
      </c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</row>
    <row r="359" spans="2:33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60</v>
      </c>
      <c r="M359" s="1">
        <v>130</v>
      </c>
      <c r="N359" s="1">
        <v>30</v>
      </c>
      <c r="O359" s="1">
        <v>477</v>
      </c>
      <c r="P359" s="1" t="s">
        <v>1128</v>
      </c>
      <c r="Q359" s="1" t="b">
        <v>1</v>
      </c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</row>
    <row r="360" spans="2:33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72</v>
      </c>
      <c r="M360" s="1">
        <v>87</v>
      </c>
      <c r="N360" s="1" t="s">
        <v>82</v>
      </c>
      <c r="O360" s="1" t="s">
        <v>82</v>
      </c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</row>
    <row r="361" spans="2:33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95</v>
      </c>
      <c r="M361" s="1">
        <v>80</v>
      </c>
      <c r="N361" s="1" t="s">
        <v>82</v>
      </c>
      <c r="O361" s="1" t="s">
        <v>82</v>
      </c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</row>
    <row r="362" spans="2:33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75</v>
      </c>
      <c r="M362" s="1">
        <v>60</v>
      </c>
      <c r="N362" s="1" t="s">
        <v>82</v>
      </c>
      <c r="O362" s="1" t="s">
        <v>82</v>
      </c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</row>
    <row r="363" spans="2:33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23</v>
      </c>
      <c r="M363" s="1">
        <v>48</v>
      </c>
      <c r="N363" s="1">
        <v>15</v>
      </c>
      <c r="O363" s="1">
        <v>202</v>
      </c>
      <c r="P363" s="1" t="s">
        <v>920</v>
      </c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</row>
    <row r="364" spans="2:33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1038</v>
      </c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</row>
    <row r="365" spans="2:33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</row>
    <row r="366" spans="2:33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55</v>
      </c>
      <c r="M366" s="1">
        <v>50</v>
      </c>
      <c r="N366" s="1">
        <v>32</v>
      </c>
      <c r="O366" s="1">
        <v>364</v>
      </c>
      <c r="P366" s="1" t="s">
        <v>1040</v>
      </c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</row>
    <row r="367" spans="2:33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75</v>
      </c>
      <c r="M367" s="1">
        <v>70</v>
      </c>
      <c r="N367" s="1">
        <v>44</v>
      </c>
      <c r="O367" s="1">
        <v>365</v>
      </c>
      <c r="P367" s="1" t="s">
        <v>1041</v>
      </c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</row>
    <row r="368" spans="2:33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95</v>
      </c>
      <c r="M368" s="1">
        <v>90</v>
      </c>
      <c r="N368" s="1" t="s">
        <v>82</v>
      </c>
      <c r="O368" s="1" t="s">
        <v>82</v>
      </c>
      <c r="P368" s="1" t="s">
        <v>82</v>
      </c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</row>
    <row r="369" spans="2:33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74</v>
      </c>
      <c r="M369" s="1">
        <v>55</v>
      </c>
      <c r="N369" s="1">
        <v>30</v>
      </c>
      <c r="O369" s="1">
        <v>367</v>
      </c>
      <c r="P369" s="1" t="s">
        <v>1043</v>
      </c>
      <c r="Q369" s="1" t="b">
        <v>1</v>
      </c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</row>
    <row r="370" spans="2:33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94</v>
      </c>
      <c r="M370" s="1">
        <v>75</v>
      </c>
      <c r="N370" s="1" t="s">
        <v>82</v>
      </c>
      <c r="O370" s="1" t="s">
        <v>82</v>
      </c>
      <c r="P370" s="1" t="s">
        <v>82</v>
      </c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</row>
    <row r="371" spans="2:33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114</v>
      </c>
      <c r="M371" s="1">
        <v>75</v>
      </c>
      <c r="N371" s="1" t="s">
        <v>82</v>
      </c>
      <c r="O371" s="1" t="s">
        <v>82</v>
      </c>
      <c r="P371" s="1" t="s">
        <v>82</v>
      </c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</row>
    <row r="372" spans="2:33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45</v>
      </c>
      <c r="M372" s="1">
        <v>65</v>
      </c>
      <c r="N372" s="1" t="s">
        <v>82</v>
      </c>
      <c r="O372" s="1" t="s">
        <v>82</v>
      </c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</row>
    <row r="373" spans="2:33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40</v>
      </c>
      <c r="M373" s="1">
        <v>65</v>
      </c>
      <c r="N373" s="1" t="s">
        <v>82</v>
      </c>
      <c r="O373" s="1" t="s">
        <v>82</v>
      </c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</row>
    <row r="374" spans="2:33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40</v>
      </c>
      <c r="M374" s="1">
        <v>30</v>
      </c>
      <c r="N374" s="1">
        <v>30</v>
      </c>
      <c r="O374" s="1">
        <v>372</v>
      </c>
      <c r="P374" s="1" t="s">
        <v>1047</v>
      </c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</row>
    <row r="375" spans="2:33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60</v>
      </c>
      <c r="M375" s="1">
        <v>50</v>
      </c>
      <c r="N375" s="1">
        <v>50</v>
      </c>
      <c r="O375" s="1">
        <v>373</v>
      </c>
      <c r="P375" s="1" t="s">
        <v>1048</v>
      </c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</row>
    <row r="376" spans="2:33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110</v>
      </c>
      <c r="M376" s="1">
        <v>80</v>
      </c>
      <c r="N376" s="1" t="s">
        <v>82</v>
      </c>
      <c r="O376" s="1" t="s">
        <v>82</v>
      </c>
      <c r="P376" s="1" t="s">
        <v>82</v>
      </c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</row>
    <row r="377" spans="2:33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35</v>
      </c>
      <c r="M377" s="1">
        <v>60</v>
      </c>
      <c r="N377" s="1">
        <v>20</v>
      </c>
      <c r="O377" s="1">
        <v>375</v>
      </c>
      <c r="P377" s="1" t="s">
        <v>1050</v>
      </c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</row>
    <row r="378" spans="2:33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55</v>
      </c>
      <c r="M378" s="1">
        <v>80</v>
      </c>
      <c r="N378" s="1">
        <v>45</v>
      </c>
      <c r="O378" s="1">
        <v>376</v>
      </c>
      <c r="P378" s="1" t="s">
        <v>1051</v>
      </c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</row>
    <row r="379" spans="2:33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95</v>
      </c>
      <c r="M379" s="1">
        <v>90</v>
      </c>
      <c r="N379" s="1" t="s">
        <v>82</v>
      </c>
      <c r="O379" s="1" t="s">
        <v>82</v>
      </c>
      <c r="P379" s="1" t="s">
        <v>82</v>
      </c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</row>
    <row r="380" spans="2:33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50</v>
      </c>
      <c r="M380" s="1">
        <v>100</v>
      </c>
      <c r="N380" s="1" t="s">
        <v>82</v>
      </c>
      <c r="O380" s="1" t="s">
        <v>82</v>
      </c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</row>
    <row r="381" spans="2:33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100</v>
      </c>
      <c r="M381" s="1">
        <v>200</v>
      </c>
      <c r="N381" s="1" t="s">
        <v>82</v>
      </c>
      <c r="O381" s="1" t="s">
        <v>82</v>
      </c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</row>
    <row r="382" spans="2:33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75</v>
      </c>
      <c r="M382" s="1">
        <v>150</v>
      </c>
      <c r="N382" s="1" t="s">
        <v>82</v>
      </c>
      <c r="O382" s="1" t="s">
        <v>82</v>
      </c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</row>
    <row r="383" spans="2:33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110</v>
      </c>
      <c r="M383" s="1">
        <v>130</v>
      </c>
      <c r="N383" s="1" t="s">
        <v>82</v>
      </c>
      <c r="O383" s="1" t="s">
        <v>82</v>
      </c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</row>
    <row r="384" spans="2:33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130</v>
      </c>
      <c r="M384" s="1">
        <v>110</v>
      </c>
      <c r="N384" s="1" t="s">
        <v>82</v>
      </c>
      <c r="O384" s="1" t="s">
        <v>82</v>
      </c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</row>
    <row r="385" spans="2:33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150</v>
      </c>
      <c r="M385" s="1">
        <v>140</v>
      </c>
      <c r="N385" s="1" t="s">
        <v>82</v>
      </c>
      <c r="O385" s="1" t="s">
        <v>82</v>
      </c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</row>
    <row r="386" spans="2:33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100</v>
      </c>
      <c r="M386" s="1">
        <v>90</v>
      </c>
      <c r="N386" s="1" t="s">
        <v>82</v>
      </c>
      <c r="O386" s="1" t="s">
        <v>82</v>
      </c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</row>
    <row r="387" spans="2:33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150</v>
      </c>
      <c r="M387" s="1">
        <v>90</v>
      </c>
      <c r="N387" s="1" t="s">
        <v>82</v>
      </c>
      <c r="O387" s="1" t="s">
        <v>82</v>
      </c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</row>
    <row r="388" spans="2:33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</row>
    <row r="389" spans="2:33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150</v>
      </c>
      <c r="M389" s="1">
        <v>50</v>
      </c>
      <c r="N389" s="1" t="s">
        <v>82</v>
      </c>
      <c r="O389" s="1" t="s">
        <v>82</v>
      </c>
      <c r="P389" s="1" t="s">
        <v>82</v>
      </c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</row>
    <row r="390" spans="2:33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45</v>
      </c>
      <c r="M390" s="1">
        <v>55</v>
      </c>
      <c r="N390" s="1">
        <v>18</v>
      </c>
      <c r="O390" s="1">
        <v>388</v>
      </c>
      <c r="P390" s="1" t="s">
        <v>1054</v>
      </c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</row>
    <row r="391" spans="2:33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55</v>
      </c>
      <c r="M391" s="1">
        <v>65</v>
      </c>
      <c r="N391" s="1">
        <v>32</v>
      </c>
      <c r="O391" s="1">
        <v>389</v>
      </c>
      <c r="P391" s="1" t="s">
        <v>343</v>
      </c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</row>
    <row r="392" spans="2:33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75</v>
      </c>
      <c r="M392" s="1">
        <v>85</v>
      </c>
      <c r="N392" s="1" t="s">
        <v>82</v>
      </c>
      <c r="O392" s="1" t="s">
        <v>82</v>
      </c>
      <c r="P392" s="1" t="s">
        <v>82</v>
      </c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</row>
    <row r="393" spans="2:33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58</v>
      </c>
      <c r="M393" s="1">
        <v>44</v>
      </c>
      <c r="N393" s="1">
        <v>14</v>
      </c>
      <c r="O393" s="1">
        <v>391</v>
      </c>
      <c r="P393" s="1" t="s">
        <v>1056</v>
      </c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</row>
    <row r="394" spans="2:33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78</v>
      </c>
      <c r="M394" s="1">
        <v>52</v>
      </c>
      <c r="N394" s="1">
        <v>36</v>
      </c>
      <c r="O394" s="1">
        <v>392</v>
      </c>
      <c r="P394" s="1" t="s">
        <v>1057</v>
      </c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</row>
    <row r="395" spans="2:33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104</v>
      </c>
      <c r="M395" s="1">
        <v>71</v>
      </c>
      <c r="N395" s="1" t="s">
        <v>82</v>
      </c>
      <c r="O395" s="1" t="s">
        <v>82</v>
      </c>
      <c r="P395" s="1" t="s">
        <v>82</v>
      </c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</row>
    <row r="396" spans="2:33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61</v>
      </c>
      <c r="M396" s="1">
        <v>56</v>
      </c>
      <c r="N396" s="1">
        <v>16</v>
      </c>
      <c r="O396" s="1">
        <v>394</v>
      </c>
      <c r="P396" s="1" t="s">
        <v>1059</v>
      </c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</row>
    <row r="397" spans="2:33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81</v>
      </c>
      <c r="M397" s="1">
        <v>76</v>
      </c>
      <c r="N397" s="1">
        <v>36</v>
      </c>
      <c r="O397" s="1">
        <v>395</v>
      </c>
      <c r="P397" s="1" t="s">
        <v>1060</v>
      </c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</row>
    <row r="398" spans="2:33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111</v>
      </c>
      <c r="M398" s="1">
        <v>101</v>
      </c>
      <c r="N398" s="1" t="s">
        <v>82</v>
      </c>
      <c r="O398" s="1" t="s">
        <v>82</v>
      </c>
      <c r="P398" s="1" t="s">
        <v>82</v>
      </c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</row>
    <row r="399" spans="2:33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1062</v>
      </c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</row>
    <row r="400" spans="2:33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1063</v>
      </c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</row>
    <row r="401" spans="2:33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50</v>
      </c>
      <c r="M401" s="1">
        <v>60</v>
      </c>
      <c r="N401" s="1" t="s">
        <v>82</v>
      </c>
      <c r="O401" s="1" t="s">
        <v>82</v>
      </c>
      <c r="P401" s="1" t="s">
        <v>82</v>
      </c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</row>
    <row r="402" spans="2:33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35</v>
      </c>
      <c r="M402" s="1">
        <v>40</v>
      </c>
      <c r="N402" s="1">
        <v>15</v>
      </c>
      <c r="O402" s="1">
        <v>400</v>
      </c>
      <c r="P402" s="1" t="s">
        <v>1065</v>
      </c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</row>
    <row r="403" spans="2:33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55</v>
      </c>
      <c r="M403" s="1">
        <v>60</v>
      </c>
      <c r="N403" s="1" t="s">
        <v>82</v>
      </c>
      <c r="O403" s="1" t="s">
        <v>82</v>
      </c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</row>
    <row r="404" spans="2:33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25</v>
      </c>
      <c r="M404" s="1">
        <v>41</v>
      </c>
      <c r="N404" s="1">
        <v>10</v>
      </c>
      <c r="O404" s="1">
        <v>402</v>
      </c>
      <c r="P404" s="1" t="s">
        <v>1067</v>
      </c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</row>
    <row r="405" spans="2:33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55</v>
      </c>
      <c r="M405" s="1">
        <v>51</v>
      </c>
      <c r="N405" s="1" t="s">
        <v>82</v>
      </c>
      <c r="O405" s="1" t="s">
        <v>82</v>
      </c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</row>
    <row r="406" spans="2:33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40</v>
      </c>
      <c r="M406" s="1">
        <v>34</v>
      </c>
      <c r="N406" s="1">
        <v>15</v>
      </c>
      <c r="O406" s="1">
        <v>404</v>
      </c>
      <c r="P406" s="1" t="s">
        <v>328</v>
      </c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</row>
    <row r="407" spans="2:33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60</v>
      </c>
      <c r="M407" s="1">
        <v>49</v>
      </c>
      <c r="N407" s="1">
        <v>30</v>
      </c>
      <c r="O407" s="1">
        <v>405</v>
      </c>
      <c r="P407" s="1" t="s">
        <v>327</v>
      </c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</row>
    <row r="408" spans="2:33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95</v>
      </c>
      <c r="M408" s="1">
        <v>79</v>
      </c>
      <c r="N408" s="1" t="s">
        <v>82</v>
      </c>
      <c r="O408" s="1" t="s">
        <v>82</v>
      </c>
      <c r="P408" s="1" t="s">
        <v>82</v>
      </c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</row>
    <row r="409" spans="2:33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50</v>
      </c>
      <c r="M409" s="1">
        <v>70</v>
      </c>
      <c r="N409" s="1">
        <v>30</v>
      </c>
      <c r="O409" s="1">
        <v>315</v>
      </c>
      <c r="P409" s="1" t="s">
        <v>1005</v>
      </c>
      <c r="Q409" s="1" t="b">
        <v>1</v>
      </c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</row>
    <row r="410" spans="2:33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125</v>
      </c>
      <c r="M410" s="1">
        <v>105</v>
      </c>
      <c r="N410" s="1" t="s">
        <v>82</v>
      </c>
      <c r="O410" s="1" t="s">
        <v>82</v>
      </c>
      <c r="P410" s="1" t="s">
        <v>82</v>
      </c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</row>
    <row r="411" spans="2:33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1071</v>
      </c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</row>
    <row r="412" spans="2:33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65</v>
      </c>
      <c r="M412" s="1">
        <v>50</v>
      </c>
      <c r="N412" s="1" t="s">
        <v>82</v>
      </c>
      <c r="O412" s="1" t="s">
        <v>82</v>
      </c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</row>
    <row r="413" spans="2:33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42</v>
      </c>
      <c r="M413" s="1">
        <v>88</v>
      </c>
      <c r="N413" s="1">
        <v>30</v>
      </c>
      <c r="O413" s="1">
        <v>411</v>
      </c>
      <c r="P413" s="1" t="s">
        <v>321</v>
      </c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</row>
    <row r="414" spans="2:33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47</v>
      </c>
      <c r="M414" s="1">
        <v>138</v>
      </c>
      <c r="N414" s="1" t="s">
        <v>82</v>
      </c>
      <c r="O414" s="1" t="s">
        <v>82</v>
      </c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</row>
    <row r="415" spans="2:33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29</v>
      </c>
      <c r="M415" s="1">
        <v>45</v>
      </c>
      <c r="N415" s="1">
        <v>20</v>
      </c>
      <c r="O415" s="1">
        <v>413</v>
      </c>
      <c r="P415" s="1" t="s">
        <v>1289</v>
      </c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</row>
    <row r="416" spans="2:33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79</v>
      </c>
      <c r="M416" s="1">
        <v>105</v>
      </c>
      <c r="N416" s="1" t="s">
        <v>82</v>
      </c>
      <c r="O416" s="1" t="s">
        <v>82</v>
      </c>
      <c r="P416" s="1" t="s">
        <v>82</v>
      </c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</row>
    <row r="417" spans="2:33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94</v>
      </c>
      <c r="M417" s="1">
        <v>50</v>
      </c>
      <c r="N417" s="1" t="s">
        <v>82</v>
      </c>
      <c r="O417" s="1" t="s">
        <v>82</v>
      </c>
      <c r="P417" s="1" t="s">
        <v>82</v>
      </c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</row>
    <row r="418" spans="2:33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30</v>
      </c>
      <c r="M418" s="1">
        <v>42</v>
      </c>
      <c r="N418" s="1">
        <v>21</v>
      </c>
      <c r="O418" s="1">
        <v>416</v>
      </c>
      <c r="P418" s="1" t="s">
        <v>1076</v>
      </c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</row>
    <row r="419" spans="2:33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80</v>
      </c>
      <c r="M419" s="1">
        <v>102</v>
      </c>
      <c r="N419" s="1" t="s">
        <v>82</v>
      </c>
      <c r="O419" s="1" t="s">
        <v>82</v>
      </c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</row>
    <row r="420" spans="2:33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45</v>
      </c>
      <c r="M420" s="1">
        <v>90</v>
      </c>
      <c r="N420" s="1" t="s">
        <v>82</v>
      </c>
      <c r="O420" s="1" t="s">
        <v>82</v>
      </c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</row>
    <row r="421" spans="2:33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60</v>
      </c>
      <c r="M421" s="1">
        <v>30</v>
      </c>
      <c r="N421" s="1">
        <v>26</v>
      </c>
      <c r="O421" s="1">
        <v>419</v>
      </c>
      <c r="P421" s="1" t="s">
        <v>1078</v>
      </c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</row>
    <row r="422" spans="2:33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85</v>
      </c>
      <c r="M422" s="1">
        <v>50</v>
      </c>
      <c r="N422" s="1" t="s">
        <v>82</v>
      </c>
      <c r="O422" s="1" t="s">
        <v>82</v>
      </c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</row>
    <row r="423" spans="2:33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62</v>
      </c>
      <c r="M423" s="1">
        <v>53</v>
      </c>
      <c r="N423" s="1">
        <v>25</v>
      </c>
      <c r="O423" s="1">
        <v>421</v>
      </c>
      <c r="P423" s="1" t="s">
        <v>1080</v>
      </c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</row>
    <row r="424" spans="2:33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87</v>
      </c>
      <c r="M424" s="1">
        <v>78</v>
      </c>
      <c r="N424" s="1" t="s">
        <v>82</v>
      </c>
      <c r="O424" s="1" t="s">
        <v>82</v>
      </c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</row>
    <row r="425" spans="2:33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57</v>
      </c>
      <c r="M425" s="1">
        <v>62</v>
      </c>
      <c r="N425" s="1">
        <v>30</v>
      </c>
      <c r="O425" s="1">
        <v>423</v>
      </c>
      <c r="P425" s="1" t="s">
        <v>1082</v>
      </c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</row>
    <row r="426" spans="2:33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92</v>
      </c>
      <c r="M426" s="1">
        <v>82</v>
      </c>
      <c r="N426" s="1" t="s">
        <v>82</v>
      </c>
      <c r="O426" s="1" t="s">
        <v>82</v>
      </c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</row>
    <row r="427" spans="2:33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60</v>
      </c>
      <c r="M427" s="1">
        <v>66</v>
      </c>
      <c r="N427" s="1" t="s">
        <v>82</v>
      </c>
      <c r="O427" s="1" t="s">
        <v>82</v>
      </c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</row>
    <row r="428" spans="2:33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60</v>
      </c>
      <c r="M428" s="1">
        <v>44</v>
      </c>
      <c r="N428" s="1">
        <v>28</v>
      </c>
      <c r="O428" s="1">
        <v>426</v>
      </c>
      <c r="P428" s="1" t="s">
        <v>1085</v>
      </c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</row>
    <row r="429" spans="2:33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90</v>
      </c>
      <c r="M429" s="1">
        <v>54</v>
      </c>
      <c r="N429" s="1" t="s">
        <v>82</v>
      </c>
      <c r="O429" s="1" t="s">
        <v>82</v>
      </c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</row>
    <row r="430" spans="2:33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44</v>
      </c>
      <c r="M430" s="1">
        <v>56</v>
      </c>
      <c r="N430" s="1">
        <v>20</v>
      </c>
      <c r="O430" s="1">
        <v>428</v>
      </c>
      <c r="P430" s="1" t="s">
        <v>1087</v>
      </c>
      <c r="Q430" s="1" t="b">
        <v>1</v>
      </c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</row>
    <row r="431" spans="2:33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54</v>
      </c>
      <c r="M431" s="1">
        <v>96</v>
      </c>
      <c r="N431" s="1" t="s">
        <v>82</v>
      </c>
      <c r="O431" s="1" t="s">
        <v>82</v>
      </c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</row>
    <row r="432" spans="2:33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</row>
    <row r="433" spans="2:33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105</v>
      </c>
      <c r="M433" s="1">
        <v>52</v>
      </c>
      <c r="N433" s="1" t="s">
        <v>82</v>
      </c>
      <c r="O433" s="1" t="s">
        <v>82</v>
      </c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</row>
    <row r="434" spans="2:33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42</v>
      </c>
      <c r="M434" s="1">
        <v>37</v>
      </c>
      <c r="N434" s="1">
        <v>38</v>
      </c>
      <c r="O434" s="1">
        <v>432</v>
      </c>
      <c r="P434" s="1" t="s">
        <v>1091</v>
      </c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</row>
    <row r="435" spans="2:33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64</v>
      </c>
      <c r="M435" s="1">
        <v>59</v>
      </c>
      <c r="N435" s="1" t="s">
        <v>82</v>
      </c>
      <c r="O435" s="1" t="s">
        <v>82</v>
      </c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</row>
    <row r="436" spans="2:33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65</v>
      </c>
      <c r="M436" s="1">
        <v>50</v>
      </c>
      <c r="N436" s="1">
        <v>20</v>
      </c>
      <c r="O436" s="1">
        <v>358</v>
      </c>
      <c r="P436" s="1" t="s">
        <v>1035</v>
      </c>
      <c r="Q436" s="1" t="b">
        <v>1</v>
      </c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</row>
    <row r="437" spans="2:33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1094</v>
      </c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</row>
    <row r="438" spans="2:33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71</v>
      </c>
      <c r="M438" s="1">
        <v>61</v>
      </c>
      <c r="N438" s="1" t="s">
        <v>82</v>
      </c>
      <c r="O438" s="1" t="s">
        <v>82</v>
      </c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</row>
    <row r="439" spans="2:33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24</v>
      </c>
      <c r="M439" s="1">
        <v>86</v>
      </c>
      <c r="N439" s="1">
        <v>33</v>
      </c>
      <c r="O439" s="1">
        <v>437</v>
      </c>
      <c r="P439" s="1" t="s">
        <v>1096</v>
      </c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</row>
    <row r="440" spans="2:33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79</v>
      </c>
      <c r="M440" s="1">
        <v>116</v>
      </c>
      <c r="N440" s="1" t="s">
        <v>82</v>
      </c>
      <c r="O440" s="1" t="s">
        <v>82</v>
      </c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</row>
    <row r="441" spans="2:33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10</v>
      </c>
      <c r="M441" s="1">
        <v>45</v>
      </c>
      <c r="N441" s="1">
        <v>15</v>
      </c>
      <c r="O441" s="1">
        <v>185</v>
      </c>
      <c r="P441" s="1" t="s">
        <v>904</v>
      </c>
      <c r="Q441" s="1" t="b">
        <v>1</v>
      </c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</row>
    <row r="442" spans="2:33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70</v>
      </c>
      <c r="M442" s="1">
        <v>90</v>
      </c>
      <c r="N442" s="1">
        <v>15</v>
      </c>
      <c r="O442" s="1">
        <v>122</v>
      </c>
      <c r="P442" s="1" t="s">
        <v>857</v>
      </c>
      <c r="Q442" s="1" t="b">
        <v>1</v>
      </c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</row>
    <row r="443" spans="2:33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15</v>
      </c>
      <c r="M443" s="1">
        <v>65</v>
      </c>
      <c r="N443" s="1">
        <v>15</v>
      </c>
      <c r="O443" s="1">
        <v>113</v>
      </c>
      <c r="P443" s="1" t="s">
        <v>848</v>
      </c>
      <c r="Q443" s="1" t="b">
        <v>1</v>
      </c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</row>
    <row r="444" spans="2:33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92</v>
      </c>
      <c r="M444" s="1">
        <v>42</v>
      </c>
      <c r="N444" s="1" t="s">
        <v>82</v>
      </c>
      <c r="O444" s="1" t="s">
        <v>82</v>
      </c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</row>
    <row r="445" spans="2:33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92</v>
      </c>
      <c r="M445" s="1">
        <v>108</v>
      </c>
      <c r="N445" s="1" t="s">
        <v>82</v>
      </c>
      <c r="O445" s="1" t="s">
        <v>82</v>
      </c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</row>
    <row r="446" spans="2:33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40</v>
      </c>
      <c r="M446" s="1">
        <v>45</v>
      </c>
      <c r="N446" s="1">
        <v>24</v>
      </c>
      <c r="O446" s="1">
        <v>444</v>
      </c>
      <c r="P446" s="1" t="s">
        <v>1101</v>
      </c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</row>
    <row r="447" spans="2:33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50</v>
      </c>
      <c r="M447" s="1">
        <v>55</v>
      </c>
      <c r="N447" s="1">
        <v>48</v>
      </c>
      <c r="O447" s="1">
        <v>445</v>
      </c>
      <c r="P447" s="1" t="s">
        <v>1102</v>
      </c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</row>
    <row r="448" spans="2:33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80</v>
      </c>
      <c r="M448" s="1">
        <v>85</v>
      </c>
      <c r="N448" s="1" t="s">
        <v>82</v>
      </c>
      <c r="O448" s="1" t="s">
        <v>82</v>
      </c>
      <c r="P448" s="1" t="s">
        <v>82</v>
      </c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</row>
    <row r="449" spans="2:33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40</v>
      </c>
      <c r="M449" s="1">
        <v>85</v>
      </c>
      <c r="N449" s="1">
        <v>25</v>
      </c>
      <c r="O449" s="1">
        <v>143</v>
      </c>
      <c r="P449" s="1" t="s">
        <v>874</v>
      </c>
      <c r="Q449" s="1" t="b">
        <v>1</v>
      </c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</row>
    <row r="450" spans="2:33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35</v>
      </c>
      <c r="M450" s="1">
        <v>40</v>
      </c>
      <c r="N450" s="1">
        <v>20</v>
      </c>
      <c r="O450" s="1">
        <v>448</v>
      </c>
      <c r="P450" s="1" t="s">
        <v>284</v>
      </c>
      <c r="Q450" s="1" t="b">
        <v>1</v>
      </c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</row>
    <row r="451" spans="2:33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115</v>
      </c>
      <c r="M451" s="1">
        <v>70</v>
      </c>
      <c r="N451" s="1" t="s">
        <v>82</v>
      </c>
      <c r="O451" s="1" t="s">
        <v>82</v>
      </c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</row>
    <row r="452" spans="2:33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38</v>
      </c>
      <c r="M452" s="1">
        <v>42</v>
      </c>
      <c r="N452" s="1">
        <v>34</v>
      </c>
      <c r="O452" s="1">
        <v>450</v>
      </c>
      <c r="P452" s="1" t="s">
        <v>1104</v>
      </c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</row>
    <row r="453" spans="2:33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68</v>
      </c>
      <c r="M453" s="1">
        <v>72</v>
      </c>
      <c r="N453" s="1" t="s">
        <v>82</v>
      </c>
      <c r="O453" s="1" t="s">
        <v>82</v>
      </c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</row>
    <row r="454" spans="2:33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30</v>
      </c>
      <c r="M454" s="1">
        <v>55</v>
      </c>
      <c r="N454" s="1">
        <v>40</v>
      </c>
      <c r="O454" s="1">
        <v>452</v>
      </c>
      <c r="P454" s="1" t="s">
        <v>1106</v>
      </c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</row>
    <row r="455" spans="2:33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60</v>
      </c>
      <c r="M455" s="1">
        <v>75</v>
      </c>
      <c r="N455" s="1" t="s">
        <v>82</v>
      </c>
      <c r="O455" s="1" t="s">
        <v>82</v>
      </c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</row>
    <row r="456" spans="2:33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61</v>
      </c>
      <c r="M456" s="1">
        <v>40</v>
      </c>
      <c r="N456" s="1">
        <v>37</v>
      </c>
      <c r="O456" s="1">
        <v>454</v>
      </c>
      <c r="P456" s="1" t="s">
        <v>1108</v>
      </c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</row>
    <row r="457" spans="2:33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86</v>
      </c>
      <c r="M457" s="1">
        <v>65</v>
      </c>
      <c r="N457" s="1" t="s">
        <v>82</v>
      </c>
      <c r="O457" s="1" t="s">
        <v>82</v>
      </c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</row>
    <row r="458" spans="2:33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90</v>
      </c>
      <c r="M458" s="1">
        <v>72</v>
      </c>
      <c r="N458" s="1" t="s">
        <v>82</v>
      </c>
      <c r="O458" s="1" t="s">
        <v>82</v>
      </c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</row>
    <row r="459" spans="2:33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49</v>
      </c>
      <c r="M459" s="1">
        <v>61</v>
      </c>
      <c r="N459" s="1">
        <v>31</v>
      </c>
      <c r="O459" s="1">
        <v>457</v>
      </c>
      <c r="P459" s="1" t="s">
        <v>1111</v>
      </c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</row>
    <row r="460" spans="2:33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69</v>
      </c>
      <c r="M460" s="1">
        <v>86</v>
      </c>
      <c r="N460" s="1" t="s">
        <v>82</v>
      </c>
      <c r="O460" s="1" t="s">
        <v>82</v>
      </c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</row>
    <row r="461" spans="2:33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60</v>
      </c>
      <c r="M461" s="1">
        <v>120</v>
      </c>
      <c r="N461" s="1">
        <v>30</v>
      </c>
      <c r="O461" s="1">
        <v>226</v>
      </c>
      <c r="P461" s="1" t="s">
        <v>936</v>
      </c>
      <c r="Q461" s="1" t="b">
        <v>1</v>
      </c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</row>
    <row r="462" spans="2:33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62</v>
      </c>
      <c r="M462" s="1">
        <v>60</v>
      </c>
      <c r="N462" s="1">
        <v>40</v>
      </c>
      <c r="O462" s="1">
        <v>460</v>
      </c>
      <c r="P462" s="1" t="s">
        <v>1114</v>
      </c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</row>
    <row r="463" spans="2:33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92</v>
      </c>
      <c r="M463" s="1">
        <v>85</v>
      </c>
      <c r="N463" s="1" t="s">
        <v>82</v>
      </c>
      <c r="O463" s="1" t="s">
        <v>82</v>
      </c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</row>
    <row r="464" spans="2:33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45</v>
      </c>
      <c r="M464" s="1">
        <v>85</v>
      </c>
      <c r="N464" s="1" t="s">
        <v>82</v>
      </c>
      <c r="O464" s="1" t="s">
        <v>82</v>
      </c>
      <c r="P464" s="1" t="s">
        <v>82</v>
      </c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</row>
    <row r="465" spans="2:33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130</v>
      </c>
      <c r="M465" s="1">
        <v>90</v>
      </c>
      <c r="N465" s="1" t="s">
        <v>82</v>
      </c>
      <c r="O465" s="1" t="s">
        <v>82</v>
      </c>
      <c r="P465" s="1" t="s">
        <v>82</v>
      </c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</row>
    <row r="466" spans="2:33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80</v>
      </c>
      <c r="M466" s="1">
        <v>95</v>
      </c>
      <c r="N466" s="1" t="s">
        <v>82</v>
      </c>
      <c r="O466" s="1" t="s">
        <v>82</v>
      </c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</row>
    <row r="467" spans="2:33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82</v>
      </c>
      <c r="O467" s="1" t="s">
        <v>82</v>
      </c>
      <c r="P467" s="1" t="s">
        <v>82</v>
      </c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</row>
    <row r="468" spans="2:33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110</v>
      </c>
      <c r="M468" s="1">
        <v>50</v>
      </c>
      <c r="N468" s="1" t="s">
        <v>82</v>
      </c>
      <c r="O468" s="1" t="s">
        <v>82</v>
      </c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</row>
    <row r="469" spans="2:33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95</v>
      </c>
      <c r="M469" s="1">
        <v>85</v>
      </c>
      <c r="N469" s="1" t="s">
        <v>82</v>
      </c>
      <c r="O469" s="1" t="s">
        <v>82</v>
      </c>
      <c r="P469" s="1" t="s">
        <v>82</v>
      </c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</row>
    <row r="470" spans="2:33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125</v>
      </c>
      <c r="M470" s="1">
        <v>95</v>
      </c>
      <c r="N470" s="1" t="s">
        <v>82</v>
      </c>
      <c r="O470" s="1" t="s">
        <v>82</v>
      </c>
      <c r="P470" s="1" t="s">
        <v>82</v>
      </c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</row>
    <row r="471" spans="2:33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120</v>
      </c>
      <c r="M471" s="1">
        <v>115</v>
      </c>
      <c r="N471" s="1" t="s">
        <v>82</v>
      </c>
      <c r="O471" s="1" t="s">
        <v>82</v>
      </c>
      <c r="P471" s="1" t="s">
        <v>82</v>
      </c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</row>
    <row r="472" spans="2:33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116</v>
      </c>
      <c r="M472" s="1">
        <v>56</v>
      </c>
      <c r="N472" s="1" t="s">
        <v>82</v>
      </c>
      <c r="O472" s="1" t="s">
        <v>82</v>
      </c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</row>
    <row r="473" spans="2:33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60</v>
      </c>
      <c r="M473" s="1">
        <v>65</v>
      </c>
      <c r="N473" s="1" t="s">
        <v>82</v>
      </c>
      <c r="O473" s="1" t="s">
        <v>82</v>
      </c>
      <c r="P473" s="1" t="s">
        <v>82</v>
      </c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</row>
    <row r="474" spans="2:33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130</v>
      </c>
      <c r="M474" s="1">
        <v>95</v>
      </c>
      <c r="N474" s="1" t="s">
        <v>82</v>
      </c>
      <c r="O474" s="1" t="s">
        <v>82</v>
      </c>
      <c r="P474" s="1" t="s">
        <v>82</v>
      </c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</row>
    <row r="475" spans="2:33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45</v>
      </c>
      <c r="M475" s="1">
        <v>75</v>
      </c>
      <c r="N475" s="1" t="s">
        <v>82</v>
      </c>
      <c r="O475" s="1" t="s">
        <v>82</v>
      </c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</row>
    <row r="476" spans="2:33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70</v>
      </c>
      <c r="M476" s="1">
        <v>60</v>
      </c>
      <c r="N476" s="1" t="s">
        <v>82</v>
      </c>
      <c r="O476" s="1" t="s">
        <v>82</v>
      </c>
      <c r="P476" s="1" t="s">
        <v>82</v>
      </c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</row>
    <row r="477" spans="2:33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135</v>
      </c>
      <c r="M477" s="1">
        <v>75</v>
      </c>
      <c r="N477" s="1" t="s">
        <v>82</v>
      </c>
      <c r="O477" s="1" t="s">
        <v>82</v>
      </c>
      <c r="P477" s="1" t="s">
        <v>82</v>
      </c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</row>
    <row r="478" spans="2:33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65</v>
      </c>
      <c r="M478" s="1">
        <v>115</v>
      </c>
      <c r="N478" s="1" t="s">
        <v>82</v>
      </c>
      <c r="O478" s="1" t="s">
        <v>82</v>
      </c>
      <c r="P478" s="1" t="s">
        <v>82</v>
      </c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</row>
    <row r="479" spans="2:33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75</v>
      </c>
      <c r="M479" s="1">
        <v>150</v>
      </c>
      <c r="N479" s="1" t="s">
        <v>82</v>
      </c>
      <c r="O479" s="1" t="s">
        <v>82</v>
      </c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</row>
    <row r="480" spans="2:33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65</v>
      </c>
      <c r="M480" s="1">
        <v>135</v>
      </c>
      <c r="N480" s="1" t="s">
        <v>82</v>
      </c>
      <c r="O480" s="1" t="s">
        <v>82</v>
      </c>
      <c r="P480" s="1" t="s">
        <v>82</v>
      </c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</row>
    <row r="481" spans="2:33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80</v>
      </c>
      <c r="M481" s="1">
        <v>70</v>
      </c>
      <c r="N481" s="1" t="s">
        <v>82</v>
      </c>
      <c r="O481" s="1" t="s">
        <v>82</v>
      </c>
      <c r="P481" s="1" t="s">
        <v>82</v>
      </c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</row>
    <row r="482" spans="2:33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95</v>
      </c>
      <c r="M482" s="1">
        <v>77</v>
      </c>
      <c r="N482" s="1" t="s">
        <v>82</v>
      </c>
      <c r="O482" s="1" t="s">
        <v>82</v>
      </c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</row>
    <row r="483" spans="2:33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75</v>
      </c>
      <c r="M483" s="1">
        <v>130</v>
      </c>
      <c r="N483" s="1" t="s">
        <v>82</v>
      </c>
      <c r="O483" s="1" t="s">
        <v>82</v>
      </c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</row>
    <row r="484" spans="2:33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82</v>
      </c>
      <c r="O484" s="1" t="s">
        <v>82</v>
      </c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</row>
    <row r="485" spans="2:33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125</v>
      </c>
      <c r="M485" s="1">
        <v>70</v>
      </c>
      <c r="N485" s="1" t="s">
        <v>82</v>
      </c>
      <c r="O485" s="1" t="s">
        <v>82</v>
      </c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</row>
    <row r="486" spans="2:33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150</v>
      </c>
      <c r="M486" s="1">
        <v>100</v>
      </c>
      <c r="N486" s="1" t="s">
        <v>82</v>
      </c>
      <c r="O486" s="1" t="s">
        <v>82</v>
      </c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</row>
    <row r="487" spans="2:33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150</v>
      </c>
      <c r="M487" s="1">
        <v>120</v>
      </c>
      <c r="N487" s="1" t="s">
        <v>82</v>
      </c>
      <c r="O487" s="1" t="s">
        <v>82</v>
      </c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</row>
    <row r="488" spans="2:33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130</v>
      </c>
      <c r="M488" s="1">
        <v>106</v>
      </c>
      <c r="N488" s="1" t="s">
        <v>82</v>
      </c>
      <c r="O488" s="1" t="s">
        <v>82</v>
      </c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</row>
    <row r="489" spans="2:33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80</v>
      </c>
      <c r="M489" s="1">
        <v>110</v>
      </c>
      <c r="N489" s="1" t="s">
        <v>82</v>
      </c>
      <c r="O489" s="1" t="s">
        <v>82</v>
      </c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</row>
    <row r="490" spans="2:33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100</v>
      </c>
      <c r="M490" s="1">
        <v>120</v>
      </c>
      <c r="N490" s="1" t="s">
        <v>82</v>
      </c>
      <c r="O490" s="1" t="s">
        <v>82</v>
      </c>
      <c r="P490" s="1" t="s">
        <v>82</v>
      </c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</row>
    <row r="491" spans="2:33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75</v>
      </c>
      <c r="M491" s="1">
        <v>130</v>
      </c>
      <c r="N491" s="1" t="s">
        <v>82</v>
      </c>
      <c r="O491" s="1" t="s">
        <v>82</v>
      </c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</row>
    <row r="492" spans="2:33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</row>
    <row r="493" spans="2:33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</row>
    <row r="494" spans="2:33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135</v>
      </c>
      <c r="M494" s="1">
        <v>90</v>
      </c>
      <c r="N494" s="1" t="s">
        <v>82</v>
      </c>
      <c r="O494" s="1" t="s">
        <v>82</v>
      </c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</row>
    <row r="495" spans="2:33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</row>
    <row r="496" spans="2:33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</row>
    <row r="497" spans="2:33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</row>
    <row r="498" spans="2:33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45</v>
      </c>
      <c r="M498" s="1">
        <v>55</v>
      </c>
      <c r="N498" s="1">
        <v>17</v>
      </c>
      <c r="O498" s="1">
        <v>496</v>
      </c>
      <c r="P498" s="1" t="s">
        <v>1137</v>
      </c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</row>
    <row r="499" spans="2:33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60</v>
      </c>
      <c r="M499" s="1">
        <v>75</v>
      </c>
      <c r="N499" s="1">
        <v>36</v>
      </c>
      <c r="O499" s="1">
        <v>497</v>
      </c>
      <c r="P499" s="1" t="s">
        <v>1138</v>
      </c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</row>
    <row r="500" spans="2:33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75</v>
      </c>
      <c r="M500" s="1">
        <v>95</v>
      </c>
      <c r="N500" s="1" t="s">
        <v>82</v>
      </c>
      <c r="O500" s="1" t="s">
        <v>82</v>
      </c>
      <c r="P500" s="1" t="s">
        <v>82</v>
      </c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</row>
    <row r="501" spans="2:33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1140</v>
      </c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</row>
    <row r="502" spans="2:33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70</v>
      </c>
      <c r="M502" s="1">
        <v>55</v>
      </c>
      <c r="N502" s="1">
        <v>36</v>
      </c>
      <c r="O502" s="1">
        <v>500</v>
      </c>
      <c r="P502" s="1" t="s">
        <v>1141</v>
      </c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</row>
    <row r="503" spans="2:33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100</v>
      </c>
      <c r="M503" s="1">
        <v>65</v>
      </c>
      <c r="N503" s="1" t="s">
        <v>82</v>
      </c>
      <c r="O503" s="1" t="s">
        <v>82</v>
      </c>
      <c r="P503" s="1" t="s">
        <v>82</v>
      </c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</row>
    <row r="504" spans="2:33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63</v>
      </c>
      <c r="M504" s="1">
        <v>45</v>
      </c>
      <c r="N504" s="1">
        <v>17</v>
      </c>
      <c r="O504" s="1">
        <v>502</v>
      </c>
      <c r="P504" s="1" t="s">
        <v>1143</v>
      </c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</row>
    <row r="505" spans="2:33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83</v>
      </c>
      <c r="M505" s="1">
        <v>60</v>
      </c>
      <c r="N505" s="1">
        <v>36</v>
      </c>
      <c r="O505" s="1">
        <v>503</v>
      </c>
      <c r="P505" s="1" t="s">
        <v>1144</v>
      </c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</row>
    <row r="506" spans="2:33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108</v>
      </c>
      <c r="M506" s="1">
        <v>70</v>
      </c>
      <c r="N506" s="1" t="s">
        <v>82</v>
      </c>
      <c r="O506" s="1" t="s">
        <v>82</v>
      </c>
      <c r="P506" s="1" t="s">
        <v>82</v>
      </c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</row>
    <row r="507" spans="2:33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35</v>
      </c>
      <c r="M507" s="1">
        <v>39</v>
      </c>
      <c r="N507" s="1">
        <v>20</v>
      </c>
      <c r="O507" s="1">
        <v>505</v>
      </c>
      <c r="P507" s="1" t="s">
        <v>1146</v>
      </c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</row>
    <row r="508" spans="2:33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60</v>
      </c>
      <c r="M508" s="1">
        <v>69</v>
      </c>
      <c r="N508" s="1" t="s">
        <v>82</v>
      </c>
      <c r="O508" s="1" t="s">
        <v>82</v>
      </c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</row>
    <row r="509" spans="2:33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25</v>
      </c>
      <c r="M509" s="1">
        <v>45</v>
      </c>
      <c r="N509" s="1">
        <v>16</v>
      </c>
      <c r="O509" s="1">
        <v>507</v>
      </c>
      <c r="P509" s="1" t="s">
        <v>1148</v>
      </c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</row>
    <row r="510" spans="2:33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35</v>
      </c>
      <c r="M510" s="1">
        <v>65</v>
      </c>
      <c r="N510" s="1">
        <v>32</v>
      </c>
      <c r="O510" s="1">
        <v>508</v>
      </c>
      <c r="P510" s="1" t="s">
        <v>1149</v>
      </c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</row>
    <row r="511" spans="2:33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45</v>
      </c>
      <c r="M511" s="1">
        <v>90</v>
      </c>
      <c r="N511" s="1" t="s">
        <v>82</v>
      </c>
      <c r="O511" s="1" t="s">
        <v>82</v>
      </c>
      <c r="P511" s="1" t="s">
        <v>82</v>
      </c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</row>
    <row r="512" spans="2:33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50</v>
      </c>
      <c r="M512" s="1">
        <v>37</v>
      </c>
      <c r="N512" s="1">
        <v>20</v>
      </c>
      <c r="O512" s="1">
        <v>510</v>
      </c>
      <c r="P512" s="1" t="s">
        <v>1151</v>
      </c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</row>
    <row r="513" spans="2:33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88</v>
      </c>
      <c r="M513" s="1">
        <v>50</v>
      </c>
      <c r="N513" s="1" t="s">
        <v>82</v>
      </c>
      <c r="O513" s="1" t="s">
        <v>82</v>
      </c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</row>
    <row r="514" spans="2:33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53</v>
      </c>
      <c r="M514" s="1">
        <v>48</v>
      </c>
      <c r="N514" s="1">
        <v>25</v>
      </c>
      <c r="O514" s="1">
        <v>512</v>
      </c>
      <c r="P514" s="1" t="s">
        <v>1153</v>
      </c>
      <c r="Q514" s="1" t="b">
        <v>1</v>
      </c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</row>
    <row r="515" spans="2:33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98</v>
      </c>
      <c r="M515" s="1">
        <v>63</v>
      </c>
      <c r="N515" s="1" t="s">
        <v>82</v>
      </c>
      <c r="O515" s="1" t="s">
        <v>82</v>
      </c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</row>
    <row r="516" spans="2:33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53</v>
      </c>
      <c r="M516" s="1">
        <v>48</v>
      </c>
      <c r="N516" s="1">
        <v>25</v>
      </c>
      <c r="O516" s="1">
        <v>514</v>
      </c>
      <c r="P516" s="1" t="s">
        <v>1155</v>
      </c>
      <c r="Q516" s="1" t="b">
        <v>1</v>
      </c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</row>
    <row r="517" spans="2:33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98</v>
      </c>
      <c r="M517" s="1">
        <v>63</v>
      </c>
      <c r="N517" s="1" t="s">
        <v>82</v>
      </c>
      <c r="O517" s="1" t="s">
        <v>82</v>
      </c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</row>
    <row r="518" spans="2:33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53</v>
      </c>
      <c r="M518" s="1">
        <v>48</v>
      </c>
      <c r="N518" s="1">
        <v>25</v>
      </c>
      <c r="O518" s="1">
        <v>516</v>
      </c>
      <c r="P518" s="1" t="s">
        <v>1157</v>
      </c>
      <c r="Q518" s="1" t="b">
        <v>1</v>
      </c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</row>
    <row r="519" spans="2:33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98</v>
      </c>
      <c r="M519" s="1">
        <v>63</v>
      </c>
      <c r="N519" s="1" t="s">
        <v>82</v>
      </c>
      <c r="O519" s="1" t="s">
        <v>82</v>
      </c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</row>
    <row r="520" spans="2:33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67</v>
      </c>
      <c r="M520" s="1">
        <v>55</v>
      </c>
      <c r="N520" s="1">
        <v>30</v>
      </c>
      <c r="O520" s="1">
        <v>518</v>
      </c>
      <c r="P520" s="1" t="s">
        <v>1158</v>
      </c>
      <c r="Q520" s="1" t="b">
        <v>1</v>
      </c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</row>
    <row r="521" spans="2:33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107</v>
      </c>
      <c r="M521" s="1">
        <v>95</v>
      </c>
      <c r="N521" s="1" t="s">
        <v>82</v>
      </c>
      <c r="O521" s="1" t="s">
        <v>82</v>
      </c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</row>
    <row r="522" spans="2:33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36</v>
      </c>
      <c r="M522" s="1">
        <v>30</v>
      </c>
      <c r="N522" s="1">
        <v>21</v>
      </c>
      <c r="O522" s="1">
        <v>520</v>
      </c>
      <c r="P522" s="1" t="s">
        <v>1160</v>
      </c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</row>
    <row r="523" spans="2:33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50</v>
      </c>
      <c r="M523" s="1">
        <v>42</v>
      </c>
      <c r="N523" s="1">
        <v>32</v>
      </c>
      <c r="O523" s="1">
        <v>521</v>
      </c>
      <c r="P523" s="1" t="s">
        <v>1161</v>
      </c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</row>
    <row r="524" spans="2:33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65</v>
      </c>
      <c r="M524" s="1">
        <v>55</v>
      </c>
      <c r="N524" s="1" t="s">
        <v>82</v>
      </c>
      <c r="O524" s="1" t="s">
        <v>82</v>
      </c>
      <c r="P524" s="1" t="s">
        <v>82</v>
      </c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</row>
    <row r="525" spans="2:33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50</v>
      </c>
      <c r="M525" s="1">
        <v>32</v>
      </c>
      <c r="N525" s="1">
        <v>27</v>
      </c>
      <c r="O525" s="1">
        <v>523</v>
      </c>
      <c r="P525" s="1" t="s">
        <v>1163</v>
      </c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</row>
    <row r="526" spans="2:33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80</v>
      </c>
      <c r="M526" s="1">
        <v>63</v>
      </c>
      <c r="N526" s="1" t="s">
        <v>82</v>
      </c>
      <c r="O526" s="1" t="s">
        <v>82</v>
      </c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</row>
    <row r="527" spans="2:33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1165</v>
      </c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</row>
    <row r="528" spans="2:33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50</v>
      </c>
      <c r="M528" s="1">
        <v>40</v>
      </c>
      <c r="N528" s="1">
        <v>30</v>
      </c>
      <c r="O528" s="1">
        <v>526</v>
      </c>
      <c r="P528" s="1" t="s">
        <v>1166</v>
      </c>
      <c r="Q528" s="1" t="b">
        <v>1</v>
      </c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</row>
    <row r="529" spans="2:33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60</v>
      </c>
      <c r="M529" s="1">
        <v>80</v>
      </c>
      <c r="N529" s="1" t="s">
        <v>82</v>
      </c>
      <c r="O529" s="1" t="s">
        <v>82</v>
      </c>
      <c r="P529" s="1" t="s">
        <v>82</v>
      </c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</row>
    <row r="530" spans="2:33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55</v>
      </c>
      <c r="M530" s="1">
        <v>43</v>
      </c>
      <c r="N530" s="1">
        <v>30</v>
      </c>
      <c r="O530" s="1">
        <v>528</v>
      </c>
      <c r="P530" s="1" t="s">
        <v>1168</v>
      </c>
      <c r="Q530" s="1" t="b">
        <v>1</v>
      </c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</row>
    <row r="531" spans="2:33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77</v>
      </c>
      <c r="M531" s="1">
        <v>55</v>
      </c>
      <c r="N531" s="1" t="s">
        <v>82</v>
      </c>
      <c r="O531" s="1" t="s">
        <v>82</v>
      </c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</row>
    <row r="532" spans="2:33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30</v>
      </c>
      <c r="M532" s="1">
        <v>45</v>
      </c>
      <c r="N532" s="1">
        <v>31</v>
      </c>
      <c r="O532" s="1">
        <v>530</v>
      </c>
      <c r="P532" s="1" t="s">
        <v>1170</v>
      </c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</row>
    <row r="533" spans="2:33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50</v>
      </c>
      <c r="M533" s="1">
        <v>65</v>
      </c>
      <c r="N533" s="1" t="s">
        <v>82</v>
      </c>
      <c r="O533" s="1" t="s">
        <v>82</v>
      </c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</row>
    <row r="534" spans="2:33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60</v>
      </c>
      <c r="M534" s="1">
        <v>86</v>
      </c>
      <c r="N534" s="1" t="s">
        <v>82</v>
      </c>
      <c r="O534" s="1" t="s">
        <v>82</v>
      </c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</row>
    <row r="535" spans="2:33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25</v>
      </c>
      <c r="M535" s="1">
        <v>35</v>
      </c>
      <c r="N535" s="1">
        <v>25</v>
      </c>
      <c r="O535" s="1">
        <v>533</v>
      </c>
      <c r="P535" s="1" t="s">
        <v>1173</v>
      </c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</row>
    <row r="536" spans="2:33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40</v>
      </c>
      <c r="M536" s="1">
        <v>50</v>
      </c>
      <c r="N536" s="1">
        <v>30</v>
      </c>
      <c r="O536" s="1">
        <v>534</v>
      </c>
      <c r="P536" s="1" t="s">
        <v>1174</v>
      </c>
      <c r="Q536" s="1" t="b">
        <v>1</v>
      </c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</row>
    <row r="537" spans="2:33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55</v>
      </c>
      <c r="M537" s="1">
        <v>65</v>
      </c>
      <c r="N537" s="1" t="s">
        <v>82</v>
      </c>
      <c r="O537" s="1" t="s">
        <v>82</v>
      </c>
      <c r="P537" s="1" t="s">
        <v>82</v>
      </c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</row>
    <row r="538" spans="2:33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50</v>
      </c>
      <c r="M538" s="1">
        <v>40</v>
      </c>
      <c r="N538" s="1">
        <v>25</v>
      </c>
      <c r="O538" s="1">
        <v>536</v>
      </c>
      <c r="P538" s="1" t="s">
        <v>1176</v>
      </c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</row>
    <row r="539" spans="2:33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65</v>
      </c>
      <c r="M539" s="1">
        <v>55</v>
      </c>
      <c r="N539" s="1">
        <v>36</v>
      </c>
      <c r="O539" s="1">
        <v>537</v>
      </c>
      <c r="P539" s="1" t="s">
        <v>1177</v>
      </c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</row>
    <row r="540" spans="2:33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85</v>
      </c>
      <c r="M540" s="1">
        <v>75</v>
      </c>
      <c r="N540" s="1" t="s">
        <v>82</v>
      </c>
      <c r="O540" s="1" t="s">
        <v>82</v>
      </c>
      <c r="P540" s="1" t="s">
        <v>82</v>
      </c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</row>
    <row r="541" spans="2:33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30</v>
      </c>
      <c r="M541" s="1">
        <v>85</v>
      </c>
      <c r="N541" s="1" t="s">
        <v>82</v>
      </c>
      <c r="O541" s="1" t="s">
        <v>82</v>
      </c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</row>
    <row r="542" spans="2:33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30</v>
      </c>
      <c r="M542" s="1">
        <v>75</v>
      </c>
      <c r="N542" s="1" t="s">
        <v>82</v>
      </c>
      <c r="O542" s="1" t="s">
        <v>82</v>
      </c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</row>
    <row r="543" spans="2:33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40</v>
      </c>
      <c r="M543" s="1">
        <v>60</v>
      </c>
      <c r="N543" s="1">
        <v>20</v>
      </c>
      <c r="O543" s="1">
        <v>541</v>
      </c>
      <c r="P543" s="1" t="s">
        <v>1181</v>
      </c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</row>
    <row r="544" spans="2:33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50</v>
      </c>
      <c r="M544" s="1">
        <v>80</v>
      </c>
      <c r="N544" s="1">
        <v>30</v>
      </c>
      <c r="O544" s="1">
        <v>542</v>
      </c>
      <c r="P544" s="1" t="s">
        <v>1182</v>
      </c>
      <c r="Q544" s="1" t="b">
        <v>1</v>
      </c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</row>
    <row r="545" spans="2:33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70</v>
      </c>
      <c r="M545" s="1">
        <v>80</v>
      </c>
      <c r="N545" s="1" t="s">
        <v>82</v>
      </c>
      <c r="O545" s="1" t="s">
        <v>82</v>
      </c>
      <c r="P545" s="1" t="s">
        <v>82</v>
      </c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</row>
    <row r="546" spans="2:33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30</v>
      </c>
      <c r="M546" s="1">
        <v>39</v>
      </c>
      <c r="N546" s="1">
        <v>22</v>
      </c>
      <c r="O546" s="1">
        <v>544</v>
      </c>
      <c r="P546" s="1" t="s">
        <v>1184</v>
      </c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</row>
    <row r="547" spans="2:33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40</v>
      </c>
      <c r="M547" s="1">
        <v>79</v>
      </c>
      <c r="N547" s="1">
        <v>30</v>
      </c>
      <c r="O547" s="1">
        <v>545</v>
      </c>
      <c r="P547" s="1" t="s">
        <v>1185</v>
      </c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</row>
    <row r="548" spans="2:33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55</v>
      </c>
      <c r="M548" s="1">
        <v>69</v>
      </c>
      <c r="N548" s="1" t="s">
        <v>82</v>
      </c>
      <c r="O548" s="1" t="s">
        <v>82</v>
      </c>
      <c r="P548" s="1" t="s">
        <v>82</v>
      </c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</row>
    <row r="549" spans="2:33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37</v>
      </c>
      <c r="M549" s="1">
        <v>50</v>
      </c>
      <c r="N549" s="1">
        <v>30</v>
      </c>
      <c r="O549" s="1">
        <v>547</v>
      </c>
      <c r="P549" s="1" t="s">
        <v>1187</v>
      </c>
      <c r="Q549" s="1" t="b">
        <v>1</v>
      </c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</row>
    <row r="550" spans="2:33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77</v>
      </c>
      <c r="M550" s="1">
        <v>75</v>
      </c>
      <c r="N550" s="1" t="s">
        <v>82</v>
      </c>
      <c r="O550" s="1" t="s">
        <v>82</v>
      </c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</row>
    <row r="551" spans="2:33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70</v>
      </c>
      <c r="M551" s="1">
        <v>50</v>
      </c>
      <c r="N551" s="1">
        <v>15</v>
      </c>
      <c r="O551" s="1">
        <v>549</v>
      </c>
      <c r="P551" s="1" t="s">
        <v>1189</v>
      </c>
      <c r="Q551" s="1" t="b">
        <v>1</v>
      </c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</row>
    <row r="552" spans="2:33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110</v>
      </c>
      <c r="M552" s="1">
        <v>75</v>
      </c>
      <c r="N552" s="1" t="s">
        <v>82</v>
      </c>
      <c r="O552" s="1" t="s">
        <v>82</v>
      </c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</row>
    <row r="553" spans="2:33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80</v>
      </c>
      <c r="M553" s="1">
        <v>55</v>
      </c>
      <c r="N553" s="1" t="s">
        <v>82</v>
      </c>
      <c r="O553" s="1" t="s">
        <v>82</v>
      </c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</row>
    <row r="554" spans="2:33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1192</v>
      </c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</row>
    <row r="555" spans="2:33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1193</v>
      </c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</row>
    <row r="556" spans="2:33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65</v>
      </c>
      <c r="M556" s="1">
        <v>70</v>
      </c>
      <c r="N556" s="1" t="s">
        <v>82</v>
      </c>
      <c r="O556" s="1" t="s">
        <v>82</v>
      </c>
      <c r="P556" s="1" t="s">
        <v>82</v>
      </c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</row>
    <row r="557" spans="2:33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15</v>
      </c>
      <c r="M557" s="1">
        <v>45</v>
      </c>
      <c r="N557" s="1">
        <v>35</v>
      </c>
      <c r="O557" s="1">
        <v>555</v>
      </c>
      <c r="P557" s="1" t="s">
        <v>1288</v>
      </c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</row>
    <row r="558" spans="2:33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30</v>
      </c>
      <c r="M558" s="1">
        <v>55</v>
      </c>
      <c r="N558" s="1" t="s">
        <v>82</v>
      </c>
      <c r="O558" s="1" t="s">
        <v>82</v>
      </c>
      <c r="P558" s="1" t="s">
        <v>82</v>
      </c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</row>
    <row r="559" spans="2:33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106</v>
      </c>
      <c r="M559" s="1">
        <v>67</v>
      </c>
      <c r="N559" s="1" t="s">
        <v>82</v>
      </c>
      <c r="O559" s="1" t="s">
        <v>82</v>
      </c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</row>
    <row r="560" spans="2:33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1197</v>
      </c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</row>
    <row r="561" spans="2:33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65</v>
      </c>
      <c r="M561" s="1">
        <v>75</v>
      </c>
      <c r="N561" s="1" t="s">
        <v>82</v>
      </c>
      <c r="O561" s="1" t="s">
        <v>82</v>
      </c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</row>
    <row r="562" spans="2:33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35</v>
      </c>
      <c r="M562" s="1">
        <v>70</v>
      </c>
      <c r="N562" s="1">
        <v>39</v>
      </c>
      <c r="O562" s="1">
        <v>560</v>
      </c>
      <c r="P562" s="1" t="s">
        <v>1199</v>
      </c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</row>
    <row r="563" spans="2:33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45</v>
      </c>
      <c r="M563" s="1">
        <v>115</v>
      </c>
      <c r="N563" s="1" t="s">
        <v>82</v>
      </c>
      <c r="O563" s="1" t="s">
        <v>82</v>
      </c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</row>
    <row r="564" spans="2:33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103</v>
      </c>
      <c r="M564" s="1">
        <v>80</v>
      </c>
      <c r="N564" s="1" t="s">
        <v>82</v>
      </c>
      <c r="O564" s="1" t="s">
        <v>82</v>
      </c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</row>
    <row r="565" spans="2:33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55</v>
      </c>
      <c r="M565" s="1">
        <v>65</v>
      </c>
      <c r="N565" s="1">
        <v>34</v>
      </c>
      <c r="O565" s="1">
        <v>563</v>
      </c>
      <c r="P565" s="1" t="s">
        <v>1202</v>
      </c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</row>
    <row r="566" spans="2:33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95</v>
      </c>
      <c r="M566" s="1">
        <v>105</v>
      </c>
      <c r="N566" s="1" t="s">
        <v>82</v>
      </c>
      <c r="O566" s="1" t="s">
        <v>82</v>
      </c>
      <c r="P566" s="1" t="s">
        <v>82</v>
      </c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</row>
    <row r="567" spans="2:33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53</v>
      </c>
      <c r="M567" s="1">
        <v>45</v>
      </c>
      <c r="N567" s="1">
        <v>37</v>
      </c>
      <c r="O567" s="1">
        <v>565</v>
      </c>
      <c r="P567" s="1" t="s">
        <v>1204</v>
      </c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</row>
    <row r="568" spans="2:33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83</v>
      </c>
      <c r="M568" s="1">
        <v>65</v>
      </c>
      <c r="N568" s="1" t="s">
        <v>82</v>
      </c>
      <c r="O568" s="1" t="s">
        <v>82</v>
      </c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</row>
    <row r="569" spans="2:33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74</v>
      </c>
      <c r="M569" s="1">
        <v>45</v>
      </c>
      <c r="N569" s="1">
        <v>37</v>
      </c>
      <c r="O569" s="1">
        <v>567</v>
      </c>
      <c r="P569" s="1" t="s">
        <v>1206</v>
      </c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</row>
    <row r="570" spans="2:33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112</v>
      </c>
      <c r="M570" s="1">
        <v>65</v>
      </c>
      <c r="N570" s="1" t="s">
        <v>82</v>
      </c>
      <c r="O570" s="1" t="s">
        <v>82</v>
      </c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</row>
    <row r="571" spans="2:33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40</v>
      </c>
      <c r="M571" s="1">
        <v>62</v>
      </c>
      <c r="N571" s="1">
        <v>36</v>
      </c>
      <c r="O571" s="1">
        <v>569</v>
      </c>
      <c r="P571" s="1" t="s">
        <v>1208</v>
      </c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</row>
    <row r="572" spans="2:33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60</v>
      </c>
      <c r="M572" s="1">
        <v>82</v>
      </c>
      <c r="N572" s="1" t="s">
        <v>82</v>
      </c>
      <c r="O572" s="1" t="s">
        <v>82</v>
      </c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</row>
    <row r="573" spans="2:33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80</v>
      </c>
      <c r="M573" s="1">
        <v>40</v>
      </c>
      <c r="N573" s="1">
        <v>30</v>
      </c>
      <c r="O573" s="1">
        <v>571</v>
      </c>
      <c r="P573" s="1" t="s">
        <v>161</v>
      </c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</row>
    <row r="574" spans="2:33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120</v>
      </c>
      <c r="M574" s="1">
        <v>60</v>
      </c>
      <c r="N574" s="1" t="s">
        <v>82</v>
      </c>
      <c r="O574" s="1" t="s">
        <v>82</v>
      </c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</row>
    <row r="575" spans="2:33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1210</v>
      </c>
      <c r="Q575" s="1" t="b">
        <v>1</v>
      </c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</row>
    <row r="576" spans="2:33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65</v>
      </c>
      <c r="M576" s="1">
        <v>60</v>
      </c>
      <c r="N576" s="1" t="s">
        <v>82</v>
      </c>
      <c r="O576" s="1" t="s">
        <v>82</v>
      </c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</row>
    <row r="577" spans="2:33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55</v>
      </c>
      <c r="M577" s="1">
        <v>65</v>
      </c>
      <c r="N577" s="1">
        <v>32</v>
      </c>
      <c r="O577" s="1">
        <v>575</v>
      </c>
      <c r="P577" s="1" t="s">
        <v>1212</v>
      </c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</row>
    <row r="578" spans="2:33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75</v>
      </c>
      <c r="M578" s="1">
        <v>85</v>
      </c>
      <c r="N578" s="1">
        <v>41</v>
      </c>
      <c r="O578" s="1">
        <v>576</v>
      </c>
      <c r="P578" s="1" t="s">
        <v>1213</v>
      </c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</row>
    <row r="579" spans="2:33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95</v>
      </c>
      <c r="M579" s="1">
        <v>110</v>
      </c>
      <c r="N579" s="1" t="s">
        <v>82</v>
      </c>
      <c r="O579" s="1" t="s">
        <v>82</v>
      </c>
      <c r="P579" s="1" t="s">
        <v>82</v>
      </c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</row>
    <row r="580" spans="2:33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105</v>
      </c>
      <c r="M580" s="1">
        <v>50</v>
      </c>
      <c r="N580" s="1">
        <v>32</v>
      </c>
      <c r="O580" s="1">
        <v>578</v>
      </c>
      <c r="P580" s="1" t="s">
        <v>1215</v>
      </c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</row>
    <row r="581" spans="2:33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125</v>
      </c>
      <c r="M581" s="1">
        <v>60</v>
      </c>
      <c r="N581" s="1">
        <v>41</v>
      </c>
      <c r="O581" s="1">
        <v>579</v>
      </c>
      <c r="P581" s="1" t="s">
        <v>1216</v>
      </c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</row>
    <row r="582" spans="2:33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125</v>
      </c>
      <c r="M582" s="1">
        <v>85</v>
      </c>
      <c r="N582" s="1" t="s">
        <v>82</v>
      </c>
      <c r="O582" s="1" t="s">
        <v>82</v>
      </c>
      <c r="P582" s="1" t="s">
        <v>82</v>
      </c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</row>
    <row r="583" spans="2:33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44</v>
      </c>
      <c r="M583" s="1">
        <v>50</v>
      </c>
      <c r="N583" s="1">
        <v>35</v>
      </c>
      <c r="O583" s="1">
        <v>581</v>
      </c>
      <c r="P583" s="1" t="s">
        <v>1218</v>
      </c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</row>
    <row r="584" spans="2:33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87</v>
      </c>
      <c r="M584" s="1">
        <v>63</v>
      </c>
      <c r="N584" s="1" t="s">
        <v>82</v>
      </c>
      <c r="O584" s="1" t="s">
        <v>82</v>
      </c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</row>
    <row r="585" spans="2:33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65</v>
      </c>
      <c r="M585" s="1">
        <v>60</v>
      </c>
      <c r="N585" s="1">
        <v>35</v>
      </c>
      <c r="O585" s="1">
        <v>583</v>
      </c>
      <c r="P585" s="1" t="s">
        <v>1220</v>
      </c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</row>
    <row r="586" spans="2:33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80</v>
      </c>
      <c r="M586" s="1">
        <v>75</v>
      </c>
      <c r="N586" s="1">
        <v>47</v>
      </c>
      <c r="O586" s="1">
        <v>584</v>
      </c>
      <c r="P586" s="1" t="s">
        <v>1221</v>
      </c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</row>
    <row r="587" spans="2:33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110</v>
      </c>
      <c r="M587" s="1">
        <v>95</v>
      </c>
      <c r="N587" s="1" t="s">
        <v>82</v>
      </c>
      <c r="O587" s="1" t="s">
        <v>82</v>
      </c>
      <c r="P587" s="1" t="s">
        <v>82</v>
      </c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</row>
    <row r="588" spans="2:33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40</v>
      </c>
      <c r="M588" s="1">
        <v>50</v>
      </c>
      <c r="N588" s="1">
        <v>34</v>
      </c>
      <c r="O588" s="1">
        <v>586</v>
      </c>
      <c r="P588" s="1" t="s">
        <v>1223</v>
      </c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</row>
    <row r="589" spans="2:33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60</v>
      </c>
      <c r="M589" s="1">
        <v>70</v>
      </c>
      <c r="N589" s="1" t="s">
        <v>82</v>
      </c>
      <c r="O589" s="1" t="s">
        <v>82</v>
      </c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</row>
    <row r="590" spans="2:33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75</v>
      </c>
      <c r="M590" s="1">
        <v>60</v>
      </c>
      <c r="N590" s="1" t="s">
        <v>82</v>
      </c>
      <c r="O590" s="1" t="s">
        <v>82</v>
      </c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</row>
    <row r="591" spans="2:33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40</v>
      </c>
      <c r="M591" s="1">
        <v>45</v>
      </c>
      <c r="N591" s="1">
        <v>25</v>
      </c>
      <c r="O591" s="1">
        <v>589</v>
      </c>
      <c r="P591" s="1" t="s">
        <v>1225</v>
      </c>
      <c r="Q591" s="1" t="b">
        <v>1</v>
      </c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</row>
    <row r="592" spans="2:33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60</v>
      </c>
      <c r="M592" s="1">
        <v>105</v>
      </c>
      <c r="N592" s="1" t="s">
        <v>82</v>
      </c>
      <c r="O592" s="1" t="s">
        <v>82</v>
      </c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</row>
    <row r="593" spans="2:33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1227</v>
      </c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</row>
    <row r="594" spans="2:33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85</v>
      </c>
      <c r="M594" s="1">
        <v>80</v>
      </c>
      <c r="N594" s="1" t="s">
        <v>82</v>
      </c>
      <c r="O594" s="1" t="s">
        <v>82</v>
      </c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</row>
    <row r="595" spans="2:33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65</v>
      </c>
      <c r="M595" s="1">
        <v>85</v>
      </c>
      <c r="N595" s="1">
        <v>40</v>
      </c>
      <c r="O595" s="1">
        <v>593</v>
      </c>
      <c r="P595" s="1" t="s">
        <v>1229</v>
      </c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</row>
    <row r="596" spans="2:33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85</v>
      </c>
      <c r="M596" s="1">
        <v>105</v>
      </c>
      <c r="N596" s="1" t="s">
        <v>82</v>
      </c>
      <c r="O596" s="1" t="s">
        <v>82</v>
      </c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</row>
    <row r="597" spans="2:33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40</v>
      </c>
      <c r="M597" s="1">
        <v>45</v>
      </c>
      <c r="N597" s="1" t="s">
        <v>82</v>
      </c>
      <c r="O597" s="1" t="s">
        <v>82</v>
      </c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</row>
    <row r="598" spans="2:33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57</v>
      </c>
      <c r="M598" s="1">
        <v>50</v>
      </c>
      <c r="N598" s="1">
        <v>36</v>
      </c>
      <c r="O598" s="1">
        <v>596</v>
      </c>
      <c r="P598" s="1" t="s">
        <v>1232</v>
      </c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</row>
    <row r="599" spans="2:33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97</v>
      </c>
      <c r="M599" s="1">
        <v>60</v>
      </c>
      <c r="N599" s="1" t="s">
        <v>82</v>
      </c>
      <c r="O599" s="1" t="s">
        <v>82</v>
      </c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</row>
    <row r="600" spans="2:33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24</v>
      </c>
      <c r="M600" s="1">
        <v>86</v>
      </c>
      <c r="N600" s="1">
        <v>40</v>
      </c>
      <c r="O600" s="1">
        <v>598</v>
      </c>
      <c r="P600" s="1" t="s">
        <v>1234</v>
      </c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</row>
    <row r="601" spans="2:33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54</v>
      </c>
      <c r="M601" s="1">
        <v>116</v>
      </c>
      <c r="N601" s="1" t="s">
        <v>82</v>
      </c>
      <c r="O601" s="1" t="s">
        <v>82</v>
      </c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</row>
    <row r="602" spans="2:33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45</v>
      </c>
      <c r="M602" s="1">
        <v>60</v>
      </c>
      <c r="N602" s="1">
        <v>38</v>
      </c>
      <c r="O602" s="1">
        <v>600</v>
      </c>
      <c r="P602" s="1" t="s">
        <v>1236</v>
      </c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</row>
    <row r="603" spans="2:33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70</v>
      </c>
      <c r="M603" s="1">
        <v>85</v>
      </c>
      <c r="N603" s="1">
        <v>49</v>
      </c>
      <c r="O603" s="1">
        <v>601</v>
      </c>
      <c r="P603" s="1" t="s">
        <v>1237</v>
      </c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</row>
    <row r="604" spans="2:33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70</v>
      </c>
      <c r="M604" s="1">
        <v>85</v>
      </c>
      <c r="N604" s="1" t="s">
        <v>82</v>
      </c>
      <c r="O604" s="1" t="s">
        <v>82</v>
      </c>
      <c r="P604" s="1" t="s">
        <v>82</v>
      </c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</row>
    <row r="605" spans="2:33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45</v>
      </c>
      <c r="M605" s="1">
        <v>40</v>
      </c>
      <c r="N605" s="1">
        <v>39</v>
      </c>
      <c r="O605" s="1">
        <v>603</v>
      </c>
      <c r="P605" s="1" t="s">
        <v>1239</v>
      </c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</row>
    <row r="606" spans="2:33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75</v>
      </c>
      <c r="M606" s="1">
        <v>70</v>
      </c>
      <c r="N606" s="1">
        <v>25</v>
      </c>
      <c r="O606" s="1">
        <v>604</v>
      </c>
      <c r="P606" s="1" t="s">
        <v>1240</v>
      </c>
      <c r="Q606" s="1" t="b">
        <v>1</v>
      </c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</row>
    <row r="607" spans="2:33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105</v>
      </c>
      <c r="M607" s="1">
        <v>80</v>
      </c>
      <c r="N607" s="1" t="s">
        <v>82</v>
      </c>
      <c r="O607" s="1" t="s">
        <v>82</v>
      </c>
      <c r="P607" s="1" t="s">
        <v>82</v>
      </c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</row>
    <row r="608" spans="2:33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85</v>
      </c>
      <c r="M608" s="1">
        <v>55</v>
      </c>
      <c r="N608" s="1">
        <v>42</v>
      </c>
      <c r="O608" s="1">
        <v>606</v>
      </c>
      <c r="P608" s="1" t="s">
        <v>1242</v>
      </c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</row>
    <row r="609" spans="2:33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125</v>
      </c>
      <c r="M609" s="1">
        <v>95</v>
      </c>
      <c r="N609" s="1" t="s">
        <v>82</v>
      </c>
      <c r="O609" s="1" t="s">
        <v>82</v>
      </c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</row>
    <row r="610" spans="2:33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65</v>
      </c>
      <c r="M610" s="1">
        <v>55</v>
      </c>
      <c r="N610" s="1">
        <v>41</v>
      </c>
      <c r="O610" s="1">
        <v>608</v>
      </c>
      <c r="P610" s="1" t="s">
        <v>1244</v>
      </c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</row>
    <row r="611" spans="2:33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95</v>
      </c>
      <c r="M611" s="1">
        <v>60</v>
      </c>
      <c r="N611" s="1">
        <v>30</v>
      </c>
      <c r="O611" s="1">
        <v>609</v>
      </c>
      <c r="P611" s="1" t="s">
        <v>1245</v>
      </c>
      <c r="Q611" s="1" t="b">
        <v>1</v>
      </c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</row>
    <row r="612" spans="2:33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145</v>
      </c>
      <c r="M612" s="1">
        <v>90</v>
      </c>
      <c r="N612" s="1" t="s">
        <v>82</v>
      </c>
      <c r="O612" s="1" t="s">
        <v>82</v>
      </c>
      <c r="P612" s="1" t="s">
        <v>82</v>
      </c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</row>
    <row r="613" spans="2:33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30</v>
      </c>
      <c r="M613" s="1">
        <v>40</v>
      </c>
      <c r="N613" s="1">
        <v>38</v>
      </c>
      <c r="O613" s="1">
        <v>611</v>
      </c>
      <c r="P613" s="1" t="s">
        <v>1247</v>
      </c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</row>
    <row r="614" spans="2:33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40</v>
      </c>
      <c r="M614" s="1">
        <v>50</v>
      </c>
      <c r="N614" s="1">
        <v>48</v>
      </c>
      <c r="O614" s="1">
        <v>612</v>
      </c>
      <c r="P614" s="1" t="s">
        <v>1248</v>
      </c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</row>
    <row r="615" spans="2:33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60</v>
      </c>
      <c r="M615" s="1">
        <v>70</v>
      </c>
      <c r="N615" s="1" t="s">
        <v>82</v>
      </c>
      <c r="O615" s="1" t="s">
        <v>82</v>
      </c>
      <c r="P615" s="1" t="s">
        <v>82</v>
      </c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</row>
    <row r="616" spans="2:33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60</v>
      </c>
      <c r="M616" s="1">
        <v>40</v>
      </c>
      <c r="N616" s="1">
        <v>37</v>
      </c>
      <c r="O616" s="1">
        <v>614</v>
      </c>
      <c r="P616" s="1" t="s">
        <v>1250</v>
      </c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</row>
    <row r="617" spans="2:33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70</v>
      </c>
      <c r="M617" s="1">
        <v>80</v>
      </c>
      <c r="N617" s="1" t="s">
        <v>82</v>
      </c>
      <c r="O617" s="1" t="s">
        <v>82</v>
      </c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</row>
    <row r="618" spans="2:33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95</v>
      </c>
      <c r="M618" s="1">
        <v>135</v>
      </c>
      <c r="N618" s="1" t="s">
        <v>82</v>
      </c>
      <c r="O618" s="1" t="s">
        <v>82</v>
      </c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</row>
    <row r="619" spans="2:33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40</v>
      </c>
      <c r="M619" s="1">
        <v>65</v>
      </c>
      <c r="N619" s="1">
        <v>30</v>
      </c>
      <c r="O619" s="1">
        <v>617</v>
      </c>
      <c r="P619" s="1" t="s">
        <v>1253</v>
      </c>
      <c r="Q619" s="1" t="b">
        <v>1</v>
      </c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</row>
    <row r="620" spans="2:33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100</v>
      </c>
      <c r="M620" s="1">
        <v>60</v>
      </c>
      <c r="N620" s="1" t="s">
        <v>82</v>
      </c>
      <c r="O620" s="1" t="s">
        <v>82</v>
      </c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</row>
    <row r="621" spans="2:33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81</v>
      </c>
      <c r="M621" s="1">
        <v>99</v>
      </c>
      <c r="N621" s="1" t="s">
        <v>82</v>
      </c>
      <c r="O621" s="1" t="s">
        <v>82</v>
      </c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</row>
    <row r="622" spans="2:33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55</v>
      </c>
      <c r="M622" s="1">
        <v>50</v>
      </c>
      <c r="N622" s="1">
        <v>50</v>
      </c>
      <c r="O622" s="1">
        <v>620</v>
      </c>
      <c r="P622" s="1" t="s">
        <v>1256</v>
      </c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</row>
    <row r="623" spans="2:33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95</v>
      </c>
      <c r="M623" s="1">
        <v>60</v>
      </c>
      <c r="N623" s="1" t="s">
        <v>82</v>
      </c>
      <c r="O623" s="1" t="s">
        <v>82</v>
      </c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</row>
    <row r="624" spans="2:33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60</v>
      </c>
      <c r="M624" s="1">
        <v>90</v>
      </c>
      <c r="N624" s="1" t="s">
        <v>82</v>
      </c>
      <c r="O624" s="1" t="s">
        <v>82</v>
      </c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</row>
    <row r="625" spans="2:33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35</v>
      </c>
      <c r="M625" s="1">
        <v>50</v>
      </c>
      <c r="N625" s="1">
        <v>43</v>
      </c>
      <c r="O625" s="1">
        <v>623</v>
      </c>
      <c r="P625" s="1" t="s">
        <v>1259</v>
      </c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</row>
    <row r="626" spans="2:33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55</v>
      </c>
      <c r="M626" s="1">
        <v>80</v>
      </c>
      <c r="N626" s="1" t="s">
        <v>82</v>
      </c>
      <c r="O626" s="1" t="s">
        <v>82</v>
      </c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</row>
    <row r="627" spans="2:33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1261</v>
      </c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</row>
    <row r="628" spans="2:33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60</v>
      </c>
      <c r="M628" s="1">
        <v>70</v>
      </c>
      <c r="N628" s="1" t="s">
        <v>82</v>
      </c>
      <c r="O628" s="1" t="s">
        <v>82</v>
      </c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</row>
    <row r="629" spans="2:33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40</v>
      </c>
      <c r="M629" s="1">
        <v>95</v>
      </c>
      <c r="N629" s="1" t="s">
        <v>82</v>
      </c>
      <c r="O629" s="1" t="s">
        <v>82</v>
      </c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</row>
    <row r="630" spans="2:33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37</v>
      </c>
      <c r="M630" s="1">
        <v>50</v>
      </c>
      <c r="N630" s="1">
        <v>54</v>
      </c>
      <c r="O630" s="1">
        <v>628</v>
      </c>
      <c r="P630" s="1" t="s">
        <v>1264</v>
      </c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</row>
    <row r="631" spans="2:33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57</v>
      </c>
      <c r="M631" s="1">
        <v>75</v>
      </c>
      <c r="N631" s="1" t="s">
        <v>82</v>
      </c>
      <c r="O631" s="1" t="s">
        <v>82</v>
      </c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</row>
    <row r="632" spans="2:33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45</v>
      </c>
      <c r="M632" s="1">
        <v>65</v>
      </c>
      <c r="N632" s="1">
        <v>54</v>
      </c>
      <c r="O632" s="1">
        <v>630</v>
      </c>
      <c r="P632" s="1" t="s">
        <v>1266</v>
      </c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</row>
    <row r="633" spans="2:33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55</v>
      </c>
      <c r="M633" s="1">
        <v>95</v>
      </c>
      <c r="N633" s="1" t="s">
        <v>82</v>
      </c>
      <c r="O633" s="1" t="s">
        <v>82</v>
      </c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</row>
    <row r="634" spans="2:33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105</v>
      </c>
      <c r="M634" s="1">
        <v>66</v>
      </c>
      <c r="N634" s="1" t="s">
        <v>82</v>
      </c>
      <c r="O634" s="1" t="s">
        <v>82</v>
      </c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</row>
    <row r="635" spans="2:33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82</v>
      </c>
      <c r="O635" s="1" t="s">
        <v>82</v>
      </c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</row>
    <row r="636" spans="2:33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45</v>
      </c>
      <c r="M636" s="1">
        <v>50</v>
      </c>
      <c r="N636" s="1">
        <v>50</v>
      </c>
      <c r="O636" s="1">
        <v>634</v>
      </c>
      <c r="P636" s="1" t="s">
        <v>1270</v>
      </c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</row>
    <row r="637" spans="2:33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65</v>
      </c>
      <c r="M637" s="1">
        <v>70</v>
      </c>
      <c r="N637" s="1">
        <v>64</v>
      </c>
      <c r="O637" s="1">
        <v>635</v>
      </c>
      <c r="P637" s="1" t="s">
        <v>1271</v>
      </c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</row>
    <row r="638" spans="2:33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125</v>
      </c>
      <c r="M638" s="1">
        <v>90</v>
      </c>
      <c r="N638" s="1" t="s">
        <v>82</v>
      </c>
      <c r="O638" s="1" t="s">
        <v>82</v>
      </c>
      <c r="P638" s="1" t="s">
        <v>82</v>
      </c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</row>
    <row r="639" spans="2:33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50</v>
      </c>
      <c r="M639" s="1">
        <v>55</v>
      </c>
      <c r="N639" s="1">
        <v>59</v>
      </c>
      <c r="O639" s="1">
        <v>637</v>
      </c>
      <c r="P639" s="1" t="s">
        <v>1273</v>
      </c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</row>
    <row r="640" spans="2:33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135</v>
      </c>
      <c r="M640" s="1">
        <v>105</v>
      </c>
      <c r="N640" s="1" t="s">
        <v>82</v>
      </c>
      <c r="O640" s="1" t="s">
        <v>82</v>
      </c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</row>
    <row r="641" spans="2:33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90</v>
      </c>
      <c r="M641" s="1">
        <v>72</v>
      </c>
      <c r="N641" s="1" t="s">
        <v>82</v>
      </c>
      <c r="O641" s="1" t="s">
        <v>82</v>
      </c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</row>
    <row r="642" spans="2:33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72</v>
      </c>
      <c r="M642" s="1">
        <v>90</v>
      </c>
      <c r="N642" s="1" t="s">
        <v>82</v>
      </c>
      <c r="O642" s="1" t="s">
        <v>82</v>
      </c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</row>
    <row r="643" spans="2:33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90</v>
      </c>
      <c r="M643" s="1">
        <v>129</v>
      </c>
      <c r="N643" s="1" t="s">
        <v>82</v>
      </c>
      <c r="O643" s="1" t="s">
        <v>82</v>
      </c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</row>
    <row r="644" spans="2:33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125</v>
      </c>
      <c r="M644" s="1">
        <v>80</v>
      </c>
      <c r="N644" s="1" t="s">
        <v>82</v>
      </c>
      <c r="O644" s="1" t="s">
        <v>82</v>
      </c>
      <c r="P644" s="1" t="s">
        <v>82</v>
      </c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</row>
    <row r="645" spans="2:33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125</v>
      </c>
      <c r="M645" s="1">
        <v>80</v>
      </c>
      <c r="N645" s="1" t="s">
        <v>82</v>
      </c>
      <c r="O645" s="1" t="s">
        <v>82</v>
      </c>
      <c r="P645" s="1" t="s">
        <v>82</v>
      </c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</row>
    <row r="646" spans="2:33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150</v>
      </c>
      <c r="M646" s="1">
        <v>120</v>
      </c>
      <c r="N646" s="1" t="s">
        <v>82</v>
      </c>
      <c r="O646" s="1" t="s">
        <v>82</v>
      </c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</row>
    <row r="647" spans="2:33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120</v>
      </c>
      <c r="M647" s="1">
        <v>100</v>
      </c>
      <c r="N647" s="1" t="s">
        <v>82</v>
      </c>
      <c r="O647" s="1" t="s">
        <v>82</v>
      </c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</row>
    <row r="648" spans="2:33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115</v>
      </c>
      <c r="M648" s="1">
        <v>80</v>
      </c>
      <c r="N648" s="1" t="s">
        <v>82</v>
      </c>
      <c r="O648" s="1" t="s">
        <v>82</v>
      </c>
      <c r="P648" s="1" t="s">
        <v>82</v>
      </c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</row>
    <row r="649" spans="2:33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130</v>
      </c>
      <c r="M649" s="1">
        <v>90</v>
      </c>
      <c r="N649" s="1" t="s">
        <v>82</v>
      </c>
      <c r="O649" s="1" t="s">
        <v>82</v>
      </c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</row>
    <row r="650" spans="2:33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129</v>
      </c>
      <c r="M650" s="1">
        <v>90</v>
      </c>
      <c r="N650" s="1" t="s">
        <v>82</v>
      </c>
      <c r="O650" s="1" t="s">
        <v>82</v>
      </c>
      <c r="P650" s="1" t="s">
        <v>82</v>
      </c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</row>
    <row r="651" spans="2:33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82</v>
      </c>
      <c r="O651" s="1" t="s">
        <v>82</v>
      </c>
      <c r="P651" s="1" t="s">
        <v>82</v>
      </c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</row>
    <row r="652" spans="2:33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120</v>
      </c>
      <c r="M652" s="1">
        <v>95</v>
      </c>
      <c r="N652" s="1" t="s">
        <v>82</v>
      </c>
      <c r="O652" s="1" t="s">
        <v>82</v>
      </c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</row>
    <row r="653" spans="2:33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</row>
  </sheetData>
  <mergeCells count="3">
    <mergeCell ref="AH5:AH22"/>
    <mergeCell ref="AJ3:BA3"/>
    <mergeCell ref="CD7:CD34"/>
  </mergeCells>
  <phoneticPr fontId="26" type="noConversion"/>
  <dataValidations disablePrompts="1" count="1">
    <dataValidation type="list" allowBlank="1" showInputMessage="1" showErrorMessage="1" sqref="AH4 AI3" xr:uid="{55B9F314-3732-43C4-ABAC-0C823C558057}">
      <formula1>$AJ$4:$BA$4</formula1>
    </dataValidation>
  </dataValidations>
  <hyperlinks>
    <hyperlink ref="S2" r:id="rId1" xr:uid="{2521F70F-4CE8-4CE9-9F1F-16A4E414AD85}"/>
    <hyperlink ref="BX1" r:id="rId2" xr:uid="{544EC4E8-25D1-42DF-A536-CAF9C5E01A59}"/>
    <hyperlink ref="BP4" r:id="rId3" display="https://www.pokebip.com/pokedex/4eme_generation_attaque326__Tranche.html" xr:uid="{8DF13F7A-0F7E-4989-94A1-F3C66CCE6791}"/>
    <hyperlink ref="BV1" r:id="rId4" xr:uid="{F468A4D6-5A7C-4B24-9210-6AAA6DFA1159}"/>
  </hyperlinks>
  <pageMargins left="0.7" right="0.7" top="0.75" bottom="0.75" header="0.3" footer="0.3"/>
  <pageSetup paperSize="9" orientation="portrait" r:id="rId5"/>
  <tableParts count="3"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AV308"/>
  <sheetViews>
    <sheetView topLeftCell="R1" workbookViewId="0">
      <selection activeCell="R2" sqref="R2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7" bestFit="1" customWidth="1"/>
    <col min="8" max="8" width="8.77734375" bestFit="1" customWidth="1"/>
    <col min="10" max="11" width="10.33203125" bestFit="1" customWidth="1"/>
    <col min="12" max="12" width="15" bestFit="1" customWidth="1"/>
    <col min="13" max="13" width="13" bestFit="1" customWidth="1"/>
    <col min="15" max="15" width="15" bestFit="1" customWidth="1"/>
    <col min="16" max="16" width="27.21875" bestFit="1" customWidth="1"/>
    <col min="18" max="20" width="11.77734375" customWidth="1"/>
    <col min="21" max="21" width="12.77734375" customWidth="1"/>
    <col min="22" max="23" width="16.77734375" customWidth="1"/>
    <col min="24" max="26" width="14.77734375" customWidth="1"/>
    <col min="27" max="27" width="10" bestFit="1" customWidth="1"/>
    <col min="28" max="29" width="12.77734375" customWidth="1"/>
    <col min="30" max="46" width="14.77734375" customWidth="1"/>
    <col min="47" max="48" width="20.77734375" customWidth="1"/>
  </cols>
  <sheetData>
    <row r="1" spans="2:48" ht="15" thickBot="1">
      <c r="B1" s="1"/>
      <c r="E1" s="165"/>
      <c r="J1" s="1"/>
      <c r="K1" s="1"/>
      <c r="L1" s="1"/>
      <c r="M1" s="1"/>
    </row>
    <row r="2" spans="2:48" ht="15" thickBot="1">
      <c r="B2" s="185" t="s">
        <v>1314</v>
      </c>
      <c r="C2" s="208" t="s">
        <v>1315</v>
      </c>
      <c r="E2" s="247" t="s">
        <v>31</v>
      </c>
      <c r="F2" s="248" t="s">
        <v>1324</v>
      </c>
      <c r="G2" s="248" t="s">
        <v>1334</v>
      </c>
      <c r="H2" s="249" t="s">
        <v>1325</v>
      </c>
      <c r="J2" s="247" t="s">
        <v>1424</v>
      </c>
      <c r="K2" s="250" t="s">
        <v>1425</v>
      </c>
      <c r="L2" s="248" t="s">
        <v>1426</v>
      </c>
      <c r="M2" s="249" t="s">
        <v>1427</v>
      </c>
      <c r="O2" s="45" t="s">
        <v>1430</v>
      </c>
      <c r="P2" s="45" t="s">
        <v>1431</v>
      </c>
      <c r="R2" s="247" t="s">
        <v>1708</v>
      </c>
      <c r="S2" s="248" t="s">
        <v>1291</v>
      </c>
      <c r="T2" s="248" t="s">
        <v>1713</v>
      </c>
      <c r="U2" s="250" t="s">
        <v>1445</v>
      </c>
      <c r="V2" s="248" t="s">
        <v>31</v>
      </c>
      <c r="W2" s="248" t="s">
        <v>732</v>
      </c>
      <c r="X2" s="272" t="s">
        <v>1286</v>
      </c>
      <c r="Y2" s="248" t="s">
        <v>1711</v>
      </c>
      <c r="Z2" s="250" t="s">
        <v>1721</v>
      </c>
      <c r="AA2" s="278" t="s">
        <v>1712</v>
      </c>
      <c r="AB2" s="272" t="s">
        <v>733</v>
      </c>
      <c r="AC2" s="250" t="s">
        <v>734</v>
      </c>
      <c r="AD2" s="272" t="s">
        <v>1441</v>
      </c>
      <c r="AE2" s="248" t="s">
        <v>1442</v>
      </c>
      <c r="AF2" s="248" t="s">
        <v>1443</v>
      </c>
      <c r="AG2" s="250" t="s">
        <v>1444</v>
      </c>
      <c r="AH2" s="272" t="s">
        <v>1447</v>
      </c>
      <c r="AI2" s="248" t="s">
        <v>1448</v>
      </c>
      <c r="AJ2" s="248" t="s">
        <v>1449</v>
      </c>
      <c r="AK2" s="248" t="s">
        <v>1450</v>
      </c>
      <c r="AL2" s="248" t="s">
        <v>1451</v>
      </c>
      <c r="AM2" s="248" t="s">
        <v>1452</v>
      </c>
      <c r="AN2" s="276" t="s">
        <v>1453</v>
      </c>
      <c r="AO2" s="273" t="s">
        <v>1454</v>
      </c>
      <c r="AP2" s="248" t="s">
        <v>1455</v>
      </c>
      <c r="AQ2" s="248" t="s">
        <v>1456</v>
      </c>
      <c r="AR2" s="248" t="s">
        <v>1457</v>
      </c>
      <c r="AS2" s="248" t="s">
        <v>1458</v>
      </c>
      <c r="AT2" s="250" t="s">
        <v>1459</v>
      </c>
      <c r="AU2" s="248" t="s">
        <v>1709</v>
      </c>
      <c r="AV2" s="249" t="s">
        <v>1710</v>
      </c>
    </row>
    <row r="3" spans="2:48">
      <c r="B3" s="211" t="s">
        <v>1318</v>
      </c>
      <c r="C3" s="210">
        <v>15</v>
      </c>
      <c r="E3" s="1" t="s">
        <v>1326</v>
      </c>
      <c r="F3" s="1" t="s">
        <v>1333</v>
      </c>
      <c r="G3" s="1" t="s">
        <v>1319</v>
      </c>
      <c r="H3" s="1" t="b" cm="1">
        <f t="array" ref="H3">IsVisible(TabMapElement[[#This Row],[Emplacement]],TabMapElement[[#This Row],[Nom]])</f>
        <v>1</v>
      </c>
      <c r="J3" s="1" t="s">
        <v>1428</v>
      </c>
      <c r="K3" s="44" t="s">
        <v>1429</v>
      </c>
      <c r="L3" s="1" t="s">
        <v>1418</v>
      </c>
      <c r="M3" s="1" t="s">
        <v>1332</v>
      </c>
      <c r="O3" s="1" t="s">
        <v>1420</v>
      </c>
      <c r="P3" s="1" t="s">
        <v>1432</v>
      </c>
      <c r="R3" s="275"/>
      <c r="S3" s="275"/>
      <c r="T3" s="275" t="s">
        <v>1714</v>
      </c>
      <c r="U3" s="44" t="b">
        <f>ISBLANK(TableauPokemonCapturé[[#This Row],[PokeID]])=FALSE</f>
        <v>0</v>
      </c>
      <c r="V3" s="275"/>
      <c r="W3" s="275"/>
      <c r="X3" s="43"/>
      <c r="Y3" s="275"/>
      <c r="Z3" s="44"/>
      <c r="AA3" s="275"/>
      <c r="AB3" s="43"/>
      <c r="AC3" s="44"/>
      <c r="AD3" s="43"/>
      <c r="AE3" s="275"/>
      <c r="AF3" s="275"/>
      <c r="AG3" s="44"/>
      <c r="AH3" s="43"/>
      <c r="AI3" s="275"/>
      <c r="AJ3" s="275"/>
      <c r="AK3" s="275"/>
      <c r="AL3" s="275"/>
      <c r="AM3" s="275"/>
      <c r="AN3" s="277"/>
      <c r="AO3" s="274"/>
      <c r="AP3" s="275"/>
      <c r="AQ3" s="275"/>
      <c r="AR3" s="275"/>
      <c r="AS3" s="275"/>
      <c r="AT3" s="44"/>
      <c r="AU3" s="275"/>
      <c r="AV3" s="275"/>
    </row>
    <row r="4" spans="2:48">
      <c r="B4" s="212" t="s">
        <v>1312</v>
      </c>
      <c r="C4" s="213" t="b">
        <v>0</v>
      </c>
      <c r="E4" s="1" t="s">
        <v>1327</v>
      </c>
      <c r="F4" s="1" t="s">
        <v>1333</v>
      </c>
      <c r="G4" s="1" t="s">
        <v>1319</v>
      </c>
      <c r="H4" s="1" t="b" cm="1">
        <f t="array" ref="H4">IsVisible(TabMapElement[[#This Row],[Emplacement]],TabMapElement[[#This Row],[Nom]])</f>
        <v>1</v>
      </c>
      <c r="J4" s="1" t="s">
        <v>1436</v>
      </c>
      <c r="K4" s="44" t="s">
        <v>1438</v>
      </c>
      <c r="L4" s="1" t="s">
        <v>1326</v>
      </c>
      <c r="M4" s="1" t="s">
        <v>1329</v>
      </c>
      <c r="O4" s="1" t="s">
        <v>1421</v>
      </c>
      <c r="P4" s="1" t="s">
        <v>1433</v>
      </c>
      <c r="R4" s="275"/>
      <c r="S4" s="275"/>
      <c r="T4" s="275" t="s">
        <v>1715</v>
      </c>
      <c r="U4" s="44" t="b">
        <f>ISBLANK(TableauPokemonCapturé[[#This Row],[PokeID]])=FALSE</f>
        <v>0</v>
      </c>
      <c r="V4" s="275"/>
      <c r="W4" s="275"/>
      <c r="X4" s="43"/>
      <c r="Y4" s="275"/>
      <c r="Z4" s="44"/>
      <c r="AA4" s="275"/>
      <c r="AB4" s="43"/>
      <c r="AC4" s="44"/>
      <c r="AD4" s="43"/>
      <c r="AE4" s="275"/>
      <c r="AF4" s="275"/>
      <c r="AG4" s="44"/>
      <c r="AH4" s="43"/>
      <c r="AI4" s="275"/>
      <c r="AJ4" s="275"/>
      <c r="AK4" s="275"/>
      <c r="AL4" s="275"/>
      <c r="AM4" s="275"/>
      <c r="AN4" s="277"/>
      <c r="AO4" s="274"/>
      <c r="AP4" s="275"/>
      <c r="AQ4" s="275"/>
      <c r="AR4" s="275"/>
      <c r="AS4" s="275"/>
      <c r="AT4" s="44"/>
      <c r="AU4" s="275"/>
      <c r="AV4" s="275"/>
    </row>
    <row r="5" spans="2:48">
      <c r="B5" s="211" t="s">
        <v>1313</v>
      </c>
      <c r="C5" s="209" t="b">
        <v>1</v>
      </c>
      <c r="E5" s="1" t="s">
        <v>1331</v>
      </c>
      <c r="F5" s="1" t="s">
        <v>1333</v>
      </c>
      <c r="G5" s="1" t="s">
        <v>1319</v>
      </c>
      <c r="H5" s="1" t="b" cm="1">
        <f t="array" ref="H5">IsVisible(TabMapElement[[#This Row],[Emplacement]],TabMapElement[[#This Row],[Nom]])</f>
        <v>1</v>
      </c>
      <c r="J5" s="1" t="s">
        <v>1437</v>
      </c>
      <c r="K5" s="44" t="s">
        <v>1439</v>
      </c>
      <c r="L5" s="1" t="s">
        <v>1326</v>
      </c>
      <c r="M5" s="1" t="s">
        <v>1329</v>
      </c>
      <c r="O5" s="1" t="s">
        <v>1422</v>
      </c>
      <c r="P5" s="1" t="s">
        <v>1434</v>
      </c>
      <c r="R5" s="275"/>
      <c r="S5" s="275"/>
      <c r="T5" s="275" t="s">
        <v>1716</v>
      </c>
      <c r="U5" s="44" t="b">
        <f>ISBLANK(TableauPokemonCapturé[[#This Row],[PokeID]])=FALSE</f>
        <v>0</v>
      </c>
      <c r="V5" s="275"/>
      <c r="W5" s="275"/>
      <c r="X5" s="43"/>
      <c r="Y5" s="275"/>
      <c r="Z5" s="44"/>
      <c r="AA5" s="275"/>
      <c r="AB5" s="43"/>
      <c r="AC5" s="44"/>
      <c r="AD5" s="43"/>
      <c r="AE5" s="275"/>
      <c r="AF5" s="275"/>
      <c r="AG5" s="44"/>
      <c r="AH5" s="43"/>
      <c r="AI5" s="275"/>
      <c r="AJ5" s="275"/>
      <c r="AK5" s="275"/>
      <c r="AL5" s="275"/>
      <c r="AM5" s="275"/>
      <c r="AN5" s="277"/>
      <c r="AO5" s="274"/>
      <c r="AP5" s="275"/>
      <c r="AQ5" s="275"/>
      <c r="AR5" s="275"/>
      <c r="AS5" s="275"/>
      <c r="AT5" s="44"/>
      <c r="AU5" s="275"/>
      <c r="AV5" s="275"/>
    </row>
    <row r="6" spans="2:48" ht="15" thickBot="1">
      <c r="B6" s="226" t="s">
        <v>1316</v>
      </c>
      <c r="C6" s="227" t="b">
        <v>1</v>
      </c>
      <c r="E6" s="1" t="s">
        <v>1332</v>
      </c>
      <c r="F6" s="1" t="s">
        <v>1333</v>
      </c>
      <c r="G6" s="1" t="s">
        <v>1319</v>
      </c>
      <c r="H6" s="1" t="b" cm="1">
        <f t="array" ref="H6">IsVisible(TabMapElement[[#This Row],[Emplacement]],TabMapElement[[#This Row],[Nom]])</f>
        <v>1</v>
      </c>
      <c r="J6" s="1"/>
      <c r="K6" s="1"/>
      <c r="L6" s="1"/>
      <c r="M6" s="1"/>
      <c r="O6" s="1" t="s">
        <v>1423</v>
      </c>
      <c r="P6" s="1" t="s">
        <v>1435</v>
      </c>
      <c r="R6" s="275"/>
      <c r="S6" s="275"/>
      <c r="T6" s="275" t="s">
        <v>1717</v>
      </c>
      <c r="U6" s="44" t="b">
        <f>ISBLANK(TableauPokemonCapturé[[#This Row],[PokeID]])=FALSE</f>
        <v>0</v>
      </c>
      <c r="V6" s="275"/>
      <c r="W6" s="275"/>
      <c r="X6" s="43"/>
      <c r="Y6" s="275"/>
      <c r="Z6" s="44"/>
      <c r="AA6" s="275"/>
      <c r="AB6" s="43"/>
      <c r="AC6" s="44"/>
      <c r="AD6" s="43"/>
      <c r="AE6" s="275"/>
      <c r="AF6" s="275"/>
      <c r="AG6" s="44"/>
      <c r="AH6" s="43"/>
      <c r="AI6" s="275"/>
      <c r="AJ6" s="275"/>
      <c r="AK6" s="275"/>
      <c r="AL6" s="275"/>
      <c r="AM6" s="275"/>
      <c r="AN6" s="277"/>
      <c r="AO6" s="274"/>
      <c r="AP6" s="275"/>
      <c r="AQ6" s="275"/>
      <c r="AR6" s="275"/>
      <c r="AS6" s="275"/>
      <c r="AT6" s="44"/>
      <c r="AU6" s="275"/>
      <c r="AV6" s="275"/>
    </row>
    <row r="7" spans="2:48">
      <c r="E7" s="1" t="s">
        <v>1328</v>
      </c>
      <c r="F7" s="1" t="s">
        <v>1333</v>
      </c>
      <c r="G7" s="1" t="s">
        <v>1319</v>
      </c>
      <c r="H7" s="1" t="b" cm="1">
        <f t="array" ref="H7">IsVisible(TabMapElement[[#This Row],[Emplacement]],TabMapElement[[#This Row],[Nom]])</f>
        <v>1</v>
      </c>
      <c r="J7" s="1"/>
      <c r="K7" s="1"/>
      <c r="L7" s="1"/>
      <c r="M7" s="1"/>
      <c r="R7" s="275"/>
      <c r="S7" s="275"/>
      <c r="T7" s="275" t="s">
        <v>1718</v>
      </c>
      <c r="U7" s="44" t="b">
        <f>ISBLANK(TableauPokemonCapturé[[#This Row],[PokeID]])=FALSE</f>
        <v>0</v>
      </c>
      <c r="V7" s="275"/>
      <c r="W7" s="275"/>
      <c r="X7" s="43"/>
      <c r="Y7" s="275"/>
      <c r="Z7" s="44"/>
      <c r="AA7" s="275"/>
      <c r="AB7" s="43"/>
      <c r="AC7" s="44"/>
      <c r="AD7" s="43"/>
      <c r="AE7" s="275"/>
      <c r="AF7" s="275"/>
      <c r="AG7" s="44"/>
      <c r="AH7" s="43"/>
      <c r="AI7" s="275"/>
      <c r="AJ7" s="275"/>
      <c r="AK7" s="275"/>
      <c r="AL7" s="275"/>
      <c r="AM7" s="275"/>
      <c r="AN7" s="277"/>
      <c r="AO7" s="274"/>
      <c r="AP7" s="275"/>
      <c r="AQ7" s="275"/>
      <c r="AR7" s="275"/>
      <c r="AS7" s="275"/>
      <c r="AT7" s="44"/>
      <c r="AU7" s="275"/>
      <c r="AV7" s="275"/>
    </row>
    <row r="8" spans="2:48" ht="15" thickBot="1">
      <c r="E8" s="1" t="s">
        <v>1329</v>
      </c>
      <c r="F8" s="1" t="s">
        <v>1333</v>
      </c>
      <c r="G8" s="1" t="s">
        <v>1319</v>
      </c>
      <c r="H8" s="1" t="b" cm="1">
        <f t="array" ref="H8">IsVisible(TabMapElement[[#This Row],[Emplacement]],TabMapElement[[#This Row],[Nom]])</f>
        <v>1</v>
      </c>
      <c r="J8" s="1"/>
      <c r="K8" s="1"/>
      <c r="L8" s="1"/>
      <c r="M8" s="1"/>
      <c r="R8" s="279"/>
      <c r="S8" s="279"/>
      <c r="T8" s="279" t="s">
        <v>1719</v>
      </c>
      <c r="U8" s="280" t="b">
        <f>ISBLANK(TableauPokemonCapturé[[#This Row],[PokeID]])=FALSE</f>
        <v>0</v>
      </c>
      <c r="V8" s="279"/>
      <c r="W8" s="279"/>
      <c r="X8" s="281"/>
      <c r="Y8" s="279"/>
      <c r="Z8" s="280"/>
      <c r="AA8" s="279"/>
      <c r="AB8" s="281"/>
      <c r="AC8" s="280"/>
      <c r="AD8" s="281"/>
      <c r="AE8" s="279"/>
      <c r="AF8" s="279"/>
      <c r="AG8" s="280"/>
      <c r="AH8" s="281"/>
      <c r="AI8" s="279"/>
      <c r="AJ8" s="279"/>
      <c r="AK8" s="279"/>
      <c r="AL8" s="279"/>
      <c r="AM8" s="279"/>
      <c r="AN8" s="282"/>
      <c r="AO8" s="283"/>
      <c r="AP8" s="279"/>
      <c r="AQ8" s="279"/>
      <c r="AR8" s="279"/>
      <c r="AS8" s="279"/>
      <c r="AT8" s="280"/>
      <c r="AU8" s="279"/>
      <c r="AV8" s="279"/>
    </row>
    <row r="9" spans="2:48" ht="15" thickTop="1">
      <c r="E9" s="1" t="s">
        <v>1330</v>
      </c>
      <c r="F9" s="1" t="s">
        <v>1333</v>
      </c>
      <c r="G9" s="1" t="s">
        <v>1319</v>
      </c>
      <c r="H9" s="1" t="b" cm="1">
        <f t="array" ref="H9">IsVisible(TabMapElement[[#This Row],[Emplacement]],TabMapElement[[#This Row],[Nom]])</f>
        <v>1</v>
      </c>
      <c r="K9" s="1"/>
      <c r="L9" s="1"/>
      <c r="M9" s="1"/>
      <c r="R9" s="1"/>
      <c r="S9" s="1"/>
      <c r="T9" s="275" t="s">
        <v>1720</v>
      </c>
      <c r="U9" s="44" t="b">
        <f>ISBLANK(TableauPokemonCapturé[[#This Row],[PokeID]])=FALSE</f>
        <v>0</v>
      </c>
      <c r="V9" s="1"/>
      <c r="W9" s="1"/>
      <c r="X9" s="43"/>
      <c r="Y9" s="275"/>
      <c r="Z9" s="44"/>
      <c r="AA9" s="1"/>
      <c r="AB9" s="43"/>
      <c r="AC9" s="44"/>
      <c r="AD9" s="43"/>
      <c r="AE9" s="275"/>
      <c r="AF9" s="275"/>
      <c r="AG9" s="44"/>
      <c r="AH9" s="43"/>
      <c r="AI9" s="275"/>
      <c r="AJ9" s="275"/>
      <c r="AK9" s="275"/>
      <c r="AL9" s="275"/>
      <c r="AM9" s="275"/>
      <c r="AN9" s="277"/>
      <c r="AO9" s="274"/>
      <c r="AP9" s="275"/>
      <c r="AQ9" s="275"/>
      <c r="AR9" s="275"/>
      <c r="AS9" s="275"/>
      <c r="AT9" s="44"/>
      <c r="AU9" s="1"/>
      <c r="AV9" s="1"/>
    </row>
    <row r="10" spans="2:48">
      <c r="E10" s="1" t="s">
        <v>1418</v>
      </c>
      <c r="F10" s="1" t="s">
        <v>1419</v>
      </c>
      <c r="G10" s="1" t="s">
        <v>1319</v>
      </c>
      <c r="H10" s="1" t="b" cm="1">
        <f t="array" ref="H10">IsVisible(TabMapElement[[#This Row],[Emplacement]],TabMapElement[[#This Row],[Nom]])</f>
        <v>1</v>
      </c>
      <c r="J10" s="1"/>
      <c r="K10" s="1"/>
      <c r="L10" s="1"/>
      <c r="M10" s="1"/>
      <c r="R10" s="1"/>
      <c r="S10" s="1"/>
      <c r="T10" s="275" t="s">
        <v>1722</v>
      </c>
      <c r="U10" s="44" t="b">
        <f>ISBLANK(TableauPokemonCapturé[[#This Row],[PokeID]])=FALSE</f>
        <v>0</v>
      </c>
      <c r="V10" s="1"/>
      <c r="W10" s="1"/>
      <c r="X10" s="43"/>
      <c r="Y10" s="275"/>
      <c r="Z10" s="44"/>
      <c r="AA10" s="1"/>
      <c r="AB10" s="43"/>
      <c r="AC10" s="44"/>
      <c r="AD10" s="43"/>
      <c r="AE10" s="275"/>
      <c r="AF10" s="275"/>
      <c r="AG10" s="44"/>
      <c r="AH10" s="43"/>
      <c r="AI10" s="275"/>
      <c r="AJ10" s="275"/>
      <c r="AK10" s="275"/>
      <c r="AL10" s="275"/>
      <c r="AM10" s="275"/>
      <c r="AN10" s="277"/>
      <c r="AO10" s="274"/>
      <c r="AP10" s="275"/>
      <c r="AQ10" s="275"/>
      <c r="AR10" s="275"/>
      <c r="AS10" s="275"/>
      <c r="AT10" s="44"/>
      <c r="AU10" s="1"/>
      <c r="AV10" s="1"/>
    </row>
    <row r="11" spans="2:48">
      <c r="K11" s="1"/>
      <c r="L11" s="1"/>
      <c r="R11" s="1"/>
      <c r="S11" s="1"/>
      <c r="T11" s="275" t="s">
        <v>1723</v>
      </c>
      <c r="U11" s="44" t="b">
        <f>ISBLANK(TableauPokemonCapturé[[#This Row],[PokeID]])=FALSE</f>
        <v>0</v>
      </c>
      <c r="V11" s="1"/>
      <c r="W11" s="1"/>
      <c r="X11" s="43"/>
      <c r="Y11" s="275"/>
      <c r="Z11" s="44"/>
      <c r="AA11" s="1"/>
      <c r="AB11" s="43"/>
      <c r="AC11" s="44"/>
      <c r="AD11" s="43"/>
      <c r="AE11" s="275"/>
      <c r="AF11" s="275"/>
      <c r="AG11" s="44"/>
      <c r="AH11" s="43"/>
      <c r="AI11" s="275"/>
      <c r="AJ11" s="275"/>
      <c r="AK11" s="275"/>
      <c r="AL11" s="275"/>
      <c r="AM11" s="275"/>
      <c r="AN11" s="277"/>
      <c r="AO11" s="274"/>
      <c r="AP11" s="275"/>
      <c r="AQ11" s="275"/>
      <c r="AR11" s="275"/>
      <c r="AS11" s="275"/>
      <c r="AT11" s="44"/>
      <c r="AU11" s="1"/>
      <c r="AV11" s="1"/>
    </row>
    <row r="12" spans="2:48">
      <c r="K12" s="1"/>
      <c r="L12" s="1"/>
      <c r="R12" s="1"/>
      <c r="S12" s="1"/>
      <c r="T12" s="275" t="s">
        <v>1724</v>
      </c>
      <c r="U12" s="44" t="b">
        <f>ISBLANK(TableauPokemonCapturé[[#This Row],[PokeID]])=FALSE</f>
        <v>0</v>
      </c>
      <c r="V12" s="1"/>
      <c r="W12" s="1"/>
      <c r="X12" s="43"/>
      <c r="Y12" s="275"/>
      <c r="Z12" s="44"/>
      <c r="AA12" s="1"/>
      <c r="AB12" s="43"/>
      <c r="AC12" s="44"/>
      <c r="AD12" s="43"/>
      <c r="AE12" s="275"/>
      <c r="AF12" s="275"/>
      <c r="AG12" s="44"/>
      <c r="AH12" s="43"/>
      <c r="AI12" s="275"/>
      <c r="AJ12" s="275"/>
      <c r="AK12" s="275"/>
      <c r="AL12" s="275"/>
      <c r="AM12" s="275"/>
      <c r="AN12" s="277"/>
      <c r="AO12" s="274"/>
      <c r="AP12" s="275"/>
      <c r="AQ12" s="275"/>
      <c r="AR12" s="275"/>
      <c r="AS12" s="275"/>
      <c r="AT12" s="44"/>
      <c r="AU12" s="1"/>
      <c r="AV12" s="1"/>
    </row>
    <row r="13" spans="2:48">
      <c r="K13" s="1"/>
      <c r="L13" s="1"/>
      <c r="R13" s="1"/>
      <c r="S13" s="1"/>
      <c r="T13" s="275" t="s">
        <v>1725</v>
      </c>
      <c r="U13" s="44" t="b">
        <f>ISBLANK(TableauPokemonCapturé[[#This Row],[PokeID]])=FALSE</f>
        <v>0</v>
      </c>
      <c r="V13" s="1"/>
      <c r="W13" s="1"/>
      <c r="X13" s="43"/>
      <c r="Y13" s="275"/>
      <c r="Z13" s="44"/>
      <c r="AA13" s="1"/>
      <c r="AB13" s="43"/>
      <c r="AC13" s="44"/>
      <c r="AD13" s="43"/>
      <c r="AE13" s="275"/>
      <c r="AF13" s="275"/>
      <c r="AG13" s="44"/>
      <c r="AH13" s="43"/>
      <c r="AI13" s="275"/>
      <c r="AJ13" s="275"/>
      <c r="AK13" s="275"/>
      <c r="AL13" s="275"/>
      <c r="AM13" s="275"/>
      <c r="AN13" s="277"/>
      <c r="AO13" s="274"/>
      <c r="AP13" s="275"/>
      <c r="AQ13" s="275"/>
      <c r="AR13" s="275"/>
      <c r="AS13" s="275"/>
      <c r="AT13" s="44"/>
      <c r="AU13" s="1"/>
      <c r="AV13" s="1"/>
    </row>
    <row r="14" spans="2:48">
      <c r="R14" s="1"/>
      <c r="S14" s="1"/>
      <c r="T14" s="275" t="s">
        <v>1726</v>
      </c>
      <c r="U14" s="44" t="b">
        <f>ISBLANK(TableauPokemonCapturé[[#This Row],[PokeID]])=FALSE</f>
        <v>0</v>
      </c>
      <c r="V14" s="1"/>
      <c r="W14" s="1"/>
      <c r="X14" s="43"/>
      <c r="Y14" s="275"/>
      <c r="Z14" s="44"/>
      <c r="AA14" s="1"/>
      <c r="AB14" s="43"/>
      <c r="AC14" s="44"/>
      <c r="AD14" s="43"/>
      <c r="AE14" s="275"/>
      <c r="AF14" s="275"/>
      <c r="AG14" s="44"/>
      <c r="AH14" s="43"/>
      <c r="AI14" s="275"/>
      <c r="AJ14" s="275"/>
      <c r="AK14" s="275"/>
      <c r="AL14" s="275"/>
      <c r="AM14" s="275"/>
      <c r="AN14" s="277"/>
      <c r="AO14" s="274"/>
      <c r="AP14" s="275"/>
      <c r="AQ14" s="275"/>
      <c r="AR14" s="275"/>
      <c r="AS14" s="275"/>
      <c r="AT14" s="44"/>
      <c r="AU14" s="1"/>
      <c r="AV14" s="1"/>
    </row>
    <row r="15" spans="2:48">
      <c r="R15" s="1"/>
      <c r="S15" s="1"/>
      <c r="T15" s="275" t="s">
        <v>1727</v>
      </c>
      <c r="U15" s="44" t="b">
        <f>ISBLANK(TableauPokemonCapturé[[#This Row],[PokeID]])=FALSE</f>
        <v>0</v>
      </c>
      <c r="V15" s="1"/>
      <c r="W15" s="1"/>
      <c r="X15" s="43"/>
      <c r="Y15" s="275"/>
      <c r="Z15" s="44"/>
      <c r="AA15" s="1"/>
      <c r="AB15" s="43"/>
      <c r="AC15" s="44"/>
      <c r="AD15" s="43"/>
      <c r="AE15" s="275"/>
      <c r="AF15" s="275"/>
      <c r="AG15" s="44"/>
      <c r="AH15" s="43"/>
      <c r="AI15" s="275"/>
      <c r="AJ15" s="275"/>
      <c r="AK15" s="275"/>
      <c r="AL15" s="275"/>
      <c r="AM15" s="275"/>
      <c r="AN15" s="277"/>
      <c r="AO15" s="274"/>
      <c r="AP15" s="275"/>
      <c r="AQ15" s="275"/>
      <c r="AR15" s="275"/>
      <c r="AS15" s="275"/>
      <c r="AT15" s="44"/>
      <c r="AU15" s="1"/>
      <c r="AV15" s="1"/>
    </row>
    <row r="16" spans="2:48">
      <c r="R16" s="1"/>
      <c r="S16" s="1"/>
      <c r="T16" s="275" t="s">
        <v>1728</v>
      </c>
      <c r="U16" s="44" t="b">
        <f>ISBLANK(TableauPokemonCapturé[[#This Row],[PokeID]])=FALSE</f>
        <v>0</v>
      </c>
      <c r="V16" s="1"/>
      <c r="W16" s="1"/>
      <c r="X16" s="43"/>
      <c r="Y16" s="275"/>
      <c r="Z16" s="44"/>
      <c r="AA16" s="1"/>
      <c r="AB16" s="43"/>
      <c r="AC16" s="44"/>
      <c r="AD16" s="43"/>
      <c r="AE16" s="275"/>
      <c r="AF16" s="275"/>
      <c r="AG16" s="44"/>
      <c r="AH16" s="43"/>
      <c r="AI16" s="275"/>
      <c r="AJ16" s="275"/>
      <c r="AK16" s="275"/>
      <c r="AL16" s="275"/>
      <c r="AM16" s="275"/>
      <c r="AN16" s="277"/>
      <c r="AO16" s="274"/>
      <c r="AP16" s="275"/>
      <c r="AQ16" s="275"/>
      <c r="AR16" s="275"/>
      <c r="AS16" s="275"/>
      <c r="AT16" s="44"/>
      <c r="AU16" s="1"/>
      <c r="AV16" s="1"/>
    </row>
    <row r="17" spans="18:48">
      <c r="R17" s="1"/>
      <c r="S17" s="1"/>
      <c r="T17" s="275" t="s">
        <v>1729</v>
      </c>
      <c r="U17" s="44" t="b">
        <f>ISBLANK(TableauPokemonCapturé[[#This Row],[PokeID]])=FALSE</f>
        <v>0</v>
      </c>
      <c r="V17" s="1"/>
      <c r="W17" s="1"/>
      <c r="X17" s="43"/>
      <c r="Y17" s="275"/>
      <c r="Z17" s="44"/>
      <c r="AA17" s="1"/>
      <c r="AB17" s="43"/>
      <c r="AC17" s="44"/>
      <c r="AD17" s="43"/>
      <c r="AE17" s="275"/>
      <c r="AF17" s="275"/>
      <c r="AG17" s="44"/>
      <c r="AH17" s="43"/>
      <c r="AI17" s="275"/>
      <c r="AJ17" s="275"/>
      <c r="AK17" s="275"/>
      <c r="AL17" s="275"/>
      <c r="AM17" s="275"/>
      <c r="AN17" s="277"/>
      <c r="AO17" s="274"/>
      <c r="AP17" s="275"/>
      <c r="AQ17" s="275"/>
      <c r="AR17" s="275"/>
      <c r="AS17" s="275"/>
      <c r="AT17" s="44"/>
      <c r="AU17" s="1"/>
      <c r="AV17" s="1"/>
    </row>
    <row r="18" spans="18:48">
      <c r="R18" s="1"/>
      <c r="S18" s="1"/>
      <c r="T18" s="275" t="s">
        <v>1730</v>
      </c>
      <c r="U18" s="44" t="b">
        <f>ISBLANK(TableauPokemonCapturé[[#This Row],[PokeID]])=FALSE</f>
        <v>0</v>
      </c>
      <c r="V18" s="1"/>
      <c r="W18" s="1"/>
      <c r="X18" s="43"/>
      <c r="Y18" s="275"/>
      <c r="Z18" s="44"/>
      <c r="AA18" s="1"/>
      <c r="AB18" s="43"/>
      <c r="AC18" s="44"/>
      <c r="AD18" s="43"/>
      <c r="AE18" s="275"/>
      <c r="AF18" s="275"/>
      <c r="AG18" s="44"/>
      <c r="AH18" s="43"/>
      <c r="AI18" s="275"/>
      <c r="AJ18" s="275"/>
      <c r="AK18" s="275"/>
      <c r="AL18" s="275"/>
      <c r="AM18" s="275"/>
      <c r="AN18" s="277"/>
      <c r="AO18" s="274"/>
      <c r="AP18" s="275"/>
      <c r="AQ18" s="275"/>
      <c r="AR18" s="275"/>
      <c r="AS18" s="275"/>
      <c r="AT18" s="44"/>
      <c r="AU18" s="1"/>
      <c r="AV18" s="1"/>
    </row>
    <row r="19" spans="18:48">
      <c r="R19" s="1"/>
      <c r="S19" s="1"/>
      <c r="T19" s="275" t="s">
        <v>1731</v>
      </c>
      <c r="U19" s="44" t="b">
        <f>ISBLANK(TableauPokemonCapturé[[#This Row],[PokeID]])=FALSE</f>
        <v>0</v>
      </c>
      <c r="V19" s="1"/>
      <c r="W19" s="1"/>
      <c r="X19" s="43"/>
      <c r="Y19" s="275"/>
      <c r="Z19" s="44"/>
      <c r="AA19" s="1"/>
      <c r="AB19" s="43"/>
      <c r="AC19" s="44"/>
      <c r="AD19" s="43"/>
      <c r="AE19" s="275"/>
      <c r="AF19" s="275"/>
      <c r="AG19" s="44"/>
      <c r="AH19" s="43"/>
      <c r="AI19" s="275"/>
      <c r="AJ19" s="275"/>
      <c r="AK19" s="275"/>
      <c r="AL19" s="275"/>
      <c r="AM19" s="275"/>
      <c r="AN19" s="277"/>
      <c r="AO19" s="274"/>
      <c r="AP19" s="275"/>
      <c r="AQ19" s="275"/>
      <c r="AR19" s="275"/>
      <c r="AS19" s="275"/>
      <c r="AT19" s="44"/>
      <c r="AU19" s="1"/>
      <c r="AV19" s="1"/>
    </row>
    <row r="20" spans="18:48">
      <c r="R20" s="1"/>
      <c r="S20" s="1"/>
      <c r="T20" s="275" t="s">
        <v>1732</v>
      </c>
      <c r="U20" s="44" t="b">
        <f>ISBLANK(TableauPokemonCapturé[[#This Row],[PokeID]])=FALSE</f>
        <v>0</v>
      </c>
      <c r="V20" s="1"/>
      <c r="W20" s="1"/>
      <c r="X20" s="43"/>
      <c r="Y20" s="275"/>
      <c r="Z20" s="44"/>
      <c r="AA20" s="1"/>
      <c r="AB20" s="43"/>
      <c r="AC20" s="44"/>
      <c r="AD20" s="43"/>
      <c r="AE20" s="275"/>
      <c r="AF20" s="275"/>
      <c r="AG20" s="44"/>
      <c r="AH20" s="43"/>
      <c r="AI20" s="275"/>
      <c r="AJ20" s="275"/>
      <c r="AK20" s="275"/>
      <c r="AL20" s="275"/>
      <c r="AM20" s="275"/>
      <c r="AN20" s="277"/>
      <c r="AO20" s="274"/>
      <c r="AP20" s="275"/>
      <c r="AQ20" s="275"/>
      <c r="AR20" s="275"/>
      <c r="AS20" s="275"/>
      <c r="AT20" s="44"/>
      <c r="AU20" s="1"/>
      <c r="AV20" s="1"/>
    </row>
    <row r="21" spans="18:48">
      <c r="R21" s="1"/>
      <c r="S21" s="1"/>
      <c r="T21" s="275" t="s">
        <v>1733</v>
      </c>
      <c r="U21" s="44" t="b">
        <f>ISBLANK(TableauPokemonCapturé[[#This Row],[PokeID]])=FALSE</f>
        <v>0</v>
      </c>
      <c r="V21" s="1"/>
      <c r="W21" s="1"/>
      <c r="X21" s="43"/>
      <c r="Y21" s="275"/>
      <c r="Z21" s="44"/>
      <c r="AA21" s="1"/>
      <c r="AB21" s="43"/>
      <c r="AC21" s="44"/>
      <c r="AD21" s="43"/>
      <c r="AE21" s="275"/>
      <c r="AF21" s="275"/>
      <c r="AG21" s="44"/>
      <c r="AH21" s="43"/>
      <c r="AI21" s="275"/>
      <c r="AJ21" s="275"/>
      <c r="AK21" s="275"/>
      <c r="AL21" s="275"/>
      <c r="AM21" s="275"/>
      <c r="AN21" s="277"/>
      <c r="AO21" s="274"/>
      <c r="AP21" s="275"/>
      <c r="AQ21" s="275"/>
      <c r="AR21" s="275"/>
      <c r="AS21" s="275"/>
      <c r="AT21" s="44"/>
      <c r="AU21" s="1"/>
      <c r="AV21" s="1"/>
    </row>
    <row r="22" spans="18:48">
      <c r="R22" s="1"/>
      <c r="S22" s="1"/>
      <c r="T22" s="275" t="s">
        <v>1734</v>
      </c>
      <c r="U22" s="44" t="b">
        <f>ISBLANK(TableauPokemonCapturé[[#This Row],[PokeID]])=FALSE</f>
        <v>0</v>
      </c>
      <c r="V22" s="1"/>
      <c r="W22" s="1"/>
      <c r="X22" s="43"/>
      <c r="Y22" s="275"/>
      <c r="Z22" s="44"/>
      <c r="AA22" s="1"/>
      <c r="AB22" s="43"/>
      <c r="AC22" s="44"/>
      <c r="AD22" s="43"/>
      <c r="AE22" s="275"/>
      <c r="AF22" s="275"/>
      <c r="AG22" s="44"/>
      <c r="AH22" s="43"/>
      <c r="AI22" s="275"/>
      <c r="AJ22" s="275"/>
      <c r="AK22" s="275"/>
      <c r="AL22" s="275"/>
      <c r="AM22" s="275"/>
      <c r="AN22" s="277"/>
      <c r="AO22" s="274"/>
      <c r="AP22" s="275"/>
      <c r="AQ22" s="275"/>
      <c r="AR22" s="275"/>
      <c r="AS22" s="275"/>
      <c r="AT22" s="44"/>
      <c r="AU22" s="1"/>
      <c r="AV22" s="1"/>
    </row>
    <row r="23" spans="18:48">
      <c r="R23" s="1"/>
      <c r="S23" s="1"/>
      <c r="T23" s="275" t="s">
        <v>1735</v>
      </c>
      <c r="U23" s="44" t="b">
        <f>ISBLANK(TableauPokemonCapturé[[#This Row],[PokeID]])=FALSE</f>
        <v>0</v>
      </c>
      <c r="V23" s="1"/>
      <c r="W23" s="1"/>
      <c r="X23" s="43"/>
      <c r="Y23" s="275"/>
      <c r="Z23" s="44"/>
      <c r="AA23" s="1"/>
      <c r="AB23" s="43"/>
      <c r="AC23" s="44"/>
      <c r="AD23" s="43"/>
      <c r="AE23" s="275"/>
      <c r="AF23" s="275"/>
      <c r="AG23" s="44"/>
      <c r="AH23" s="43"/>
      <c r="AI23" s="275"/>
      <c r="AJ23" s="275"/>
      <c r="AK23" s="275"/>
      <c r="AL23" s="275"/>
      <c r="AM23" s="275"/>
      <c r="AN23" s="277"/>
      <c r="AO23" s="274"/>
      <c r="AP23" s="275"/>
      <c r="AQ23" s="275"/>
      <c r="AR23" s="275"/>
      <c r="AS23" s="275"/>
      <c r="AT23" s="44"/>
      <c r="AU23" s="1"/>
      <c r="AV23" s="1"/>
    </row>
    <row r="24" spans="18:48">
      <c r="R24" s="1"/>
      <c r="S24" s="1"/>
      <c r="T24" s="275" t="s">
        <v>1736</v>
      </c>
      <c r="U24" s="44" t="b">
        <f>ISBLANK(TableauPokemonCapturé[[#This Row],[PokeID]])=FALSE</f>
        <v>0</v>
      </c>
      <c r="V24" s="1"/>
      <c r="W24" s="1"/>
      <c r="X24" s="43"/>
      <c r="Y24" s="275"/>
      <c r="Z24" s="44"/>
      <c r="AA24" s="1"/>
      <c r="AB24" s="43"/>
      <c r="AC24" s="44"/>
      <c r="AD24" s="43"/>
      <c r="AE24" s="275"/>
      <c r="AF24" s="275"/>
      <c r="AG24" s="44"/>
      <c r="AH24" s="43"/>
      <c r="AI24" s="275"/>
      <c r="AJ24" s="275"/>
      <c r="AK24" s="275"/>
      <c r="AL24" s="275"/>
      <c r="AM24" s="275"/>
      <c r="AN24" s="277"/>
      <c r="AO24" s="274"/>
      <c r="AP24" s="275"/>
      <c r="AQ24" s="275"/>
      <c r="AR24" s="275"/>
      <c r="AS24" s="275"/>
      <c r="AT24" s="44"/>
      <c r="AU24" s="1"/>
      <c r="AV24" s="1"/>
    </row>
    <row r="25" spans="18:48">
      <c r="R25" s="1"/>
      <c r="S25" s="1"/>
      <c r="T25" s="275" t="s">
        <v>1737</v>
      </c>
      <c r="U25" s="44" t="b">
        <f>ISBLANK(TableauPokemonCapturé[[#This Row],[PokeID]])=FALSE</f>
        <v>0</v>
      </c>
      <c r="V25" s="1"/>
      <c r="W25" s="1"/>
      <c r="X25" s="43"/>
      <c r="Y25" s="275"/>
      <c r="Z25" s="44"/>
      <c r="AA25" s="1"/>
      <c r="AB25" s="43"/>
      <c r="AC25" s="44"/>
      <c r="AD25" s="43"/>
      <c r="AE25" s="275"/>
      <c r="AF25" s="275"/>
      <c r="AG25" s="44"/>
      <c r="AH25" s="43"/>
      <c r="AI25" s="275"/>
      <c r="AJ25" s="275"/>
      <c r="AK25" s="275"/>
      <c r="AL25" s="275"/>
      <c r="AM25" s="275"/>
      <c r="AN25" s="277"/>
      <c r="AO25" s="274"/>
      <c r="AP25" s="275"/>
      <c r="AQ25" s="275"/>
      <c r="AR25" s="275"/>
      <c r="AS25" s="275"/>
      <c r="AT25" s="44"/>
      <c r="AU25" s="1"/>
      <c r="AV25" s="1"/>
    </row>
    <row r="26" spans="18:48">
      <c r="R26" s="1"/>
      <c r="S26" s="1"/>
      <c r="T26" s="275" t="s">
        <v>1738</v>
      </c>
      <c r="U26" s="44" t="b">
        <f>ISBLANK(TableauPokemonCapturé[[#This Row],[PokeID]])=FALSE</f>
        <v>0</v>
      </c>
      <c r="V26" s="1"/>
      <c r="W26" s="1"/>
      <c r="X26" s="43"/>
      <c r="Y26" s="275"/>
      <c r="Z26" s="44"/>
      <c r="AA26" s="1"/>
      <c r="AB26" s="43"/>
      <c r="AC26" s="44"/>
      <c r="AD26" s="43"/>
      <c r="AE26" s="275"/>
      <c r="AF26" s="275"/>
      <c r="AG26" s="44"/>
      <c r="AH26" s="43"/>
      <c r="AI26" s="275"/>
      <c r="AJ26" s="275"/>
      <c r="AK26" s="275"/>
      <c r="AL26" s="275"/>
      <c r="AM26" s="275"/>
      <c r="AN26" s="277"/>
      <c r="AO26" s="274"/>
      <c r="AP26" s="275"/>
      <c r="AQ26" s="275"/>
      <c r="AR26" s="275"/>
      <c r="AS26" s="275"/>
      <c r="AT26" s="44"/>
      <c r="AU26" s="1"/>
      <c r="AV26" s="1"/>
    </row>
    <row r="27" spans="18:48">
      <c r="R27" s="1"/>
      <c r="S27" s="1"/>
      <c r="T27" s="275" t="s">
        <v>1739</v>
      </c>
      <c r="U27" s="44" t="b">
        <f>ISBLANK(TableauPokemonCapturé[[#This Row],[PokeID]])=FALSE</f>
        <v>0</v>
      </c>
      <c r="V27" s="1"/>
      <c r="W27" s="1"/>
      <c r="X27" s="43"/>
      <c r="Y27" s="275"/>
      <c r="Z27" s="44"/>
      <c r="AA27" s="1"/>
      <c r="AB27" s="43"/>
      <c r="AC27" s="44"/>
      <c r="AD27" s="43"/>
      <c r="AE27" s="275"/>
      <c r="AF27" s="275"/>
      <c r="AG27" s="44"/>
      <c r="AH27" s="43"/>
      <c r="AI27" s="275"/>
      <c r="AJ27" s="275"/>
      <c r="AK27" s="275"/>
      <c r="AL27" s="275"/>
      <c r="AM27" s="275"/>
      <c r="AN27" s="277"/>
      <c r="AO27" s="274"/>
      <c r="AP27" s="275"/>
      <c r="AQ27" s="275"/>
      <c r="AR27" s="275"/>
      <c r="AS27" s="275"/>
      <c r="AT27" s="44"/>
      <c r="AU27" s="1"/>
      <c r="AV27" s="1"/>
    </row>
    <row r="28" spans="18:48">
      <c r="R28" s="1"/>
      <c r="S28" s="1"/>
      <c r="T28" s="275" t="s">
        <v>1740</v>
      </c>
      <c r="U28" s="44" t="b">
        <f>ISBLANK(TableauPokemonCapturé[[#This Row],[PokeID]])=FALSE</f>
        <v>0</v>
      </c>
      <c r="V28" s="1"/>
      <c r="W28" s="1"/>
      <c r="X28" s="43"/>
      <c r="Y28" s="275"/>
      <c r="Z28" s="44"/>
      <c r="AA28" s="1"/>
      <c r="AB28" s="43"/>
      <c r="AC28" s="44"/>
      <c r="AD28" s="43"/>
      <c r="AE28" s="275"/>
      <c r="AF28" s="275"/>
      <c r="AG28" s="44"/>
      <c r="AH28" s="43"/>
      <c r="AI28" s="275"/>
      <c r="AJ28" s="275"/>
      <c r="AK28" s="275"/>
      <c r="AL28" s="275"/>
      <c r="AM28" s="275"/>
      <c r="AN28" s="277"/>
      <c r="AO28" s="274"/>
      <c r="AP28" s="275"/>
      <c r="AQ28" s="275"/>
      <c r="AR28" s="275"/>
      <c r="AS28" s="275"/>
      <c r="AT28" s="44"/>
      <c r="AU28" s="1"/>
      <c r="AV28" s="1"/>
    </row>
    <row r="29" spans="18:48">
      <c r="R29" s="1"/>
      <c r="S29" s="1"/>
      <c r="T29" s="275" t="s">
        <v>1741</v>
      </c>
      <c r="U29" s="44" t="b">
        <f>ISBLANK(TableauPokemonCapturé[[#This Row],[PokeID]])=FALSE</f>
        <v>0</v>
      </c>
      <c r="V29" s="1"/>
      <c r="W29" s="1"/>
      <c r="X29" s="43"/>
      <c r="Y29" s="275"/>
      <c r="Z29" s="44"/>
      <c r="AA29" s="1"/>
      <c r="AB29" s="43"/>
      <c r="AC29" s="44"/>
      <c r="AD29" s="43"/>
      <c r="AE29" s="275"/>
      <c r="AF29" s="275"/>
      <c r="AG29" s="44"/>
      <c r="AH29" s="43"/>
      <c r="AI29" s="275"/>
      <c r="AJ29" s="275"/>
      <c r="AK29" s="275"/>
      <c r="AL29" s="275"/>
      <c r="AM29" s="275"/>
      <c r="AN29" s="277"/>
      <c r="AO29" s="274"/>
      <c r="AP29" s="275"/>
      <c r="AQ29" s="275"/>
      <c r="AR29" s="275"/>
      <c r="AS29" s="275"/>
      <c r="AT29" s="44"/>
      <c r="AU29" s="1"/>
      <c r="AV29" s="1"/>
    </row>
    <row r="30" spans="18:48">
      <c r="R30" s="1"/>
      <c r="S30" s="1"/>
      <c r="T30" s="275" t="s">
        <v>1742</v>
      </c>
      <c r="U30" s="44" t="b">
        <f>ISBLANK(TableauPokemonCapturé[[#This Row],[PokeID]])=FALSE</f>
        <v>0</v>
      </c>
      <c r="V30" s="1"/>
      <c r="W30" s="1"/>
      <c r="X30" s="43"/>
      <c r="Y30" s="275"/>
      <c r="Z30" s="44"/>
      <c r="AA30" s="1"/>
      <c r="AB30" s="43"/>
      <c r="AC30" s="44"/>
      <c r="AD30" s="43"/>
      <c r="AE30" s="275"/>
      <c r="AF30" s="275"/>
      <c r="AG30" s="44"/>
      <c r="AH30" s="43"/>
      <c r="AI30" s="275"/>
      <c r="AJ30" s="275"/>
      <c r="AK30" s="275"/>
      <c r="AL30" s="275"/>
      <c r="AM30" s="275"/>
      <c r="AN30" s="277"/>
      <c r="AO30" s="274"/>
      <c r="AP30" s="275"/>
      <c r="AQ30" s="275"/>
      <c r="AR30" s="275"/>
      <c r="AS30" s="275"/>
      <c r="AT30" s="44"/>
      <c r="AU30" s="1"/>
      <c r="AV30" s="1"/>
    </row>
    <row r="31" spans="18:48">
      <c r="R31" s="1"/>
      <c r="S31" s="1"/>
      <c r="T31" s="275" t="s">
        <v>1743</v>
      </c>
      <c r="U31" s="44" t="b">
        <f>ISBLANK(TableauPokemonCapturé[[#This Row],[PokeID]])=FALSE</f>
        <v>0</v>
      </c>
      <c r="V31" s="1"/>
      <c r="W31" s="1"/>
      <c r="X31" s="43"/>
      <c r="Y31" s="275"/>
      <c r="Z31" s="44"/>
      <c r="AA31" s="1"/>
      <c r="AB31" s="43"/>
      <c r="AC31" s="44"/>
      <c r="AD31" s="43"/>
      <c r="AE31" s="275"/>
      <c r="AF31" s="275"/>
      <c r="AG31" s="44"/>
      <c r="AH31" s="43"/>
      <c r="AI31" s="275"/>
      <c r="AJ31" s="275"/>
      <c r="AK31" s="275"/>
      <c r="AL31" s="275"/>
      <c r="AM31" s="275"/>
      <c r="AN31" s="277"/>
      <c r="AO31" s="274"/>
      <c r="AP31" s="275"/>
      <c r="AQ31" s="275"/>
      <c r="AR31" s="275"/>
      <c r="AS31" s="275"/>
      <c r="AT31" s="44"/>
      <c r="AU31" s="1"/>
      <c r="AV31" s="1"/>
    </row>
    <row r="32" spans="18:48">
      <c r="R32" s="1"/>
      <c r="S32" s="1"/>
      <c r="T32" s="275" t="s">
        <v>1744</v>
      </c>
      <c r="U32" s="44" t="b">
        <f>ISBLANK(TableauPokemonCapturé[[#This Row],[PokeID]])=FALSE</f>
        <v>0</v>
      </c>
      <c r="V32" s="1"/>
      <c r="W32" s="1"/>
      <c r="X32" s="43"/>
      <c r="Y32" s="275"/>
      <c r="Z32" s="44"/>
      <c r="AA32" s="1"/>
      <c r="AB32" s="43"/>
      <c r="AC32" s="44"/>
      <c r="AD32" s="43"/>
      <c r="AE32" s="275"/>
      <c r="AF32" s="275"/>
      <c r="AG32" s="44"/>
      <c r="AH32" s="43"/>
      <c r="AI32" s="275"/>
      <c r="AJ32" s="275"/>
      <c r="AK32" s="275"/>
      <c r="AL32" s="275"/>
      <c r="AM32" s="275"/>
      <c r="AN32" s="277"/>
      <c r="AO32" s="274"/>
      <c r="AP32" s="275"/>
      <c r="AQ32" s="275"/>
      <c r="AR32" s="275"/>
      <c r="AS32" s="275"/>
      <c r="AT32" s="44"/>
      <c r="AU32" s="1"/>
      <c r="AV32" s="1"/>
    </row>
    <row r="33" spans="18:48">
      <c r="R33" s="1"/>
      <c r="S33" s="1"/>
      <c r="T33" s="275" t="s">
        <v>1745</v>
      </c>
      <c r="U33" s="44" t="b">
        <f>ISBLANK(TableauPokemonCapturé[[#This Row],[PokeID]])=FALSE</f>
        <v>0</v>
      </c>
      <c r="V33" s="1"/>
      <c r="W33" s="1"/>
      <c r="X33" s="43"/>
      <c r="Y33" s="275"/>
      <c r="Z33" s="44"/>
      <c r="AA33" s="1"/>
      <c r="AB33" s="43"/>
      <c r="AC33" s="44"/>
      <c r="AD33" s="43"/>
      <c r="AE33" s="275"/>
      <c r="AF33" s="275"/>
      <c r="AG33" s="44"/>
      <c r="AH33" s="43"/>
      <c r="AI33" s="275"/>
      <c r="AJ33" s="275"/>
      <c r="AK33" s="275"/>
      <c r="AL33" s="275"/>
      <c r="AM33" s="275"/>
      <c r="AN33" s="277"/>
      <c r="AO33" s="274"/>
      <c r="AP33" s="275"/>
      <c r="AQ33" s="275"/>
      <c r="AR33" s="275"/>
      <c r="AS33" s="275"/>
      <c r="AT33" s="44"/>
      <c r="AU33" s="1"/>
      <c r="AV33" s="1"/>
    </row>
    <row r="34" spans="18:48">
      <c r="R34" s="1"/>
      <c r="S34" s="1"/>
      <c r="T34" s="275" t="s">
        <v>1746</v>
      </c>
      <c r="U34" s="44" t="b">
        <f>ISBLANK(TableauPokemonCapturé[[#This Row],[PokeID]])=FALSE</f>
        <v>0</v>
      </c>
      <c r="V34" s="1"/>
      <c r="W34" s="1"/>
      <c r="X34" s="43"/>
      <c r="Y34" s="275"/>
      <c r="Z34" s="44"/>
      <c r="AA34" s="1"/>
      <c r="AB34" s="43"/>
      <c r="AC34" s="44"/>
      <c r="AD34" s="43"/>
      <c r="AE34" s="275"/>
      <c r="AF34" s="275"/>
      <c r="AG34" s="44"/>
      <c r="AH34" s="43"/>
      <c r="AI34" s="275"/>
      <c r="AJ34" s="275"/>
      <c r="AK34" s="275"/>
      <c r="AL34" s="275"/>
      <c r="AM34" s="275"/>
      <c r="AN34" s="277"/>
      <c r="AO34" s="274"/>
      <c r="AP34" s="275"/>
      <c r="AQ34" s="275"/>
      <c r="AR34" s="275"/>
      <c r="AS34" s="275"/>
      <c r="AT34" s="44"/>
      <c r="AU34" s="1"/>
      <c r="AV34" s="1"/>
    </row>
    <row r="35" spans="18:48">
      <c r="R35" s="1"/>
      <c r="S35" s="1"/>
      <c r="T35" s="275" t="s">
        <v>1747</v>
      </c>
      <c r="U35" s="44" t="b">
        <f>ISBLANK(TableauPokemonCapturé[[#This Row],[PokeID]])=FALSE</f>
        <v>0</v>
      </c>
      <c r="V35" s="1"/>
      <c r="W35" s="1"/>
      <c r="X35" s="43"/>
      <c r="Y35" s="275"/>
      <c r="Z35" s="44"/>
      <c r="AA35" s="1"/>
      <c r="AB35" s="43"/>
      <c r="AC35" s="44"/>
      <c r="AD35" s="43"/>
      <c r="AE35" s="275"/>
      <c r="AF35" s="275"/>
      <c r="AG35" s="44"/>
      <c r="AH35" s="43"/>
      <c r="AI35" s="275"/>
      <c r="AJ35" s="275"/>
      <c r="AK35" s="275"/>
      <c r="AL35" s="275"/>
      <c r="AM35" s="275"/>
      <c r="AN35" s="277"/>
      <c r="AO35" s="274"/>
      <c r="AP35" s="275"/>
      <c r="AQ35" s="275"/>
      <c r="AR35" s="275"/>
      <c r="AS35" s="275"/>
      <c r="AT35" s="44"/>
      <c r="AU35" s="1"/>
      <c r="AV35" s="1"/>
    </row>
    <row r="36" spans="18:48">
      <c r="R36" s="1"/>
      <c r="S36" s="1"/>
      <c r="T36" s="275" t="s">
        <v>1748</v>
      </c>
      <c r="U36" s="44" t="b">
        <f>ISBLANK(TableauPokemonCapturé[[#This Row],[PokeID]])=FALSE</f>
        <v>0</v>
      </c>
      <c r="V36" s="1"/>
      <c r="W36" s="1"/>
      <c r="X36" s="43"/>
      <c r="Y36" s="275"/>
      <c r="Z36" s="44"/>
      <c r="AA36" s="1"/>
      <c r="AB36" s="43"/>
      <c r="AC36" s="44"/>
      <c r="AD36" s="43"/>
      <c r="AE36" s="275"/>
      <c r="AF36" s="275"/>
      <c r="AG36" s="44"/>
      <c r="AH36" s="43"/>
      <c r="AI36" s="275"/>
      <c r="AJ36" s="275"/>
      <c r="AK36" s="275"/>
      <c r="AL36" s="275"/>
      <c r="AM36" s="275"/>
      <c r="AN36" s="277"/>
      <c r="AO36" s="274"/>
      <c r="AP36" s="275"/>
      <c r="AQ36" s="275"/>
      <c r="AR36" s="275"/>
      <c r="AS36" s="275"/>
      <c r="AT36" s="44"/>
      <c r="AU36" s="1"/>
      <c r="AV36" s="1"/>
    </row>
    <row r="37" spans="18:48">
      <c r="R37" s="1"/>
      <c r="S37" s="1"/>
      <c r="T37" s="275" t="s">
        <v>1749</v>
      </c>
      <c r="U37" s="44" t="b">
        <f>ISBLANK(TableauPokemonCapturé[[#This Row],[PokeID]])=FALSE</f>
        <v>0</v>
      </c>
      <c r="V37" s="1"/>
      <c r="W37" s="1"/>
      <c r="X37" s="43"/>
      <c r="Y37" s="275"/>
      <c r="Z37" s="44"/>
      <c r="AA37" s="1"/>
      <c r="AB37" s="43"/>
      <c r="AC37" s="44"/>
      <c r="AD37" s="43"/>
      <c r="AE37" s="275"/>
      <c r="AF37" s="275"/>
      <c r="AG37" s="44"/>
      <c r="AH37" s="43"/>
      <c r="AI37" s="275"/>
      <c r="AJ37" s="275"/>
      <c r="AK37" s="275"/>
      <c r="AL37" s="275"/>
      <c r="AM37" s="275"/>
      <c r="AN37" s="277"/>
      <c r="AO37" s="274"/>
      <c r="AP37" s="275"/>
      <c r="AQ37" s="275"/>
      <c r="AR37" s="275"/>
      <c r="AS37" s="275"/>
      <c r="AT37" s="44"/>
      <c r="AU37" s="1"/>
      <c r="AV37" s="1"/>
    </row>
    <row r="38" spans="18:48">
      <c r="R38" s="1"/>
      <c r="S38" s="1"/>
      <c r="T38" s="275" t="s">
        <v>1750</v>
      </c>
      <c r="U38" s="44" t="b">
        <f>ISBLANK(TableauPokemonCapturé[[#This Row],[PokeID]])=FALSE</f>
        <v>0</v>
      </c>
      <c r="V38" s="1"/>
      <c r="W38" s="1"/>
      <c r="X38" s="43"/>
      <c r="Y38" s="275"/>
      <c r="Z38" s="44"/>
      <c r="AA38" s="1"/>
      <c r="AB38" s="43"/>
      <c r="AC38" s="44"/>
      <c r="AD38" s="43"/>
      <c r="AE38" s="275"/>
      <c r="AF38" s="275"/>
      <c r="AG38" s="44"/>
      <c r="AH38" s="43"/>
      <c r="AI38" s="275"/>
      <c r="AJ38" s="275"/>
      <c r="AK38" s="275"/>
      <c r="AL38" s="275"/>
      <c r="AM38" s="275"/>
      <c r="AN38" s="277"/>
      <c r="AO38" s="274"/>
      <c r="AP38" s="275"/>
      <c r="AQ38" s="275"/>
      <c r="AR38" s="275"/>
      <c r="AS38" s="275"/>
      <c r="AT38" s="44"/>
      <c r="AU38" s="1"/>
      <c r="AV38" s="1"/>
    </row>
    <row r="39" spans="18:48">
      <c r="R39" s="1"/>
      <c r="S39" s="1"/>
      <c r="T39" s="275" t="s">
        <v>1751</v>
      </c>
      <c r="U39" s="44" t="b">
        <f>ISBLANK(TableauPokemonCapturé[[#This Row],[PokeID]])=FALSE</f>
        <v>0</v>
      </c>
      <c r="V39" s="1"/>
      <c r="W39" s="1"/>
      <c r="X39" s="43"/>
      <c r="Y39" s="275"/>
      <c r="Z39" s="44"/>
      <c r="AA39" s="1"/>
      <c r="AB39" s="43"/>
      <c r="AC39" s="44"/>
      <c r="AD39" s="43"/>
      <c r="AE39" s="275"/>
      <c r="AF39" s="275"/>
      <c r="AG39" s="44"/>
      <c r="AH39" s="43"/>
      <c r="AI39" s="275"/>
      <c r="AJ39" s="275"/>
      <c r="AK39" s="275"/>
      <c r="AL39" s="275"/>
      <c r="AM39" s="275"/>
      <c r="AN39" s="277"/>
      <c r="AO39" s="274"/>
      <c r="AP39" s="275"/>
      <c r="AQ39" s="275"/>
      <c r="AR39" s="275"/>
      <c r="AS39" s="275"/>
      <c r="AT39" s="44"/>
      <c r="AU39" s="1"/>
      <c r="AV39" s="1"/>
    </row>
    <row r="40" spans="18:48">
      <c r="R40" s="1"/>
      <c r="S40" s="1"/>
      <c r="T40" s="275" t="s">
        <v>1752</v>
      </c>
      <c r="U40" s="44" t="b">
        <f>ISBLANK(TableauPokemonCapturé[[#This Row],[PokeID]])=FALSE</f>
        <v>0</v>
      </c>
      <c r="V40" s="1"/>
      <c r="W40" s="1"/>
      <c r="X40" s="43"/>
      <c r="Y40" s="275"/>
      <c r="Z40" s="44"/>
      <c r="AA40" s="1"/>
      <c r="AB40" s="43"/>
      <c r="AC40" s="44"/>
      <c r="AD40" s="43"/>
      <c r="AE40" s="275"/>
      <c r="AF40" s="275"/>
      <c r="AG40" s="44"/>
      <c r="AH40" s="43"/>
      <c r="AI40" s="275"/>
      <c r="AJ40" s="275"/>
      <c r="AK40" s="275"/>
      <c r="AL40" s="275"/>
      <c r="AM40" s="275"/>
      <c r="AN40" s="277"/>
      <c r="AO40" s="274"/>
      <c r="AP40" s="275"/>
      <c r="AQ40" s="275"/>
      <c r="AR40" s="275"/>
      <c r="AS40" s="275"/>
      <c r="AT40" s="44"/>
      <c r="AU40" s="1"/>
      <c r="AV40" s="1"/>
    </row>
    <row r="41" spans="18:48">
      <c r="R41" s="1"/>
      <c r="S41" s="1"/>
      <c r="T41" s="275" t="s">
        <v>1753</v>
      </c>
      <c r="U41" s="44" t="b">
        <f>ISBLANK(TableauPokemonCapturé[[#This Row],[PokeID]])=FALSE</f>
        <v>0</v>
      </c>
      <c r="V41" s="1"/>
      <c r="W41" s="1"/>
      <c r="X41" s="43"/>
      <c r="Y41" s="275"/>
      <c r="Z41" s="44"/>
      <c r="AA41" s="1"/>
      <c r="AB41" s="43"/>
      <c r="AC41" s="44"/>
      <c r="AD41" s="43"/>
      <c r="AE41" s="275"/>
      <c r="AF41" s="275"/>
      <c r="AG41" s="44"/>
      <c r="AH41" s="43"/>
      <c r="AI41" s="275"/>
      <c r="AJ41" s="275"/>
      <c r="AK41" s="275"/>
      <c r="AL41" s="275"/>
      <c r="AM41" s="275"/>
      <c r="AN41" s="277"/>
      <c r="AO41" s="274"/>
      <c r="AP41" s="275"/>
      <c r="AQ41" s="275"/>
      <c r="AR41" s="275"/>
      <c r="AS41" s="275"/>
      <c r="AT41" s="44"/>
      <c r="AU41" s="1"/>
      <c r="AV41" s="1"/>
    </row>
    <row r="42" spans="18:48">
      <c r="R42" s="1"/>
      <c r="S42" s="1"/>
      <c r="T42" s="275" t="s">
        <v>1754</v>
      </c>
      <c r="U42" s="44" t="b">
        <f>ISBLANK(TableauPokemonCapturé[[#This Row],[PokeID]])=FALSE</f>
        <v>0</v>
      </c>
      <c r="V42" s="1"/>
      <c r="W42" s="1"/>
      <c r="X42" s="43"/>
      <c r="Y42" s="275"/>
      <c r="Z42" s="44"/>
      <c r="AA42" s="1"/>
      <c r="AB42" s="43"/>
      <c r="AC42" s="44"/>
      <c r="AD42" s="43"/>
      <c r="AE42" s="275"/>
      <c r="AF42" s="275"/>
      <c r="AG42" s="44"/>
      <c r="AH42" s="43"/>
      <c r="AI42" s="275"/>
      <c r="AJ42" s="275"/>
      <c r="AK42" s="275"/>
      <c r="AL42" s="275"/>
      <c r="AM42" s="275"/>
      <c r="AN42" s="277"/>
      <c r="AO42" s="274"/>
      <c r="AP42" s="275"/>
      <c r="AQ42" s="275"/>
      <c r="AR42" s="275"/>
      <c r="AS42" s="275"/>
      <c r="AT42" s="44"/>
      <c r="AU42" s="1"/>
      <c r="AV42" s="1"/>
    </row>
    <row r="43" spans="18:48">
      <c r="R43" s="1"/>
      <c r="S43" s="1"/>
      <c r="T43" s="275" t="s">
        <v>1755</v>
      </c>
      <c r="U43" s="44" t="b">
        <f>ISBLANK(TableauPokemonCapturé[[#This Row],[PokeID]])=FALSE</f>
        <v>0</v>
      </c>
      <c r="V43" s="1"/>
      <c r="W43" s="1"/>
      <c r="X43" s="43"/>
      <c r="Y43" s="275"/>
      <c r="Z43" s="44"/>
      <c r="AA43" s="1"/>
      <c r="AB43" s="43"/>
      <c r="AC43" s="44"/>
      <c r="AD43" s="43"/>
      <c r="AE43" s="275"/>
      <c r="AF43" s="275"/>
      <c r="AG43" s="44"/>
      <c r="AH43" s="43"/>
      <c r="AI43" s="275"/>
      <c r="AJ43" s="275"/>
      <c r="AK43" s="275"/>
      <c r="AL43" s="275"/>
      <c r="AM43" s="275"/>
      <c r="AN43" s="277"/>
      <c r="AO43" s="274"/>
      <c r="AP43" s="275"/>
      <c r="AQ43" s="275"/>
      <c r="AR43" s="275"/>
      <c r="AS43" s="275"/>
      <c r="AT43" s="44"/>
      <c r="AU43" s="1"/>
      <c r="AV43" s="1"/>
    </row>
    <row r="44" spans="18:48">
      <c r="R44" s="1"/>
      <c r="S44" s="1"/>
      <c r="T44" s="275" t="s">
        <v>1756</v>
      </c>
      <c r="U44" s="44" t="b">
        <f>ISBLANK(TableauPokemonCapturé[[#This Row],[PokeID]])=FALSE</f>
        <v>0</v>
      </c>
      <c r="V44" s="1"/>
      <c r="W44" s="1"/>
      <c r="X44" s="43"/>
      <c r="Y44" s="275"/>
      <c r="Z44" s="44"/>
      <c r="AA44" s="1"/>
      <c r="AB44" s="43"/>
      <c r="AC44" s="44"/>
      <c r="AD44" s="43"/>
      <c r="AE44" s="275"/>
      <c r="AF44" s="275"/>
      <c r="AG44" s="44"/>
      <c r="AH44" s="43"/>
      <c r="AI44" s="275"/>
      <c r="AJ44" s="275"/>
      <c r="AK44" s="275"/>
      <c r="AL44" s="275"/>
      <c r="AM44" s="275"/>
      <c r="AN44" s="277"/>
      <c r="AO44" s="274"/>
      <c r="AP44" s="275"/>
      <c r="AQ44" s="275"/>
      <c r="AR44" s="275"/>
      <c r="AS44" s="275"/>
      <c r="AT44" s="44"/>
      <c r="AU44" s="1"/>
      <c r="AV44" s="1"/>
    </row>
    <row r="45" spans="18:48">
      <c r="R45" s="1"/>
      <c r="S45" s="1"/>
      <c r="T45" s="275" t="s">
        <v>1757</v>
      </c>
      <c r="U45" s="44" t="b">
        <f>ISBLANK(TableauPokemonCapturé[[#This Row],[PokeID]])=FALSE</f>
        <v>0</v>
      </c>
      <c r="V45" s="1"/>
      <c r="W45" s="1"/>
      <c r="X45" s="43"/>
      <c r="Y45" s="275"/>
      <c r="Z45" s="44"/>
      <c r="AA45" s="1"/>
      <c r="AB45" s="43"/>
      <c r="AC45" s="44"/>
      <c r="AD45" s="43"/>
      <c r="AE45" s="275"/>
      <c r="AF45" s="275"/>
      <c r="AG45" s="44"/>
      <c r="AH45" s="43"/>
      <c r="AI45" s="275"/>
      <c r="AJ45" s="275"/>
      <c r="AK45" s="275"/>
      <c r="AL45" s="275"/>
      <c r="AM45" s="275"/>
      <c r="AN45" s="277"/>
      <c r="AO45" s="274"/>
      <c r="AP45" s="275"/>
      <c r="AQ45" s="275"/>
      <c r="AR45" s="275"/>
      <c r="AS45" s="275"/>
      <c r="AT45" s="44"/>
      <c r="AU45" s="1"/>
      <c r="AV45" s="1"/>
    </row>
    <row r="46" spans="18:48">
      <c r="R46" s="1"/>
      <c r="S46" s="1"/>
      <c r="T46" s="275" t="s">
        <v>1758</v>
      </c>
      <c r="U46" s="44" t="b">
        <f>ISBLANK(TableauPokemonCapturé[[#This Row],[PokeID]])=FALSE</f>
        <v>0</v>
      </c>
      <c r="V46" s="1"/>
      <c r="W46" s="1"/>
      <c r="X46" s="43"/>
      <c r="Y46" s="275"/>
      <c r="Z46" s="44"/>
      <c r="AA46" s="1"/>
      <c r="AB46" s="43"/>
      <c r="AC46" s="44"/>
      <c r="AD46" s="43"/>
      <c r="AE46" s="275"/>
      <c r="AF46" s="275"/>
      <c r="AG46" s="44"/>
      <c r="AH46" s="43"/>
      <c r="AI46" s="275"/>
      <c r="AJ46" s="275"/>
      <c r="AK46" s="275"/>
      <c r="AL46" s="275"/>
      <c r="AM46" s="275"/>
      <c r="AN46" s="277"/>
      <c r="AO46" s="274"/>
      <c r="AP46" s="275"/>
      <c r="AQ46" s="275"/>
      <c r="AR46" s="275"/>
      <c r="AS46" s="275"/>
      <c r="AT46" s="44"/>
      <c r="AU46" s="1"/>
      <c r="AV46" s="1"/>
    </row>
    <row r="47" spans="18:48">
      <c r="R47" s="1"/>
      <c r="S47" s="1"/>
      <c r="T47" s="275" t="s">
        <v>1759</v>
      </c>
      <c r="U47" s="44" t="b">
        <f>ISBLANK(TableauPokemonCapturé[[#This Row],[PokeID]])=FALSE</f>
        <v>0</v>
      </c>
      <c r="V47" s="1"/>
      <c r="W47" s="1"/>
      <c r="X47" s="43"/>
      <c r="Y47" s="275"/>
      <c r="Z47" s="44"/>
      <c r="AA47" s="1"/>
      <c r="AB47" s="43"/>
      <c r="AC47" s="44"/>
      <c r="AD47" s="43"/>
      <c r="AE47" s="275"/>
      <c r="AF47" s="275"/>
      <c r="AG47" s="44"/>
      <c r="AH47" s="43"/>
      <c r="AI47" s="275"/>
      <c r="AJ47" s="275"/>
      <c r="AK47" s="275"/>
      <c r="AL47" s="275"/>
      <c r="AM47" s="275"/>
      <c r="AN47" s="277"/>
      <c r="AO47" s="274"/>
      <c r="AP47" s="275"/>
      <c r="AQ47" s="275"/>
      <c r="AR47" s="275"/>
      <c r="AS47" s="275"/>
      <c r="AT47" s="44"/>
      <c r="AU47" s="1"/>
      <c r="AV47" s="1"/>
    </row>
    <row r="48" spans="18:48">
      <c r="R48" s="1"/>
      <c r="S48" s="1"/>
      <c r="T48" s="275" t="s">
        <v>1760</v>
      </c>
      <c r="U48" s="44" t="b">
        <f>ISBLANK(TableauPokemonCapturé[[#This Row],[PokeID]])=FALSE</f>
        <v>0</v>
      </c>
      <c r="V48" s="1"/>
      <c r="W48" s="1"/>
      <c r="X48" s="43"/>
      <c r="Y48" s="275"/>
      <c r="Z48" s="44"/>
      <c r="AA48" s="1"/>
      <c r="AB48" s="43"/>
      <c r="AC48" s="44"/>
      <c r="AD48" s="43"/>
      <c r="AE48" s="275"/>
      <c r="AF48" s="275"/>
      <c r="AG48" s="44"/>
      <c r="AH48" s="43"/>
      <c r="AI48" s="275"/>
      <c r="AJ48" s="275"/>
      <c r="AK48" s="275"/>
      <c r="AL48" s="275"/>
      <c r="AM48" s="275"/>
      <c r="AN48" s="277"/>
      <c r="AO48" s="274"/>
      <c r="AP48" s="275"/>
      <c r="AQ48" s="275"/>
      <c r="AR48" s="275"/>
      <c r="AS48" s="275"/>
      <c r="AT48" s="44"/>
      <c r="AU48" s="1"/>
      <c r="AV48" s="1"/>
    </row>
    <row r="49" spans="18:48">
      <c r="R49" s="1"/>
      <c r="S49" s="1"/>
      <c r="T49" s="275" t="s">
        <v>1761</v>
      </c>
      <c r="U49" s="44" t="b">
        <f>ISBLANK(TableauPokemonCapturé[[#This Row],[PokeID]])=FALSE</f>
        <v>0</v>
      </c>
      <c r="V49" s="1"/>
      <c r="W49" s="1"/>
      <c r="X49" s="43"/>
      <c r="Y49" s="275"/>
      <c r="Z49" s="44"/>
      <c r="AA49" s="1"/>
      <c r="AB49" s="43"/>
      <c r="AC49" s="44"/>
      <c r="AD49" s="43"/>
      <c r="AE49" s="275"/>
      <c r="AF49" s="275"/>
      <c r="AG49" s="44"/>
      <c r="AH49" s="43"/>
      <c r="AI49" s="275"/>
      <c r="AJ49" s="275"/>
      <c r="AK49" s="275"/>
      <c r="AL49" s="275"/>
      <c r="AM49" s="275"/>
      <c r="AN49" s="277"/>
      <c r="AO49" s="274"/>
      <c r="AP49" s="275"/>
      <c r="AQ49" s="275"/>
      <c r="AR49" s="275"/>
      <c r="AS49" s="275"/>
      <c r="AT49" s="44"/>
      <c r="AU49" s="1"/>
      <c r="AV49" s="1"/>
    </row>
    <row r="50" spans="18:48">
      <c r="R50" s="1"/>
      <c r="S50" s="1"/>
      <c r="T50" s="275" t="s">
        <v>1762</v>
      </c>
      <c r="U50" s="44" t="b">
        <f>ISBLANK(TableauPokemonCapturé[[#This Row],[PokeID]])=FALSE</f>
        <v>0</v>
      </c>
      <c r="V50" s="1"/>
      <c r="W50" s="1"/>
      <c r="X50" s="43"/>
      <c r="Y50" s="275"/>
      <c r="Z50" s="44"/>
      <c r="AA50" s="1"/>
      <c r="AB50" s="43"/>
      <c r="AC50" s="44"/>
      <c r="AD50" s="43"/>
      <c r="AE50" s="275"/>
      <c r="AF50" s="275"/>
      <c r="AG50" s="44"/>
      <c r="AH50" s="43"/>
      <c r="AI50" s="275"/>
      <c r="AJ50" s="275"/>
      <c r="AK50" s="275"/>
      <c r="AL50" s="275"/>
      <c r="AM50" s="275"/>
      <c r="AN50" s="277"/>
      <c r="AO50" s="274"/>
      <c r="AP50" s="275"/>
      <c r="AQ50" s="275"/>
      <c r="AR50" s="275"/>
      <c r="AS50" s="275"/>
      <c r="AT50" s="44"/>
      <c r="AU50" s="1"/>
      <c r="AV50" s="1"/>
    </row>
    <row r="51" spans="18:48">
      <c r="R51" s="1"/>
      <c r="S51" s="1"/>
      <c r="T51" s="275" t="s">
        <v>1763</v>
      </c>
      <c r="U51" s="44" t="b">
        <f>ISBLANK(TableauPokemonCapturé[[#This Row],[PokeID]])=FALSE</f>
        <v>0</v>
      </c>
      <c r="V51" s="1"/>
      <c r="W51" s="1"/>
      <c r="X51" s="43"/>
      <c r="Y51" s="275"/>
      <c r="Z51" s="44"/>
      <c r="AA51" s="1"/>
      <c r="AB51" s="43"/>
      <c r="AC51" s="44"/>
      <c r="AD51" s="43"/>
      <c r="AE51" s="275"/>
      <c r="AF51" s="275"/>
      <c r="AG51" s="44"/>
      <c r="AH51" s="43"/>
      <c r="AI51" s="275"/>
      <c r="AJ51" s="275"/>
      <c r="AK51" s="275"/>
      <c r="AL51" s="275"/>
      <c r="AM51" s="275"/>
      <c r="AN51" s="277"/>
      <c r="AO51" s="274"/>
      <c r="AP51" s="275"/>
      <c r="AQ51" s="275"/>
      <c r="AR51" s="275"/>
      <c r="AS51" s="275"/>
      <c r="AT51" s="44"/>
      <c r="AU51" s="1"/>
      <c r="AV51" s="1"/>
    </row>
    <row r="52" spans="18:48">
      <c r="R52" s="1"/>
      <c r="S52" s="1"/>
      <c r="T52" s="275" t="s">
        <v>1764</v>
      </c>
      <c r="U52" s="44" t="b">
        <f>ISBLANK(TableauPokemonCapturé[[#This Row],[PokeID]])=FALSE</f>
        <v>0</v>
      </c>
      <c r="V52" s="1"/>
      <c r="W52" s="1"/>
      <c r="X52" s="43"/>
      <c r="Y52" s="275"/>
      <c r="Z52" s="44"/>
      <c r="AA52" s="1"/>
      <c r="AB52" s="43"/>
      <c r="AC52" s="44"/>
      <c r="AD52" s="43"/>
      <c r="AE52" s="275"/>
      <c r="AF52" s="275"/>
      <c r="AG52" s="44"/>
      <c r="AH52" s="43"/>
      <c r="AI52" s="275"/>
      <c r="AJ52" s="275"/>
      <c r="AK52" s="275"/>
      <c r="AL52" s="275"/>
      <c r="AM52" s="275"/>
      <c r="AN52" s="277"/>
      <c r="AO52" s="274"/>
      <c r="AP52" s="275"/>
      <c r="AQ52" s="275"/>
      <c r="AR52" s="275"/>
      <c r="AS52" s="275"/>
      <c r="AT52" s="44"/>
      <c r="AU52" s="1"/>
      <c r="AV52" s="1"/>
    </row>
    <row r="53" spans="18:48">
      <c r="R53" s="1"/>
      <c r="S53" s="1"/>
      <c r="T53" s="275" t="s">
        <v>1765</v>
      </c>
      <c r="U53" s="44" t="b">
        <f>ISBLANK(TableauPokemonCapturé[[#This Row],[PokeID]])=FALSE</f>
        <v>0</v>
      </c>
      <c r="V53" s="1"/>
      <c r="W53" s="1"/>
      <c r="X53" s="43"/>
      <c r="Y53" s="275"/>
      <c r="Z53" s="44"/>
      <c r="AA53" s="1"/>
      <c r="AB53" s="43"/>
      <c r="AC53" s="44"/>
      <c r="AD53" s="43"/>
      <c r="AE53" s="275"/>
      <c r="AF53" s="275"/>
      <c r="AG53" s="44"/>
      <c r="AH53" s="43"/>
      <c r="AI53" s="275"/>
      <c r="AJ53" s="275"/>
      <c r="AK53" s="275"/>
      <c r="AL53" s="275"/>
      <c r="AM53" s="275"/>
      <c r="AN53" s="277"/>
      <c r="AO53" s="274"/>
      <c r="AP53" s="275"/>
      <c r="AQ53" s="275"/>
      <c r="AR53" s="275"/>
      <c r="AS53" s="275"/>
      <c r="AT53" s="44"/>
      <c r="AU53" s="1"/>
      <c r="AV53" s="1"/>
    </row>
    <row r="54" spans="18:48">
      <c r="R54" s="1"/>
      <c r="S54" s="1"/>
      <c r="T54" s="275" t="s">
        <v>1766</v>
      </c>
      <c r="U54" s="44" t="b">
        <f>ISBLANK(TableauPokemonCapturé[[#This Row],[PokeID]])=FALSE</f>
        <v>0</v>
      </c>
      <c r="V54" s="1"/>
      <c r="W54" s="1"/>
      <c r="X54" s="43"/>
      <c r="Y54" s="275"/>
      <c r="Z54" s="44"/>
      <c r="AA54" s="1"/>
      <c r="AB54" s="43"/>
      <c r="AC54" s="44"/>
      <c r="AD54" s="43"/>
      <c r="AE54" s="275"/>
      <c r="AF54" s="275"/>
      <c r="AG54" s="44"/>
      <c r="AH54" s="43"/>
      <c r="AI54" s="275"/>
      <c r="AJ54" s="275"/>
      <c r="AK54" s="275"/>
      <c r="AL54" s="275"/>
      <c r="AM54" s="275"/>
      <c r="AN54" s="277"/>
      <c r="AO54" s="274"/>
      <c r="AP54" s="275"/>
      <c r="AQ54" s="275"/>
      <c r="AR54" s="275"/>
      <c r="AS54" s="275"/>
      <c r="AT54" s="44"/>
      <c r="AU54" s="1"/>
      <c r="AV54" s="1"/>
    </row>
    <row r="55" spans="18:48">
      <c r="R55" s="1"/>
      <c r="S55" s="1"/>
      <c r="T55" s="275" t="s">
        <v>1767</v>
      </c>
      <c r="U55" s="44" t="b">
        <f>ISBLANK(TableauPokemonCapturé[[#This Row],[PokeID]])=FALSE</f>
        <v>0</v>
      </c>
      <c r="V55" s="1"/>
      <c r="W55" s="1"/>
      <c r="X55" s="43"/>
      <c r="Y55" s="275"/>
      <c r="Z55" s="44"/>
      <c r="AA55" s="1"/>
      <c r="AB55" s="43"/>
      <c r="AC55" s="44"/>
      <c r="AD55" s="43"/>
      <c r="AE55" s="275"/>
      <c r="AF55" s="275"/>
      <c r="AG55" s="44"/>
      <c r="AH55" s="43"/>
      <c r="AI55" s="275"/>
      <c r="AJ55" s="275"/>
      <c r="AK55" s="275"/>
      <c r="AL55" s="275"/>
      <c r="AM55" s="275"/>
      <c r="AN55" s="277"/>
      <c r="AO55" s="274"/>
      <c r="AP55" s="275"/>
      <c r="AQ55" s="275"/>
      <c r="AR55" s="275"/>
      <c r="AS55" s="275"/>
      <c r="AT55" s="44"/>
      <c r="AU55" s="1"/>
      <c r="AV55" s="1"/>
    </row>
    <row r="56" spans="18:48">
      <c r="R56" s="1"/>
      <c r="S56" s="1"/>
      <c r="T56" s="275" t="s">
        <v>1768</v>
      </c>
      <c r="U56" s="44" t="b">
        <f>ISBLANK(TableauPokemonCapturé[[#This Row],[PokeID]])=FALSE</f>
        <v>0</v>
      </c>
      <c r="V56" s="1"/>
      <c r="W56" s="1"/>
      <c r="X56" s="43"/>
      <c r="Y56" s="275"/>
      <c r="Z56" s="44"/>
      <c r="AA56" s="1"/>
      <c r="AB56" s="43"/>
      <c r="AC56" s="44"/>
      <c r="AD56" s="43"/>
      <c r="AE56" s="275"/>
      <c r="AF56" s="275"/>
      <c r="AG56" s="44"/>
      <c r="AH56" s="43"/>
      <c r="AI56" s="275"/>
      <c r="AJ56" s="275"/>
      <c r="AK56" s="275"/>
      <c r="AL56" s="275"/>
      <c r="AM56" s="275"/>
      <c r="AN56" s="277"/>
      <c r="AO56" s="274"/>
      <c r="AP56" s="275"/>
      <c r="AQ56" s="275"/>
      <c r="AR56" s="275"/>
      <c r="AS56" s="275"/>
      <c r="AT56" s="44"/>
      <c r="AU56" s="1"/>
      <c r="AV56" s="1"/>
    </row>
    <row r="57" spans="18:48">
      <c r="R57" s="1"/>
      <c r="S57" s="1"/>
      <c r="T57" s="275" t="s">
        <v>1769</v>
      </c>
      <c r="U57" s="44" t="b">
        <f>ISBLANK(TableauPokemonCapturé[[#This Row],[PokeID]])=FALSE</f>
        <v>0</v>
      </c>
      <c r="V57" s="1"/>
      <c r="W57" s="1"/>
      <c r="X57" s="43"/>
      <c r="Y57" s="275"/>
      <c r="Z57" s="44"/>
      <c r="AA57" s="1"/>
      <c r="AB57" s="43"/>
      <c r="AC57" s="44"/>
      <c r="AD57" s="43"/>
      <c r="AE57" s="275"/>
      <c r="AF57" s="275"/>
      <c r="AG57" s="44"/>
      <c r="AH57" s="43"/>
      <c r="AI57" s="275"/>
      <c r="AJ57" s="275"/>
      <c r="AK57" s="275"/>
      <c r="AL57" s="275"/>
      <c r="AM57" s="275"/>
      <c r="AN57" s="277"/>
      <c r="AO57" s="274"/>
      <c r="AP57" s="275"/>
      <c r="AQ57" s="275"/>
      <c r="AR57" s="275"/>
      <c r="AS57" s="275"/>
      <c r="AT57" s="44"/>
      <c r="AU57" s="1"/>
      <c r="AV57" s="1"/>
    </row>
    <row r="58" spans="18:48">
      <c r="R58" s="1"/>
      <c r="S58" s="1"/>
      <c r="T58" s="275" t="s">
        <v>1770</v>
      </c>
      <c r="U58" s="44" t="b">
        <f>ISBLANK(TableauPokemonCapturé[[#This Row],[PokeID]])=FALSE</f>
        <v>0</v>
      </c>
      <c r="V58" s="1"/>
      <c r="W58" s="1"/>
      <c r="X58" s="43"/>
      <c r="Y58" s="275"/>
      <c r="Z58" s="44"/>
      <c r="AA58" s="1"/>
      <c r="AB58" s="43"/>
      <c r="AC58" s="44"/>
      <c r="AD58" s="43"/>
      <c r="AE58" s="275"/>
      <c r="AF58" s="275"/>
      <c r="AG58" s="44"/>
      <c r="AH58" s="43"/>
      <c r="AI58" s="275"/>
      <c r="AJ58" s="275"/>
      <c r="AK58" s="275"/>
      <c r="AL58" s="275"/>
      <c r="AM58" s="275"/>
      <c r="AN58" s="277"/>
      <c r="AO58" s="274"/>
      <c r="AP58" s="275"/>
      <c r="AQ58" s="275"/>
      <c r="AR58" s="275"/>
      <c r="AS58" s="275"/>
      <c r="AT58" s="44"/>
      <c r="AU58" s="1"/>
      <c r="AV58" s="1"/>
    </row>
    <row r="59" spans="18:48">
      <c r="R59" s="1"/>
      <c r="S59" s="1"/>
      <c r="T59" s="275" t="s">
        <v>1771</v>
      </c>
      <c r="U59" s="44" t="b">
        <f>ISBLANK(TableauPokemonCapturé[[#This Row],[PokeID]])=FALSE</f>
        <v>0</v>
      </c>
      <c r="V59" s="1"/>
      <c r="W59" s="1"/>
      <c r="X59" s="43"/>
      <c r="Y59" s="275"/>
      <c r="Z59" s="44"/>
      <c r="AA59" s="1"/>
      <c r="AB59" s="43"/>
      <c r="AC59" s="44"/>
      <c r="AD59" s="43"/>
      <c r="AE59" s="275"/>
      <c r="AF59" s="275"/>
      <c r="AG59" s="44"/>
      <c r="AH59" s="43"/>
      <c r="AI59" s="275"/>
      <c r="AJ59" s="275"/>
      <c r="AK59" s="275"/>
      <c r="AL59" s="275"/>
      <c r="AM59" s="275"/>
      <c r="AN59" s="277"/>
      <c r="AO59" s="274"/>
      <c r="AP59" s="275"/>
      <c r="AQ59" s="275"/>
      <c r="AR59" s="275"/>
      <c r="AS59" s="275"/>
      <c r="AT59" s="44"/>
      <c r="AU59" s="1"/>
      <c r="AV59" s="1"/>
    </row>
    <row r="60" spans="18:48">
      <c r="R60" s="1"/>
      <c r="S60" s="1"/>
      <c r="T60" s="275" t="s">
        <v>1772</v>
      </c>
      <c r="U60" s="44" t="b">
        <f>ISBLANK(TableauPokemonCapturé[[#This Row],[PokeID]])=FALSE</f>
        <v>0</v>
      </c>
      <c r="V60" s="1"/>
      <c r="W60" s="1"/>
      <c r="X60" s="43"/>
      <c r="Y60" s="275"/>
      <c r="Z60" s="44"/>
      <c r="AA60" s="1"/>
      <c r="AB60" s="43"/>
      <c r="AC60" s="44"/>
      <c r="AD60" s="43"/>
      <c r="AE60" s="275"/>
      <c r="AF60" s="275"/>
      <c r="AG60" s="44"/>
      <c r="AH60" s="43"/>
      <c r="AI60" s="275"/>
      <c r="AJ60" s="275"/>
      <c r="AK60" s="275"/>
      <c r="AL60" s="275"/>
      <c r="AM60" s="275"/>
      <c r="AN60" s="277"/>
      <c r="AO60" s="274"/>
      <c r="AP60" s="275"/>
      <c r="AQ60" s="275"/>
      <c r="AR60" s="275"/>
      <c r="AS60" s="275"/>
      <c r="AT60" s="44"/>
      <c r="AU60" s="1"/>
      <c r="AV60" s="1"/>
    </row>
    <row r="61" spans="18:48">
      <c r="R61" s="1"/>
      <c r="S61" s="1"/>
      <c r="T61" s="275" t="s">
        <v>1773</v>
      </c>
      <c r="U61" s="44" t="b">
        <f>ISBLANK(TableauPokemonCapturé[[#This Row],[PokeID]])=FALSE</f>
        <v>0</v>
      </c>
      <c r="V61" s="1"/>
      <c r="W61" s="1"/>
      <c r="X61" s="43"/>
      <c r="Y61" s="275"/>
      <c r="Z61" s="44"/>
      <c r="AA61" s="1"/>
      <c r="AB61" s="43"/>
      <c r="AC61" s="44"/>
      <c r="AD61" s="43"/>
      <c r="AE61" s="275"/>
      <c r="AF61" s="275"/>
      <c r="AG61" s="44"/>
      <c r="AH61" s="43"/>
      <c r="AI61" s="275"/>
      <c r="AJ61" s="275"/>
      <c r="AK61" s="275"/>
      <c r="AL61" s="275"/>
      <c r="AM61" s="275"/>
      <c r="AN61" s="277"/>
      <c r="AO61" s="274"/>
      <c r="AP61" s="275"/>
      <c r="AQ61" s="275"/>
      <c r="AR61" s="275"/>
      <c r="AS61" s="275"/>
      <c r="AT61" s="44"/>
      <c r="AU61" s="1"/>
      <c r="AV61" s="1"/>
    </row>
    <row r="62" spans="18:48">
      <c r="R62" s="1"/>
      <c r="S62" s="1"/>
      <c r="T62" s="275" t="s">
        <v>1774</v>
      </c>
      <c r="U62" s="44" t="b">
        <f>ISBLANK(TableauPokemonCapturé[[#This Row],[PokeID]])=FALSE</f>
        <v>0</v>
      </c>
      <c r="V62" s="1"/>
      <c r="W62" s="1"/>
      <c r="X62" s="43"/>
      <c r="Y62" s="275"/>
      <c r="Z62" s="44"/>
      <c r="AA62" s="1"/>
      <c r="AB62" s="43"/>
      <c r="AC62" s="44"/>
      <c r="AD62" s="43"/>
      <c r="AE62" s="275"/>
      <c r="AF62" s="275"/>
      <c r="AG62" s="44"/>
      <c r="AH62" s="43"/>
      <c r="AI62" s="275"/>
      <c r="AJ62" s="275"/>
      <c r="AK62" s="275"/>
      <c r="AL62" s="275"/>
      <c r="AM62" s="275"/>
      <c r="AN62" s="277"/>
      <c r="AO62" s="274"/>
      <c r="AP62" s="275"/>
      <c r="AQ62" s="275"/>
      <c r="AR62" s="275"/>
      <c r="AS62" s="275"/>
      <c r="AT62" s="44"/>
      <c r="AU62" s="1"/>
      <c r="AV62" s="1"/>
    </row>
    <row r="63" spans="18:48">
      <c r="R63" s="1"/>
      <c r="S63" s="1"/>
      <c r="T63" s="275" t="s">
        <v>1775</v>
      </c>
      <c r="U63" s="44" t="b">
        <f>ISBLANK(TableauPokemonCapturé[[#This Row],[PokeID]])=FALSE</f>
        <v>0</v>
      </c>
      <c r="V63" s="1"/>
      <c r="W63" s="1"/>
      <c r="X63" s="43"/>
      <c r="Y63" s="275"/>
      <c r="Z63" s="44"/>
      <c r="AA63" s="1"/>
      <c r="AB63" s="43"/>
      <c r="AC63" s="44"/>
      <c r="AD63" s="43"/>
      <c r="AE63" s="275"/>
      <c r="AF63" s="275"/>
      <c r="AG63" s="44"/>
      <c r="AH63" s="43"/>
      <c r="AI63" s="275"/>
      <c r="AJ63" s="275"/>
      <c r="AK63" s="275"/>
      <c r="AL63" s="275"/>
      <c r="AM63" s="275"/>
      <c r="AN63" s="277"/>
      <c r="AO63" s="274"/>
      <c r="AP63" s="275"/>
      <c r="AQ63" s="275"/>
      <c r="AR63" s="275"/>
      <c r="AS63" s="275"/>
      <c r="AT63" s="44"/>
      <c r="AU63" s="1"/>
      <c r="AV63" s="1"/>
    </row>
    <row r="64" spans="18:48">
      <c r="R64" s="1"/>
      <c r="S64" s="1"/>
      <c r="T64" s="275" t="s">
        <v>1776</v>
      </c>
      <c r="U64" s="44" t="b">
        <f>ISBLANK(TableauPokemonCapturé[[#This Row],[PokeID]])=FALSE</f>
        <v>0</v>
      </c>
      <c r="V64" s="1"/>
      <c r="W64" s="1"/>
      <c r="X64" s="43"/>
      <c r="Y64" s="275"/>
      <c r="Z64" s="44"/>
      <c r="AA64" s="1"/>
      <c r="AB64" s="43"/>
      <c r="AC64" s="44"/>
      <c r="AD64" s="43"/>
      <c r="AE64" s="275"/>
      <c r="AF64" s="275"/>
      <c r="AG64" s="44"/>
      <c r="AH64" s="43"/>
      <c r="AI64" s="275"/>
      <c r="AJ64" s="275"/>
      <c r="AK64" s="275"/>
      <c r="AL64" s="275"/>
      <c r="AM64" s="275"/>
      <c r="AN64" s="277"/>
      <c r="AO64" s="274"/>
      <c r="AP64" s="275"/>
      <c r="AQ64" s="275"/>
      <c r="AR64" s="275"/>
      <c r="AS64" s="275"/>
      <c r="AT64" s="44"/>
      <c r="AU64" s="1"/>
      <c r="AV64" s="1"/>
    </row>
    <row r="65" spans="18:48">
      <c r="R65" s="1"/>
      <c r="S65" s="1"/>
      <c r="T65" s="275" t="s">
        <v>1777</v>
      </c>
      <c r="U65" s="44" t="b">
        <f>ISBLANK(TableauPokemonCapturé[[#This Row],[PokeID]])=FALSE</f>
        <v>0</v>
      </c>
      <c r="V65" s="1"/>
      <c r="W65" s="1"/>
      <c r="X65" s="43"/>
      <c r="Y65" s="275"/>
      <c r="Z65" s="44"/>
      <c r="AA65" s="1"/>
      <c r="AB65" s="43"/>
      <c r="AC65" s="44"/>
      <c r="AD65" s="43"/>
      <c r="AE65" s="275"/>
      <c r="AF65" s="275"/>
      <c r="AG65" s="44"/>
      <c r="AH65" s="43"/>
      <c r="AI65" s="275"/>
      <c r="AJ65" s="275"/>
      <c r="AK65" s="275"/>
      <c r="AL65" s="275"/>
      <c r="AM65" s="275"/>
      <c r="AN65" s="277"/>
      <c r="AO65" s="274"/>
      <c r="AP65" s="275"/>
      <c r="AQ65" s="275"/>
      <c r="AR65" s="275"/>
      <c r="AS65" s="275"/>
      <c r="AT65" s="44"/>
      <c r="AU65" s="1"/>
      <c r="AV65" s="1"/>
    </row>
    <row r="66" spans="18:48">
      <c r="R66" s="1"/>
      <c r="S66" s="1"/>
      <c r="T66" s="275" t="s">
        <v>1778</v>
      </c>
      <c r="U66" s="44" t="b">
        <f>ISBLANK(TableauPokemonCapturé[[#This Row],[PokeID]])=FALSE</f>
        <v>0</v>
      </c>
      <c r="V66" s="1"/>
      <c r="W66" s="1"/>
      <c r="X66" s="43"/>
      <c r="Y66" s="275"/>
      <c r="Z66" s="44"/>
      <c r="AA66" s="1"/>
      <c r="AB66" s="43"/>
      <c r="AC66" s="44"/>
      <c r="AD66" s="43"/>
      <c r="AE66" s="275"/>
      <c r="AF66" s="275"/>
      <c r="AG66" s="44"/>
      <c r="AH66" s="43"/>
      <c r="AI66" s="275"/>
      <c r="AJ66" s="275"/>
      <c r="AK66" s="275"/>
      <c r="AL66" s="275"/>
      <c r="AM66" s="275"/>
      <c r="AN66" s="277"/>
      <c r="AO66" s="274"/>
      <c r="AP66" s="275"/>
      <c r="AQ66" s="275"/>
      <c r="AR66" s="275"/>
      <c r="AS66" s="275"/>
      <c r="AT66" s="44"/>
      <c r="AU66" s="1"/>
      <c r="AV66" s="1"/>
    </row>
    <row r="67" spans="18:48">
      <c r="R67" s="1"/>
      <c r="S67" s="1"/>
      <c r="T67" s="275" t="s">
        <v>1779</v>
      </c>
      <c r="U67" s="44" t="b">
        <f>ISBLANK(TableauPokemonCapturé[[#This Row],[PokeID]])=FALSE</f>
        <v>0</v>
      </c>
      <c r="V67" s="1"/>
      <c r="W67" s="1"/>
      <c r="X67" s="43"/>
      <c r="Y67" s="275"/>
      <c r="Z67" s="44"/>
      <c r="AA67" s="1"/>
      <c r="AB67" s="43"/>
      <c r="AC67" s="44"/>
      <c r="AD67" s="43"/>
      <c r="AE67" s="275"/>
      <c r="AF67" s="275"/>
      <c r="AG67" s="44"/>
      <c r="AH67" s="43"/>
      <c r="AI67" s="275"/>
      <c r="AJ67" s="275"/>
      <c r="AK67" s="275"/>
      <c r="AL67" s="275"/>
      <c r="AM67" s="275"/>
      <c r="AN67" s="277"/>
      <c r="AO67" s="274"/>
      <c r="AP67" s="275"/>
      <c r="AQ67" s="275"/>
      <c r="AR67" s="275"/>
      <c r="AS67" s="275"/>
      <c r="AT67" s="44"/>
      <c r="AU67" s="1"/>
      <c r="AV67" s="1"/>
    </row>
    <row r="68" spans="18:48">
      <c r="R68" s="1"/>
      <c r="S68" s="1"/>
      <c r="T68" s="275" t="s">
        <v>1780</v>
      </c>
      <c r="U68" s="44" t="b">
        <f>ISBLANK(TableauPokemonCapturé[[#This Row],[PokeID]])=FALSE</f>
        <v>0</v>
      </c>
      <c r="V68" s="1"/>
      <c r="W68" s="1"/>
      <c r="X68" s="43"/>
      <c r="Y68" s="275"/>
      <c r="Z68" s="44"/>
      <c r="AA68" s="1"/>
      <c r="AB68" s="43"/>
      <c r="AC68" s="44"/>
      <c r="AD68" s="43"/>
      <c r="AE68" s="275"/>
      <c r="AF68" s="275"/>
      <c r="AG68" s="44"/>
      <c r="AH68" s="43"/>
      <c r="AI68" s="275"/>
      <c r="AJ68" s="275"/>
      <c r="AK68" s="275"/>
      <c r="AL68" s="275"/>
      <c r="AM68" s="275"/>
      <c r="AN68" s="277"/>
      <c r="AO68" s="274"/>
      <c r="AP68" s="275"/>
      <c r="AQ68" s="275"/>
      <c r="AR68" s="275"/>
      <c r="AS68" s="275"/>
      <c r="AT68" s="44"/>
      <c r="AU68" s="1"/>
      <c r="AV68" s="1"/>
    </row>
    <row r="69" spans="18:48">
      <c r="R69" s="1"/>
      <c r="S69" s="1"/>
      <c r="T69" s="275" t="s">
        <v>1781</v>
      </c>
      <c r="U69" s="44" t="b">
        <f>ISBLANK(TableauPokemonCapturé[[#This Row],[PokeID]])=FALSE</f>
        <v>0</v>
      </c>
      <c r="V69" s="1"/>
      <c r="W69" s="1"/>
      <c r="X69" s="43"/>
      <c r="Y69" s="275"/>
      <c r="Z69" s="44"/>
      <c r="AA69" s="1"/>
      <c r="AB69" s="43"/>
      <c r="AC69" s="44"/>
      <c r="AD69" s="43"/>
      <c r="AE69" s="275"/>
      <c r="AF69" s="275"/>
      <c r="AG69" s="44"/>
      <c r="AH69" s="43"/>
      <c r="AI69" s="275"/>
      <c r="AJ69" s="275"/>
      <c r="AK69" s="275"/>
      <c r="AL69" s="275"/>
      <c r="AM69" s="275"/>
      <c r="AN69" s="277"/>
      <c r="AO69" s="274"/>
      <c r="AP69" s="275"/>
      <c r="AQ69" s="275"/>
      <c r="AR69" s="275"/>
      <c r="AS69" s="275"/>
      <c r="AT69" s="44"/>
      <c r="AU69" s="1"/>
      <c r="AV69" s="1"/>
    </row>
    <row r="70" spans="18:48">
      <c r="R70" s="1"/>
      <c r="S70" s="1"/>
      <c r="T70" s="275" t="s">
        <v>1782</v>
      </c>
      <c r="U70" s="44" t="b">
        <f>ISBLANK(TableauPokemonCapturé[[#This Row],[PokeID]])=FALSE</f>
        <v>0</v>
      </c>
      <c r="V70" s="1"/>
      <c r="W70" s="1"/>
      <c r="X70" s="43"/>
      <c r="Y70" s="275"/>
      <c r="Z70" s="44"/>
      <c r="AA70" s="1"/>
      <c r="AB70" s="43"/>
      <c r="AC70" s="44"/>
      <c r="AD70" s="43"/>
      <c r="AE70" s="275"/>
      <c r="AF70" s="275"/>
      <c r="AG70" s="44"/>
      <c r="AH70" s="43"/>
      <c r="AI70" s="275"/>
      <c r="AJ70" s="275"/>
      <c r="AK70" s="275"/>
      <c r="AL70" s="275"/>
      <c r="AM70" s="275"/>
      <c r="AN70" s="277"/>
      <c r="AO70" s="274"/>
      <c r="AP70" s="275"/>
      <c r="AQ70" s="275"/>
      <c r="AR70" s="275"/>
      <c r="AS70" s="275"/>
      <c r="AT70" s="44"/>
      <c r="AU70" s="1"/>
      <c r="AV70" s="1"/>
    </row>
    <row r="71" spans="18:48">
      <c r="R71" s="1"/>
      <c r="S71" s="1"/>
      <c r="T71" s="275" t="s">
        <v>1783</v>
      </c>
      <c r="U71" s="44" t="b">
        <f>ISBLANK(TableauPokemonCapturé[[#This Row],[PokeID]])=FALSE</f>
        <v>0</v>
      </c>
      <c r="V71" s="1"/>
      <c r="W71" s="1"/>
      <c r="X71" s="43"/>
      <c r="Y71" s="275"/>
      <c r="Z71" s="44"/>
      <c r="AA71" s="1"/>
      <c r="AB71" s="43"/>
      <c r="AC71" s="44"/>
      <c r="AD71" s="43"/>
      <c r="AE71" s="275"/>
      <c r="AF71" s="275"/>
      <c r="AG71" s="44"/>
      <c r="AH71" s="43"/>
      <c r="AI71" s="275"/>
      <c r="AJ71" s="275"/>
      <c r="AK71" s="275"/>
      <c r="AL71" s="275"/>
      <c r="AM71" s="275"/>
      <c r="AN71" s="277"/>
      <c r="AO71" s="274"/>
      <c r="AP71" s="275"/>
      <c r="AQ71" s="275"/>
      <c r="AR71" s="275"/>
      <c r="AS71" s="275"/>
      <c r="AT71" s="44"/>
      <c r="AU71" s="1"/>
      <c r="AV71" s="1"/>
    </row>
    <row r="72" spans="18:48">
      <c r="R72" s="1"/>
      <c r="S72" s="1"/>
      <c r="T72" s="275" t="s">
        <v>1784</v>
      </c>
      <c r="U72" s="44" t="b">
        <f>ISBLANK(TableauPokemonCapturé[[#This Row],[PokeID]])=FALSE</f>
        <v>0</v>
      </c>
      <c r="V72" s="1"/>
      <c r="W72" s="1"/>
      <c r="X72" s="43"/>
      <c r="Y72" s="275"/>
      <c r="Z72" s="44"/>
      <c r="AA72" s="1"/>
      <c r="AB72" s="43"/>
      <c r="AC72" s="44"/>
      <c r="AD72" s="43"/>
      <c r="AE72" s="275"/>
      <c r="AF72" s="275"/>
      <c r="AG72" s="44"/>
      <c r="AH72" s="43"/>
      <c r="AI72" s="275"/>
      <c r="AJ72" s="275"/>
      <c r="AK72" s="275"/>
      <c r="AL72" s="275"/>
      <c r="AM72" s="275"/>
      <c r="AN72" s="277"/>
      <c r="AO72" s="274"/>
      <c r="AP72" s="275"/>
      <c r="AQ72" s="275"/>
      <c r="AR72" s="275"/>
      <c r="AS72" s="275"/>
      <c r="AT72" s="44"/>
      <c r="AU72" s="1"/>
      <c r="AV72" s="1"/>
    </row>
    <row r="73" spans="18:48">
      <c r="R73" s="1"/>
      <c r="S73" s="1"/>
      <c r="T73" s="275" t="s">
        <v>1785</v>
      </c>
      <c r="U73" s="44" t="b">
        <f>ISBLANK(TableauPokemonCapturé[[#This Row],[PokeID]])=FALSE</f>
        <v>0</v>
      </c>
      <c r="V73" s="1"/>
      <c r="W73" s="1"/>
      <c r="X73" s="43"/>
      <c r="Y73" s="275"/>
      <c r="Z73" s="44"/>
      <c r="AA73" s="1"/>
      <c r="AB73" s="43"/>
      <c r="AC73" s="44"/>
      <c r="AD73" s="43"/>
      <c r="AE73" s="275"/>
      <c r="AF73" s="275"/>
      <c r="AG73" s="44"/>
      <c r="AH73" s="43"/>
      <c r="AI73" s="275"/>
      <c r="AJ73" s="275"/>
      <c r="AK73" s="275"/>
      <c r="AL73" s="275"/>
      <c r="AM73" s="275"/>
      <c r="AN73" s="277"/>
      <c r="AO73" s="274"/>
      <c r="AP73" s="275"/>
      <c r="AQ73" s="275"/>
      <c r="AR73" s="275"/>
      <c r="AS73" s="275"/>
      <c r="AT73" s="44"/>
      <c r="AU73" s="1"/>
      <c r="AV73" s="1"/>
    </row>
    <row r="74" spans="18:48">
      <c r="R74" s="1"/>
      <c r="S74" s="1"/>
      <c r="T74" s="275" t="s">
        <v>1786</v>
      </c>
      <c r="U74" s="44" t="b">
        <f>ISBLANK(TableauPokemonCapturé[[#This Row],[PokeID]])=FALSE</f>
        <v>0</v>
      </c>
      <c r="V74" s="1"/>
      <c r="W74" s="1"/>
      <c r="X74" s="43"/>
      <c r="Y74" s="275"/>
      <c r="Z74" s="44"/>
      <c r="AA74" s="1"/>
      <c r="AB74" s="43"/>
      <c r="AC74" s="44"/>
      <c r="AD74" s="43"/>
      <c r="AE74" s="275"/>
      <c r="AF74" s="275"/>
      <c r="AG74" s="44"/>
      <c r="AH74" s="43"/>
      <c r="AI74" s="275"/>
      <c r="AJ74" s="275"/>
      <c r="AK74" s="275"/>
      <c r="AL74" s="275"/>
      <c r="AM74" s="275"/>
      <c r="AN74" s="277"/>
      <c r="AO74" s="274"/>
      <c r="AP74" s="275"/>
      <c r="AQ74" s="275"/>
      <c r="AR74" s="275"/>
      <c r="AS74" s="275"/>
      <c r="AT74" s="44"/>
      <c r="AU74" s="1"/>
      <c r="AV74" s="1"/>
    </row>
    <row r="75" spans="18:48">
      <c r="R75" s="1"/>
      <c r="S75" s="1"/>
      <c r="T75" s="275" t="s">
        <v>1787</v>
      </c>
      <c r="U75" s="44" t="b">
        <f>ISBLANK(TableauPokemonCapturé[[#This Row],[PokeID]])=FALSE</f>
        <v>0</v>
      </c>
      <c r="V75" s="1"/>
      <c r="W75" s="1"/>
      <c r="X75" s="43"/>
      <c r="Y75" s="275"/>
      <c r="Z75" s="44"/>
      <c r="AA75" s="1"/>
      <c r="AB75" s="43"/>
      <c r="AC75" s="44"/>
      <c r="AD75" s="43"/>
      <c r="AE75" s="275"/>
      <c r="AF75" s="275"/>
      <c r="AG75" s="44"/>
      <c r="AH75" s="43"/>
      <c r="AI75" s="275"/>
      <c r="AJ75" s="275"/>
      <c r="AK75" s="275"/>
      <c r="AL75" s="275"/>
      <c r="AM75" s="275"/>
      <c r="AN75" s="277"/>
      <c r="AO75" s="274"/>
      <c r="AP75" s="275"/>
      <c r="AQ75" s="275"/>
      <c r="AR75" s="275"/>
      <c r="AS75" s="275"/>
      <c r="AT75" s="44"/>
      <c r="AU75" s="1"/>
      <c r="AV75" s="1"/>
    </row>
    <row r="76" spans="18:48">
      <c r="R76" s="1"/>
      <c r="S76" s="1"/>
      <c r="T76" s="275" t="s">
        <v>1788</v>
      </c>
      <c r="U76" s="44" t="b">
        <f>ISBLANK(TableauPokemonCapturé[[#This Row],[PokeID]])=FALSE</f>
        <v>0</v>
      </c>
      <c r="V76" s="1"/>
      <c r="W76" s="1"/>
      <c r="X76" s="43"/>
      <c r="Y76" s="275"/>
      <c r="Z76" s="44"/>
      <c r="AA76" s="1"/>
      <c r="AB76" s="43"/>
      <c r="AC76" s="44"/>
      <c r="AD76" s="43"/>
      <c r="AE76" s="275"/>
      <c r="AF76" s="275"/>
      <c r="AG76" s="44"/>
      <c r="AH76" s="43"/>
      <c r="AI76" s="275"/>
      <c r="AJ76" s="275"/>
      <c r="AK76" s="275"/>
      <c r="AL76" s="275"/>
      <c r="AM76" s="275"/>
      <c r="AN76" s="277"/>
      <c r="AO76" s="274"/>
      <c r="AP76" s="275"/>
      <c r="AQ76" s="275"/>
      <c r="AR76" s="275"/>
      <c r="AS76" s="275"/>
      <c r="AT76" s="44"/>
      <c r="AU76" s="1"/>
      <c r="AV76" s="1"/>
    </row>
    <row r="77" spans="18:48">
      <c r="R77" s="1"/>
      <c r="S77" s="1"/>
      <c r="T77" s="275" t="s">
        <v>1789</v>
      </c>
      <c r="U77" s="44" t="b">
        <f>ISBLANK(TableauPokemonCapturé[[#This Row],[PokeID]])=FALSE</f>
        <v>0</v>
      </c>
      <c r="V77" s="1"/>
      <c r="W77" s="1"/>
      <c r="X77" s="43"/>
      <c r="Y77" s="275"/>
      <c r="Z77" s="44"/>
      <c r="AA77" s="1"/>
      <c r="AB77" s="43"/>
      <c r="AC77" s="44"/>
      <c r="AD77" s="43"/>
      <c r="AE77" s="275"/>
      <c r="AF77" s="275"/>
      <c r="AG77" s="44"/>
      <c r="AH77" s="43"/>
      <c r="AI77" s="275"/>
      <c r="AJ77" s="275"/>
      <c r="AK77" s="275"/>
      <c r="AL77" s="275"/>
      <c r="AM77" s="275"/>
      <c r="AN77" s="277"/>
      <c r="AO77" s="274"/>
      <c r="AP77" s="275"/>
      <c r="AQ77" s="275"/>
      <c r="AR77" s="275"/>
      <c r="AS77" s="275"/>
      <c r="AT77" s="44"/>
      <c r="AU77" s="1"/>
      <c r="AV77" s="1"/>
    </row>
    <row r="78" spans="18:48">
      <c r="R78" s="1"/>
      <c r="S78" s="1"/>
      <c r="T78" s="275" t="s">
        <v>1790</v>
      </c>
      <c r="U78" s="44" t="b">
        <f>ISBLANK(TableauPokemonCapturé[[#This Row],[PokeID]])=FALSE</f>
        <v>0</v>
      </c>
      <c r="V78" s="1"/>
      <c r="W78" s="1"/>
      <c r="X78" s="43"/>
      <c r="Y78" s="275"/>
      <c r="Z78" s="44"/>
      <c r="AA78" s="1"/>
      <c r="AB78" s="43"/>
      <c r="AC78" s="44"/>
      <c r="AD78" s="43"/>
      <c r="AE78" s="275"/>
      <c r="AF78" s="275"/>
      <c r="AG78" s="44"/>
      <c r="AH78" s="43"/>
      <c r="AI78" s="275"/>
      <c r="AJ78" s="275"/>
      <c r="AK78" s="275"/>
      <c r="AL78" s="275"/>
      <c r="AM78" s="275"/>
      <c r="AN78" s="277"/>
      <c r="AO78" s="274"/>
      <c r="AP78" s="275"/>
      <c r="AQ78" s="275"/>
      <c r="AR78" s="275"/>
      <c r="AS78" s="275"/>
      <c r="AT78" s="44"/>
      <c r="AU78" s="1"/>
      <c r="AV78" s="1"/>
    </row>
    <row r="79" spans="18:48">
      <c r="R79" s="1"/>
      <c r="S79" s="1"/>
      <c r="T79" s="275" t="s">
        <v>1791</v>
      </c>
      <c r="U79" s="44" t="b">
        <f>ISBLANK(TableauPokemonCapturé[[#This Row],[PokeID]])=FALSE</f>
        <v>0</v>
      </c>
      <c r="V79" s="1"/>
      <c r="W79" s="1"/>
      <c r="X79" s="43"/>
      <c r="Y79" s="275"/>
      <c r="Z79" s="44"/>
      <c r="AA79" s="1"/>
      <c r="AB79" s="43"/>
      <c r="AC79" s="44"/>
      <c r="AD79" s="43"/>
      <c r="AE79" s="275"/>
      <c r="AF79" s="275"/>
      <c r="AG79" s="44"/>
      <c r="AH79" s="43"/>
      <c r="AI79" s="275"/>
      <c r="AJ79" s="275"/>
      <c r="AK79" s="275"/>
      <c r="AL79" s="275"/>
      <c r="AM79" s="275"/>
      <c r="AN79" s="277"/>
      <c r="AO79" s="274"/>
      <c r="AP79" s="275"/>
      <c r="AQ79" s="275"/>
      <c r="AR79" s="275"/>
      <c r="AS79" s="275"/>
      <c r="AT79" s="44"/>
      <c r="AU79" s="1"/>
      <c r="AV79" s="1"/>
    </row>
    <row r="80" spans="18:48">
      <c r="R80" s="1"/>
      <c r="S80" s="1"/>
      <c r="T80" s="275" t="s">
        <v>1792</v>
      </c>
      <c r="U80" s="44" t="b">
        <f>ISBLANK(TableauPokemonCapturé[[#This Row],[PokeID]])=FALSE</f>
        <v>0</v>
      </c>
      <c r="V80" s="1"/>
      <c r="W80" s="1"/>
      <c r="X80" s="43"/>
      <c r="Y80" s="275"/>
      <c r="Z80" s="44"/>
      <c r="AA80" s="1"/>
      <c r="AB80" s="43"/>
      <c r="AC80" s="44"/>
      <c r="AD80" s="43"/>
      <c r="AE80" s="275"/>
      <c r="AF80" s="275"/>
      <c r="AG80" s="44"/>
      <c r="AH80" s="43"/>
      <c r="AI80" s="275"/>
      <c r="AJ80" s="275"/>
      <c r="AK80" s="275"/>
      <c r="AL80" s="275"/>
      <c r="AM80" s="275"/>
      <c r="AN80" s="277"/>
      <c r="AO80" s="274"/>
      <c r="AP80" s="275"/>
      <c r="AQ80" s="275"/>
      <c r="AR80" s="275"/>
      <c r="AS80" s="275"/>
      <c r="AT80" s="44"/>
      <c r="AU80" s="1"/>
      <c r="AV80" s="1"/>
    </row>
    <row r="81" spans="18:48">
      <c r="R81" s="1"/>
      <c r="S81" s="1"/>
      <c r="T81" s="275" t="s">
        <v>1793</v>
      </c>
      <c r="U81" s="44" t="b">
        <f>ISBLANK(TableauPokemonCapturé[[#This Row],[PokeID]])=FALSE</f>
        <v>0</v>
      </c>
      <c r="V81" s="1"/>
      <c r="W81" s="1"/>
      <c r="X81" s="43"/>
      <c r="Y81" s="275"/>
      <c r="Z81" s="44"/>
      <c r="AA81" s="1"/>
      <c r="AB81" s="43"/>
      <c r="AC81" s="44"/>
      <c r="AD81" s="43"/>
      <c r="AE81" s="275"/>
      <c r="AF81" s="275"/>
      <c r="AG81" s="44"/>
      <c r="AH81" s="43"/>
      <c r="AI81" s="275"/>
      <c r="AJ81" s="275"/>
      <c r="AK81" s="275"/>
      <c r="AL81" s="275"/>
      <c r="AM81" s="275"/>
      <c r="AN81" s="277"/>
      <c r="AO81" s="274"/>
      <c r="AP81" s="275"/>
      <c r="AQ81" s="275"/>
      <c r="AR81" s="275"/>
      <c r="AS81" s="275"/>
      <c r="AT81" s="44"/>
      <c r="AU81" s="1"/>
      <c r="AV81" s="1"/>
    </row>
    <row r="82" spans="18:48">
      <c r="R82" s="1"/>
      <c r="S82" s="1"/>
      <c r="T82" s="275" t="s">
        <v>1794</v>
      </c>
      <c r="U82" s="44" t="b">
        <f>ISBLANK(TableauPokemonCapturé[[#This Row],[PokeID]])=FALSE</f>
        <v>0</v>
      </c>
      <c r="V82" s="1"/>
      <c r="W82" s="1"/>
      <c r="X82" s="43"/>
      <c r="Y82" s="275"/>
      <c r="Z82" s="44"/>
      <c r="AA82" s="1"/>
      <c r="AB82" s="43"/>
      <c r="AC82" s="44"/>
      <c r="AD82" s="43"/>
      <c r="AE82" s="275"/>
      <c r="AF82" s="275"/>
      <c r="AG82" s="44"/>
      <c r="AH82" s="43"/>
      <c r="AI82" s="275"/>
      <c r="AJ82" s="275"/>
      <c r="AK82" s="275"/>
      <c r="AL82" s="275"/>
      <c r="AM82" s="275"/>
      <c r="AN82" s="277"/>
      <c r="AO82" s="274"/>
      <c r="AP82" s="275"/>
      <c r="AQ82" s="275"/>
      <c r="AR82" s="275"/>
      <c r="AS82" s="275"/>
      <c r="AT82" s="44"/>
      <c r="AU82" s="1"/>
      <c r="AV82" s="1"/>
    </row>
    <row r="83" spans="18:48">
      <c r="R83" s="1"/>
      <c r="S83" s="1"/>
      <c r="T83" s="275" t="s">
        <v>1795</v>
      </c>
      <c r="U83" s="44" t="b">
        <f>ISBLANK(TableauPokemonCapturé[[#This Row],[PokeID]])=FALSE</f>
        <v>0</v>
      </c>
      <c r="V83" s="1"/>
      <c r="W83" s="1"/>
      <c r="X83" s="43"/>
      <c r="Y83" s="275"/>
      <c r="Z83" s="44"/>
      <c r="AA83" s="1"/>
      <c r="AB83" s="43"/>
      <c r="AC83" s="44"/>
      <c r="AD83" s="43"/>
      <c r="AE83" s="275"/>
      <c r="AF83" s="275"/>
      <c r="AG83" s="44"/>
      <c r="AH83" s="43"/>
      <c r="AI83" s="275"/>
      <c r="AJ83" s="275"/>
      <c r="AK83" s="275"/>
      <c r="AL83" s="275"/>
      <c r="AM83" s="275"/>
      <c r="AN83" s="277"/>
      <c r="AO83" s="274"/>
      <c r="AP83" s="275"/>
      <c r="AQ83" s="275"/>
      <c r="AR83" s="275"/>
      <c r="AS83" s="275"/>
      <c r="AT83" s="44"/>
      <c r="AU83" s="1"/>
      <c r="AV83" s="1"/>
    </row>
    <row r="84" spans="18:48">
      <c r="R84" s="1"/>
      <c r="S84" s="1"/>
      <c r="T84" s="275" t="s">
        <v>1796</v>
      </c>
      <c r="U84" s="44" t="b">
        <f>ISBLANK(TableauPokemonCapturé[[#This Row],[PokeID]])=FALSE</f>
        <v>0</v>
      </c>
      <c r="V84" s="1"/>
      <c r="W84" s="1"/>
      <c r="X84" s="43"/>
      <c r="Y84" s="275"/>
      <c r="Z84" s="44"/>
      <c r="AA84" s="1"/>
      <c r="AB84" s="43"/>
      <c r="AC84" s="44"/>
      <c r="AD84" s="43"/>
      <c r="AE84" s="275"/>
      <c r="AF84" s="275"/>
      <c r="AG84" s="44"/>
      <c r="AH84" s="43"/>
      <c r="AI84" s="275"/>
      <c r="AJ84" s="275"/>
      <c r="AK84" s="275"/>
      <c r="AL84" s="275"/>
      <c r="AM84" s="275"/>
      <c r="AN84" s="277"/>
      <c r="AO84" s="274"/>
      <c r="AP84" s="275"/>
      <c r="AQ84" s="275"/>
      <c r="AR84" s="275"/>
      <c r="AS84" s="275"/>
      <c r="AT84" s="44"/>
      <c r="AU84" s="1"/>
      <c r="AV84" s="1"/>
    </row>
    <row r="85" spans="18:48">
      <c r="R85" s="1"/>
      <c r="S85" s="1"/>
      <c r="T85" s="275" t="s">
        <v>1797</v>
      </c>
      <c r="U85" s="44" t="b">
        <f>ISBLANK(TableauPokemonCapturé[[#This Row],[PokeID]])=FALSE</f>
        <v>0</v>
      </c>
      <c r="V85" s="1"/>
      <c r="W85" s="1"/>
      <c r="X85" s="43"/>
      <c r="Y85" s="275"/>
      <c r="Z85" s="44"/>
      <c r="AA85" s="1"/>
      <c r="AB85" s="43"/>
      <c r="AC85" s="44"/>
      <c r="AD85" s="43"/>
      <c r="AE85" s="275"/>
      <c r="AF85" s="275"/>
      <c r="AG85" s="44"/>
      <c r="AH85" s="43"/>
      <c r="AI85" s="275"/>
      <c r="AJ85" s="275"/>
      <c r="AK85" s="275"/>
      <c r="AL85" s="275"/>
      <c r="AM85" s="275"/>
      <c r="AN85" s="277"/>
      <c r="AO85" s="274"/>
      <c r="AP85" s="275"/>
      <c r="AQ85" s="275"/>
      <c r="AR85" s="275"/>
      <c r="AS85" s="275"/>
      <c r="AT85" s="44"/>
      <c r="AU85" s="1"/>
      <c r="AV85" s="1"/>
    </row>
    <row r="86" spans="18:48">
      <c r="R86" s="1"/>
      <c r="S86" s="1"/>
      <c r="T86" s="275" t="s">
        <v>1798</v>
      </c>
      <c r="U86" s="44" t="b">
        <f>ISBLANK(TableauPokemonCapturé[[#This Row],[PokeID]])=FALSE</f>
        <v>0</v>
      </c>
      <c r="V86" s="1"/>
      <c r="W86" s="1"/>
      <c r="X86" s="43"/>
      <c r="Y86" s="275"/>
      <c r="Z86" s="44"/>
      <c r="AA86" s="1"/>
      <c r="AB86" s="43"/>
      <c r="AC86" s="44"/>
      <c r="AD86" s="43"/>
      <c r="AE86" s="275"/>
      <c r="AF86" s="275"/>
      <c r="AG86" s="44"/>
      <c r="AH86" s="43"/>
      <c r="AI86" s="275"/>
      <c r="AJ86" s="275"/>
      <c r="AK86" s="275"/>
      <c r="AL86" s="275"/>
      <c r="AM86" s="275"/>
      <c r="AN86" s="277"/>
      <c r="AO86" s="274"/>
      <c r="AP86" s="275"/>
      <c r="AQ86" s="275"/>
      <c r="AR86" s="275"/>
      <c r="AS86" s="275"/>
      <c r="AT86" s="44"/>
      <c r="AU86" s="1"/>
      <c r="AV86" s="1"/>
    </row>
    <row r="87" spans="18:48">
      <c r="R87" s="1"/>
      <c r="S87" s="1"/>
      <c r="T87" s="275" t="s">
        <v>1799</v>
      </c>
      <c r="U87" s="44" t="b">
        <f>ISBLANK(TableauPokemonCapturé[[#This Row],[PokeID]])=FALSE</f>
        <v>0</v>
      </c>
      <c r="V87" s="1"/>
      <c r="W87" s="1"/>
      <c r="X87" s="43"/>
      <c r="Y87" s="275"/>
      <c r="Z87" s="44"/>
      <c r="AA87" s="1"/>
      <c r="AB87" s="43"/>
      <c r="AC87" s="44"/>
      <c r="AD87" s="43"/>
      <c r="AE87" s="275"/>
      <c r="AF87" s="275"/>
      <c r="AG87" s="44"/>
      <c r="AH87" s="43"/>
      <c r="AI87" s="275"/>
      <c r="AJ87" s="275"/>
      <c r="AK87" s="275"/>
      <c r="AL87" s="275"/>
      <c r="AM87" s="275"/>
      <c r="AN87" s="277"/>
      <c r="AO87" s="274"/>
      <c r="AP87" s="275"/>
      <c r="AQ87" s="275"/>
      <c r="AR87" s="275"/>
      <c r="AS87" s="275"/>
      <c r="AT87" s="44"/>
      <c r="AU87" s="1"/>
      <c r="AV87" s="1"/>
    </row>
    <row r="88" spans="18:48">
      <c r="R88" s="1"/>
      <c r="S88" s="1"/>
      <c r="T88" s="275" t="s">
        <v>1800</v>
      </c>
      <c r="U88" s="44" t="b">
        <f>ISBLANK(TableauPokemonCapturé[[#This Row],[PokeID]])=FALSE</f>
        <v>0</v>
      </c>
      <c r="V88" s="1"/>
      <c r="W88" s="1"/>
      <c r="X88" s="43"/>
      <c r="Y88" s="275"/>
      <c r="Z88" s="44"/>
      <c r="AA88" s="1"/>
      <c r="AB88" s="43"/>
      <c r="AC88" s="44"/>
      <c r="AD88" s="43"/>
      <c r="AE88" s="275"/>
      <c r="AF88" s="275"/>
      <c r="AG88" s="44"/>
      <c r="AH88" s="43"/>
      <c r="AI88" s="275"/>
      <c r="AJ88" s="275"/>
      <c r="AK88" s="275"/>
      <c r="AL88" s="275"/>
      <c r="AM88" s="275"/>
      <c r="AN88" s="277"/>
      <c r="AO88" s="274"/>
      <c r="AP88" s="275"/>
      <c r="AQ88" s="275"/>
      <c r="AR88" s="275"/>
      <c r="AS88" s="275"/>
      <c r="AT88" s="44"/>
      <c r="AU88" s="1"/>
      <c r="AV88" s="1"/>
    </row>
    <row r="89" spans="18:48">
      <c r="R89" s="1"/>
      <c r="S89" s="1"/>
      <c r="T89" s="275" t="s">
        <v>1801</v>
      </c>
      <c r="U89" s="44" t="b">
        <f>ISBLANK(TableauPokemonCapturé[[#This Row],[PokeID]])=FALSE</f>
        <v>0</v>
      </c>
      <c r="V89" s="1"/>
      <c r="W89" s="1"/>
      <c r="X89" s="43"/>
      <c r="Y89" s="275"/>
      <c r="Z89" s="44"/>
      <c r="AA89" s="1"/>
      <c r="AB89" s="43"/>
      <c r="AC89" s="44"/>
      <c r="AD89" s="43"/>
      <c r="AE89" s="275"/>
      <c r="AF89" s="275"/>
      <c r="AG89" s="44"/>
      <c r="AH89" s="43"/>
      <c r="AI89" s="275"/>
      <c r="AJ89" s="275"/>
      <c r="AK89" s="275"/>
      <c r="AL89" s="275"/>
      <c r="AM89" s="275"/>
      <c r="AN89" s="277"/>
      <c r="AO89" s="274"/>
      <c r="AP89" s="275"/>
      <c r="AQ89" s="275"/>
      <c r="AR89" s="275"/>
      <c r="AS89" s="275"/>
      <c r="AT89" s="44"/>
      <c r="AU89" s="1"/>
      <c r="AV89" s="1"/>
    </row>
    <row r="90" spans="18:48">
      <c r="R90" s="1"/>
      <c r="S90" s="1"/>
      <c r="T90" s="275" t="s">
        <v>1802</v>
      </c>
      <c r="U90" s="44" t="b">
        <f>ISBLANK(TableauPokemonCapturé[[#This Row],[PokeID]])=FALSE</f>
        <v>0</v>
      </c>
      <c r="V90" s="1"/>
      <c r="W90" s="1"/>
      <c r="X90" s="43"/>
      <c r="Y90" s="275"/>
      <c r="Z90" s="44"/>
      <c r="AA90" s="1"/>
      <c r="AB90" s="43"/>
      <c r="AC90" s="44"/>
      <c r="AD90" s="43"/>
      <c r="AE90" s="275"/>
      <c r="AF90" s="275"/>
      <c r="AG90" s="44"/>
      <c r="AH90" s="43"/>
      <c r="AI90" s="275"/>
      <c r="AJ90" s="275"/>
      <c r="AK90" s="275"/>
      <c r="AL90" s="275"/>
      <c r="AM90" s="275"/>
      <c r="AN90" s="277"/>
      <c r="AO90" s="274"/>
      <c r="AP90" s="275"/>
      <c r="AQ90" s="275"/>
      <c r="AR90" s="275"/>
      <c r="AS90" s="275"/>
      <c r="AT90" s="44"/>
      <c r="AU90" s="1"/>
      <c r="AV90" s="1"/>
    </row>
    <row r="91" spans="18:48">
      <c r="R91" s="1"/>
      <c r="S91" s="1"/>
      <c r="T91" s="275" t="s">
        <v>1803</v>
      </c>
      <c r="U91" s="44" t="b">
        <f>ISBLANK(TableauPokemonCapturé[[#This Row],[PokeID]])=FALSE</f>
        <v>0</v>
      </c>
      <c r="V91" s="1"/>
      <c r="W91" s="1"/>
      <c r="X91" s="43"/>
      <c r="Y91" s="275"/>
      <c r="Z91" s="44"/>
      <c r="AA91" s="1"/>
      <c r="AB91" s="43"/>
      <c r="AC91" s="44"/>
      <c r="AD91" s="43"/>
      <c r="AE91" s="275"/>
      <c r="AF91" s="275"/>
      <c r="AG91" s="44"/>
      <c r="AH91" s="43"/>
      <c r="AI91" s="275"/>
      <c r="AJ91" s="275"/>
      <c r="AK91" s="275"/>
      <c r="AL91" s="275"/>
      <c r="AM91" s="275"/>
      <c r="AN91" s="277"/>
      <c r="AO91" s="274"/>
      <c r="AP91" s="275"/>
      <c r="AQ91" s="275"/>
      <c r="AR91" s="275"/>
      <c r="AS91" s="275"/>
      <c r="AT91" s="44"/>
      <c r="AU91" s="1"/>
      <c r="AV91" s="1"/>
    </row>
    <row r="92" spans="18:48">
      <c r="R92" s="1"/>
      <c r="S92" s="1"/>
      <c r="T92" s="275" t="s">
        <v>1804</v>
      </c>
      <c r="U92" s="44" t="b">
        <f>ISBLANK(TableauPokemonCapturé[[#This Row],[PokeID]])=FALSE</f>
        <v>0</v>
      </c>
      <c r="V92" s="1"/>
      <c r="W92" s="1"/>
      <c r="X92" s="43"/>
      <c r="Y92" s="275"/>
      <c r="Z92" s="44"/>
      <c r="AA92" s="1"/>
      <c r="AB92" s="43"/>
      <c r="AC92" s="44"/>
      <c r="AD92" s="43"/>
      <c r="AE92" s="275"/>
      <c r="AF92" s="275"/>
      <c r="AG92" s="44"/>
      <c r="AH92" s="43"/>
      <c r="AI92" s="275"/>
      <c r="AJ92" s="275"/>
      <c r="AK92" s="275"/>
      <c r="AL92" s="275"/>
      <c r="AM92" s="275"/>
      <c r="AN92" s="277"/>
      <c r="AO92" s="274"/>
      <c r="AP92" s="275"/>
      <c r="AQ92" s="275"/>
      <c r="AR92" s="275"/>
      <c r="AS92" s="275"/>
      <c r="AT92" s="44"/>
      <c r="AU92" s="1"/>
      <c r="AV92" s="1"/>
    </row>
    <row r="93" spans="18:48">
      <c r="R93" s="1"/>
      <c r="S93" s="1"/>
      <c r="T93" s="275" t="s">
        <v>1805</v>
      </c>
      <c r="U93" s="44" t="b">
        <f>ISBLANK(TableauPokemonCapturé[[#This Row],[PokeID]])=FALSE</f>
        <v>0</v>
      </c>
      <c r="V93" s="1"/>
      <c r="W93" s="1"/>
      <c r="X93" s="43"/>
      <c r="Y93" s="275"/>
      <c r="Z93" s="44"/>
      <c r="AA93" s="1"/>
      <c r="AB93" s="43"/>
      <c r="AC93" s="44"/>
      <c r="AD93" s="43"/>
      <c r="AE93" s="275"/>
      <c r="AF93" s="275"/>
      <c r="AG93" s="44"/>
      <c r="AH93" s="43"/>
      <c r="AI93" s="275"/>
      <c r="AJ93" s="275"/>
      <c r="AK93" s="275"/>
      <c r="AL93" s="275"/>
      <c r="AM93" s="275"/>
      <c r="AN93" s="277"/>
      <c r="AO93" s="274"/>
      <c r="AP93" s="275"/>
      <c r="AQ93" s="275"/>
      <c r="AR93" s="275"/>
      <c r="AS93" s="275"/>
      <c r="AT93" s="44"/>
      <c r="AU93" s="1"/>
      <c r="AV93" s="1"/>
    </row>
    <row r="94" spans="18:48">
      <c r="R94" s="1"/>
      <c r="S94" s="1"/>
      <c r="T94" s="275" t="s">
        <v>1806</v>
      </c>
      <c r="U94" s="44" t="b">
        <f>ISBLANK(TableauPokemonCapturé[[#This Row],[PokeID]])=FALSE</f>
        <v>0</v>
      </c>
      <c r="V94" s="1"/>
      <c r="W94" s="1"/>
      <c r="X94" s="43"/>
      <c r="Y94" s="275"/>
      <c r="Z94" s="44"/>
      <c r="AA94" s="1"/>
      <c r="AB94" s="43"/>
      <c r="AC94" s="44"/>
      <c r="AD94" s="43"/>
      <c r="AE94" s="275"/>
      <c r="AF94" s="275"/>
      <c r="AG94" s="44"/>
      <c r="AH94" s="43"/>
      <c r="AI94" s="275"/>
      <c r="AJ94" s="275"/>
      <c r="AK94" s="275"/>
      <c r="AL94" s="275"/>
      <c r="AM94" s="275"/>
      <c r="AN94" s="277"/>
      <c r="AO94" s="274"/>
      <c r="AP94" s="275"/>
      <c r="AQ94" s="275"/>
      <c r="AR94" s="275"/>
      <c r="AS94" s="275"/>
      <c r="AT94" s="44"/>
      <c r="AU94" s="1"/>
      <c r="AV94" s="1"/>
    </row>
    <row r="95" spans="18:48">
      <c r="R95" s="1"/>
      <c r="S95" s="1"/>
      <c r="T95" s="275" t="s">
        <v>1807</v>
      </c>
      <c r="U95" s="44" t="b">
        <f>ISBLANK(TableauPokemonCapturé[[#This Row],[PokeID]])=FALSE</f>
        <v>0</v>
      </c>
      <c r="V95" s="1"/>
      <c r="W95" s="1"/>
      <c r="X95" s="43"/>
      <c r="Y95" s="275"/>
      <c r="Z95" s="44"/>
      <c r="AA95" s="1"/>
      <c r="AB95" s="43"/>
      <c r="AC95" s="44"/>
      <c r="AD95" s="43"/>
      <c r="AE95" s="275"/>
      <c r="AF95" s="275"/>
      <c r="AG95" s="44"/>
      <c r="AH95" s="43"/>
      <c r="AI95" s="275"/>
      <c r="AJ95" s="275"/>
      <c r="AK95" s="275"/>
      <c r="AL95" s="275"/>
      <c r="AM95" s="275"/>
      <c r="AN95" s="277"/>
      <c r="AO95" s="274"/>
      <c r="AP95" s="275"/>
      <c r="AQ95" s="275"/>
      <c r="AR95" s="275"/>
      <c r="AS95" s="275"/>
      <c r="AT95" s="44"/>
      <c r="AU95" s="1"/>
      <c r="AV95" s="1"/>
    </row>
    <row r="96" spans="18:48">
      <c r="R96" s="1"/>
      <c r="S96" s="1"/>
      <c r="T96" s="275" t="s">
        <v>1808</v>
      </c>
      <c r="U96" s="44" t="b">
        <f>ISBLANK(TableauPokemonCapturé[[#This Row],[PokeID]])=FALSE</f>
        <v>0</v>
      </c>
      <c r="V96" s="1"/>
      <c r="W96" s="1"/>
      <c r="X96" s="43"/>
      <c r="Y96" s="275"/>
      <c r="Z96" s="44"/>
      <c r="AA96" s="1"/>
      <c r="AB96" s="43"/>
      <c r="AC96" s="44"/>
      <c r="AD96" s="43"/>
      <c r="AE96" s="275"/>
      <c r="AF96" s="275"/>
      <c r="AG96" s="44"/>
      <c r="AH96" s="43"/>
      <c r="AI96" s="275"/>
      <c r="AJ96" s="275"/>
      <c r="AK96" s="275"/>
      <c r="AL96" s="275"/>
      <c r="AM96" s="275"/>
      <c r="AN96" s="277"/>
      <c r="AO96" s="274"/>
      <c r="AP96" s="275"/>
      <c r="AQ96" s="275"/>
      <c r="AR96" s="275"/>
      <c r="AS96" s="275"/>
      <c r="AT96" s="44"/>
      <c r="AU96" s="1"/>
      <c r="AV96" s="1"/>
    </row>
    <row r="97" spans="18:48">
      <c r="R97" s="1"/>
      <c r="S97" s="1"/>
      <c r="T97" s="275" t="s">
        <v>1809</v>
      </c>
      <c r="U97" s="44" t="b">
        <f>ISBLANK(TableauPokemonCapturé[[#This Row],[PokeID]])=FALSE</f>
        <v>0</v>
      </c>
      <c r="V97" s="1"/>
      <c r="W97" s="1"/>
      <c r="X97" s="43"/>
      <c r="Y97" s="275"/>
      <c r="Z97" s="44"/>
      <c r="AA97" s="1"/>
      <c r="AB97" s="43"/>
      <c r="AC97" s="44"/>
      <c r="AD97" s="43"/>
      <c r="AE97" s="275"/>
      <c r="AF97" s="275"/>
      <c r="AG97" s="44"/>
      <c r="AH97" s="43"/>
      <c r="AI97" s="275"/>
      <c r="AJ97" s="275"/>
      <c r="AK97" s="275"/>
      <c r="AL97" s="275"/>
      <c r="AM97" s="275"/>
      <c r="AN97" s="277"/>
      <c r="AO97" s="274"/>
      <c r="AP97" s="275"/>
      <c r="AQ97" s="275"/>
      <c r="AR97" s="275"/>
      <c r="AS97" s="275"/>
      <c r="AT97" s="44"/>
      <c r="AU97" s="1"/>
      <c r="AV97" s="1"/>
    </row>
    <row r="98" spans="18:48">
      <c r="R98" s="1"/>
      <c r="S98" s="1"/>
      <c r="T98" s="275" t="s">
        <v>1810</v>
      </c>
      <c r="U98" s="44" t="b">
        <f>ISBLANK(TableauPokemonCapturé[[#This Row],[PokeID]])=FALSE</f>
        <v>0</v>
      </c>
      <c r="V98" s="1"/>
      <c r="W98" s="1"/>
      <c r="X98" s="43"/>
      <c r="Y98" s="275"/>
      <c r="Z98" s="44"/>
      <c r="AA98" s="1"/>
      <c r="AB98" s="43"/>
      <c r="AC98" s="44"/>
      <c r="AD98" s="43"/>
      <c r="AE98" s="275"/>
      <c r="AF98" s="275"/>
      <c r="AG98" s="44"/>
      <c r="AH98" s="43"/>
      <c r="AI98" s="275"/>
      <c r="AJ98" s="275"/>
      <c r="AK98" s="275"/>
      <c r="AL98" s="275"/>
      <c r="AM98" s="275"/>
      <c r="AN98" s="277"/>
      <c r="AO98" s="274"/>
      <c r="AP98" s="275"/>
      <c r="AQ98" s="275"/>
      <c r="AR98" s="275"/>
      <c r="AS98" s="275"/>
      <c r="AT98" s="44"/>
      <c r="AU98" s="1"/>
      <c r="AV98" s="1"/>
    </row>
    <row r="99" spans="18:48">
      <c r="R99" s="1"/>
      <c r="S99" s="1"/>
      <c r="T99" s="275" t="s">
        <v>1811</v>
      </c>
      <c r="U99" s="44" t="b">
        <f>ISBLANK(TableauPokemonCapturé[[#This Row],[PokeID]])=FALSE</f>
        <v>0</v>
      </c>
      <c r="V99" s="1"/>
      <c r="W99" s="1"/>
      <c r="X99" s="43"/>
      <c r="Y99" s="275"/>
      <c r="Z99" s="44"/>
      <c r="AA99" s="1"/>
      <c r="AB99" s="43"/>
      <c r="AC99" s="44"/>
      <c r="AD99" s="43"/>
      <c r="AE99" s="275"/>
      <c r="AF99" s="275"/>
      <c r="AG99" s="44"/>
      <c r="AH99" s="43"/>
      <c r="AI99" s="275"/>
      <c r="AJ99" s="275"/>
      <c r="AK99" s="275"/>
      <c r="AL99" s="275"/>
      <c r="AM99" s="275"/>
      <c r="AN99" s="277"/>
      <c r="AO99" s="274"/>
      <c r="AP99" s="275"/>
      <c r="AQ99" s="275"/>
      <c r="AR99" s="275"/>
      <c r="AS99" s="275"/>
      <c r="AT99" s="44"/>
      <c r="AU99" s="1"/>
      <c r="AV99" s="1"/>
    </row>
    <row r="100" spans="18:48">
      <c r="R100" s="1"/>
      <c r="S100" s="1"/>
      <c r="T100" s="275" t="s">
        <v>1812</v>
      </c>
      <c r="U100" s="44" t="b">
        <f>ISBLANK(TableauPokemonCapturé[[#This Row],[PokeID]])=FALSE</f>
        <v>0</v>
      </c>
      <c r="V100" s="1"/>
      <c r="W100" s="1"/>
      <c r="X100" s="43"/>
      <c r="Y100" s="275"/>
      <c r="Z100" s="44"/>
      <c r="AA100" s="1"/>
      <c r="AB100" s="43"/>
      <c r="AC100" s="44"/>
      <c r="AD100" s="43"/>
      <c r="AE100" s="275"/>
      <c r="AF100" s="275"/>
      <c r="AG100" s="44"/>
      <c r="AH100" s="43"/>
      <c r="AI100" s="275"/>
      <c r="AJ100" s="275"/>
      <c r="AK100" s="275"/>
      <c r="AL100" s="275"/>
      <c r="AM100" s="275"/>
      <c r="AN100" s="277"/>
      <c r="AO100" s="274"/>
      <c r="AP100" s="275"/>
      <c r="AQ100" s="275"/>
      <c r="AR100" s="275"/>
      <c r="AS100" s="275"/>
      <c r="AT100" s="44"/>
      <c r="AU100" s="1"/>
      <c r="AV100" s="1"/>
    </row>
    <row r="101" spans="18:48">
      <c r="R101" s="1"/>
      <c r="S101" s="1"/>
      <c r="T101" s="275" t="s">
        <v>1813</v>
      </c>
      <c r="U101" s="44" t="b">
        <f>ISBLANK(TableauPokemonCapturé[[#This Row],[PokeID]])=FALSE</f>
        <v>0</v>
      </c>
      <c r="V101" s="1"/>
      <c r="W101" s="1"/>
      <c r="X101" s="43"/>
      <c r="Y101" s="275"/>
      <c r="Z101" s="44"/>
      <c r="AA101" s="1"/>
      <c r="AB101" s="43"/>
      <c r="AC101" s="44"/>
      <c r="AD101" s="43"/>
      <c r="AE101" s="275"/>
      <c r="AF101" s="275"/>
      <c r="AG101" s="44"/>
      <c r="AH101" s="43"/>
      <c r="AI101" s="275"/>
      <c r="AJ101" s="275"/>
      <c r="AK101" s="275"/>
      <c r="AL101" s="275"/>
      <c r="AM101" s="275"/>
      <c r="AN101" s="277"/>
      <c r="AO101" s="274"/>
      <c r="AP101" s="275"/>
      <c r="AQ101" s="275"/>
      <c r="AR101" s="275"/>
      <c r="AS101" s="275"/>
      <c r="AT101" s="44"/>
      <c r="AU101" s="1"/>
      <c r="AV101" s="1"/>
    </row>
    <row r="102" spans="18:48">
      <c r="R102" s="1"/>
      <c r="S102" s="1"/>
      <c r="T102" s="275" t="s">
        <v>1814</v>
      </c>
      <c r="U102" s="44" t="b">
        <f>ISBLANK(TableauPokemonCapturé[[#This Row],[PokeID]])=FALSE</f>
        <v>0</v>
      </c>
      <c r="V102" s="1"/>
      <c r="W102" s="1"/>
      <c r="X102" s="43"/>
      <c r="Y102" s="275"/>
      <c r="Z102" s="44"/>
      <c r="AA102" s="1"/>
      <c r="AB102" s="43"/>
      <c r="AC102" s="44"/>
      <c r="AD102" s="43"/>
      <c r="AE102" s="275"/>
      <c r="AF102" s="275"/>
      <c r="AG102" s="44"/>
      <c r="AH102" s="43"/>
      <c r="AI102" s="275"/>
      <c r="AJ102" s="275"/>
      <c r="AK102" s="275"/>
      <c r="AL102" s="275"/>
      <c r="AM102" s="275"/>
      <c r="AN102" s="277"/>
      <c r="AO102" s="274"/>
      <c r="AP102" s="275"/>
      <c r="AQ102" s="275"/>
      <c r="AR102" s="275"/>
      <c r="AS102" s="275"/>
      <c r="AT102" s="44"/>
      <c r="AU102" s="1"/>
      <c r="AV102" s="1"/>
    </row>
    <row r="103" spans="18:48">
      <c r="R103" s="1"/>
      <c r="S103" s="1"/>
      <c r="T103" s="275" t="s">
        <v>1815</v>
      </c>
      <c r="U103" s="44" t="b">
        <f>ISBLANK(TableauPokemonCapturé[[#This Row],[PokeID]])=FALSE</f>
        <v>0</v>
      </c>
      <c r="V103" s="1"/>
      <c r="W103" s="1"/>
      <c r="X103" s="43"/>
      <c r="Y103" s="275"/>
      <c r="Z103" s="44"/>
      <c r="AA103" s="1"/>
      <c r="AB103" s="43"/>
      <c r="AC103" s="44"/>
      <c r="AD103" s="43"/>
      <c r="AE103" s="275"/>
      <c r="AF103" s="275"/>
      <c r="AG103" s="44"/>
      <c r="AH103" s="43"/>
      <c r="AI103" s="275"/>
      <c r="AJ103" s="275"/>
      <c r="AK103" s="275"/>
      <c r="AL103" s="275"/>
      <c r="AM103" s="275"/>
      <c r="AN103" s="277"/>
      <c r="AO103" s="274"/>
      <c r="AP103" s="275"/>
      <c r="AQ103" s="275"/>
      <c r="AR103" s="275"/>
      <c r="AS103" s="275"/>
      <c r="AT103" s="44"/>
      <c r="AU103" s="1"/>
      <c r="AV103" s="1"/>
    </row>
    <row r="104" spans="18:48">
      <c r="R104" s="1"/>
      <c r="S104" s="1"/>
      <c r="T104" s="275" t="s">
        <v>1816</v>
      </c>
      <c r="U104" s="44" t="b">
        <f>ISBLANK(TableauPokemonCapturé[[#This Row],[PokeID]])=FALSE</f>
        <v>0</v>
      </c>
      <c r="V104" s="1"/>
      <c r="W104" s="1"/>
      <c r="X104" s="43"/>
      <c r="Y104" s="275"/>
      <c r="Z104" s="44"/>
      <c r="AA104" s="1"/>
      <c r="AB104" s="43"/>
      <c r="AC104" s="44"/>
      <c r="AD104" s="43"/>
      <c r="AE104" s="275"/>
      <c r="AF104" s="275"/>
      <c r="AG104" s="44"/>
      <c r="AH104" s="43"/>
      <c r="AI104" s="275"/>
      <c r="AJ104" s="275"/>
      <c r="AK104" s="275"/>
      <c r="AL104" s="275"/>
      <c r="AM104" s="275"/>
      <c r="AN104" s="277"/>
      <c r="AO104" s="274"/>
      <c r="AP104" s="275"/>
      <c r="AQ104" s="275"/>
      <c r="AR104" s="275"/>
      <c r="AS104" s="275"/>
      <c r="AT104" s="44"/>
      <c r="AU104" s="1"/>
      <c r="AV104" s="1"/>
    </row>
    <row r="105" spans="18:48">
      <c r="R105" s="1"/>
      <c r="S105" s="1"/>
      <c r="T105" s="275" t="s">
        <v>1817</v>
      </c>
      <c r="U105" s="44" t="b">
        <f>ISBLANK(TableauPokemonCapturé[[#This Row],[PokeID]])=FALSE</f>
        <v>0</v>
      </c>
      <c r="V105" s="1"/>
      <c r="W105" s="1"/>
      <c r="X105" s="43"/>
      <c r="Y105" s="275"/>
      <c r="Z105" s="44"/>
      <c r="AA105" s="1"/>
      <c r="AB105" s="43"/>
      <c r="AC105" s="44"/>
      <c r="AD105" s="43"/>
      <c r="AE105" s="275"/>
      <c r="AF105" s="275"/>
      <c r="AG105" s="44"/>
      <c r="AH105" s="43"/>
      <c r="AI105" s="275"/>
      <c r="AJ105" s="275"/>
      <c r="AK105" s="275"/>
      <c r="AL105" s="275"/>
      <c r="AM105" s="275"/>
      <c r="AN105" s="277"/>
      <c r="AO105" s="274"/>
      <c r="AP105" s="275"/>
      <c r="AQ105" s="275"/>
      <c r="AR105" s="275"/>
      <c r="AS105" s="275"/>
      <c r="AT105" s="44"/>
      <c r="AU105" s="1"/>
      <c r="AV105" s="1"/>
    </row>
    <row r="106" spans="18:48">
      <c r="R106" s="1"/>
      <c r="S106" s="1"/>
      <c r="T106" s="275" t="s">
        <v>1818</v>
      </c>
      <c r="U106" s="44" t="b">
        <f>ISBLANK(TableauPokemonCapturé[[#This Row],[PokeID]])=FALSE</f>
        <v>0</v>
      </c>
      <c r="V106" s="1"/>
      <c r="W106" s="1"/>
      <c r="X106" s="43"/>
      <c r="Y106" s="275"/>
      <c r="Z106" s="44"/>
      <c r="AA106" s="1"/>
      <c r="AB106" s="43"/>
      <c r="AC106" s="44"/>
      <c r="AD106" s="43"/>
      <c r="AE106" s="275"/>
      <c r="AF106" s="275"/>
      <c r="AG106" s="44"/>
      <c r="AH106" s="43"/>
      <c r="AI106" s="275"/>
      <c r="AJ106" s="275"/>
      <c r="AK106" s="275"/>
      <c r="AL106" s="275"/>
      <c r="AM106" s="275"/>
      <c r="AN106" s="277"/>
      <c r="AO106" s="274"/>
      <c r="AP106" s="275"/>
      <c r="AQ106" s="275"/>
      <c r="AR106" s="275"/>
      <c r="AS106" s="275"/>
      <c r="AT106" s="44"/>
      <c r="AU106" s="1"/>
      <c r="AV106" s="1"/>
    </row>
    <row r="107" spans="18:48">
      <c r="R107" s="1"/>
      <c r="S107" s="1"/>
      <c r="T107" s="275" t="s">
        <v>1819</v>
      </c>
      <c r="U107" s="44" t="b">
        <f>ISBLANK(TableauPokemonCapturé[[#This Row],[PokeID]])=FALSE</f>
        <v>0</v>
      </c>
      <c r="V107" s="1"/>
      <c r="W107" s="1"/>
      <c r="X107" s="43"/>
      <c r="Y107" s="275"/>
      <c r="Z107" s="44"/>
      <c r="AA107" s="1"/>
      <c r="AB107" s="43"/>
      <c r="AC107" s="44"/>
      <c r="AD107" s="43"/>
      <c r="AE107" s="275"/>
      <c r="AF107" s="275"/>
      <c r="AG107" s="44"/>
      <c r="AH107" s="43"/>
      <c r="AI107" s="275"/>
      <c r="AJ107" s="275"/>
      <c r="AK107" s="275"/>
      <c r="AL107" s="275"/>
      <c r="AM107" s="275"/>
      <c r="AN107" s="277"/>
      <c r="AO107" s="274"/>
      <c r="AP107" s="275"/>
      <c r="AQ107" s="275"/>
      <c r="AR107" s="275"/>
      <c r="AS107" s="275"/>
      <c r="AT107" s="44"/>
      <c r="AU107" s="1"/>
      <c r="AV107" s="1"/>
    </row>
    <row r="108" spans="18:48">
      <c r="R108" s="1"/>
      <c r="S108" s="1"/>
      <c r="T108" s="275" t="s">
        <v>1820</v>
      </c>
      <c r="U108" s="44" t="b">
        <f>ISBLANK(TableauPokemonCapturé[[#This Row],[PokeID]])=FALSE</f>
        <v>0</v>
      </c>
      <c r="V108" s="1"/>
      <c r="W108" s="1"/>
      <c r="X108" s="43"/>
      <c r="Y108" s="275"/>
      <c r="Z108" s="44"/>
      <c r="AA108" s="1"/>
      <c r="AB108" s="43"/>
      <c r="AC108" s="44"/>
      <c r="AD108" s="43"/>
      <c r="AE108" s="275"/>
      <c r="AF108" s="275"/>
      <c r="AG108" s="44"/>
      <c r="AH108" s="43"/>
      <c r="AI108" s="275"/>
      <c r="AJ108" s="275"/>
      <c r="AK108" s="275"/>
      <c r="AL108" s="275"/>
      <c r="AM108" s="275"/>
      <c r="AN108" s="277"/>
      <c r="AO108" s="274"/>
      <c r="AP108" s="275"/>
      <c r="AQ108" s="275"/>
      <c r="AR108" s="275"/>
      <c r="AS108" s="275"/>
      <c r="AT108" s="44"/>
      <c r="AU108" s="1"/>
      <c r="AV108" s="1"/>
    </row>
    <row r="109" spans="18:48">
      <c r="R109" s="1"/>
      <c r="S109" s="1"/>
      <c r="T109" s="275" t="s">
        <v>1821</v>
      </c>
      <c r="U109" s="44" t="b">
        <f>ISBLANK(TableauPokemonCapturé[[#This Row],[PokeID]])=FALSE</f>
        <v>0</v>
      </c>
      <c r="V109" s="1"/>
      <c r="W109" s="1"/>
      <c r="X109" s="43"/>
      <c r="Y109" s="275"/>
      <c r="Z109" s="44"/>
      <c r="AA109" s="1"/>
      <c r="AB109" s="43"/>
      <c r="AC109" s="44"/>
      <c r="AD109" s="43"/>
      <c r="AE109" s="275"/>
      <c r="AF109" s="275"/>
      <c r="AG109" s="44"/>
      <c r="AH109" s="43"/>
      <c r="AI109" s="275"/>
      <c r="AJ109" s="275"/>
      <c r="AK109" s="275"/>
      <c r="AL109" s="275"/>
      <c r="AM109" s="275"/>
      <c r="AN109" s="277"/>
      <c r="AO109" s="274"/>
      <c r="AP109" s="275"/>
      <c r="AQ109" s="275"/>
      <c r="AR109" s="275"/>
      <c r="AS109" s="275"/>
      <c r="AT109" s="44"/>
      <c r="AU109" s="1"/>
      <c r="AV109" s="1"/>
    </row>
    <row r="110" spans="18:48">
      <c r="R110" s="1"/>
      <c r="S110" s="1"/>
      <c r="T110" s="275" t="s">
        <v>1822</v>
      </c>
      <c r="U110" s="44" t="b">
        <f>ISBLANK(TableauPokemonCapturé[[#This Row],[PokeID]])=FALSE</f>
        <v>0</v>
      </c>
      <c r="V110" s="1"/>
      <c r="W110" s="1"/>
      <c r="X110" s="43"/>
      <c r="Y110" s="275"/>
      <c r="Z110" s="44"/>
      <c r="AA110" s="1"/>
      <c r="AB110" s="43"/>
      <c r="AC110" s="44"/>
      <c r="AD110" s="43"/>
      <c r="AE110" s="275"/>
      <c r="AF110" s="275"/>
      <c r="AG110" s="44"/>
      <c r="AH110" s="43"/>
      <c r="AI110" s="275"/>
      <c r="AJ110" s="275"/>
      <c r="AK110" s="275"/>
      <c r="AL110" s="275"/>
      <c r="AM110" s="275"/>
      <c r="AN110" s="277"/>
      <c r="AO110" s="274"/>
      <c r="AP110" s="275"/>
      <c r="AQ110" s="275"/>
      <c r="AR110" s="275"/>
      <c r="AS110" s="275"/>
      <c r="AT110" s="44"/>
      <c r="AU110" s="1"/>
      <c r="AV110" s="1"/>
    </row>
    <row r="111" spans="18:48">
      <c r="R111" s="1"/>
      <c r="S111" s="1"/>
      <c r="T111" s="275" t="s">
        <v>1823</v>
      </c>
      <c r="U111" s="44" t="b">
        <f>ISBLANK(TableauPokemonCapturé[[#This Row],[PokeID]])=FALSE</f>
        <v>0</v>
      </c>
      <c r="V111" s="1"/>
      <c r="W111" s="1"/>
      <c r="X111" s="43"/>
      <c r="Y111" s="275"/>
      <c r="Z111" s="44"/>
      <c r="AA111" s="1"/>
      <c r="AB111" s="43"/>
      <c r="AC111" s="44"/>
      <c r="AD111" s="43"/>
      <c r="AE111" s="275"/>
      <c r="AF111" s="275"/>
      <c r="AG111" s="44"/>
      <c r="AH111" s="43"/>
      <c r="AI111" s="275"/>
      <c r="AJ111" s="275"/>
      <c r="AK111" s="275"/>
      <c r="AL111" s="275"/>
      <c r="AM111" s="275"/>
      <c r="AN111" s="277"/>
      <c r="AO111" s="274"/>
      <c r="AP111" s="275"/>
      <c r="AQ111" s="275"/>
      <c r="AR111" s="275"/>
      <c r="AS111" s="275"/>
      <c r="AT111" s="44"/>
      <c r="AU111" s="1"/>
      <c r="AV111" s="1"/>
    </row>
    <row r="112" spans="18:48">
      <c r="R112" s="1"/>
      <c r="S112" s="1"/>
      <c r="T112" s="275" t="s">
        <v>1824</v>
      </c>
      <c r="U112" s="44" t="b">
        <f>ISBLANK(TableauPokemonCapturé[[#This Row],[PokeID]])=FALSE</f>
        <v>0</v>
      </c>
      <c r="V112" s="1"/>
      <c r="W112" s="1"/>
      <c r="X112" s="43"/>
      <c r="Y112" s="275"/>
      <c r="Z112" s="44"/>
      <c r="AA112" s="1"/>
      <c r="AB112" s="43"/>
      <c r="AC112" s="44"/>
      <c r="AD112" s="43"/>
      <c r="AE112" s="275"/>
      <c r="AF112" s="275"/>
      <c r="AG112" s="44"/>
      <c r="AH112" s="43"/>
      <c r="AI112" s="275"/>
      <c r="AJ112" s="275"/>
      <c r="AK112" s="275"/>
      <c r="AL112" s="275"/>
      <c r="AM112" s="275"/>
      <c r="AN112" s="277"/>
      <c r="AO112" s="274"/>
      <c r="AP112" s="275"/>
      <c r="AQ112" s="275"/>
      <c r="AR112" s="275"/>
      <c r="AS112" s="275"/>
      <c r="AT112" s="44"/>
      <c r="AU112" s="1"/>
      <c r="AV112" s="1"/>
    </row>
    <row r="113" spans="18:48">
      <c r="R113" s="1"/>
      <c r="S113" s="1"/>
      <c r="T113" s="275" t="s">
        <v>1825</v>
      </c>
      <c r="U113" s="44" t="b">
        <f>ISBLANK(TableauPokemonCapturé[[#This Row],[PokeID]])=FALSE</f>
        <v>0</v>
      </c>
      <c r="V113" s="1"/>
      <c r="W113" s="1"/>
      <c r="X113" s="43"/>
      <c r="Y113" s="275"/>
      <c r="Z113" s="44"/>
      <c r="AA113" s="1"/>
      <c r="AB113" s="43"/>
      <c r="AC113" s="44"/>
      <c r="AD113" s="43"/>
      <c r="AE113" s="275"/>
      <c r="AF113" s="275"/>
      <c r="AG113" s="44"/>
      <c r="AH113" s="43"/>
      <c r="AI113" s="275"/>
      <c r="AJ113" s="275"/>
      <c r="AK113" s="275"/>
      <c r="AL113" s="275"/>
      <c r="AM113" s="275"/>
      <c r="AN113" s="277"/>
      <c r="AO113" s="274"/>
      <c r="AP113" s="275"/>
      <c r="AQ113" s="275"/>
      <c r="AR113" s="275"/>
      <c r="AS113" s="275"/>
      <c r="AT113" s="44"/>
      <c r="AU113" s="1"/>
      <c r="AV113" s="1"/>
    </row>
    <row r="114" spans="18:48">
      <c r="R114" s="1"/>
      <c r="S114" s="1"/>
      <c r="T114" s="275" t="s">
        <v>1826</v>
      </c>
      <c r="U114" s="44" t="b">
        <f>ISBLANK(TableauPokemonCapturé[[#This Row],[PokeID]])=FALSE</f>
        <v>0</v>
      </c>
      <c r="V114" s="1"/>
      <c r="W114" s="1"/>
      <c r="X114" s="43"/>
      <c r="Y114" s="275"/>
      <c r="Z114" s="44"/>
      <c r="AA114" s="1"/>
      <c r="AB114" s="43"/>
      <c r="AC114" s="44"/>
      <c r="AD114" s="43"/>
      <c r="AE114" s="275"/>
      <c r="AF114" s="275"/>
      <c r="AG114" s="44"/>
      <c r="AH114" s="43"/>
      <c r="AI114" s="275"/>
      <c r="AJ114" s="275"/>
      <c r="AK114" s="275"/>
      <c r="AL114" s="275"/>
      <c r="AM114" s="275"/>
      <c r="AN114" s="277"/>
      <c r="AO114" s="274"/>
      <c r="AP114" s="275"/>
      <c r="AQ114" s="275"/>
      <c r="AR114" s="275"/>
      <c r="AS114" s="275"/>
      <c r="AT114" s="44"/>
      <c r="AU114" s="1"/>
      <c r="AV114" s="1"/>
    </row>
    <row r="115" spans="18:48">
      <c r="R115" s="1"/>
      <c r="S115" s="1"/>
      <c r="T115" s="275" t="s">
        <v>1827</v>
      </c>
      <c r="U115" s="44" t="b">
        <f>ISBLANK(TableauPokemonCapturé[[#This Row],[PokeID]])=FALSE</f>
        <v>0</v>
      </c>
      <c r="V115" s="1"/>
      <c r="W115" s="1"/>
      <c r="X115" s="43"/>
      <c r="Y115" s="275"/>
      <c r="Z115" s="44"/>
      <c r="AA115" s="1"/>
      <c r="AB115" s="43"/>
      <c r="AC115" s="44"/>
      <c r="AD115" s="43"/>
      <c r="AE115" s="275"/>
      <c r="AF115" s="275"/>
      <c r="AG115" s="44"/>
      <c r="AH115" s="43"/>
      <c r="AI115" s="275"/>
      <c r="AJ115" s="275"/>
      <c r="AK115" s="275"/>
      <c r="AL115" s="275"/>
      <c r="AM115" s="275"/>
      <c r="AN115" s="277"/>
      <c r="AO115" s="274"/>
      <c r="AP115" s="275"/>
      <c r="AQ115" s="275"/>
      <c r="AR115" s="275"/>
      <c r="AS115" s="275"/>
      <c r="AT115" s="44"/>
      <c r="AU115" s="1"/>
      <c r="AV115" s="1"/>
    </row>
    <row r="116" spans="18:48">
      <c r="R116" s="1"/>
      <c r="S116" s="1"/>
      <c r="T116" s="275" t="s">
        <v>1828</v>
      </c>
      <c r="U116" s="44" t="b">
        <f>ISBLANK(TableauPokemonCapturé[[#This Row],[PokeID]])=FALSE</f>
        <v>0</v>
      </c>
      <c r="V116" s="1"/>
      <c r="W116" s="1"/>
      <c r="X116" s="43"/>
      <c r="Y116" s="275"/>
      <c r="Z116" s="44"/>
      <c r="AA116" s="1"/>
      <c r="AB116" s="43"/>
      <c r="AC116" s="44"/>
      <c r="AD116" s="43"/>
      <c r="AE116" s="275"/>
      <c r="AF116" s="275"/>
      <c r="AG116" s="44"/>
      <c r="AH116" s="43"/>
      <c r="AI116" s="275"/>
      <c r="AJ116" s="275"/>
      <c r="AK116" s="275"/>
      <c r="AL116" s="275"/>
      <c r="AM116" s="275"/>
      <c r="AN116" s="277"/>
      <c r="AO116" s="274"/>
      <c r="AP116" s="275"/>
      <c r="AQ116" s="275"/>
      <c r="AR116" s="275"/>
      <c r="AS116" s="275"/>
      <c r="AT116" s="44"/>
      <c r="AU116" s="1"/>
      <c r="AV116" s="1"/>
    </row>
    <row r="117" spans="18:48">
      <c r="R117" s="1"/>
      <c r="S117" s="1"/>
      <c r="T117" s="275" t="s">
        <v>1829</v>
      </c>
      <c r="U117" s="44" t="b">
        <f>ISBLANK(TableauPokemonCapturé[[#This Row],[PokeID]])=FALSE</f>
        <v>0</v>
      </c>
      <c r="V117" s="1"/>
      <c r="W117" s="1"/>
      <c r="X117" s="43"/>
      <c r="Y117" s="275"/>
      <c r="Z117" s="44"/>
      <c r="AA117" s="1"/>
      <c r="AB117" s="43"/>
      <c r="AC117" s="44"/>
      <c r="AD117" s="43"/>
      <c r="AE117" s="275"/>
      <c r="AF117" s="275"/>
      <c r="AG117" s="44"/>
      <c r="AH117" s="43"/>
      <c r="AI117" s="275"/>
      <c r="AJ117" s="275"/>
      <c r="AK117" s="275"/>
      <c r="AL117" s="275"/>
      <c r="AM117" s="275"/>
      <c r="AN117" s="277"/>
      <c r="AO117" s="274"/>
      <c r="AP117" s="275"/>
      <c r="AQ117" s="275"/>
      <c r="AR117" s="275"/>
      <c r="AS117" s="275"/>
      <c r="AT117" s="44"/>
      <c r="AU117" s="1"/>
      <c r="AV117" s="1"/>
    </row>
    <row r="118" spans="18:48">
      <c r="R118" s="1"/>
      <c r="S118" s="1"/>
      <c r="T118" s="275" t="s">
        <v>1830</v>
      </c>
      <c r="U118" s="44" t="b">
        <f>ISBLANK(TableauPokemonCapturé[[#This Row],[PokeID]])=FALSE</f>
        <v>0</v>
      </c>
      <c r="V118" s="1"/>
      <c r="W118" s="1"/>
      <c r="X118" s="43"/>
      <c r="Y118" s="275"/>
      <c r="Z118" s="44"/>
      <c r="AA118" s="1"/>
      <c r="AB118" s="43"/>
      <c r="AC118" s="44"/>
      <c r="AD118" s="43"/>
      <c r="AE118" s="275"/>
      <c r="AF118" s="275"/>
      <c r="AG118" s="44"/>
      <c r="AH118" s="43"/>
      <c r="AI118" s="275"/>
      <c r="AJ118" s="275"/>
      <c r="AK118" s="275"/>
      <c r="AL118" s="275"/>
      <c r="AM118" s="275"/>
      <c r="AN118" s="277"/>
      <c r="AO118" s="274"/>
      <c r="AP118" s="275"/>
      <c r="AQ118" s="275"/>
      <c r="AR118" s="275"/>
      <c r="AS118" s="275"/>
      <c r="AT118" s="44"/>
      <c r="AU118" s="1"/>
      <c r="AV118" s="1"/>
    </row>
    <row r="119" spans="18:48">
      <c r="R119" s="1"/>
      <c r="S119" s="1"/>
      <c r="T119" s="275" t="s">
        <v>1831</v>
      </c>
      <c r="U119" s="44" t="b">
        <f>ISBLANK(TableauPokemonCapturé[[#This Row],[PokeID]])=FALSE</f>
        <v>0</v>
      </c>
      <c r="V119" s="1"/>
      <c r="W119" s="1"/>
      <c r="X119" s="43"/>
      <c r="Y119" s="275"/>
      <c r="Z119" s="44"/>
      <c r="AA119" s="1"/>
      <c r="AB119" s="43"/>
      <c r="AC119" s="44"/>
      <c r="AD119" s="43"/>
      <c r="AE119" s="275"/>
      <c r="AF119" s="275"/>
      <c r="AG119" s="44"/>
      <c r="AH119" s="43"/>
      <c r="AI119" s="275"/>
      <c r="AJ119" s="275"/>
      <c r="AK119" s="275"/>
      <c r="AL119" s="275"/>
      <c r="AM119" s="275"/>
      <c r="AN119" s="277"/>
      <c r="AO119" s="274"/>
      <c r="AP119" s="275"/>
      <c r="AQ119" s="275"/>
      <c r="AR119" s="275"/>
      <c r="AS119" s="275"/>
      <c r="AT119" s="44"/>
      <c r="AU119" s="1"/>
      <c r="AV119" s="1"/>
    </row>
    <row r="120" spans="18:48">
      <c r="R120" s="1"/>
      <c r="S120" s="1"/>
      <c r="T120" s="275" t="s">
        <v>1832</v>
      </c>
      <c r="U120" s="44" t="b">
        <f>ISBLANK(TableauPokemonCapturé[[#This Row],[PokeID]])=FALSE</f>
        <v>0</v>
      </c>
      <c r="V120" s="1"/>
      <c r="W120" s="1"/>
      <c r="X120" s="43"/>
      <c r="Y120" s="275"/>
      <c r="Z120" s="44"/>
      <c r="AA120" s="1"/>
      <c r="AB120" s="43"/>
      <c r="AC120" s="44"/>
      <c r="AD120" s="43"/>
      <c r="AE120" s="275"/>
      <c r="AF120" s="275"/>
      <c r="AG120" s="44"/>
      <c r="AH120" s="43"/>
      <c r="AI120" s="275"/>
      <c r="AJ120" s="275"/>
      <c r="AK120" s="275"/>
      <c r="AL120" s="275"/>
      <c r="AM120" s="275"/>
      <c r="AN120" s="277"/>
      <c r="AO120" s="274"/>
      <c r="AP120" s="275"/>
      <c r="AQ120" s="275"/>
      <c r="AR120" s="275"/>
      <c r="AS120" s="275"/>
      <c r="AT120" s="44"/>
      <c r="AU120" s="1"/>
      <c r="AV120" s="1"/>
    </row>
    <row r="121" spans="18:48">
      <c r="R121" s="1"/>
      <c r="S121" s="1"/>
      <c r="T121" s="275" t="s">
        <v>1833</v>
      </c>
      <c r="U121" s="44" t="b">
        <f>ISBLANK(TableauPokemonCapturé[[#This Row],[PokeID]])=FALSE</f>
        <v>0</v>
      </c>
      <c r="V121" s="1"/>
      <c r="W121" s="1"/>
      <c r="X121" s="43"/>
      <c r="Y121" s="275"/>
      <c r="Z121" s="44"/>
      <c r="AA121" s="1"/>
      <c r="AB121" s="43"/>
      <c r="AC121" s="44"/>
      <c r="AD121" s="43"/>
      <c r="AE121" s="275"/>
      <c r="AF121" s="275"/>
      <c r="AG121" s="44"/>
      <c r="AH121" s="43"/>
      <c r="AI121" s="275"/>
      <c r="AJ121" s="275"/>
      <c r="AK121" s="275"/>
      <c r="AL121" s="275"/>
      <c r="AM121" s="275"/>
      <c r="AN121" s="277"/>
      <c r="AO121" s="274"/>
      <c r="AP121" s="275"/>
      <c r="AQ121" s="275"/>
      <c r="AR121" s="275"/>
      <c r="AS121" s="275"/>
      <c r="AT121" s="44"/>
      <c r="AU121" s="1"/>
      <c r="AV121" s="1"/>
    </row>
    <row r="122" spans="18:48">
      <c r="R122" s="1"/>
      <c r="S122" s="1"/>
      <c r="T122" s="275" t="s">
        <v>1834</v>
      </c>
      <c r="U122" s="44" t="b">
        <f>ISBLANK(TableauPokemonCapturé[[#This Row],[PokeID]])=FALSE</f>
        <v>0</v>
      </c>
      <c r="V122" s="1"/>
      <c r="W122" s="1"/>
      <c r="X122" s="43"/>
      <c r="Y122" s="275"/>
      <c r="Z122" s="44"/>
      <c r="AA122" s="1"/>
      <c r="AB122" s="43"/>
      <c r="AC122" s="44"/>
      <c r="AD122" s="43"/>
      <c r="AE122" s="275"/>
      <c r="AF122" s="275"/>
      <c r="AG122" s="44"/>
      <c r="AH122" s="43"/>
      <c r="AI122" s="275"/>
      <c r="AJ122" s="275"/>
      <c r="AK122" s="275"/>
      <c r="AL122" s="275"/>
      <c r="AM122" s="275"/>
      <c r="AN122" s="277"/>
      <c r="AO122" s="274"/>
      <c r="AP122" s="275"/>
      <c r="AQ122" s="275"/>
      <c r="AR122" s="275"/>
      <c r="AS122" s="275"/>
      <c r="AT122" s="44"/>
      <c r="AU122" s="1"/>
      <c r="AV122" s="1"/>
    </row>
    <row r="123" spans="18:48">
      <c r="R123" s="1"/>
      <c r="S123" s="1"/>
      <c r="T123" s="275" t="s">
        <v>1835</v>
      </c>
      <c r="U123" s="44" t="b">
        <f>ISBLANK(TableauPokemonCapturé[[#This Row],[PokeID]])=FALSE</f>
        <v>0</v>
      </c>
      <c r="V123" s="1"/>
      <c r="W123" s="1"/>
      <c r="X123" s="43"/>
      <c r="Y123" s="275"/>
      <c r="Z123" s="44"/>
      <c r="AA123" s="1"/>
      <c r="AB123" s="43"/>
      <c r="AC123" s="44"/>
      <c r="AD123" s="43"/>
      <c r="AE123" s="275"/>
      <c r="AF123" s="275"/>
      <c r="AG123" s="44"/>
      <c r="AH123" s="43"/>
      <c r="AI123" s="275"/>
      <c r="AJ123" s="275"/>
      <c r="AK123" s="275"/>
      <c r="AL123" s="275"/>
      <c r="AM123" s="275"/>
      <c r="AN123" s="277"/>
      <c r="AO123" s="274"/>
      <c r="AP123" s="275"/>
      <c r="AQ123" s="275"/>
      <c r="AR123" s="275"/>
      <c r="AS123" s="275"/>
      <c r="AT123" s="44"/>
      <c r="AU123" s="1"/>
      <c r="AV123" s="1"/>
    </row>
    <row r="124" spans="18:48">
      <c r="R124" s="1"/>
      <c r="S124" s="1"/>
      <c r="T124" s="275" t="s">
        <v>1836</v>
      </c>
      <c r="U124" s="44" t="b">
        <f>ISBLANK(TableauPokemonCapturé[[#This Row],[PokeID]])=FALSE</f>
        <v>0</v>
      </c>
      <c r="V124" s="1"/>
      <c r="W124" s="1"/>
      <c r="X124" s="43"/>
      <c r="Y124" s="275"/>
      <c r="Z124" s="44"/>
      <c r="AA124" s="1"/>
      <c r="AB124" s="43"/>
      <c r="AC124" s="44"/>
      <c r="AD124" s="43"/>
      <c r="AE124" s="275"/>
      <c r="AF124" s="275"/>
      <c r="AG124" s="44"/>
      <c r="AH124" s="43"/>
      <c r="AI124" s="275"/>
      <c r="AJ124" s="275"/>
      <c r="AK124" s="275"/>
      <c r="AL124" s="275"/>
      <c r="AM124" s="275"/>
      <c r="AN124" s="277"/>
      <c r="AO124" s="274"/>
      <c r="AP124" s="275"/>
      <c r="AQ124" s="275"/>
      <c r="AR124" s="275"/>
      <c r="AS124" s="275"/>
      <c r="AT124" s="44"/>
      <c r="AU124" s="1"/>
      <c r="AV124" s="1"/>
    </row>
    <row r="125" spans="18:48">
      <c r="R125" s="1"/>
      <c r="S125" s="1"/>
      <c r="T125" s="275" t="s">
        <v>1837</v>
      </c>
      <c r="U125" s="44" t="b">
        <f>ISBLANK(TableauPokemonCapturé[[#This Row],[PokeID]])=FALSE</f>
        <v>0</v>
      </c>
      <c r="V125" s="1"/>
      <c r="W125" s="1"/>
      <c r="X125" s="43"/>
      <c r="Y125" s="275"/>
      <c r="Z125" s="44"/>
      <c r="AA125" s="1"/>
      <c r="AB125" s="43"/>
      <c r="AC125" s="44"/>
      <c r="AD125" s="43"/>
      <c r="AE125" s="275"/>
      <c r="AF125" s="275"/>
      <c r="AG125" s="44"/>
      <c r="AH125" s="43"/>
      <c r="AI125" s="275"/>
      <c r="AJ125" s="275"/>
      <c r="AK125" s="275"/>
      <c r="AL125" s="275"/>
      <c r="AM125" s="275"/>
      <c r="AN125" s="277"/>
      <c r="AO125" s="274"/>
      <c r="AP125" s="275"/>
      <c r="AQ125" s="275"/>
      <c r="AR125" s="275"/>
      <c r="AS125" s="275"/>
      <c r="AT125" s="44"/>
      <c r="AU125" s="1"/>
      <c r="AV125" s="1"/>
    </row>
    <row r="126" spans="18:48">
      <c r="R126" s="1"/>
      <c r="S126" s="1"/>
      <c r="T126" s="275" t="s">
        <v>1838</v>
      </c>
      <c r="U126" s="44" t="b">
        <f>ISBLANK(TableauPokemonCapturé[[#This Row],[PokeID]])=FALSE</f>
        <v>0</v>
      </c>
      <c r="V126" s="1"/>
      <c r="W126" s="1"/>
      <c r="X126" s="43"/>
      <c r="Y126" s="275"/>
      <c r="Z126" s="44"/>
      <c r="AA126" s="1"/>
      <c r="AB126" s="43"/>
      <c r="AC126" s="44"/>
      <c r="AD126" s="43"/>
      <c r="AE126" s="275"/>
      <c r="AF126" s="275"/>
      <c r="AG126" s="44"/>
      <c r="AH126" s="43"/>
      <c r="AI126" s="275"/>
      <c r="AJ126" s="275"/>
      <c r="AK126" s="275"/>
      <c r="AL126" s="275"/>
      <c r="AM126" s="275"/>
      <c r="AN126" s="277"/>
      <c r="AO126" s="274"/>
      <c r="AP126" s="275"/>
      <c r="AQ126" s="275"/>
      <c r="AR126" s="275"/>
      <c r="AS126" s="275"/>
      <c r="AT126" s="44"/>
      <c r="AU126" s="1"/>
      <c r="AV126" s="1"/>
    </row>
    <row r="127" spans="18:48">
      <c r="R127" s="1"/>
      <c r="S127" s="1"/>
      <c r="T127" s="275" t="s">
        <v>1839</v>
      </c>
      <c r="U127" s="44" t="b">
        <f>ISBLANK(TableauPokemonCapturé[[#This Row],[PokeID]])=FALSE</f>
        <v>0</v>
      </c>
      <c r="V127" s="1"/>
      <c r="W127" s="1"/>
      <c r="X127" s="43"/>
      <c r="Y127" s="275"/>
      <c r="Z127" s="44"/>
      <c r="AA127" s="1"/>
      <c r="AB127" s="43"/>
      <c r="AC127" s="44"/>
      <c r="AD127" s="43"/>
      <c r="AE127" s="275"/>
      <c r="AF127" s="275"/>
      <c r="AG127" s="44"/>
      <c r="AH127" s="43"/>
      <c r="AI127" s="275"/>
      <c r="AJ127" s="275"/>
      <c r="AK127" s="275"/>
      <c r="AL127" s="275"/>
      <c r="AM127" s="275"/>
      <c r="AN127" s="277"/>
      <c r="AO127" s="274"/>
      <c r="AP127" s="275"/>
      <c r="AQ127" s="275"/>
      <c r="AR127" s="275"/>
      <c r="AS127" s="275"/>
      <c r="AT127" s="44"/>
      <c r="AU127" s="1"/>
      <c r="AV127" s="1"/>
    </row>
    <row r="128" spans="18:48">
      <c r="R128" s="1"/>
      <c r="S128" s="1"/>
      <c r="T128" s="275" t="s">
        <v>1840</v>
      </c>
      <c r="U128" s="44" t="b">
        <f>ISBLANK(TableauPokemonCapturé[[#This Row],[PokeID]])=FALSE</f>
        <v>0</v>
      </c>
      <c r="V128" s="1"/>
      <c r="W128" s="1"/>
      <c r="X128" s="43"/>
      <c r="Y128" s="275"/>
      <c r="Z128" s="44"/>
      <c r="AA128" s="1"/>
      <c r="AB128" s="43"/>
      <c r="AC128" s="44"/>
      <c r="AD128" s="43"/>
      <c r="AE128" s="275"/>
      <c r="AF128" s="275"/>
      <c r="AG128" s="44"/>
      <c r="AH128" s="43"/>
      <c r="AI128" s="275"/>
      <c r="AJ128" s="275"/>
      <c r="AK128" s="275"/>
      <c r="AL128" s="275"/>
      <c r="AM128" s="275"/>
      <c r="AN128" s="277"/>
      <c r="AO128" s="274"/>
      <c r="AP128" s="275"/>
      <c r="AQ128" s="275"/>
      <c r="AR128" s="275"/>
      <c r="AS128" s="275"/>
      <c r="AT128" s="44"/>
      <c r="AU128" s="1"/>
      <c r="AV128" s="1"/>
    </row>
    <row r="129" spans="18:48">
      <c r="R129" s="1"/>
      <c r="S129" s="1"/>
      <c r="T129" s="275" t="s">
        <v>1841</v>
      </c>
      <c r="U129" s="44" t="b">
        <f>ISBLANK(TableauPokemonCapturé[[#This Row],[PokeID]])=FALSE</f>
        <v>0</v>
      </c>
      <c r="V129" s="1"/>
      <c r="W129" s="1"/>
      <c r="X129" s="43"/>
      <c r="Y129" s="275"/>
      <c r="Z129" s="44"/>
      <c r="AA129" s="1"/>
      <c r="AB129" s="43"/>
      <c r="AC129" s="44"/>
      <c r="AD129" s="43"/>
      <c r="AE129" s="275"/>
      <c r="AF129" s="275"/>
      <c r="AG129" s="44"/>
      <c r="AH129" s="43"/>
      <c r="AI129" s="275"/>
      <c r="AJ129" s="275"/>
      <c r="AK129" s="275"/>
      <c r="AL129" s="275"/>
      <c r="AM129" s="275"/>
      <c r="AN129" s="277"/>
      <c r="AO129" s="274"/>
      <c r="AP129" s="275"/>
      <c r="AQ129" s="275"/>
      <c r="AR129" s="275"/>
      <c r="AS129" s="275"/>
      <c r="AT129" s="44"/>
      <c r="AU129" s="1"/>
      <c r="AV129" s="1"/>
    </row>
    <row r="130" spans="18:48">
      <c r="R130" s="1"/>
      <c r="S130" s="1"/>
      <c r="T130" s="275" t="s">
        <v>1842</v>
      </c>
      <c r="U130" s="44" t="b">
        <f>ISBLANK(TableauPokemonCapturé[[#This Row],[PokeID]])=FALSE</f>
        <v>0</v>
      </c>
      <c r="V130" s="1"/>
      <c r="W130" s="1"/>
      <c r="X130" s="43"/>
      <c r="Y130" s="275"/>
      <c r="Z130" s="44"/>
      <c r="AA130" s="1"/>
      <c r="AB130" s="43"/>
      <c r="AC130" s="44"/>
      <c r="AD130" s="43"/>
      <c r="AE130" s="275"/>
      <c r="AF130" s="275"/>
      <c r="AG130" s="44"/>
      <c r="AH130" s="43"/>
      <c r="AI130" s="275"/>
      <c r="AJ130" s="275"/>
      <c r="AK130" s="275"/>
      <c r="AL130" s="275"/>
      <c r="AM130" s="275"/>
      <c r="AN130" s="277"/>
      <c r="AO130" s="274"/>
      <c r="AP130" s="275"/>
      <c r="AQ130" s="275"/>
      <c r="AR130" s="275"/>
      <c r="AS130" s="275"/>
      <c r="AT130" s="44"/>
      <c r="AU130" s="1"/>
      <c r="AV130" s="1"/>
    </row>
    <row r="131" spans="18:48">
      <c r="R131" s="1"/>
      <c r="S131" s="1"/>
      <c r="T131" s="275" t="s">
        <v>1843</v>
      </c>
      <c r="U131" s="44" t="b">
        <f>ISBLANK(TableauPokemonCapturé[[#This Row],[PokeID]])=FALSE</f>
        <v>0</v>
      </c>
      <c r="V131" s="1"/>
      <c r="W131" s="1"/>
      <c r="X131" s="43"/>
      <c r="Y131" s="275"/>
      <c r="Z131" s="44"/>
      <c r="AA131" s="1"/>
      <c r="AB131" s="43"/>
      <c r="AC131" s="44"/>
      <c r="AD131" s="43"/>
      <c r="AE131" s="275"/>
      <c r="AF131" s="275"/>
      <c r="AG131" s="44"/>
      <c r="AH131" s="43"/>
      <c r="AI131" s="275"/>
      <c r="AJ131" s="275"/>
      <c r="AK131" s="275"/>
      <c r="AL131" s="275"/>
      <c r="AM131" s="275"/>
      <c r="AN131" s="277"/>
      <c r="AO131" s="274"/>
      <c r="AP131" s="275"/>
      <c r="AQ131" s="275"/>
      <c r="AR131" s="275"/>
      <c r="AS131" s="275"/>
      <c r="AT131" s="44"/>
      <c r="AU131" s="1"/>
      <c r="AV131" s="1"/>
    </row>
    <row r="132" spans="18:48">
      <c r="R132" s="1"/>
      <c r="S132" s="1"/>
      <c r="T132" s="275" t="s">
        <v>1844</v>
      </c>
      <c r="U132" s="44" t="b">
        <f>ISBLANK(TableauPokemonCapturé[[#This Row],[PokeID]])=FALSE</f>
        <v>0</v>
      </c>
      <c r="V132" s="1"/>
      <c r="W132" s="1"/>
      <c r="X132" s="43"/>
      <c r="Y132" s="275"/>
      <c r="Z132" s="44"/>
      <c r="AA132" s="1"/>
      <c r="AB132" s="43"/>
      <c r="AC132" s="44"/>
      <c r="AD132" s="43"/>
      <c r="AE132" s="275"/>
      <c r="AF132" s="275"/>
      <c r="AG132" s="44"/>
      <c r="AH132" s="43"/>
      <c r="AI132" s="275"/>
      <c r="AJ132" s="275"/>
      <c r="AK132" s="275"/>
      <c r="AL132" s="275"/>
      <c r="AM132" s="275"/>
      <c r="AN132" s="277"/>
      <c r="AO132" s="274"/>
      <c r="AP132" s="275"/>
      <c r="AQ132" s="275"/>
      <c r="AR132" s="275"/>
      <c r="AS132" s="275"/>
      <c r="AT132" s="44"/>
      <c r="AU132" s="1"/>
      <c r="AV132" s="1"/>
    </row>
    <row r="133" spans="18:48">
      <c r="R133" s="1"/>
      <c r="S133" s="1"/>
      <c r="T133" s="275" t="s">
        <v>1845</v>
      </c>
      <c r="U133" s="44" t="b">
        <f>ISBLANK(TableauPokemonCapturé[[#This Row],[PokeID]])=FALSE</f>
        <v>0</v>
      </c>
      <c r="V133" s="1"/>
      <c r="W133" s="1"/>
      <c r="X133" s="43"/>
      <c r="Y133" s="275"/>
      <c r="Z133" s="44"/>
      <c r="AA133" s="1"/>
      <c r="AB133" s="43"/>
      <c r="AC133" s="44"/>
      <c r="AD133" s="43"/>
      <c r="AE133" s="275"/>
      <c r="AF133" s="275"/>
      <c r="AG133" s="44"/>
      <c r="AH133" s="43"/>
      <c r="AI133" s="275"/>
      <c r="AJ133" s="275"/>
      <c r="AK133" s="275"/>
      <c r="AL133" s="275"/>
      <c r="AM133" s="275"/>
      <c r="AN133" s="277"/>
      <c r="AO133" s="274"/>
      <c r="AP133" s="275"/>
      <c r="AQ133" s="275"/>
      <c r="AR133" s="275"/>
      <c r="AS133" s="275"/>
      <c r="AT133" s="44"/>
      <c r="AU133" s="1"/>
      <c r="AV133" s="1"/>
    </row>
    <row r="134" spans="18:48">
      <c r="R134" s="1"/>
      <c r="S134" s="1"/>
      <c r="T134" s="275" t="s">
        <v>1846</v>
      </c>
      <c r="U134" s="44" t="b">
        <f>ISBLANK(TableauPokemonCapturé[[#This Row],[PokeID]])=FALSE</f>
        <v>0</v>
      </c>
      <c r="V134" s="1"/>
      <c r="W134" s="1"/>
      <c r="X134" s="43"/>
      <c r="Y134" s="275"/>
      <c r="Z134" s="44"/>
      <c r="AA134" s="1"/>
      <c r="AB134" s="43"/>
      <c r="AC134" s="44"/>
      <c r="AD134" s="43"/>
      <c r="AE134" s="275"/>
      <c r="AF134" s="275"/>
      <c r="AG134" s="44"/>
      <c r="AH134" s="43"/>
      <c r="AI134" s="275"/>
      <c r="AJ134" s="275"/>
      <c r="AK134" s="275"/>
      <c r="AL134" s="275"/>
      <c r="AM134" s="275"/>
      <c r="AN134" s="277"/>
      <c r="AO134" s="274"/>
      <c r="AP134" s="275"/>
      <c r="AQ134" s="275"/>
      <c r="AR134" s="275"/>
      <c r="AS134" s="275"/>
      <c r="AT134" s="44"/>
      <c r="AU134" s="1"/>
      <c r="AV134" s="1"/>
    </row>
    <row r="135" spans="18:48">
      <c r="R135" s="1"/>
      <c r="S135" s="1"/>
      <c r="T135" s="275" t="s">
        <v>1847</v>
      </c>
      <c r="U135" s="44" t="b">
        <f>ISBLANK(TableauPokemonCapturé[[#This Row],[PokeID]])=FALSE</f>
        <v>0</v>
      </c>
      <c r="V135" s="1"/>
      <c r="W135" s="1"/>
      <c r="X135" s="43"/>
      <c r="Y135" s="275"/>
      <c r="Z135" s="44"/>
      <c r="AA135" s="1"/>
      <c r="AB135" s="43"/>
      <c r="AC135" s="44"/>
      <c r="AD135" s="43"/>
      <c r="AE135" s="275"/>
      <c r="AF135" s="275"/>
      <c r="AG135" s="44"/>
      <c r="AH135" s="43"/>
      <c r="AI135" s="275"/>
      <c r="AJ135" s="275"/>
      <c r="AK135" s="275"/>
      <c r="AL135" s="275"/>
      <c r="AM135" s="275"/>
      <c r="AN135" s="277"/>
      <c r="AO135" s="274"/>
      <c r="AP135" s="275"/>
      <c r="AQ135" s="275"/>
      <c r="AR135" s="275"/>
      <c r="AS135" s="275"/>
      <c r="AT135" s="44"/>
      <c r="AU135" s="1"/>
      <c r="AV135" s="1"/>
    </row>
    <row r="136" spans="18:48">
      <c r="R136" s="1"/>
      <c r="S136" s="1"/>
      <c r="T136" s="275" t="s">
        <v>1848</v>
      </c>
      <c r="U136" s="44" t="b">
        <f>ISBLANK(TableauPokemonCapturé[[#This Row],[PokeID]])=FALSE</f>
        <v>0</v>
      </c>
      <c r="V136" s="1"/>
      <c r="W136" s="1"/>
      <c r="X136" s="43"/>
      <c r="Y136" s="275"/>
      <c r="Z136" s="44"/>
      <c r="AA136" s="1"/>
      <c r="AB136" s="43"/>
      <c r="AC136" s="44"/>
      <c r="AD136" s="43"/>
      <c r="AE136" s="275"/>
      <c r="AF136" s="275"/>
      <c r="AG136" s="44"/>
      <c r="AH136" s="43"/>
      <c r="AI136" s="275"/>
      <c r="AJ136" s="275"/>
      <c r="AK136" s="275"/>
      <c r="AL136" s="275"/>
      <c r="AM136" s="275"/>
      <c r="AN136" s="277"/>
      <c r="AO136" s="274"/>
      <c r="AP136" s="275"/>
      <c r="AQ136" s="275"/>
      <c r="AR136" s="275"/>
      <c r="AS136" s="275"/>
      <c r="AT136" s="44"/>
      <c r="AU136" s="1"/>
      <c r="AV136" s="1"/>
    </row>
    <row r="137" spans="18:48">
      <c r="R137" s="1"/>
      <c r="S137" s="1"/>
      <c r="T137" s="275" t="s">
        <v>1849</v>
      </c>
      <c r="U137" s="44" t="b">
        <f>ISBLANK(TableauPokemonCapturé[[#This Row],[PokeID]])=FALSE</f>
        <v>0</v>
      </c>
      <c r="V137" s="1"/>
      <c r="W137" s="1"/>
      <c r="X137" s="43"/>
      <c r="Y137" s="275"/>
      <c r="Z137" s="44"/>
      <c r="AA137" s="1"/>
      <c r="AB137" s="43"/>
      <c r="AC137" s="44"/>
      <c r="AD137" s="43"/>
      <c r="AE137" s="275"/>
      <c r="AF137" s="275"/>
      <c r="AG137" s="44"/>
      <c r="AH137" s="43"/>
      <c r="AI137" s="275"/>
      <c r="AJ137" s="275"/>
      <c r="AK137" s="275"/>
      <c r="AL137" s="275"/>
      <c r="AM137" s="275"/>
      <c r="AN137" s="277"/>
      <c r="AO137" s="274"/>
      <c r="AP137" s="275"/>
      <c r="AQ137" s="275"/>
      <c r="AR137" s="275"/>
      <c r="AS137" s="275"/>
      <c r="AT137" s="44"/>
      <c r="AU137" s="1"/>
      <c r="AV137" s="1"/>
    </row>
    <row r="138" spans="18:48">
      <c r="R138" s="1"/>
      <c r="S138" s="1"/>
      <c r="T138" s="275" t="s">
        <v>1850</v>
      </c>
      <c r="U138" s="44" t="b">
        <f>ISBLANK(TableauPokemonCapturé[[#This Row],[PokeID]])=FALSE</f>
        <v>0</v>
      </c>
      <c r="V138" s="1"/>
      <c r="W138" s="1"/>
      <c r="X138" s="43"/>
      <c r="Y138" s="275"/>
      <c r="Z138" s="44"/>
      <c r="AA138" s="1"/>
      <c r="AB138" s="43"/>
      <c r="AC138" s="44"/>
      <c r="AD138" s="43"/>
      <c r="AE138" s="275"/>
      <c r="AF138" s="275"/>
      <c r="AG138" s="44"/>
      <c r="AH138" s="43"/>
      <c r="AI138" s="275"/>
      <c r="AJ138" s="275"/>
      <c r="AK138" s="275"/>
      <c r="AL138" s="275"/>
      <c r="AM138" s="275"/>
      <c r="AN138" s="277"/>
      <c r="AO138" s="274"/>
      <c r="AP138" s="275"/>
      <c r="AQ138" s="275"/>
      <c r="AR138" s="275"/>
      <c r="AS138" s="275"/>
      <c r="AT138" s="44"/>
      <c r="AU138" s="1"/>
      <c r="AV138" s="1"/>
    </row>
    <row r="139" spans="18:48">
      <c r="R139" s="1"/>
      <c r="S139" s="1"/>
      <c r="T139" s="275" t="s">
        <v>1851</v>
      </c>
      <c r="U139" s="44" t="b">
        <f>ISBLANK(TableauPokemonCapturé[[#This Row],[PokeID]])=FALSE</f>
        <v>0</v>
      </c>
      <c r="V139" s="1"/>
      <c r="W139" s="1"/>
      <c r="X139" s="43"/>
      <c r="Y139" s="275"/>
      <c r="Z139" s="44"/>
      <c r="AA139" s="1"/>
      <c r="AB139" s="43"/>
      <c r="AC139" s="44"/>
      <c r="AD139" s="43"/>
      <c r="AE139" s="275"/>
      <c r="AF139" s="275"/>
      <c r="AG139" s="44"/>
      <c r="AH139" s="43"/>
      <c r="AI139" s="275"/>
      <c r="AJ139" s="275"/>
      <c r="AK139" s="275"/>
      <c r="AL139" s="275"/>
      <c r="AM139" s="275"/>
      <c r="AN139" s="277"/>
      <c r="AO139" s="274"/>
      <c r="AP139" s="275"/>
      <c r="AQ139" s="275"/>
      <c r="AR139" s="275"/>
      <c r="AS139" s="275"/>
      <c r="AT139" s="44"/>
      <c r="AU139" s="1"/>
      <c r="AV139" s="1"/>
    </row>
    <row r="140" spans="18:48">
      <c r="R140" s="1"/>
      <c r="S140" s="1"/>
      <c r="T140" s="275" t="s">
        <v>1852</v>
      </c>
      <c r="U140" s="44" t="b">
        <f>ISBLANK(TableauPokemonCapturé[[#This Row],[PokeID]])=FALSE</f>
        <v>0</v>
      </c>
      <c r="V140" s="1"/>
      <c r="W140" s="1"/>
      <c r="X140" s="43"/>
      <c r="Y140" s="275"/>
      <c r="Z140" s="44"/>
      <c r="AA140" s="1"/>
      <c r="AB140" s="43"/>
      <c r="AC140" s="44"/>
      <c r="AD140" s="43"/>
      <c r="AE140" s="275"/>
      <c r="AF140" s="275"/>
      <c r="AG140" s="44"/>
      <c r="AH140" s="43"/>
      <c r="AI140" s="275"/>
      <c r="AJ140" s="275"/>
      <c r="AK140" s="275"/>
      <c r="AL140" s="275"/>
      <c r="AM140" s="275"/>
      <c r="AN140" s="277"/>
      <c r="AO140" s="274"/>
      <c r="AP140" s="275"/>
      <c r="AQ140" s="275"/>
      <c r="AR140" s="275"/>
      <c r="AS140" s="275"/>
      <c r="AT140" s="44"/>
      <c r="AU140" s="1"/>
      <c r="AV140" s="1"/>
    </row>
    <row r="141" spans="18:48">
      <c r="R141" s="1"/>
      <c r="S141" s="1"/>
      <c r="T141" s="275" t="s">
        <v>1853</v>
      </c>
      <c r="U141" s="44" t="b">
        <f>ISBLANK(TableauPokemonCapturé[[#This Row],[PokeID]])=FALSE</f>
        <v>0</v>
      </c>
      <c r="V141" s="1"/>
      <c r="W141" s="1"/>
      <c r="X141" s="43"/>
      <c r="Y141" s="275"/>
      <c r="Z141" s="44"/>
      <c r="AA141" s="1"/>
      <c r="AB141" s="43"/>
      <c r="AC141" s="44"/>
      <c r="AD141" s="43"/>
      <c r="AE141" s="275"/>
      <c r="AF141" s="275"/>
      <c r="AG141" s="44"/>
      <c r="AH141" s="43"/>
      <c r="AI141" s="275"/>
      <c r="AJ141" s="275"/>
      <c r="AK141" s="275"/>
      <c r="AL141" s="275"/>
      <c r="AM141" s="275"/>
      <c r="AN141" s="277"/>
      <c r="AO141" s="274"/>
      <c r="AP141" s="275"/>
      <c r="AQ141" s="275"/>
      <c r="AR141" s="275"/>
      <c r="AS141" s="275"/>
      <c r="AT141" s="44"/>
      <c r="AU141" s="1"/>
      <c r="AV141" s="1"/>
    </row>
    <row r="142" spans="18:48">
      <c r="R142" s="1"/>
      <c r="S142" s="1"/>
      <c r="T142" s="275" t="s">
        <v>1854</v>
      </c>
      <c r="U142" s="44" t="b">
        <f>ISBLANK(TableauPokemonCapturé[[#This Row],[PokeID]])=FALSE</f>
        <v>0</v>
      </c>
      <c r="V142" s="1"/>
      <c r="W142" s="1"/>
      <c r="X142" s="43"/>
      <c r="Y142" s="275"/>
      <c r="Z142" s="44"/>
      <c r="AA142" s="1"/>
      <c r="AB142" s="43"/>
      <c r="AC142" s="44"/>
      <c r="AD142" s="43"/>
      <c r="AE142" s="275"/>
      <c r="AF142" s="275"/>
      <c r="AG142" s="44"/>
      <c r="AH142" s="43"/>
      <c r="AI142" s="275"/>
      <c r="AJ142" s="275"/>
      <c r="AK142" s="275"/>
      <c r="AL142" s="275"/>
      <c r="AM142" s="275"/>
      <c r="AN142" s="277"/>
      <c r="AO142" s="274"/>
      <c r="AP142" s="275"/>
      <c r="AQ142" s="275"/>
      <c r="AR142" s="275"/>
      <c r="AS142" s="275"/>
      <c r="AT142" s="44"/>
      <c r="AU142" s="1"/>
      <c r="AV142" s="1"/>
    </row>
    <row r="143" spans="18:48">
      <c r="R143" s="1"/>
      <c r="S143" s="1"/>
      <c r="T143" s="275" t="s">
        <v>1855</v>
      </c>
      <c r="U143" s="44" t="b">
        <f>ISBLANK(TableauPokemonCapturé[[#This Row],[PokeID]])=FALSE</f>
        <v>0</v>
      </c>
      <c r="V143" s="1"/>
      <c r="W143" s="1"/>
      <c r="X143" s="43"/>
      <c r="Y143" s="275"/>
      <c r="Z143" s="44"/>
      <c r="AA143" s="1"/>
      <c r="AB143" s="43"/>
      <c r="AC143" s="44"/>
      <c r="AD143" s="43"/>
      <c r="AE143" s="275"/>
      <c r="AF143" s="275"/>
      <c r="AG143" s="44"/>
      <c r="AH143" s="43"/>
      <c r="AI143" s="275"/>
      <c r="AJ143" s="275"/>
      <c r="AK143" s="275"/>
      <c r="AL143" s="275"/>
      <c r="AM143" s="275"/>
      <c r="AN143" s="277"/>
      <c r="AO143" s="274"/>
      <c r="AP143" s="275"/>
      <c r="AQ143" s="275"/>
      <c r="AR143" s="275"/>
      <c r="AS143" s="275"/>
      <c r="AT143" s="44"/>
      <c r="AU143" s="1"/>
      <c r="AV143" s="1"/>
    </row>
    <row r="144" spans="18:48">
      <c r="R144" s="1"/>
      <c r="S144" s="1"/>
      <c r="T144" s="275" t="s">
        <v>1856</v>
      </c>
      <c r="U144" s="44" t="b">
        <f>ISBLANK(TableauPokemonCapturé[[#This Row],[PokeID]])=FALSE</f>
        <v>0</v>
      </c>
      <c r="V144" s="1"/>
      <c r="W144" s="1"/>
      <c r="X144" s="43"/>
      <c r="Y144" s="275"/>
      <c r="Z144" s="44"/>
      <c r="AA144" s="1"/>
      <c r="AB144" s="43"/>
      <c r="AC144" s="44"/>
      <c r="AD144" s="43"/>
      <c r="AE144" s="275"/>
      <c r="AF144" s="275"/>
      <c r="AG144" s="44"/>
      <c r="AH144" s="43"/>
      <c r="AI144" s="275"/>
      <c r="AJ144" s="275"/>
      <c r="AK144" s="275"/>
      <c r="AL144" s="275"/>
      <c r="AM144" s="275"/>
      <c r="AN144" s="277"/>
      <c r="AO144" s="274"/>
      <c r="AP144" s="275"/>
      <c r="AQ144" s="275"/>
      <c r="AR144" s="275"/>
      <c r="AS144" s="275"/>
      <c r="AT144" s="44"/>
      <c r="AU144" s="1"/>
      <c r="AV144" s="1"/>
    </row>
    <row r="145" spans="18:48">
      <c r="R145" s="1"/>
      <c r="S145" s="1"/>
      <c r="T145" s="275" t="s">
        <v>1857</v>
      </c>
      <c r="U145" s="44" t="b">
        <f>ISBLANK(TableauPokemonCapturé[[#This Row],[PokeID]])=FALSE</f>
        <v>0</v>
      </c>
      <c r="V145" s="1"/>
      <c r="W145" s="1"/>
      <c r="X145" s="43"/>
      <c r="Y145" s="275"/>
      <c r="Z145" s="44"/>
      <c r="AA145" s="1"/>
      <c r="AB145" s="43"/>
      <c r="AC145" s="44"/>
      <c r="AD145" s="43"/>
      <c r="AE145" s="275"/>
      <c r="AF145" s="275"/>
      <c r="AG145" s="44"/>
      <c r="AH145" s="43"/>
      <c r="AI145" s="275"/>
      <c r="AJ145" s="275"/>
      <c r="AK145" s="275"/>
      <c r="AL145" s="275"/>
      <c r="AM145" s="275"/>
      <c r="AN145" s="277"/>
      <c r="AO145" s="274"/>
      <c r="AP145" s="275"/>
      <c r="AQ145" s="275"/>
      <c r="AR145" s="275"/>
      <c r="AS145" s="275"/>
      <c r="AT145" s="44"/>
      <c r="AU145" s="1"/>
      <c r="AV145" s="1"/>
    </row>
    <row r="146" spans="18:48">
      <c r="R146" s="1"/>
      <c r="S146" s="1"/>
      <c r="T146" s="275" t="s">
        <v>1858</v>
      </c>
      <c r="U146" s="44" t="b">
        <f>ISBLANK(TableauPokemonCapturé[[#This Row],[PokeID]])=FALSE</f>
        <v>0</v>
      </c>
      <c r="V146" s="1"/>
      <c r="W146" s="1"/>
      <c r="X146" s="43"/>
      <c r="Y146" s="275"/>
      <c r="Z146" s="44"/>
      <c r="AA146" s="1"/>
      <c r="AB146" s="43"/>
      <c r="AC146" s="44"/>
      <c r="AD146" s="43"/>
      <c r="AE146" s="275"/>
      <c r="AF146" s="275"/>
      <c r="AG146" s="44"/>
      <c r="AH146" s="43"/>
      <c r="AI146" s="275"/>
      <c r="AJ146" s="275"/>
      <c r="AK146" s="275"/>
      <c r="AL146" s="275"/>
      <c r="AM146" s="275"/>
      <c r="AN146" s="277"/>
      <c r="AO146" s="274"/>
      <c r="AP146" s="275"/>
      <c r="AQ146" s="275"/>
      <c r="AR146" s="275"/>
      <c r="AS146" s="275"/>
      <c r="AT146" s="44"/>
      <c r="AU146" s="1"/>
      <c r="AV146" s="1"/>
    </row>
    <row r="147" spans="18:48">
      <c r="R147" s="1"/>
      <c r="S147" s="1"/>
      <c r="T147" s="275" t="s">
        <v>1859</v>
      </c>
      <c r="U147" s="44" t="b">
        <f>ISBLANK(TableauPokemonCapturé[[#This Row],[PokeID]])=FALSE</f>
        <v>0</v>
      </c>
      <c r="V147" s="1"/>
      <c r="W147" s="1"/>
      <c r="X147" s="43"/>
      <c r="Y147" s="275"/>
      <c r="Z147" s="44"/>
      <c r="AA147" s="1"/>
      <c r="AB147" s="43"/>
      <c r="AC147" s="44"/>
      <c r="AD147" s="43"/>
      <c r="AE147" s="275"/>
      <c r="AF147" s="275"/>
      <c r="AG147" s="44"/>
      <c r="AH147" s="43"/>
      <c r="AI147" s="275"/>
      <c r="AJ147" s="275"/>
      <c r="AK147" s="275"/>
      <c r="AL147" s="275"/>
      <c r="AM147" s="275"/>
      <c r="AN147" s="277"/>
      <c r="AO147" s="274"/>
      <c r="AP147" s="275"/>
      <c r="AQ147" s="275"/>
      <c r="AR147" s="275"/>
      <c r="AS147" s="275"/>
      <c r="AT147" s="44"/>
      <c r="AU147" s="1"/>
      <c r="AV147" s="1"/>
    </row>
    <row r="148" spans="18:48">
      <c r="R148" s="1"/>
      <c r="S148" s="1"/>
      <c r="T148" s="275" t="s">
        <v>1860</v>
      </c>
      <c r="U148" s="44" t="b">
        <f>ISBLANK(TableauPokemonCapturé[[#This Row],[PokeID]])=FALSE</f>
        <v>0</v>
      </c>
      <c r="V148" s="1"/>
      <c r="W148" s="1"/>
      <c r="X148" s="43"/>
      <c r="Y148" s="275"/>
      <c r="Z148" s="44"/>
      <c r="AA148" s="1"/>
      <c r="AB148" s="43"/>
      <c r="AC148" s="44"/>
      <c r="AD148" s="43"/>
      <c r="AE148" s="275"/>
      <c r="AF148" s="275"/>
      <c r="AG148" s="44"/>
      <c r="AH148" s="43"/>
      <c r="AI148" s="275"/>
      <c r="AJ148" s="275"/>
      <c r="AK148" s="275"/>
      <c r="AL148" s="275"/>
      <c r="AM148" s="275"/>
      <c r="AN148" s="277"/>
      <c r="AO148" s="274"/>
      <c r="AP148" s="275"/>
      <c r="AQ148" s="275"/>
      <c r="AR148" s="275"/>
      <c r="AS148" s="275"/>
      <c r="AT148" s="44"/>
      <c r="AU148" s="1"/>
      <c r="AV148" s="1"/>
    </row>
    <row r="149" spans="18:48">
      <c r="R149" s="1"/>
      <c r="S149" s="1"/>
      <c r="T149" s="275" t="s">
        <v>1861</v>
      </c>
      <c r="U149" s="44" t="b">
        <f>ISBLANK(TableauPokemonCapturé[[#This Row],[PokeID]])=FALSE</f>
        <v>0</v>
      </c>
      <c r="V149" s="1"/>
      <c r="W149" s="1"/>
      <c r="X149" s="43"/>
      <c r="Y149" s="275"/>
      <c r="Z149" s="44"/>
      <c r="AA149" s="1"/>
      <c r="AB149" s="43"/>
      <c r="AC149" s="44"/>
      <c r="AD149" s="43"/>
      <c r="AE149" s="275"/>
      <c r="AF149" s="275"/>
      <c r="AG149" s="44"/>
      <c r="AH149" s="43"/>
      <c r="AI149" s="275"/>
      <c r="AJ149" s="275"/>
      <c r="AK149" s="275"/>
      <c r="AL149" s="275"/>
      <c r="AM149" s="275"/>
      <c r="AN149" s="277"/>
      <c r="AO149" s="274"/>
      <c r="AP149" s="275"/>
      <c r="AQ149" s="275"/>
      <c r="AR149" s="275"/>
      <c r="AS149" s="275"/>
      <c r="AT149" s="44"/>
      <c r="AU149" s="1"/>
      <c r="AV149" s="1"/>
    </row>
    <row r="150" spans="18:48">
      <c r="R150" s="1"/>
      <c r="S150" s="1"/>
      <c r="T150" s="275" t="s">
        <v>1862</v>
      </c>
      <c r="U150" s="44" t="b">
        <f>ISBLANK(TableauPokemonCapturé[[#This Row],[PokeID]])=FALSE</f>
        <v>0</v>
      </c>
      <c r="V150" s="1"/>
      <c r="W150" s="1"/>
      <c r="X150" s="43"/>
      <c r="Y150" s="275"/>
      <c r="Z150" s="44"/>
      <c r="AA150" s="1"/>
      <c r="AB150" s="43"/>
      <c r="AC150" s="44"/>
      <c r="AD150" s="43"/>
      <c r="AE150" s="275"/>
      <c r="AF150" s="275"/>
      <c r="AG150" s="44"/>
      <c r="AH150" s="43"/>
      <c r="AI150" s="275"/>
      <c r="AJ150" s="275"/>
      <c r="AK150" s="275"/>
      <c r="AL150" s="275"/>
      <c r="AM150" s="275"/>
      <c r="AN150" s="277"/>
      <c r="AO150" s="274"/>
      <c r="AP150" s="275"/>
      <c r="AQ150" s="275"/>
      <c r="AR150" s="275"/>
      <c r="AS150" s="275"/>
      <c r="AT150" s="44"/>
      <c r="AU150" s="1"/>
      <c r="AV150" s="1"/>
    </row>
    <row r="151" spans="18:48">
      <c r="R151" s="1"/>
      <c r="S151" s="1"/>
      <c r="T151" s="275" t="s">
        <v>1863</v>
      </c>
      <c r="U151" s="44" t="b">
        <f>ISBLANK(TableauPokemonCapturé[[#This Row],[PokeID]])=FALSE</f>
        <v>0</v>
      </c>
      <c r="V151" s="1"/>
      <c r="W151" s="1"/>
      <c r="X151" s="43"/>
      <c r="Y151" s="275"/>
      <c r="Z151" s="44"/>
      <c r="AA151" s="1"/>
      <c r="AB151" s="43"/>
      <c r="AC151" s="44"/>
      <c r="AD151" s="43"/>
      <c r="AE151" s="275"/>
      <c r="AF151" s="275"/>
      <c r="AG151" s="44"/>
      <c r="AH151" s="43"/>
      <c r="AI151" s="275"/>
      <c r="AJ151" s="275"/>
      <c r="AK151" s="275"/>
      <c r="AL151" s="275"/>
      <c r="AM151" s="275"/>
      <c r="AN151" s="277"/>
      <c r="AO151" s="274"/>
      <c r="AP151" s="275"/>
      <c r="AQ151" s="275"/>
      <c r="AR151" s="275"/>
      <c r="AS151" s="275"/>
      <c r="AT151" s="44"/>
      <c r="AU151" s="1"/>
      <c r="AV151" s="1"/>
    </row>
    <row r="152" spans="18:48">
      <c r="R152" s="1"/>
      <c r="S152" s="1"/>
      <c r="T152" s="275" t="s">
        <v>1864</v>
      </c>
      <c r="U152" s="44" t="b">
        <f>ISBLANK(TableauPokemonCapturé[[#This Row],[PokeID]])=FALSE</f>
        <v>0</v>
      </c>
      <c r="V152" s="1"/>
      <c r="W152" s="1"/>
      <c r="X152" s="43"/>
      <c r="Y152" s="275"/>
      <c r="Z152" s="44"/>
      <c r="AA152" s="1"/>
      <c r="AB152" s="43"/>
      <c r="AC152" s="44"/>
      <c r="AD152" s="43"/>
      <c r="AE152" s="275"/>
      <c r="AF152" s="275"/>
      <c r="AG152" s="44"/>
      <c r="AH152" s="43"/>
      <c r="AI152" s="275"/>
      <c r="AJ152" s="275"/>
      <c r="AK152" s="275"/>
      <c r="AL152" s="275"/>
      <c r="AM152" s="275"/>
      <c r="AN152" s="277"/>
      <c r="AO152" s="274"/>
      <c r="AP152" s="275"/>
      <c r="AQ152" s="275"/>
      <c r="AR152" s="275"/>
      <c r="AS152" s="275"/>
      <c r="AT152" s="44"/>
      <c r="AU152" s="1"/>
      <c r="AV152" s="1"/>
    </row>
    <row r="153" spans="18:48">
      <c r="R153" s="1"/>
      <c r="S153" s="1"/>
      <c r="T153" s="275" t="s">
        <v>1865</v>
      </c>
      <c r="U153" s="44" t="b">
        <f>ISBLANK(TableauPokemonCapturé[[#This Row],[PokeID]])=FALSE</f>
        <v>0</v>
      </c>
      <c r="V153" s="1"/>
      <c r="W153" s="1"/>
      <c r="X153" s="43"/>
      <c r="Y153" s="275"/>
      <c r="Z153" s="44"/>
      <c r="AA153" s="1"/>
      <c r="AB153" s="43"/>
      <c r="AC153" s="44"/>
      <c r="AD153" s="43"/>
      <c r="AE153" s="275"/>
      <c r="AF153" s="275"/>
      <c r="AG153" s="44"/>
      <c r="AH153" s="43"/>
      <c r="AI153" s="275"/>
      <c r="AJ153" s="275"/>
      <c r="AK153" s="275"/>
      <c r="AL153" s="275"/>
      <c r="AM153" s="275"/>
      <c r="AN153" s="277"/>
      <c r="AO153" s="274"/>
      <c r="AP153" s="275"/>
      <c r="AQ153" s="275"/>
      <c r="AR153" s="275"/>
      <c r="AS153" s="275"/>
      <c r="AT153" s="44"/>
      <c r="AU153" s="1"/>
      <c r="AV153" s="1"/>
    </row>
    <row r="154" spans="18:48">
      <c r="R154" s="1"/>
      <c r="S154" s="1"/>
      <c r="T154" s="275" t="s">
        <v>1866</v>
      </c>
      <c r="U154" s="44" t="b">
        <f>ISBLANK(TableauPokemonCapturé[[#This Row],[PokeID]])=FALSE</f>
        <v>0</v>
      </c>
      <c r="V154" s="1"/>
      <c r="W154" s="1"/>
      <c r="X154" s="43"/>
      <c r="Y154" s="275"/>
      <c r="Z154" s="44"/>
      <c r="AA154" s="1"/>
      <c r="AB154" s="43"/>
      <c r="AC154" s="44"/>
      <c r="AD154" s="43"/>
      <c r="AE154" s="275"/>
      <c r="AF154" s="275"/>
      <c r="AG154" s="44"/>
      <c r="AH154" s="43"/>
      <c r="AI154" s="275"/>
      <c r="AJ154" s="275"/>
      <c r="AK154" s="275"/>
      <c r="AL154" s="275"/>
      <c r="AM154" s="275"/>
      <c r="AN154" s="277"/>
      <c r="AO154" s="274"/>
      <c r="AP154" s="275"/>
      <c r="AQ154" s="275"/>
      <c r="AR154" s="275"/>
      <c r="AS154" s="275"/>
      <c r="AT154" s="44"/>
      <c r="AU154" s="1"/>
      <c r="AV154" s="1"/>
    </row>
    <row r="155" spans="18:48">
      <c r="R155" s="1"/>
      <c r="S155" s="1"/>
      <c r="T155" s="275" t="s">
        <v>1867</v>
      </c>
      <c r="U155" s="44" t="b">
        <f>ISBLANK(TableauPokemonCapturé[[#This Row],[PokeID]])=FALSE</f>
        <v>0</v>
      </c>
      <c r="V155" s="1"/>
      <c r="W155" s="1"/>
      <c r="X155" s="43"/>
      <c r="Y155" s="275"/>
      <c r="Z155" s="44"/>
      <c r="AA155" s="1"/>
      <c r="AB155" s="43"/>
      <c r="AC155" s="44"/>
      <c r="AD155" s="43"/>
      <c r="AE155" s="275"/>
      <c r="AF155" s="275"/>
      <c r="AG155" s="44"/>
      <c r="AH155" s="43"/>
      <c r="AI155" s="275"/>
      <c r="AJ155" s="275"/>
      <c r="AK155" s="275"/>
      <c r="AL155" s="275"/>
      <c r="AM155" s="275"/>
      <c r="AN155" s="277"/>
      <c r="AO155" s="274"/>
      <c r="AP155" s="275"/>
      <c r="AQ155" s="275"/>
      <c r="AR155" s="275"/>
      <c r="AS155" s="275"/>
      <c r="AT155" s="44"/>
      <c r="AU155" s="1"/>
      <c r="AV155" s="1"/>
    </row>
    <row r="156" spans="18:48">
      <c r="R156" s="1"/>
      <c r="S156" s="1"/>
      <c r="T156" s="275" t="s">
        <v>1868</v>
      </c>
      <c r="U156" s="44" t="b">
        <f>ISBLANK(TableauPokemonCapturé[[#This Row],[PokeID]])=FALSE</f>
        <v>0</v>
      </c>
      <c r="V156" s="1"/>
      <c r="W156" s="1"/>
      <c r="X156" s="43"/>
      <c r="Y156" s="275"/>
      <c r="Z156" s="44"/>
      <c r="AA156" s="1"/>
      <c r="AB156" s="43"/>
      <c r="AC156" s="44"/>
      <c r="AD156" s="43"/>
      <c r="AE156" s="275"/>
      <c r="AF156" s="275"/>
      <c r="AG156" s="44"/>
      <c r="AH156" s="43"/>
      <c r="AI156" s="275"/>
      <c r="AJ156" s="275"/>
      <c r="AK156" s="275"/>
      <c r="AL156" s="275"/>
      <c r="AM156" s="275"/>
      <c r="AN156" s="277"/>
      <c r="AO156" s="274"/>
      <c r="AP156" s="275"/>
      <c r="AQ156" s="275"/>
      <c r="AR156" s="275"/>
      <c r="AS156" s="275"/>
      <c r="AT156" s="44"/>
      <c r="AU156" s="1"/>
      <c r="AV156" s="1"/>
    </row>
    <row r="157" spans="18:48">
      <c r="R157" s="1"/>
      <c r="S157" s="1"/>
      <c r="T157" s="275" t="s">
        <v>1869</v>
      </c>
      <c r="U157" s="44" t="b">
        <f>ISBLANK(TableauPokemonCapturé[[#This Row],[PokeID]])=FALSE</f>
        <v>0</v>
      </c>
      <c r="V157" s="1"/>
      <c r="W157" s="1"/>
      <c r="X157" s="43"/>
      <c r="Y157" s="275"/>
      <c r="Z157" s="44"/>
      <c r="AA157" s="1"/>
      <c r="AB157" s="43"/>
      <c r="AC157" s="44"/>
      <c r="AD157" s="43"/>
      <c r="AE157" s="275"/>
      <c r="AF157" s="275"/>
      <c r="AG157" s="44"/>
      <c r="AH157" s="43"/>
      <c r="AI157" s="275"/>
      <c r="AJ157" s="275"/>
      <c r="AK157" s="275"/>
      <c r="AL157" s="275"/>
      <c r="AM157" s="275"/>
      <c r="AN157" s="277"/>
      <c r="AO157" s="274"/>
      <c r="AP157" s="275"/>
      <c r="AQ157" s="275"/>
      <c r="AR157" s="275"/>
      <c r="AS157" s="275"/>
      <c r="AT157" s="44"/>
      <c r="AU157" s="1"/>
      <c r="AV157" s="1"/>
    </row>
    <row r="158" spans="18:48">
      <c r="R158" s="1"/>
      <c r="S158" s="1"/>
      <c r="T158" s="275" t="s">
        <v>1870</v>
      </c>
      <c r="U158" s="44" t="b">
        <f>ISBLANK(TableauPokemonCapturé[[#This Row],[PokeID]])=FALSE</f>
        <v>0</v>
      </c>
      <c r="V158" s="1"/>
      <c r="W158" s="1"/>
      <c r="X158" s="43"/>
      <c r="Y158" s="275"/>
      <c r="Z158" s="44"/>
      <c r="AA158" s="1"/>
      <c r="AB158" s="43"/>
      <c r="AC158" s="44"/>
      <c r="AD158" s="43"/>
      <c r="AE158" s="275"/>
      <c r="AF158" s="275"/>
      <c r="AG158" s="44"/>
      <c r="AH158" s="43"/>
      <c r="AI158" s="275"/>
      <c r="AJ158" s="275"/>
      <c r="AK158" s="275"/>
      <c r="AL158" s="275"/>
      <c r="AM158" s="275"/>
      <c r="AN158" s="277"/>
      <c r="AO158" s="274"/>
      <c r="AP158" s="275"/>
      <c r="AQ158" s="275"/>
      <c r="AR158" s="275"/>
      <c r="AS158" s="275"/>
      <c r="AT158" s="44"/>
      <c r="AU158" s="1"/>
      <c r="AV158" s="1"/>
    </row>
    <row r="159" spans="18:48">
      <c r="R159" s="1"/>
      <c r="S159" s="1"/>
      <c r="T159" s="275" t="s">
        <v>1871</v>
      </c>
      <c r="U159" s="44" t="b">
        <f>ISBLANK(TableauPokemonCapturé[[#This Row],[PokeID]])=FALSE</f>
        <v>0</v>
      </c>
      <c r="V159" s="1"/>
      <c r="W159" s="1"/>
      <c r="X159" s="43"/>
      <c r="Y159" s="275"/>
      <c r="Z159" s="44"/>
      <c r="AA159" s="1"/>
      <c r="AB159" s="43"/>
      <c r="AC159" s="44"/>
      <c r="AD159" s="43"/>
      <c r="AE159" s="275"/>
      <c r="AF159" s="275"/>
      <c r="AG159" s="44"/>
      <c r="AH159" s="43"/>
      <c r="AI159" s="275"/>
      <c r="AJ159" s="275"/>
      <c r="AK159" s="275"/>
      <c r="AL159" s="275"/>
      <c r="AM159" s="275"/>
      <c r="AN159" s="277"/>
      <c r="AO159" s="274"/>
      <c r="AP159" s="275"/>
      <c r="AQ159" s="275"/>
      <c r="AR159" s="275"/>
      <c r="AS159" s="275"/>
      <c r="AT159" s="44"/>
      <c r="AU159" s="1"/>
      <c r="AV159" s="1"/>
    </row>
    <row r="160" spans="18:48">
      <c r="R160" s="1"/>
      <c r="S160" s="1"/>
      <c r="T160" s="275" t="s">
        <v>1872</v>
      </c>
      <c r="U160" s="44" t="b">
        <f>ISBLANK(TableauPokemonCapturé[[#This Row],[PokeID]])=FALSE</f>
        <v>0</v>
      </c>
      <c r="V160" s="1"/>
      <c r="W160" s="1"/>
      <c r="X160" s="43"/>
      <c r="Y160" s="275"/>
      <c r="Z160" s="44"/>
      <c r="AA160" s="1"/>
      <c r="AB160" s="43"/>
      <c r="AC160" s="44"/>
      <c r="AD160" s="43"/>
      <c r="AE160" s="275"/>
      <c r="AF160" s="275"/>
      <c r="AG160" s="44"/>
      <c r="AH160" s="43"/>
      <c r="AI160" s="275"/>
      <c r="AJ160" s="275"/>
      <c r="AK160" s="275"/>
      <c r="AL160" s="275"/>
      <c r="AM160" s="275"/>
      <c r="AN160" s="277"/>
      <c r="AO160" s="274"/>
      <c r="AP160" s="275"/>
      <c r="AQ160" s="275"/>
      <c r="AR160" s="275"/>
      <c r="AS160" s="275"/>
      <c r="AT160" s="44"/>
      <c r="AU160" s="1"/>
      <c r="AV160" s="1"/>
    </row>
    <row r="161" spans="18:48">
      <c r="R161" s="1"/>
      <c r="S161" s="1"/>
      <c r="T161" s="275" t="s">
        <v>1873</v>
      </c>
      <c r="U161" s="44" t="b">
        <f>ISBLANK(TableauPokemonCapturé[[#This Row],[PokeID]])=FALSE</f>
        <v>0</v>
      </c>
      <c r="V161" s="1"/>
      <c r="W161" s="1"/>
      <c r="X161" s="43"/>
      <c r="Y161" s="275"/>
      <c r="Z161" s="44"/>
      <c r="AA161" s="1"/>
      <c r="AB161" s="43"/>
      <c r="AC161" s="44"/>
      <c r="AD161" s="43"/>
      <c r="AE161" s="275"/>
      <c r="AF161" s="275"/>
      <c r="AG161" s="44"/>
      <c r="AH161" s="43"/>
      <c r="AI161" s="275"/>
      <c r="AJ161" s="275"/>
      <c r="AK161" s="275"/>
      <c r="AL161" s="275"/>
      <c r="AM161" s="275"/>
      <c r="AN161" s="277"/>
      <c r="AO161" s="274"/>
      <c r="AP161" s="275"/>
      <c r="AQ161" s="275"/>
      <c r="AR161" s="275"/>
      <c r="AS161" s="275"/>
      <c r="AT161" s="44"/>
      <c r="AU161" s="1"/>
      <c r="AV161" s="1"/>
    </row>
    <row r="162" spans="18:48">
      <c r="R162" s="1"/>
      <c r="S162" s="1"/>
      <c r="T162" s="275" t="s">
        <v>1874</v>
      </c>
      <c r="U162" s="44" t="b">
        <f>ISBLANK(TableauPokemonCapturé[[#This Row],[PokeID]])=FALSE</f>
        <v>0</v>
      </c>
      <c r="V162" s="1"/>
      <c r="W162" s="1"/>
      <c r="X162" s="43"/>
      <c r="Y162" s="275"/>
      <c r="Z162" s="44"/>
      <c r="AA162" s="1"/>
      <c r="AB162" s="43"/>
      <c r="AC162" s="44"/>
      <c r="AD162" s="43"/>
      <c r="AE162" s="275"/>
      <c r="AF162" s="275"/>
      <c r="AG162" s="44"/>
      <c r="AH162" s="43"/>
      <c r="AI162" s="275"/>
      <c r="AJ162" s="275"/>
      <c r="AK162" s="275"/>
      <c r="AL162" s="275"/>
      <c r="AM162" s="275"/>
      <c r="AN162" s="277"/>
      <c r="AO162" s="274"/>
      <c r="AP162" s="275"/>
      <c r="AQ162" s="275"/>
      <c r="AR162" s="275"/>
      <c r="AS162" s="275"/>
      <c r="AT162" s="44"/>
      <c r="AU162" s="1"/>
      <c r="AV162" s="1"/>
    </row>
    <row r="163" spans="18:48">
      <c r="R163" s="1"/>
      <c r="S163" s="1"/>
      <c r="T163" s="275" t="s">
        <v>1875</v>
      </c>
      <c r="U163" s="44" t="b">
        <f>ISBLANK(TableauPokemonCapturé[[#This Row],[PokeID]])=FALSE</f>
        <v>0</v>
      </c>
      <c r="V163" s="1"/>
      <c r="W163" s="1"/>
      <c r="X163" s="43"/>
      <c r="Y163" s="275"/>
      <c r="Z163" s="44"/>
      <c r="AA163" s="1"/>
      <c r="AB163" s="43"/>
      <c r="AC163" s="44"/>
      <c r="AD163" s="43"/>
      <c r="AE163" s="275"/>
      <c r="AF163" s="275"/>
      <c r="AG163" s="44"/>
      <c r="AH163" s="43"/>
      <c r="AI163" s="275"/>
      <c r="AJ163" s="275"/>
      <c r="AK163" s="275"/>
      <c r="AL163" s="275"/>
      <c r="AM163" s="275"/>
      <c r="AN163" s="277"/>
      <c r="AO163" s="274"/>
      <c r="AP163" s="275"/>
      <c r="AQ163" s="275"/>
      <c r="AR163" s="275"/>
      <c r="AS163" s="275"/>
      <c r="AT163" s="44"/>
      <c r="AU163" s="1"/>
      <c r="AV163" s="1"/>
    </row>
    <row r="164" spans="18:48">
      <c r="R164" s="1"/>
      <c r="S164" s="1"/>
      <c r="T164" s="275" t="s">
        <v>1876</v>
      </c>
      <c r="U164" s="44" t="b">
        <f>ISBLANK(TableauPokemonCapturé[[#This Row],[PokeID]])=FALSE</f>
        <v>0</v>
      </c>
      <c r="V164" s="1"/>
      <c r="W164" s="1"/>
      <c r="X164" s="43"/>
      <c r="Y164" s="275"/>
      <c r="Z164" s="44"/>
      <c r="AA164" s="1"/>
      <c r="AB164" s="43"/>
      <c r="AC164" s="44"/>
      <c r="AD164" s="43"/>
      <c r="AE164" s="275"/>
      <c r="AF164" s="275"/>
      <c r="AG164" s="44"/>
      <c r="AH164" s="43"/>
      <c r="AI164" s="275"/>
      <c r="AJ164" s="275"/>
      <c r="AK164" s="275"/>
      <c r="AL164" s="275"/>
      <c r="AM164" s="275"/>
      <c r="AN164" s="277"/>
      <c r="AO164" s="274"/>
      <c r="AP164" s="275"/>
      <c r="AQ164" s="275"/>
      <c r="AR164" s="275"/>
      <c r="AS164" s="275"/>
      <c r="AT164" s="44"/>
      <c r="AU164" s="1"/>
      <c r="AV164" s="1"/>
    </row>
    <row r="165" spans="18:48">
      <c r="R165" s="1"/>
      <c r="S165" s="1"/>
      <c r="T165" s="275" t="s">
        <v>1877</v>
      </c>
      <c r="U165" s="44" t="b">
        <f>ISBLANK(TableauPokemonCapturé[[#This Row],[PokeID]])=FALSE</f>
        <v>0</v>
      </c>
      <c r="V165" s="1"/>
      <c r="W165" s="1"/>
      <c r="X165" s="43"/>
      <c r="Y165" s="275"/>
      <c r="Z165" s="44"/>
      <c r="AA165" s="1"/>
      <c r="AB165" s="43"/>
      <c r="AC165" s="44"/>
      <c r="AD165" s="43"/>
      <c r="AE165" s="275"/>
      <c r="AF165" s="275"/>
      <c r="AG165" s="44"/>
      <c r="AH165" s="43"/>
      <c r="AI165" s="275"/>
      <c r="AJ165" s="275"/>
      <c r="AK165" s="275"/>
      <c r="AL165" s="275"/>
      <c r="AM165" s="275"/>
      <c r="AN165" s="277"/>
      <c r="AO165" s="274"/>
      <c r="AP165" s="275"/>
      <c r="AQ165" s="275"/>
      <c r="AR165" s="275"/>
      <c r="AS165" s="275"/>
      <c r="AT165" s="44"/>
      <c r="AU165" s="1"/>
      <c r="AV165" s="1"/>
    </row>
    <row r="166" spans="18:48">
      <c r="R166" s="1"/>
      <c r="S166" s="1"/>
      <c r="T166" s="275" t="s">
        <v>1878</v>
      </c>
      <c r="U166" s="44" t="b">
        <f>ISBLANK(TableauPokemonCapturé[[#This Row],[PokeID]])=FALSE</f>
        <v>0</v>
      </c>
      <c r="V166" s="1"/>
      <c r="W166" s="1"/>
      <c r="X166" s="43"/>
      <c r="Y166" s="275"/>
      <c r="Z166" s="44"/>
      <c r="AA166" s="1"/>
      <c r="AB166" s="43"/>
      <c r="AC166" s="44"/>
      <c r="AD166" s="43"/>
      <c r="AE166" s="275"/>
      <c r="AF166" s="275"/>
      <c r="AG166" s="44"/>
      <c r="AH166" s="43"/>
      <c r="AI166" s="275"/>
      <c r="AJ166" s="275"/>
      <c r="AK166" s="275"/>
      <c r="AL166" s="275"/>
      <c r="AM166" s="275"/>
      <c r="AN166" s="277"/>
      <c r="AO166" s="274"/>
      <c r="AP166" s="275"/>
      <c r="AQ166" s="275"/>
      <c r="AR166" s="275"/>
      <c r="AS166" s="275"/>
      <c r="AT166" s="44"/>
      <c r="AU166" s="1"/>
      <c r="AV166" s="1"/>
    </row>
    <row r="167" spans="18:48">
      <c r="R167" s="1"/>
      <c r="S167" s="1"/>
      <c r="T167" s="275" t="s">
        <v>1879</v>
      </c>
      <c r="U167" s="44" t="b">
        <f>ISBLANK(TableauPokemonCapturé[[#This Row],[PokeID]])=FALSE</f>
        <v>0</v>
      </c>
      <c r="V167" s="1"/>
      <c r="W167" s="1"/>
      <c r="X167" s="43"/>
      <c r="Y167" s="275"/>
      <c r="Z167" s="44"/>
      <c r="AA167" s="1"/>
      <c r="AB167" s="43"/>
      <c r="AC167" s="44"/>
      <c r="AD167" s="43"/>
      <c r="AE167" s="275"/>
      <c r="AF167" s="275"/>
      <c r="AG167" s="44"/>
      <c r="AH167" s="43"/>
      <c r="AI167" s="275"/>
      <c r="AJ167" s="275"/>
      <c r="AK167" s="275"/>
      <c r="AL167" s="275"/>
      <c r="AM167" s="275"/>
      <c r="AN167" s="277"/>
      <c r="AO167" s="274"/>
      <c r="AP167" s="275"/>
      <c r="AQ167" s="275"/>
      <c r="AR167" s="275"/>
      <c r="AS167" s="275"/>
      <c r="AT167" s="44"/>
      <c r="AU167" s="1"/>
      <c r="AV167" s="1"/>
    </row>
    <row r="168" spans="18:48">
      <c r="R168" s="1"/>
      <c r="S168" s="1"/>
      <c r="T168" s="275" t="s">
        <v>1880</v>
      </c>
      <c r="U168" s="44" t="b">
        <f>ISBLANK(TableauPokemonCapturé[[#This Row],[PokeID]])=FALSE</f>
        <v>0</v>
      </c>
      <c r="V168" s="1"/>
      <c r="W168" s="1"/>
      <c r="X168" s="43"/>
      <c r="Y168" s="275"/>
      <c r="Z168" s="44"/>
      <c r="AA168" s="1"/>
      <c r="AB168" s="43"/>
      <c r="AC168" s="44"/>
      <c r="AD168" s="43"/>
      <c r="AE168" s="275"/>
      <c r="AF168" s="275"/>
      <c r="AG168" s="44"/>
      <c r="AH168" s="43"/>
      <c r="AI168" s="275"/>
      <c r="AJ168" s="275"/>
      <c r="AK168" s="275"/>
      <c r="AL168" s="275"/>
      <c r="AM168" s="275"/>
      <c r="AN168" s="277"/>
      <c r="AO168" s="274"/>
      <c r="AP168" s="275"/>
      <c r="AQ168" s="275"/>
      <c r="AR168" s="275"/>
      <c r="AS168" s="275"/>
      <c r="AT168" s="44"/>
      <c r="AU168" s="1"/>
      <c r="AV168" s="1"/>
    </row>
    <row r="169" spans="18:48">
      <c r="R169" s="1"/>
      <c r="S169" s="1"/>
      <c r="T169" s="275" t="s">
        <v>1881</v>
      </c>
      <c r="U169" s="44" t="b">
        <f>ISBLANK(TableauPokemonCapturé[[#This Row],[PokeID]])=FALSE</f>
        <v>0</v>
      </c>
      <c r="V169" s="1"/>
      <c r="W169" s="1"/>
      <c r="X169" s="43"/>
      <c r="Y169" s="275"/>
      <c r="Z169" s="44"/>
      <c r="AA169" s="1"/>
      <c r="AB169" s="43"/>
      <c r="AC169" s="44"/>
      <c r="AD169" s="43"/>
      <c r="AE169" s="275"/>
      <c r="AF169" s="275"/>
      <c r="AG169" s="44"/>
      <c r="AH169" s="43"/>
      <c r="AI169" s="275"/>
      <c r="AJ169" s="275"/>
      <c r="AK169" s="275"/>
      <c r="AL169" s="275"/>
      <c r="AM169" s="275"/>
      <c r="AN169" s="277"/>
      <c r="AO169" s="274"/>
      <c r="AP169" s="275"/>
      <c r="AQ169" s="275"/>
      <c r="AR169" s="275"/>
      <c r="AS169" s="275"/>
      <c r="AT169" s="44"/>
      <c r="AU169" s="1"/>
      <c r="AV169" s="1"/>
    </row>
    <row r="170" spans="18:48">
      <c r="R170" s="1"/>
      <c r="S170" s="1"/>
      <c r="T170" s="275" t="s">
        <v>1882</v>
      </c>
      <c r="U170" s="44" t="b">
        <f>ISBLANK(TableauPokemonCapturé[[#This Row],[PokeID]])=FALSE</f>
        <v>0</v>
      </c>
      <c r="V170" s="1"/>
      <c r="W170" s="1"/>
      <c r="X170" s="43"/>
      <c r="Y170" s="275"/>
      <c r="Z170" s="44"/>
      <c r="AA170" s="1"/>
      <c r="AB170" s="43"/>
      <c r="AC170" s="44"/>
      <c r="AD170" s="43"/>
      <c r="AE170" s="275"/>
      <c r="AF170" s="275"/>
      <c r="AG170" s="44"/>
      <c r="AH170" s="43"/>
      <c r="AI170" s="275"/>
      <c r="AJ170" s="275"/>
      <c r="AK170" s="275"/>
      <c r="AL170" s="275"/>
      <c r="AM170" s="275"/>
      <c r="AN170" s="277"/>
      <c r="AO170" s="274"/>
      <c r="AP170" s="275"/>
      <c r="AQ170" s="275"/>
      <c r="AR170" s="275"/>
      <c r="AS170" s="275"/>
      <c r="AT170" s="44"/>
      <c r="AU170" s="1"/>
      <c r="AV170" s="1"/>
    </row>
    <row r="171" spans="18:48">
      <c r="R171" s="1"/>
      <c r="S171" s="1"/>
      <c r="T171" s="275" t="s">
        <v>1883</v>
      </c>
      <c r="U171" s="44" t="b">
        <f>ISBLANK(TableauPokemonCapturé[[#This Row],[PokeID]])=FALSE</f>
        <v>0</v>
      </c>
      <c r="V171" s="1"/>
      <c r="W171" s="1"/>
      <c r="X171" s="43"/>
      <c r="Y171" s="275"/>
      <c r="Z171" s="44"/>
      <c r="AA171" s="1"/>
      <c r="AB171" s="43"/>
      <c r="AC171" s="44"/>
      <c r="AD171" s="43"/>
      <c r="AE171" s="275"/>
      <c r="AF171" s="275"/>
      <c r="AG171" s="44"/>
      <c r="AH171" s="43"/>
      <c r="AI171" s="275"/>
      <c r="AJ171" s="275"/>
      <c r="AK171" s="275"/>
      <c r="AL171" s="275"/>
      <c r="AM171" s="275"/>
      <c r="AN171" s="277"/>
      <c r="AO171" s="274"/>
      <c r="AP171" s="275"/>
      <c r="AQ171" s="275"/>
      <c r="AR171" s="275"/>
      <c r="AS171" s="275"/>
      <c r="AT171" s="44"/>
      <c r="AU171" s="1"/>
      <c r="AV171" s="1"/>
    </row>
    <row r="172" spans="18:48">
      <c r="R172" s="1"/>
      <c r="S172" s="1"/>
      <c r="T172" s="275" t="s">
        <v>1884</v>
      </c>
      <c r="U172" s="44" t="b">
        <f>ISBLANK(TableauPokemonCapturé[[#This Row],[PokeID]])=FALSE</f>
        <v>0</v>
      </c>
      <c r="V172" s="1"/>
      <c r="W172" s="1"/>
      <c r="X172" s="43"/>
      <c r="Y172" s="275"/>
      <c r="Z172" s="44"/>
      <c r="AA172" s="1"/>
      <c r="AB172" s="43"/>
      <c r="AC172" s="44"/>
      <c r="AD172" s="43"/>
      <c r="AE172" s="275"/>
      <c r="AF172" s="275"/>
      <c r="AG172" s="44"/>
      <c r="AH172" s="43"/>
      <c r="AI172" s="275"/>
      <c r="AJ172" s="275"/>
      <c r="AK172" s="275"/>
      <c r="AL172" s="275"/>
      <c r="AM172" s="275"/>
      <c r="AN172" s="277"/>
      <c r="AO172" s="274"/>
      <c r="AP172" s="275"/>
      <c r="AQ172" s="275"/>
      <c r="AR172" s="275"/>
      <c r="AS172" s="275"/>
      <c r="AT172" s="44"/>
      <c r="AU172" s="1"/>
      <c r="AV172" s="1"/>
    </row>
    <row r="173" spans="18:48">
      <c r="R173" s="1"/>
      <c r="S173" s="1"/>
      <c r="T173" s="275" t="s">
        <v>1885</v>
      </c>
      <c r="U173" s="44" t="b">
        <f>ISBLANK(TableauPokemonCapturé[[#This Row],[PokeID]])=FALSE</f>
        <v>0</v>
      </c>
      <c r="V173" s="1"/>
      <c r="W173" s="1"/>
      <c r="X173" s="43"/>
      <c r="Y173" s="275"/>
      <c r="Z173" s="44"/>
      <c r="AA173" s="1"/>
      <c r="AB173" s="43"/>
      <c r="AC173" s="44"/>
      <c r="AD173" s="43"/>
      <c r="AE173" s="275"/>
      <c r="AF173" s="275"/>
      <c r="AG173" s="44"/>
      <c r="AH173" s="43"/>
      <c r="AI173" s="275"/>
      <c r="AJ173" s="275"/>
      <c r="AK173" s="275"/>
      <c r="AL173" s="275"/>
      <c r="AM173" s="275"/>
      <c r="AN173" s="277"/>
      <c r="AO173" s="274"/>
      <c r="AP173" s="275"/>
      <c r="AQ173" s="275"/>
      <c r="AR173" s="275"/>
      <c r="AS173" s="275"/>
      <c r="AT173" s="44"/>
      <c r="AU173" s="1"/>
      <c r="AV173" s="1"/>
    </row>
    <row r="174" spans="18:48">
      <c r="R174" s="1"/>
      <c r="S174" s="1"/>
      <c r="T174" s="275" t="s">
        <v>1886</v>
      </c>
      <c r="U174" s="44" t="b">
        <f>ISBLANK(TableauPokemonCapturé[[#This Row],[PokeID]])=FALSE</f>
        <v>0</v>
      </c>
      <c r="V174" s="1"/>
      <c r="W174" s="1"/>
      <c r="X174" s="43"/>
      <c r="Y174" s="275"/>
      <c r="Z174" s="44"/>
      <c r="AA174" s="1"/>
      <c r="AB174" s="43"/>
      <c r="AC174" s="44"/>
      <c r="AD174" s="43"/>
      <c r="AE174" s="275"/>
      <c r="AF174" s="275"/>
      <c r="AG174" s="44"/>
      <c r="AH174" s="43"/>
      <c r="AI174" s="275"/>
      <c r="AJ174" s="275"/>
      <c r="AK174" s="275"/>
      <c r="AL174" s="275"/>
      <c r="AM174" s="275"/>
      <c r="AN174" s="277"/>
      <c r="AO174" s="274"/>
      <c r="AP174" s="275"/>
      <c r="AQ174" s="275"/>
      <c r="AR174" s="275"/>
      <c r="AS174" s="275"/>
      <c r="AT174" s="44"/>
      <c r="AU174" s="1"/>
      <c r="AV174" s="1"/>
    </row>
    <row r="175" spans="18:48">
      <c r="R175" s="1"/>
      <c r="S175" s="1"/>
      <c r="T175" s="275" t="s">
        <v>1887</v>
      </c>
      <c r="U175" s="44" t="b">
        <f>ISBLANK(TableauPokemonCapturé[[#This Row],[PokeID]])=FALSE</f>
        <v>0</v>
      </c>
      <c r="V175" s="1"/>
      <c r="W175" s="1"/>
      <c r="X175" s="43"/>
      <c r="Y175" s="275"/>
      <c r="Z175" s="44"/>
      <c r="AA175" s="1"/>
      <c r="AB175" s="43"/>
      <c r="AC175" s="44"/>
      <c r="AD175" s="43"/>
      <c r="AE175" s="275"/>
      <c r="AF175" s="275"/>
      <c r="AG175" s="44"/>
      <c r="AH175" s="43"/>
      <c r="AI175" s="275"/>
      <c r="AJ175" s="275"/>
      <c r="AK175" s="275"/>
      <c r="AL175" s="275"/>
      <c r="AM175" s="275"/>
      <c r="AN175" s="277"/>
      <c r="AO175" s="274"/>
      <c r="AP175" s="275"/>
      <c r="AQ175" s="275"/>
      <c r="AR175" s="275"/>
      <c r="AS175" s="275"/>
      <c r="AT175" s="44"/>
      <c r="AU175" s="1"/>
      <c r="AV175" s="1"/>
    </row>
    <row r="176" spans="18:48">
      <c r="R176" s="1"/>
      <c r="S176" s="1"/>
      <c r="T176" s="275" t="s">
        <v>1888</v>
      </c>
      <c r="U176" s="44" t="b">
        <f>ISBLANK(TableauPokemonCapturé[[#This Row],[PokeID]])=FALSE</f>
        <v>0</v>
      </c>
      <c r="V176" s="1"/>
      <c r="W176" s="1"/>
      <c r="X176" s="43"/>
      <c r="Y176" s="275"/>
      <c r="Z176" s="44"/>
      <c r="AA176" s="1"/>
      <c r="AB176" s="43"/>
      <c r="AC176" s="44"/>
      <c r="AD176" s="43"/>
      <c r="AE176" s="275"/>
      <c r="AF176" s="275"/>
      <c r="AG176" s="44"/>
      <c r="AH176" s="43"/>
      <c r="AI176" s="275"/>
      <c r="AJ176" s="275"/>
      <c r="AK176" s="275"/>
      <c r="AL176" s="275"/>
      <c r="AM176" s="275"/>
      <c r="AN176" s="277"/>
      <c r="AO176" s="274"/>
      <c r="AP176" s="275"/>
      <c r="AQ176" s="275"/>
      <c r="AR176" s="275"/>
      <c r="AS176" s="275"/>
      <c r="AT176" s="44"/>
      <c r="AU176" s="1"/>
      <c r="AV176" s="1"/>
    </row>
    <row r="177" spans="18:48">
      <c r="R177" s="1"/>
      <c r="S177" s="1"/>
      <c r="T177" s="275" t="s">
        <v>1889</v>
      </c>
      <c r="U177" s="44" t="b">
        <f>ISBLANK(TableauPokemonCapturé[[#This Row],[PokeID]])=FALSE</f>
        <v>0</v>
      </c>
      <c r="V177" s="1"/>
      <c r="W177" s="1"/>
      <c r="X177" s="43"/>
      <c r="Y177" s="275"/>
      <c r="Z177" s="44"/>
      <c r="AA177" s="1"/>
      <c r="AB177" s="43"/>
      <c r="AC177" s="44"/>
      <c r="AD177" s="43"/>
      <c r="AE177" s="275"/>
      <c r="AF177" s="275"/>
      <c r="AG177" s="44"/>
      <c r="AH177" s="43"/>
      <c r="AI177" s="275"/>
      <c r="AJ177" s="275"/>
      <c r="AK177" s="275"/>
      <c r="AL177" s="275"/>
      <c r="AM177" s="275"/>
      <c r="AN177" s="277"/>
      <c r="AO177" s="274"/>
      <c r="AP177" s="275"/>
      <c r="AQ177" s="275"/>
      <c r="AR177" s="275"/>
      <c r="AS177" s="275"/>
      <c r="AT177" s="44"/>
      <c r="AU177" s="1"/>
      <c r="AV177" s="1"/>
    </row>
    <row r="178" spans="18:48">
      <c r="R178" s="1"/>
      <c r="S178" s="1"/>
      <c r="T178" s="275" t="s">
        <v>1890</v>
      </c>
      <c r="U178" s="44" t="b">
        <f>ISBLANK(TableauPokemonCapturé[[#This Row],[PokeID]])=FALSE</f>
        <v>0</v>
      </c>
      <c r="V178" s="1"/>
      <c r="W178" s="1"/>
      <c r="X178" s="43"/>
      <c r="Y178" s="275"/>
      <c r="Z178" s="44"/>
      <c r="AA178" s="1"/>
      <c r="AB178" s="43"/>
      <c r="AC178" s="44"/>
      <c r="AD178" s="43"/>
      <c r="AE178" s="275"/>
      <c r="AF178" s="275"/>
      <c r="AG178" s="44"/>
      <c r="AH178" s="43"/>
      <c r="AI178" s="275"/>
      <c r="AJ178" s="275"/>
      <c r="AK178" s="275"/>
      <c r="AL178" s="275"/>
      <c r="AM178" s="275"/>
      <c r="AN178" s="277"/>
      <c r="AO178" s="274"/>
      <c r="AP178" s="275"/>
      <c r="AQ178" s="275"/>
      <c r="AR178" s="275"/>
      <c r="AS178" s="275"/>
      <c r="AT178" s="44"/>
      <c r="AU178" s="1"/>
      <c r="AV178" s="1"/>
    </row>
    <row r="179" spans="18:48">
      <c r="R179" s="1"/>
      <c r="S179" s="1"/>
      <c r="T179" s="275" t="s">
        <v>1891</v>
      </c>
      <c r="U179" s="44" t="b">
        <f>ISBLANK(TableauPokemonCapturé[[#This Row],[PokeID]])=FALSE</f>
        <v>0</v>
      </c>
      <c r="V179" s="1"/>
      <c r="W179" s="1"/>
      <c r="X179" s="43"/>
      <c r="Y179" s="275"/>
      <c r="Z179" s="44"/>
      <c r="AA179" s="1"/>
      <c r="AB179" s="43"/>
      <c r="AC179" s="44"/>
      <c r="AD179" s="43"/>
      <c r="AE179" s="275"/>
      <c r="AF179" s="275"/>
      <c r="AG179" s="44"/>
      <c r="AH179" s="43"/>
      <c r="AI179" s="275"/>
      <c r="AJ179" s="275"/>
      <c r="AK179" s="275"/>
      <c r="AL179" s="275"/>
      <c r="AM179" s="275"/>
      <c r="AN179" s="277"/>
      <c r="AO179" s="274"/>
      <c r="AP179" s="275"/>
      <c r="AQ179" s="275"/>
      <c r="AR179" s="275"/>
      <c r="AS179" s="275"/>
      <c r="AT179" s="44"/>
      <c r="AU179" s="1"/>
      <c r="AV179" s="1"/>
    </row>
    <row r="180" spans="18:48">
      <c r="R180" s="1"/>
      <c r="S180" s="1"/>
      <c r="T180" s="275" t="s">
        <v>1892</v>
      </c>
      <c r="U180" s="44" t="b">
        <f>ISBLANK(TableauPokemonCapturé[[#This Row],[PokeID]])=FALSE</f>
        <v>0</v>
      </c>
      <c r="V180" s="1"/>
      <c r="W180" s="1"/>
      <c r="X180" s="43"/>
      <c r="Y180" s="275"/>
      <c r="Z180" s="44"/>
      <c r="AA180" s="1"/>
      <c r="AB180" s="43"/>
      <c r="AC180" s="44"/>
      <c r="AD180" s="43"/>
      <c r="AE180" s="275"/>
      <c r="AF180" s="275"/>
      <c r="AG180" s="44"/>
      <c r="AH180" s="43"/>
      <c r="AI180" s="275"/>
      <c r="AJ180" s="275"/>
      <c r="AK180" s="275"/>
      <c r="AL180" s="275"/>
      <c r="AM180" s="275"/>
      <c r="AN180" s="277"/>
      <c r="AO180" s="274"/>
      <c r="AP180" s="275"/>
      <c r="AQ180" s="275"/>
      <c r="AR180" s="275"/>
      <c r="AS180" s="275"/>
      <c r="AT180" s="44"/>
      <c r="AU180" s="1"/>
      <c r="AV180" s="1"/>
    </row>
    <row r="181" spans="18:48">
      <c r="R181" s="1"/>
      <c r="S181" s="1"/>
      <c r="T181" s="275" t="s">
        <v>1893</v>
      </c>
      <c r="U181" s="44" t="b">
        <f>ISBLANK(TableauPokemonCapturé[[#This Row],[PokeID]])=FALSE</f>
        <v>0</v>
      </c>
      <c r="V181" s="1"/>
      <c r="W181" s="1"/>
      <c r="X181" s="43"/>
      <c r="Y181" s="275"/>
      <c r="Z181" s="44"/>
      <c r="AA181" s="1"/>
      <c r="AB181" s="43"/>
      <c r="AC181" s="44"/>
      <c r="AD181" s="43"/>
      <c r="AE181" s="275"/>
      <c r="AF181" s="275"/>
      <c r="AG181" s="44"/>
      <c r="AH181" s="43"/>
      <c r="AI181" s="275"/>
      <c r="AJ181" s="275"/>
      <c r="AK181" s="275"/>
      <c r="AL181" s="275"/>
      <c r="AM181" s="275"/>
      <c r="AN181" s="277"/>
      <c r="AO181" s="274"/>
      <c r="AP181" s="275"/>
      <c r="AQ181" s="275"/>
      <c r="AR181" s="275"/>
      <c r="AS181" s="275"/>
      <c r="AT181" s="44"/>
      <c r="AU181" s="1"/>
      <c r="AV181" s="1"/>
    </row>
    <row r="182" spans="18:48">
      <c r="R182" s="1"/>
      <c r="S182" s="1"/>
      <c r="T182" s="275" t="s">
        <v>1894</v>
      </c>
      <c r="U182" s="44" t="b">
        <f>ISBLANK(TableauPokemonCapturé[[#This Row],[PokeID]])=FALSE</f>
        <v>0</v>
      </c>
      <c r="V182" s="1"/>
      <c r="W182" s="1"/>
      <c r="X182" s="43"/>
      <c r="Y182" s="275"/>
      <c r="Z182" s="44"/>
      <c r="AA182" s="1"/>
      <c r="AB182" s="43"/>
      <c r="AC182" s="44"/>
      <c r="AD182" s="43"/>
      <c r="AE182" s="275"/>
      <c r="AF182" s="275"/>
      <c r="AG182" s="44"/>
      <c r="AH182" s="43"/>
      <c r="AI182" s="275"/>
      <c r="AJ182" s="275"/>
      <c r="AK182" s="275"/>
      <c r="AL182" s="275"/>
      <c r="AM182" s="275"/>
      <c r="AN182" s="277"/>
      <c r="AO182" s="274"/>
      <c r="AP182" s="275"/>
      <c r="AQ182" s="275"/>
      <c r="AR182" s="275"/>
      <c r="AS182" s="275"/>
      <c r="AT182" s="44"/>
      <c r="AU182" s="1"/>
      <c r="AV182" s="1"/>
    </row>
    <row r="183" spans="18:48">
      <c r="R183" s="1"/>
      <c r="S183" s="1"/>
      <c r="T183" s="275" t="s">
        <v>1895</v>
      </c>
      <c r="U183" s="44" t="b">
        <f>ISBLANK(TableauPokemonCapturé[[#This Row],[PokeID]])=FALSE</f>
        <v>0</v>
      </c>
      <c r="V183" s="1"/>
      <c r="W183" s="1"/>
      <c r="X183" s="43"/>
      <c r="Y183" s="275"/>
      <c r="Z183" s="44"/>
      <c r="AA183" s="1"/>
      <c r="AB183" s="43"/>
      <c r="AC183" s="44"/>
      <c r="AD183" s="43"/>
      <c r="AE183" s="275"/>
      <c r="AF183" s="275"/>
      <c r="AG183" s="44"/>
      <c r="AH183" s="43"/>
      <c r="AI183" s="275"/>
      <c r="AJ183" s="275"/>
      <c r="AK183" s="275"/>
      <c r="AL183" s="275"/>
      <c r="AM183" s="275"/>
      <c r="AN183" s="277"/>
      <c r="AO183" s="274"/>
      <c r="AP183" s="275"/>
      <c r="AQ183" s="275"/>
      <c r="AR183" s="275"/>
      <c r="AS183" s="275"/>
      <c r="AT183" s="44"/>
      <c r="AU183" s="1"/>
      <c r="AV183" s="1"/>
    </row>
    <row r="184" spans="18:48">
      <c r="R184" s="1"/>
      <c r="S184" s="1"/>
      <c r="T184" s="275" t="s">
        <v>1896</v>
      </c>
      <c r="U184" s="44" t="b">
        <f>ISBLANK(TableauPokemonCapturé[[#This Row],[PokeID]])=FALSE</f>
        <v>0</v>
      </c>
      <c r="V184" s="1"/>
      <c r="W184" s="1"/>
      <c r="X184" s="43"/>
      <c r="Y184" s="275"/>
      <c r="Z184" s="44"/>
      <c r="AA184" s="1"/>
      <c r="AB184" s="43"/>
      <c r="AC184" s="44"/>
      <c r="AD184" s="43"/>
      <c r="AE184" s="275"/>
      <c r="AF184" s="275"/>
      <c r="AG184" s="44"/>
      <c r="AH184" s="43"/>
      <c r="AI184" s="275"/>
      <c r="AJ184" s="275"/>
      <c r="AK184" s="275"/>
      <c r="AL184" s="275"/>
      <c r="AM184" s="275"/>
      <c r="AN184" s="277"/>
      <c r="AO184" s="274"/>
      <c r="AP184" s="275"/>
      <c r="AQ184" s="275"/>
      <c r="AR184" s="275"/>
      <c r="AS184" s="275"/>
      <c r="AT184" s="44"/>
      <c r="AU184" s="1"/>
      <c r="AV184" s="1"/>
    </row>
    <row r="185" spans="18:48">
      <c r="R185" s="1"/>
      <c r="S185" s="1"/>
      <c r="T185" s="275" t="s">
        <v>1897</v>
      </c>
      <c r="U185" s="44" t="b">
        <f>ISBLANK(TableauPokemonCapturé[[#This Row],[PokeID]])=FALSE</f>
        <v>0</v>
      </c>
      <c r="V185" s="1"/>
      <c r="W185" s="1"/>
      <c r="X185" s="43"/>
      <c r="Y185" s="275"/>
      <c r="Z185" s="44"/>
      <c r="AA185" s="1"/>
      <c r="AB185" s="43"/>
      <c r="AC185" s="44"/>
      <c r="AD185" s="43"/>
      <c r="AE185" s="275"/>
      <c r="AF185" s="275"/>
      <c r="AG185" s="44"/>
      <c r="AH185" s="43"/>
      <c r="AI185" s="275"/>
      <c r="AJ185" s="275"/>
      <c r="AK185" s="275"/>
      <c r="AL185" s="275"/>
      <c r="AM185" s="275"/>
      <c r="AN185" s="277"/>
      <c r="AO185" s="274"/>
      <c r="AP185" s="275"/>
      <c r="AQ185" s="275"/>
      <c r="AR185" s="275"/>
      <c r="AS185" s="275"/>
      <c r="AT185" s="44"/>
      <c r="AU185" s="1"/>
      <c r="AV185" s="1"/>
    </row>
    <row r="186" spans="18:48">
      <c r="R186" s="1"/>
      <c r="S186" s="1"/>
      <c r="T186" s="275" t="s">
        <v>1898</v>
      </c>
      <c r="U186" s="44" t="b">
        <f>ISBLANK(TableauPokemonCapturé[[#This Row],[PokeID]])=FALSE</f>
        <v>0</v>
      </c>
      <c r="V186" s="1"/>
      <c r="W186" s="1"/>
      <c r="X186" s="43"/>
      <c r="Y186" s="275"/>
      <c r="Z186" s="44"/>
      <c r="AA186" s="1"/>
      <c r="AB186" s="43"/>
      <c r="AC186" s="44"/>
      <c r="AD186" s="43"/>
      <c r="AE186" s="275"/>
      <c r="AF186" s="275"/>
      <c r="AG186" s="44"/>
      <c r="AH186" s="43"/>
      <c r="AI186" s="275"/>
      <c r="AJ186" s="275"/>
      <c r="AK186" s="275"/>
      <c r="AL186" s="275"/>
      <c r="AM186" s="275"/>
      <c r="AN186" s="277"/>
      <c r="AO186" s="274"/>
      <c r="AP186" s="275"/>
      <c r="AQ186" s="275"/>
      <c r="AR186" s="275"/>
      <c r="AS186" s="275"/>
      <c r="AT186" s="44"/>
      <c r="AU186" s="1"/>
      <c r="AV186" s="1"/>
    </row>
    <row r="187" spans="18:48">
      <c r="R187" s="1"/>
      <c r="S187" s="1"/>
      <c r="T187" s="275" t="s">
        <v>1899</v>
      </c>
      <c r="U187" s="44" t="b">
        <f>ISBLANK(TableauPokemonCapturé[[#This Row],[PokeID]])=FALSE</f>
        <v>0</v>
      </c>
      <c r="V187" s="1"/>
      <c r="W187" s="1"/>
      <c r="X187" s="43"/>
      <c r="Y187" s="275"/>
      <c r="Z187" s="44"/>
      <c r="AA187" s="1"/>
      <c r="AB187" s="43"/>
      <c r="AC187" s="44"/>
      <c r="AD187" s="43"/>
      <c r="AE187" s="275"/>
      <c r="AF187" s="275"/>
      <c r="AG187" s="44"/>
      <c r="AH187" s="43"/>
      <c r="AI187" s="275"/>
      <c r="AJ187" s="275"/>
      <c r="AK187" s="275"/>
      <c r="AL187" s="275"/>
      <c r="AM187" s="275"/>
      <c r="AN187" s="277"/>
      <c r="AO187" s="274"/>
      <c r="AP187" s="275"/>
      <c r="AQ187" s="275"/>
      <c r="AR187" s="275"/>
      <c r="AS187" s="275"/>
      <c r="AT187" s="44"/>
      <c r="AU187" s="1"/>
      <c r="AV187" s="1"/>
    </row>
    <row r="188" spans="18:48">
      <c r="R188" s="1"/>
      <c r="S188" s="1"/>
      <c r="T188" s="275" t="s">
        <v>1900</v>
      </c>
      <c r="U188" s="44" t="b">
        <f>ISBLANK(TableauPokemonCapturé[[#This Row],[PokeID]])=FALSE</f>
        <v>0</v>
      </c>
      <c r="V188" s="1"/>
      <c r="W188" s="1"/>
      <c r="X188" s="43"/>
      <c r="Y188" s="275"/>
      <c r="Z188" s="44"/>
      <c r="AA188" s="1"/>
      <c r="AB188" s="43"/>
      <c r="AC188" s="44"/>
      <c r="AD188" s="43"/>
      <c r="AE188" s="275"/>
      <c r="AF188" s="275"/>
      <c r="AG188" s="44"/>
      <c r="AH188" s="43"/>
      <c r="AI188" s="275"/>
      <c r="AJ188" s="275"/>
      <c r="AK188" s="275"/>
      <c r="AL188" s="275"/>
      <c r="AM188" s="275"/>
      <c r="AN188" s="277"/>
      <c r="AO188" s="274"/>
      <c r="AP188" s="275"/>
      <c r="AQ188" s="275"/>
      <c r="AR188" s="275"/>
      <c r="AS188" s="275"/>
      <c r="AT188" s="44"/>
      <c r="AU188" s="1"/>
      <c r="AV188" s="1"/>
    </row>
    <row r="189" spans="18:48">
      <c r="R189" s="1"/>
      <c r="S189" s="1"/>
      <c r="T189" s="275" t="s">
        <v>1901</v>
      </c>
      <c r="U189" s="44" t="b">
        <f>ISBLANK(TableauPokemonCapturé[[#This Row],[PokeID]])=FALSE</f>
        <v>0</v>
      </c>
      <c r="V189" s="1"/>
      <c r="W189" s="1"/>
      <c r="X189" s="43"/>
      <c r="Y189" s="275"/>
      <c r="Z189" s="44"/>
      <c r="AA189" s="1"/>
      <c r="AB189" s="43"/>
      <c r="AC189" s="44"/>
      <c r="AD189" s="43"/>
      <c r="AE189" s="275"/>
      <c r="AF189" s="275"/>
      <c r="AG189" s="44"/>
      <c r="AH189" s="43"/>
      <c r="AI189" s="275"/>
      <c r="AJ189" s="275"/>
      <c r="AK189" s="275"/>
      <c r="AL189" s="275"/>
      <c r="AM189" s="275"/>
      <c r="AN189" s="277"/>
      <c r="AO189" s="274"/>
      <c r="AP189" s="275"/>
      <c r="AQ189" s="275"/>
      <c r="AR189" s="275"/>
      <c r="AS189" s="275"/>
      <c r="AT189" s="44"/>
      <c r="AU189" s="1"/>
      <c r="AV189" s="1"/>
    </row>
    <row r="190" spans="18:48">
      <c r="R190" s="1"/>
      <c r="S190" s="1"/>
      <c r="T190" s="275" t="s">
        <v>1902</v>
      </c>
      <c r="U190" s="44" t="b">
        <f>ISBLANK(TableauPokemonCapturé[[#This Row],[PokeID]])=FALSE</f>
        <v>0</v>
      </c>
      <c r="V190" s="1"/>
      <c r="W190" s="1"/>
      <c r="X190" s="43"/>
      <c r="Y190" s="275"/>
      <c r="Z190" s="44"/>
      <c r="AA190" s="1"/>
      <c r="AB190" s="43"/>
      <c r="AC190" s="44"/>
      <c r="AD190" s="43"/>
      <c r="AE190" s="275"/>
      <c r="AF190" s="275"/>
      <c r="AG190" s="44"/>
      <c r="AH190" s="43"/>
      <c r="AI190" s="275"/>
      <c r="AJ190" s="275"/>
      <c r="AK190" s="275"/>
      <c r="AL190" s="275"/>
      <c r="AM190" s="275"/>
      <c r="AN190" s="277"/>
      <c r="AO190" s="274"/>
      <c r="AP190" s="275"/>
      <c r="AQ190" s="275"/>
      <c r="AR190" s="275"/>
      <c r="AS190" s="275"/>
      <c r="AT190" s="44"/>
      <c r="AU190" s="1"/>
      <c r="AV190" s="1"/>
    </row>
    <row r="191" spans="18:48">
      <c r="R191" s="1"/>
      <c r="S191" s="1"/>
      <c r="T191" s="275" t="s">
        <v>1903</v>
      </c>
      <c r="U191" s="44" t="b">
        <f>ISBLANK(TableauPokemonCapturé[[#This Row],[PokeID]])=FALSE</f>
        <v>0</v>
      </c>
      <c r="V191" s="1"/>
      <c r="W191" s="1"/>
      <c r="X191" s="43"/>
      <c r="Y191" s="275"/>
      <c r="Z191" s="44"/>
      <c r="AA191" s="1"/>
      <c r="AB191" s="43"/>
      <c r="AC191" s="44"/>
      <c r="AD191" s="43"/>
      <c r="AE191" s="275"/>
      <c r="AF191" s="275"/>
      <c r="AG191" s="44"/>
      <c r="AH191" s="43"/>
      <c r="AI191" s="275"/>
      <c r="AJ191" s="275"/>
      <c r="AK191" s="275"/>
      <c r="AL191" s="275"/>
      <c r="AM191" s="275"/>
      <c r="AN191" s="277"/>
      <c r="AO191" s="274"/>
      <c r="AP191" s="275"/>
      <c r="AQ191" s="275"/>
      <c r="AR191" s="275"/>
      <c r="AS191" s="275"/>
      <c r="AT191" s="44"/>
      <c r="AU191" s="1"/>
      <c r="AV191" s="1"/>
    </row>
    <row r="192" spans="18:48">
      <c r="R192" s="1"/>
      <c r="S192" s="1"/>
      <c r="T192" s="275" t="s">
        <v>1904</v>
      </c>
      <c r="U192" s="44" t="b">
        <f>ISBLANK(TableauPokemonCapturé[[#This Row],[PokeID]])=FALSE</f>
        <v>0</v>
      </c>
      <c r="V192" s="1"/>
      <c r="W192" s="1"/>
      <c r="X192" s="43"/>
      <c r="Y192" s="275"/>
      <c r="Z192" s="44"/>
      <c r="AA192" s="1"/>
      <c r="AB192" s="43"/>
      <c r="AC192" s="44"/>
      <c r="AD192" s="43"/>
      <c r="AE192" s="275"/>
      <c r="AF192" s="275"/>
      <c r="AG192" s="44"/>
      <c r="AH192" s="43"/>
      <c r="AI192" s="275"/>
      <c r="AJ192" s="275"/>
      <c r="AK192" s="275"/>
      <c r="AL192" s="275"/>
      <c r="AM192" s="275"/>
      <c r="AN192" s="277"/>
      <c r="AO192" s="274"/>
      <c r="AP192" s="275"/>
      <c r="AQ192" s="275"/>
      <c r="AR192" s="275"/>
      <c r="AS192" s="275"/>
      <c r="AT192" s="44"/>
      <c r="AU192" s="1"/>
      <c r="AV192" s="1"/>
    </row>
    <row r="193" spans="18:48">
      <c r="R193" s="1"/>
      <c r="S193" s="1"/>
      <c r="T193" s="275" t="s">
        <v>1905</v>
      </c>
      <c r="U193" s="44" t="b">
        <f>ISBLANK(TableauPokemonCapturé[[#This Row],[PokeID]])=FALSE</f>
        <v>0</v>
      </c>
      <c r="V193" s="1"/>
      <c r="W193" s="1"/>
      <c r="X193" s="43"/>
      <c r="Y193" s="275"/>
      <c r="Z193" s="44"/>
      <c r="AA193" s="1"/>
      <c r="AB193" s="43"/>
      <c r="AC193" s="44"/>
      <c r="AD193" s="43"/>
      <c r="AE193" s="275"/>
      <c r="AF193" s="275"/>
      <c r="AG193" s="44"/>
      <c r="AH193" s="43"/>
      <c r="AI193" s="275"/>
      <c r="AJ193" s="275"/>
      <c r="AK193" s="275"/>
      <c r="AL193" s="275"/>
      <c r="AM193" s="275"/>
      <c r="AN193" s="277"/>
      <c r="AO193" s="274"/>
      <c r="AP193" s="275"/>
      <c r="AQ193" s="275"/>
      <c r="AR193" s="275"/>
      <c r="AS193" s="275"/>
      <c r="AT193" s="44"/>
      <c r="AU193" s="1"/>
      <c r="AV193" s="1"/>
    </row>
    <row r="194" spans="18:48">
      <c r="R194" s="1"/>
      <c r="S194" s="1"/>
      <c r="T194" s="275" t="s">
        <v>1906</v>
      </c>
      <c r="U194" s="44" t="b">
        <f>ISBLANK(TableauPokemonCapturé[[#This Row],[PokeID]])=FALSE</f>
        <v>0</v>
      </c>
      <c r="V194" s="1"/>
      <c r="W194" s="1"/>
      <c r="X194" s="43"/>
      <c r="Y194" s="275"/>
      <c r="Z194" s="44"/>
      <c r="AA194" s="1"/>
      <c r="AB194" s="43"/>
      <c r="AC194" s="44"/>
      <c r="AD194" s="43"/>
      <c r="AE194" s="275"/>
      <c r="AF194" s="275"/>
      <c r="AG194" s="44"/>
      <c r="AH194" s="43"/>
      <c r="AI194" s="275"/>
      <c r="AJ194" s="275"/>
      <c r="AK194" s="275"/>
      <c r="AL194" s="275"/>
      <c r="AM194" s="275"/>
      <c r="AN194" s="277"/>
      <c r="AO194" s="274"/>
      <c r="AP194" s="275"/>
      <c r="AQ194" s="275"/>
      <c r="AR194" s="275"/>
      <c r="AS194" s="275"/>
      <c r="AT194" s="44"/>
      <c r="AU194" s="1"/>
      <c r="AV194" s="1"/>
    </row>
    <row r="195" spans="18:48">
      <c r="R195" s="1"/>
      <c r="S195" s="1"/>
      <c r="T195" s="275" t="s">
        <v>1907</v>
      </c>
      <c r="U195" s="44" t="b">
        <f>ISBLANK(TableauPokemonCapturé[[#This Row],[PokeID]])=FALSE</f>
        <v>0</v>
      </c>
      <c r="V195" s="1"/>
      <c r="W195" s="1"/>
      <c r="X195" s="43"/>
      <c r="Y195" s="275"/>
      <c r="Z195" s="44"/>
      <c r="AA195" s="1"/>
      <c r="AB195" s="43"/>
      <c r="AC195" s="44"/>
      <c r="AD195" s="43"/>
      <c r="AE195" s="275"/>
      <c r="AF195" s="275"/>
      <c r="AG195" s="44"/>
      <c r="AH195" s="43"/>
      <c r="AI195" s="275"/>
      <c r="AJ195" s="275"/>
      <c r="AK195" s="275"/>
      <c r="AL195" s="275"/>
      <c r="AM195" s="275"/>
      <c r="AN195" s="277"/>
      <c r="AO195" s="274"/>
      <c r="AP195" s="275"/>
      <c r="AQ195" s="275"/>
      <c r="AR195" s="275"/>
      <c r="AS195" s="275"/>
      <c r="AT195" s="44"/>
      <c r="AU195" s="1"/>
      <c r="AV195" s="1"/>
    </row>
    <row r="196" spans="18:48">
      <c r="R196" s="1"/>
      <c r="S196" s="1"/>
      <c r="T196" s="275" t="s">
        <v>1908</v>
      </c>
      <c r="U196" s="44" t="b">
        <f>ISBLANK(TableauPokemonCapturé[[#This Row],[PokeID]])=FALSE</f>
        <v>0</v>
      </c>
      <c r="V196" s="1"/>
      <c r="W196" s="1"/>
      <c r="X196" s="43"/>
      <c r="Y196" s="275"/>
      <c r="Z196" s="44"/>
      <c r="AA196" s="1"/>
      <c r="AB196" s="43"/>
      <c r="AC196" s="44"/>
      <c r="AD196" s="43"/>
      <c r="AE196" s="275"/>
      <c r="AF196" s="275"/>
      <c r="AG196" s="44"/>
      <c r="AH196" s="43"/>
      <c r="AI196" s="275"/>
      <c r="AJ196" s="275"/>
      <c r="AK196" s="275"/>
      <c r="AL196" s="275"/>
      <c r="AM196" s="275"/>
      <c r="AN196" s="277"/>
      <c r="AO196" s="274"/>
      <c r="AP196" s="275"/>
      <c r="AQ196" s="275"/>
      <c r="AR196" s="275"/>
      <c r="AS196" s="275"/>
      <c r="AT196" s="44"/>
      <c r="AU196" s="1"/>
      <c r="AV196" s="1"/>
    </row>
    <row r="197" spans="18:48">
      <c r="R197" s="1"/>
      <c r="S197" s="1"/>
      <c r="T197" s="275" t="s">
        <v>1909</v>
      </c>
      <c r="U197" s="44" t="b">
        <f>ISBLANK(TableauPokemonCapturé[[#This Row],[PokeID]])=FALSE</f>
        <v>0</v>
      </c>
      <c r="V197" s="1"/>
      <c r="W197" s="1"/>
      <c r="X197" s="43"/>
      <c r="Y197" s="275"/>
      <c r="Z197" s="44"/>
      <c r="AA197" s="1"/>
      <c r="AB197" s="43"/>
      <c r="AC197" s="44"/>
      <c r="AD197" s="43"/>
      <c r="AE197" s="275"/>
      <c r="AF197" s="275"/>
      <c r="AG197" s="44"/>
      <c r="AH197" s="43"/>
      <c r="AI197" s="275"/>
      <c r="AJ197" s="275"/>
      <c r="AK197" s="275"/>
      <c r="AL197" s="275"/>
      <c r="AM197" s="275"/>
      <c r="AN197" s="277"/>
      <c r="AO197" s="274"/>
      <c r="AP197" s="275"/>
      <c r="AQ197" s="275"/>
      <c r="AR197" s="275"/>
      <c r="AS197" s="275"/>
      <c r="AT197" s="44"/>
      <c r="AU197" s="1"/>
      <c r="AV197" s="1"/>
    </row>
    <row r="198" spans="18:48">
      <c r="R198" s="1"/>
      <c r="S198" s="1"/>
      <c r="T198" s="275" t="s">
        <v>1910</v>
      </c>
      <c r="U198" s="44" t="b">
        <f>ISBLANK(TableauPokemonCapturé[[#This Row],[PokeID]])=FALSE</f>
        <v>0</v>
      </c>
      <c r="V198" s="1"/>
      <c r="W198" s="1"/>
      <c r="X198" s="43"/>
      <c r="Y198" s="275"/>
      <c r="Z198" s="44"/>
      <c r="AA198" s="1"/>
      <c r="AB198" s="43"/>
      <c r="AC198" s="44"/>
      <c r="AD198" s="43"/>
      <c r="AE198" s="275"/>
      <c r="AF198" s="275"/>
      <c r="AG198" s="44"/>
      <c r="AH198" s="43"/>
      <c r="AI198" s="275"/>
      <c r="AJ198" s="275"/>
      <c r="AK198" s="275"/>
      <c r="AL198" s="275"/>
      <c r="AM198" s="275"/>
      <c r="AN198" s="277"/>
      <c r="AO198" s="274"/>
      <c r="AP198" s="275"/>
      <c r="AQ198" s="275"/>
      <c r="AR198" s="275"/>
      <c r="AS198" s="275"/>
      <c r="AT198" s="44"/>
      <c r="AU198" s="1"/>
      <c r="AV198" s="1"/>
    </row>
    <row r="199" spans="18:48">
      <c r="R199" s="1"/>
      <c r="S199" s="1"/>
      <c r="T199" s="275" t="s">
        <v>1911</v>
      </c>
      <c r="U199" s="44" t="b">
        <f>ISBLANK(TableauPokemonCapturé[[#This Row],[PokeID]])=FALSE</f>
        <v>0</v>
      </c>
      <c r="V199" s="1"/>
      <c r="W199" s="1"/>
      <c r="X199" s="43"/>
      <c r="Y199" s="275"/>
      <c r="Z199" s="44"/>
      <c r="AA199" s="1"/>
      <c r="AB199" s="43"/>
      <c r="AC199" s="44"/>
      <c r="AD199" s="43"/>
      <c r="AE199" s="275"/>
      <c r="AF199" s="275"/>
      <c r="AG199" s="44"/>
      <c r="AH199" s="43"/>
      <c r="AI199" s="275"/>
      <c r="AJ199" s="275"/>
      <c r="AK199" s="275"/>
      <c r="AL199" s="275"/>
      <c r="AM199" s="275"/>
      <c r="AN199" s="277"/>
      <c r="AO199" s="274"/>
      <c r="AP199" s="275"/>
      <c r="AQ199" s="275"/>
      <c r="AR199" s="275"/>
      <c r="AS199" s="275"/>
      <c r="AT199" s="44"/>
      <c r="AU199" s="1"/>
      <c r="AV199" s="1"/>
    </row>
    <row r="200" spans="18:48">
      <c r="R200" s="1"/>
      <c r="S200" s="1"/>
      <c r="T200" s="275" t="s">
        <v>1912</v>
      </c>
      <c r="U200" s="44" t="b">
        <f>ISBLANK(TableauPokemonCapturé[[#This Row],[PokeID]])=FALSE</f>
        <v>0</v>
      </c>
      <c r="V200" s="1"/>
      <c r="W200" s="1"/>
      <c r="X200" s="43"/>
      <c r="Y200" s="275"/>
      <c r="Z200" s="44"/>
      <c r="AA200" s="1"/>
      <c r="AB200" s="43"/>
      <c r="AC200" s="44"/>
      <c r="AD200" s="43"/>
      <c r="AE200" s="275"/>
      <c r="AF200" s="275"/>
      <c r="AG200" s="44"/>
      <c r="AH200" s="43"/>
      <c r="AI200" s="275"/>
      <c r="AJ200" s="275"/>
      <c r="AK200" s="275"/>
      <c r="AL200" s="275"/>
      <c r="AM200" s="275"/>
      <c r="AN200" s="277"/>
      <c r="AO200" s="274"/>
      <c r="AP200" s="275"/>
      <c r="AQ200" s="275"/>
      <c r="AR200" s="275"/>
      <c r="AS200" s="275"/>
      <c r="AT200" s="44"/>
      <c r="AU200" s="1"/>
      <c r="AV200" s="1"/>
    </row>
    <row r="201" spans="18:48">
      <c r="R201" s="1"/>
      <c r="S201" s="1"/>
      <c r="T201" s="275" t="s">
        <v>1913</v>
      </c>
      <c r="U201" s="44" t="b">
        <f>ISBLANK(TableauPokemonCapturé[[#This Row],[PokeID]])=FALSE</f>
        <v>0</v>
      </c>
      <c r="V201" s="1"/>
      <c r="W201" s="1"/>
      <c r="X201" s="43"/>
      <c r="Y201" s="275"/>
      <c r="Z201" s="44"/>
      <c r="AA201" s="1"/>
      <c r="AB201" s="43"/>
      <c r="AC201" s="44"/>
      <c r="AD201" s="43"/>
      <c r="AE201" s="275"/>
      <c r="AF201" s="275"/>
      <c r="AG201" s="44"/>
      <c r="AH201" s="43"/>
      <c r="AI201" s="275"/>
      <c r="AJ201" s="275"/>
      <c r="AK201" s="275"/>
      <c r="AL201" s="275"/>
      <c r="AM201" s="275"/>
      <c r="AN201" s="277"/>
      <c r="AO201" s="274"/>
      <c r="AP201" s="275"/>
      <c r="AQ201" s="275"/>
      <c r="AR201" s="275"/>
      <c r="AS201" s="275"/>
      <c r="AT201" s="44"/>
      <c r="AU201" s="1"/>
      <c r="AV201" s="1"/>
    </row>
    <row r="202" spans="18:48">
      <c r="R202" s="1"/>
      <c r="S202" s="1"/>
      <c r="T202" s="275" t="s">
        <v>1914</v>
      </c>
      <c r="U202" s="44" t="b">
        <f>ISBLANK(TableauPokemonCapturé[[#This Row],[PokeID]])=FALSE</f>
        <v>0</v>
      </c>
      <c r="V202" s="1"/>
      <c r="W202" s="1"/>
      <c r="X202" s="43"/>
      <c r="Y202" s="275"/>
      <c r="Z202" s="44"/>
      <c r="AA202" s="1"/>
      <c r="AB202" s="43"/>
      <c r="AC202" s="44"/>
      <c r="AD202" s="43"/>
      <c r="AE202" s="275"/>
      <c r="AF202" s="275"/>
      <c r="AG202" s="44"/>
      <c r="AH202" s="43"/>
      <c r="AI202" s="275"/>
      <c r="AJ202" s="275"/>
      <c r="AK202" s="275"/>
      <c r="AL202" s="275"/>
      <c r="AM202" s="275"/>
      <c r="AN202" s="277"/>
      <c r="AO202" s="274"/>
      <c r="AP202" s="275"/>
      <c r="AQ202" s="275"/>
      <c r="AR202" s="275"/>
      <c r="AS202" s="275"/>
      <c r="AT202" s="44"/>
      <c r="AU202" s="1"/>
      <c r="AV202" s="1"/>
    </row>
    <row r="203" spans="18:48">
      <c r="R203" s="1"/>
      <c r="S203" s="1"/>
      <c r="T203" s="275" t="s">
        <v>1915</v>
      </c>
      <c r="U203" s="44" t="b">
        <f>ISBLANK(TableauPokemonCapturé[[#This Row],[PokeID]])=FALSE</f>
        <v>0</v>
      </c>
      <c r="V203" s="1"/>
      <c r="W203" s="1"/>
      <c r="X203" s="43"/>
      <c r="Y203" s="275"/>
      <c r="Z203" s="44"/>
      <c r="AA203" s="1"/>
      <c r="AB203" s="43"/>
      <c r="AC203" s="44"/>
      <c r="AD203" s="43"/>
      <c r="AE203" s="275"/>
      <c r="AF203" s="275"/>
      <c r="AG203" s="44"/>
      <c r="AH203" s="43"/>
      <c r="AI203" s="275"/>
      <c r="AJ203" s="275"/>
      <c r="AK203" s="275"/>
      <c r="AL203" s="275"/>
      <c r="AM203" s="275"/>
      <c r="AN203" s="277"/>
      <c r="AO203" s="274"/>
      <c r="AP203" s="275"/>
      <c r="AQ203" s="275"/>
      <c r="AR203" s="275"/>
      <c r="AS203" s="275"/>
      <c r="AT203" s="44"/>
      <c r="AU203" s="1"/>
      <c r="AV203" s="1"/>
    </row>
    <row r="204" spans="18:48">
      <c r="R204" s="1"/>
      <c r="S204" s="1"/>
      <c r="T204" s="275" t="s">
        <v>1916</v>
      </c>
      <c r="U204" s="44" t="b">
        <f>ISBLANK(TableauPokemonCapturé[[#This Row],[PokeID]])=FALSE</f>
        <v>0</v>
      </c>
      <c r="V204" s="1"/>
      <c r="W204" s="1"/>
      <c r="X204" s="43"/>
      <c r="Y204" s="275"/>
      <c r="Z204" s="44"/>
      <c r="AA204" s="1"/>
      <c r="AB204" s="43"/>
      <c r="AC204" s="44"/>
      <c r="AD204" s="43"/>
      <c r="AE204" s="275"/>
      <c r="AF204" s="275"/>
      <c r="AG204" s="44"/>
      <c r="AH204" s="43"/>
      <c r="AI204" s="275"/>
      <c r="AJ204" s="275"/>
      <c r="AK204" s="275"/>
      <c r="AL204" s="275"/>
      <c r="AM204" s="275"/>
      <c r="AN204" s="277"/>
      <c r="AO204" s="274"/>
      <c r="AP204" s="275"/>
      <c r="AQ204" s="275"/>
      <c r="AR204" s="275"/>
      <c r="AS204" s="275"/>
      <c r="AT204" s="44"/>
      <c r="AU204" s="1"/>
      <c r="AV204" s="1"/>
    </row>
    <row r="205" spans="18:48">
      <c r="R205" s="1"/>
      <c r="S205" s="1"/>
      <c r="T205" s="275" t="s">
        <v>1917</v>
      </c>
      <c r="U205" s="44" t="b">
        <f>ISBLANK(TableauPokemonCapturé[[#This Row],[PokeID]])=FALSE</f>
        <v>0</v>
      </c>
      <c r="V205" s="1"/>
      <c r="W205" s="1"/>
      <c r="X205" s="43"/>
      <c r="Y205" s="275"/>
      <c r="Z205" s="44"/>
      <c r="AA205" s="1"/>
      <c r="AB205" s="43"/>
      <c r="AC205" s="44"/>
      <c r="AD205" s="43"/>
      <c r="AE205" s="275"/>
      <c r="AF205" s="275"/>
      <c r="AG205" s="44"/>
      <c r="AH205" s="43"/>
      <c r="AI205" s="275"/>
      <c r="AJ205" s="275"/>
      <c r="AK205" s="275"/>
      <c r="AL205" s="275"/>
      <c r="AM205" s="275"/>
      <c r="AN205" s="277"/>
      <c r="AO205" s="274"/>
      <c r="AP205" s="275"/>
      <c r="AQ205" s="275"/>
      <c r="AR205" s="275"/>
      <c r="AS205" s="275"/>
      <c r="AT205" s="44"/>
      <c r="AU205" s="1"/>
      <c r="AV205" s="1"/>
    </row>
    <row r="206" spans="18:48">
      <c r="R206" s="1"/>
      <c r="S206" s="1"/>
      <c r="T206" s="275" t="s">
        <v>1918</v>
      </c>
      <c r="U206" s="44" t="b">
        <f>ISBLANK(TableauPokemonCapturé[[#This Row],[PokeID]])=FALSE</f>
        <v>0</v>
      </c>
      <c r="V206" s="1"/>
      <c r="W206" s="1"/>
      <c r="X206" s="43"/>
      <c r="Y206" s="275"/>
      <c r="Z206" s="44"/>
      <c r="AA206" s="1"/>
      <c r="AB206" s="43"/>
      <c r="AC206" s="44"/>
      <c r="AD206" s="43"/>
      <c r="AE206" s="275"/>
      <c r="AF206" s="275"/>
      <c r="AG206" s="44"/>
      <c r="AH206" s="43"/>
      <c r="AI206" s="275"/>
      <c r="AJ206" s="275"/>
      <c r="AK206" s="275"/>
      <c r="AL206" s="275"/>
      <c r="AM206" s="275"/>
      <c r="AN206" s="277"/>
      <c r="AO206" s="274"/>
      <c r="AP206" s="275"/>
      <c r="AQ206" s="275"/>
      <c r="AR206" s="275"/>
      <c r="AS206" s="275"/>
      <c r="AT206" s="44"/>
      <c r="AU206" s="1"/>
      <c r="AV206" s="1"/>
    </row>
    <row r="207" spans="18:48">
      <c r="R207" s="1"/>
      <c r="S207" s="1"/>
      <c r="T207" s="275" t="s">
        <v>1919</v>
      </c>
      <c r="U207" s="44" t="b">
        <f>ISBLANK(TableauPokemonCapturé[[#This Row],[PokeID]])=FALSE</f>
        <v>0</v>
      </c>
      <c r="V207" s="1"/>
      <c r="W207" s="1"/>
      <c r="X207" s="43"/>
      <c r="Y207" s="275"/>
      <c r="Z207" s="44"/>
      <c r="AA207" s="1"/>
      <c r="AB207" s="43"/>
      <c r="AC207" s="44"/>
      <c r="AD207" s="43"/>
      <c r="AE207" s="275"/>
      <c r="AF207" s="275"/>
      <c r="AG207" s="44"/>
      <c r="AH207" s="43"/>
      <c r="AI207" s="275"/>
      <c r="AJ207" s="275"/>
      <c r="AK207" s="275"/>
      <c r="AL207" s="275"/>
      <c r="AM207" s="275"/>
      <c r="AN207" s="277"/>
      <c r="AO207" s="274"/>
      <c r="AP207" s="275"/>
      <c r="AQ207" s="275"/>
      <c r="AR207" s="275"/>
      <c r="AS207" s="275"/>
      <c r="AT207" s="44"/>
      <c r="AU207" s="1"/>
      <c r="AV207" s="1"/>
    </row>
    <row r="208" spans="18:48">
      <c r="R208" s="1"/>
      <c r="S208" s="1"/>
      <c r="T208" s="275" t="s">
        <v>1920</v>
      </c>
      <c r="U208" s="44" t="b">
        <f>ISBLANK(TableauPokemonCapturé[[#This Row],[PokeID]])=FALSE</f>
        <v>0</v>
      </c>
      <c r="V208" s="1"/>
      <c r="W208" s="1"/>
      <c r="X208" s="43"/>
      <c r="Y208" s="275"/>
      <c r="Z208" s="44"/>
      <c r="AA208" s="1"/>
      <c r="AB208" s="43"/>
      <c r="AC208" s="44"/>
      <c r="AD208" s="43"/>
      <c r="AE208" s="275"/>
      <c r="AF208" s="275"/>
      <c r="AG208" s="44"/>
      <c r="AH208" s="43"/>
      <c r="AI208" s="275"/>
      <c r="AJ208" s="275"/>
      <c r="AK208" s="275"/>
      <c r="AL208" s="275"/>
      <c r="AM208" s="275"/>
      <c r="AN208" s="277"/>
      <c r="AO208" s="274"/>
      <c r="AP208" s="275"/>
      <c r="AQ208" s="275"/>
      <c r="AR208" s="275"/>
      <c r="AS208" s="275"/>
      <c r="AT208" s="44"/>
      <c r="AU208" s="1"/>
      <c r="AV208" s="1"/>
    </row>
    <row r="209" spans="18:48">
      <c r="R209" s="1"/>
      <c r="S209" s="1"/>
      <c r="T209" s="275" t="s">
        <v>1921</v>
      </c>
      <c r="U209" s="44" t="b">
        <f>ISBLANK(TableauPokemonCapturé[[#This Row],[PokeID]])=FALSE</f>
        <v>0</v>
      </c>
      <c r="V209" s="1"/>
      <c r="W209" s="1"/>
      <c r="X209" s="43"/>
      <c r="Y209" s="275"/>
      <c r="Z209" s="44"/>
      <c r="AA209" s="1"/>
      <c r="AB209" s="43"/>
      <c r="AC209" s="44"/>
      <c r="AD209" s="43"/>
      <c r="AE209" s="275"/>
      <c r="AF209" s="275"/>
      <c r="AG209" s="44"/>
      <c r="AH209" s="43"/>
      <c r="AI209" s="275"/>
      <c r="AJ209" s="275"/>
      <c r="AK209" s="275"/>
      <c r="AL209" s="275"/>
      <c r="AM209" s="275"/>
      <c r="AN209" s="277"/>
      <c r="AO209" s="274"/>
      <c r="AP209" s="275"/>
      <c r="AQ209" s="275"/>
      <c r="AR209" s="275"/>
      <c r="AS209" s="275"/>
      <c r="AT209" s="44"/>
      <c r="AU209" s="1"/>
      <c r="AV209" s="1"/>
    </row>
    <row r="210" spans="18:48">
      <c r="R210" s="1"/>
      <c r="S210" s="1"/>
      <c r="T210" s="275" t="s">
        <v>1922</v>
      </c>
      <c r="U210" s="44" t="b">
        <f>ISBLANK(TableauPokemonCapturé[[#This Row],[PokeID]])=FALSE</f>
        <v>0</v>
      </c>
      <c r="V210" s="1"/>
      <c r="W210" s="1"/>
      <c r="X210" s="43"/>
      <c r="Y210" s="275"/>
      <c r="Z210" s="44"/>
      <c r="AA210" s="1"/>
      <c r="AB210" s="43"/>
      <c r="AC210" s="44"/>
      <c r="AD210" s="43"/>
      <c r="AE210" s="275"/>
      <c r="AF210" s="275"/>
      <c r="AG210" s="44"/>
      <c r="AH210" s="43"/>
      <c r="AI210" s="275"/>
      <c r="AJ210" s="275"/>
      <c r="AK210" s="275"/>
      <c r="AL210" s="275"/>
      <c r="AM210" s="275"/>
      <c r="AN210" s="277"/>
      <c r="AO210" s="274"/>
      <c r="AP210" s="275"/>
      <c r="AQ210" s="275"/>
      <c r="AR210" s="275"/>
      <c r="AS210" s="275"/>
      <c r="AT210" s="44"/>
      <c r="AU210" s="1"/>
      <c r="AV210" s="1"/>
    </row>
    <row r="211" spans="18:48">
      <c r="R211" s="1"/>
      <c r="S211" s="1"/>
      <c r="T211" s="275" t="s">
        <v>1923</v>
      </c>
      <c r="U211" s="44" t="b">
        <f>ISBLANK(TableauPokemonCapturé[[#This Row],[PokeID]])=FALSE</f>
        <v>0</v>
      </c>
      <c r="V211" s="1"/>
      <c r="W211" s="1"/>
      <c r="X211" s="43"/>
      <c r="Y211" s="275"/>
      <c r="Z211" s="44"/>
      <c r="AA211" s="1"/>
      <c r="AB211" s="43"/>
      <c r="AC211" s="44"/>
      <c r="AD211" s="43"/>
      <c r="AE211" s="275"/>
      <c r="AF211" s="275"/>
      <c r="AG211" s="44"/>
      <c r="AH211" s="43"/>
      <c r="AI211" s="275"/>
      <c r="AJ211" s="275"/>
      <c r="AK211" s="275"/>
      <c r="AL211" s="275"/>
      <c r="AM211" s="275"/>
      <c r="AN211" s="277"/>
      <c r="AO211" s="274"/>
      <c r="AP211" s="275"/>
      <c r="AQ211" s="275"/>
      <c r="AR211" s="275"/>
      <c r="AS211" s="275"/>
      <c r="AT211" s="44"/>
      <c r="AU211" s="1"/>
      <c r="AV211" s="1"/>
    </row>
    <row r="212" spans="18:48">
      <c r="R212" s="1"/>
      <c r="S212" s="1"/>
      <c r="T212" s="275" t="s">
        <v>1924</v>
      </c>
      <c r="U212" s="44" t="b">
        <f>ISBLANK(TableauPokemonCapturé[[#This Row],[PokeID]])=FALSE</f>
        <v>0</v>
      </c>
      <c r="V212" s="1"/>
      <c r="W212" s="1"/>
      <c r="X212" s="43"/>
      <c r="Y212" s="275"/>
      <c r="Z212" s="44"/>
      <c r="AA212" s="1"/>
      <c r="AB212" s="43"/>
      <c r="AC212" s="44"/>
      <c r="AD212" s="43"/>
      <c r="AE212" s="275"/>
      <c r="AF212" s="275"/>
      <c r="AG212" s="44"/>
      <c r="AH212" s="43"/>
      <c r="AI212" s="275"/>
      <c r="AJ212" s="275"/>
      <c r="AK212" s="275"/>
      <c r="AL212" s="275"/>
      <c r="AM212" s="275"/>
      <c r="AN212" s="277"/>
      <c r="AO212" s="274"/>
      <c r="AP212" s="275"/>
      <c r="AQ212" s="275"/>
      <c r="AR212" s="275"/>
      <c r="AS212" s="275"/>
      <c r="AT212" s="44"/>
      <c r="AU212" s="1"/>
      <c r="AV212" s="1"/>
    </row>
    <row r="213" spans="18:48">
      <c r="R213" s="1"/>
      <c r="S213" s="1"/>
      <c r="T213" s="275" t="s">
        <v>1925</v>
      </c>
      <c r="U213" s="44" t="b">
        <f>ISBLANK(TableauPokemonCapturé[[#This Row],[PokeID]])=FALSE</f>
        <v>0</v>
      </c>
      <c r="V213" s="1"/>
      <c r="W213" s="1"/>
      <c r="X213" s="43"/>
      <c r="Y213" s="275"/>
      <c r="Z213" s="44"/>
      <c r="AA213" s="1"/>
      <c r="AB213" s="43"/>
      <c r="AC213" s="44"/>
      <c r="AD213" s="43"/>
      <c r="AE213" s="275"/>
      <c r="AF213" s="275"/>
      <c r="AG213" s="44"/>
      <c r="AH213" s="43"/>
      <c r="AI213" s="275"/>
      <c r="AJ213" s="275"/>
      <c r="AK213" s="275"/>
      <c r="AL213" s="275"/>
      <c r="AM213" s="275"/>
      <c r="AN213" s="277"/>
      <c r="AO213" s="274"/>
      <c r="AP213" s="275"/>
      <c r="AQ213" s="275"/>
      <c r="AR213" s="275"/>
      <c r="AS213" s="275"/>
      <c r="AT213" s="44"/>
      <c r="AU213" s="1"/>
      <c r="AV213" s="1"/>
    </row>
    <row r="214" spans="18:48">
      <c r="R214" s="1"/>
      <c r="S214" s="1"/>
      <c r="T214" s="275" t="s">
        <v>1926</v>
      </c>
      <c r="U214" s="44" t="b">
        <f>ISBLANK(TableauPokemonCapturé[[#This Row],[PokeID]])=FALSE</f>
        <v>0</v>
      </c>
      <c r="V214" s="1"/>
      <c r="W214" s="1"/>
      <c r="X214" s="43"/>
      <c r="Y214" s="275"/>
      <c r="Z214" s="44"/>
      <c r="AA214" s="1"/>
      <c r="AB214" s="43"/>
      <c r="AC214" s="44"/>
      <c r="AD214" s="43"/>
      <c r="AE214" s="275"/>
      <c r="AF214" s="275"/>
      <c r="AG214" s="44"/>
      <c r="AH214" s="43"/>
      <c r="AI214" s="275"/>
      <c r="AJ214" s="275"/>
      <c r="AK214" s="275"/>
      <c r="AL214" s="275"/>
      <c r="AM214" s="275"/>
      <c r="AN214" s="277"/>
      <c r="AO214" s="274"/>
      <c r="AP214" s="275"/>
      <c r="AQ214" s="275"/>
      <c r="AR214" s="275"/>
      <c r="AS214" s="275"/>
      <c r="AT214" s="44"/>
      <c r="AU214" s="1"/>
      <c r="AV214" s="1"/>
    </row>
    <row r="215" spans="18:48">
      <c r="R215" s="1"/>
      <c r="S215" s="1"/>
      <c r="T215" s="275" t="s">
        <v>1927</v>
      </c>
      <c r="U215" s="44" t="b">
        <f>ISBLANK(TableauPokemonCapturé[[#This Row],[PokeID]])=FALSE</f>
        <v>0</v>
      </c>
      <c r="V215" s="1"/>
      <c r="W215" s="1"/>
      <c r="X215" s="43"/>
      <c r="Y215" s="275"/>
      <c r="Z215" s="44"/>
      <c r="AA215" s="1"/>
      <c r="AB215" s="43"/>
      <c r="AC215" s="44"/>
      <c r="AD215" s="43"/>
      <c r="AE215" s="275"/>
      <c r="AF215" s="275"/>
      <c r="AG215" s="44"/>
      <c r="AH215" s="43"/>
      <c r="AI215" s="275"/>
      <c r="AJ215" s="275"/>
      <c r="AK215" s="275"/>
      <c r="AL215" s="275"/>
      <c r="AM215" s="275"/>
      <c r="AN215" s="277"/>
      <c r="AO215" s="274"/>
      <c r="AP215" s="275"/>
      <c r="AQ215" s="275"/>
      <c r="AR215" s="275"/>
      <c r="AS215" s="275"/>
      <c r="AT215" s="44"/>
      <c r="AU215" s="1"/>
      <c r="AV215" s="1"/>
    </row>
    <row r="216" spans="18:48">
      <c r="R216" s="1"/>
      <c r="S216" s="1"/>
      <c r="T216" s="275" t="s">
        <v>1928</v>
      </c>
      <c r="U216" s="44" t="b">
        <f>ISBLANK(TableauPokemonCapturé[[#This Row],[PokeID]])=FALSE</f>
        <v>0</v>
      </c>
      <c r="V216" s="1"/>
      <c r="W216" s="1"/>
      <c r="X216" s="43"/>
      <c r="Y216" s="275"/>
      <c r="Z216" s="44"/>
      <c r="AA216" s="1"/>
      <c r="AB216" s="43"/>
      <c r="AC216" s="44"/>
      <c r="AD216" s="43"/>
      <c r="AE216" s="275"/>
      <c r="AF216" s="275"/>
      <c r="AG216" s="44"/>
      <c r="AH216" s="43"/>
      <c r="AI216" s="275"/>
      <c r="AJ216" s="275"/>
      <c r="AK216" s="275"/>
      <c r="AL216" s="275"/>
      <c r="AM216" s="275"/>
      <c r="AN216" s="277"/>
      <c r="AO216" s="274"/>
      <c r="AP216" s="275"/>
      <c r="AQ216" s="275"/>
      <c r="AR216" s="275"/>
      <c r="AS216" s="275"/>
      <c r="AT216" s="44"/>
      <c r="AU216" s="1"/>
      <c r="AV216" s="1"/>
    </row>
    <row r="217" spans="18:48">
      <c r="R217" s="1"/>
      <c r="S217" s="1"/>
      <c r="T217" s="275" t="s">
        <v>1929</v>
      </c>
      <c r="U217" s="44" t="b">
        <f>ISBLANK(TableauPokemonCapturé[[#This Row],[PokeID]])=FALSE</f>
        <v>0</v>
      </c>
      <c r="V217" s="1"/>
      <c r="W217" s="1"/>
      <c r="X217" s="43"/>
      <c r="Y217" s="275"/>
      <c r="Z217" s="44"/>
      <c r="AA217" s="1"/>
      <c r="AB217" s="43"/>
      <c r="AC217" s="44"/>
      <c r="AD217" s="43"/>
      <c r="AE217" s="275"/>
      <c r="AF217" s="275"/>
      <c r="AG217" s="44"/>
      <c r="AH217" s="43"/>
      <c r="AI217" s="275"/>
      <c r="AJ217" s="275"/>
      <c r="AK217" s="275"/>
      <c r="AL217" s="275"/>
      <c r="AM217" s="275"/>
      <c r="AN217" s="277"/>
      <c r="AO217" s="274"/>
      <c r="AP217" s="275"/>
      <c r="AQ217" s="275"/>
      <c r="AR217" s="275"/>
      <c r="AS217" s="275"/>
      <c r="AT217" s="44"/>
      <c r="AU217" s="1"/>
      <c r="AV217" s="1"/>
    </row>
    <row r="218" spans="18:48">
      <c r="R218" s="1"/>
      <c r="S218" s="1"/>
      <c r="T218" s="275" t="s">
        <v>1930</v>
      </c>
      <c r="U218" s="44" t="b">
        <f>ISBLANK(TableauPokemonCapturé[[#This Row],[PokeID]])=FALSE</f>
        <v>0</v>
      </c>
      <c r="V218" s="1"/>
      <c r="W218" s="1"/>
      <c r="X218" s="43"/>
      <c r="Y218" s="275"/>
      <c r="Z218" s="44"/>
      <c r="AA218" s="1"/>
      <c r="AB218" s="43"/>
      <c r="AC218" s="44"/>
      <c r="AD218" s="43"/>
      <c r="AE218" s="275"/>
      <c r="AF218" s="275"/>
      <c r="AG218" s="44"/>
      <c r="AH218" s="43"/>
      <c r="AI218" s="275"/>
      <c r="AJ218" s="275"/>
      <c r="AK218" s="275"/>
      <c r="AL218" s="275"/>
      <c r="AM218" s="275"/>
      <c r="AN218" s="277"/>
      <c r="AO218" s="274"/>
      <c r="AP218" s="275"/>
      <c r="AQ218" s="275"/>
      <c r="AR218" s="275"/>
      <c r="AS218" s="275"/>
      <c r="AT218" s="44"/>
      <c r="AU218" s="1"/>
      <c r="AV218" s="1"/>
    </row>
    <row r="219" spans="18:48">
      <c r="R219" s="1"/>
      <c r="S219" s="1"/>
      <c r="T219" s="275" t="s">
        <v>1931</v>
      </c>
      <c r="U219" s="44" t="b">
        <f>ISBLANK(TableauPokemonCapturé[[#This Row],[PokeID]])=FALSE</f>
        <v>0</v>
      </c>
      <c r="V219" s="1"/>
      <c r="W219" s="1"/>
      <c r="X219" s="43"/>
      <c r="Y219" s="275"/>
      <c r="Z219" s="44"/>
      <c r="AA219" s="1"/>
      <c r="AB219" s="43"/>
      <c r="AC219" s="44"/>
      <c r="AD219" s="43"/>
      <c r="AE219" s="275"/>
      <c r="AF219" s="275"/>
      <c r="AG219" s="44"/>
      <c r="AH219" s="43"/>
      <c r="AI219" s="275"/>
      <c r="AJ219" s="275"/>
      <c r="AK219" s="275"/>
      <c r="AL219" s="275"/>
      <c r="AM219" s="275"/>
      <c r="AN219" s="277"/>
      <c r="AO219" s="274"/>
      <c r="AP219" s="275"/>
      <c r="AQ219" s="275"/>
      <c r="AR219" s="275"/>
      <c r="AS219" s="275"/>
      <c r="AT219" s="44"/>
      <c r="AU219" s="1"/>
      <c r="AV219" s="1"/>
    </row>
    <row r="220" spans="18:48">
      <c r="R220" s="1"/>
      <c r="S220" s="1"/>
      <c r="T220" s="275" t="s">
        <v>1932</v>
      </c>
      <c r="U220" s="44" t="b">
        <f>ISBLANK(TableauPokemonCapturé[[#This Row],[PokeID]])=FALSE</f>
        <v>0</v>
      </c>
      <c r="V220" s="1"/>
      <c r="W220" s="1"/>
      <c r="X220" s="43"/>
      <c r="Y220" s="275"/>
      <c r="Z220" s="44"/>
      <c r="AA220" s="1"/>
      <c r="AB220" s="43"/>
      <c r="AC220" s="44"/>
      <c r="AD220" s="43"/>
      <c r="AE220" s="275"/>
      <c r="AF220" s="275"/>
      <c r="AG220" s="44"/>
      <c r="AH220" s="43"/>
      <c r="AI220" s="275"/>
      <c r="AJ220" s="275"/>
      <c r="AK220" s="275"/>
      <c r="AL220" s="275"/>
      <c r="AM220" s="275"/>
      <c r="AN220" s="277"/>
      <c r="AO220" s="274"/>
      <c r="AP220" s="275"/>
      <c r="AQ220" s="275"/>
      <c r="AR220" s="275"/>
      <c r="AS220" s="275"/>
      <c r="AT220" s="44"/>
      <c r="AU220" s="1"/>
      <c r="AV220" s="1"/>
    </row>
    <row r="221" spans="18:48">
      <c r="R221" s="1"/>
      <c r="S221" s="1"/>
      <c r="T221" s="275" t="s">
        <v>1933</v>
      </c>
      <c r="U221" s="44" t="b">
        <f>ISBLANK(TableauPokemonCapturé[[#This Row],[PokeID]])=FALSE</f>
        <v>0</v>
      </c>
      <c r="V221" s="1"/>
      <c r="W221" s="1"/>
      <c r="X221" s="43"/>
      <c r="Y221" s="275"/>
      <c r="Z221" s="44"/>
      <c r="AA221" s="1"/>
      <c r="AB221" s="43"/>
      <c r="AC221" s="44"/>
      <c r="AD221" s="43"/>
      <c r="AE221" s="275"/>
      <c r="AF221" s="275"/>
      <c r="AG221" s="44"/>
      <c r="AH221" s="43"/>
      <c r="AI221" s="275"/>
      <c r="AJ221" s="275"/>
      <c r="AK221" s="275"/>
      <c r="AL221" s="275"/>
      <c r="AM221" s="275"/>
      <c r="AN221" s="277"/>
      <c r="AO221" s="274"/>
      <c r="AP221" s="275"/>
      <c r="AQ221" s="275"/>
      <c r="AR221" s="275"/>
      <c r="AS221" s="275"/>
      <c r="AT221" s="44"/>
      <c r="AU221" s="1"/>
      <c r="AV221" s="1"/>
    </row>
    <row r="222" spans="18:48">
      <c r="R222" s="1"/>
      <c r="S222" s="1"/>
      <c r="T222" s="275" t="s">
        <v>1934</v>
      </c>
      <c r="U222" s="44" t="b">
        <f>ISBLANK(TableauPokemonCapturé[[#This Row],[PokeID]])=FALSE</f>
        <v>0</v>
      </c>
      <c r="V222" s="1"/>
      <c r="W222" s="1"/>
      <c r="X222" s="43"/>
      <c r="Y222" s="275"/>
      <c r="Z222" s="44"/>
      <c r="AA222" s="1"/>
      <c r="AB222" s="43"/>
      <c r="AC222" s="44"/>
      <c r="AD222" s="43"/>
      <c r="AE222" s="275"/>
      <c r="AF222" s="275"/>
      <c r="AG222" s="44"/>
      <c r="AH222" s="43"/>
      <c r="AI222" s="275"/>
      <c r="AJ222" s="275"/>
      <c r="AK222" s="275"/>
      <c r="AL222" s="275"/>
      <c r="AM222" s="275"/>
      <c r="AN222" s="277"/>
      <c r="AO222" s="274"/>
      <c r="AP222" s="275"/>
      <c r="AQ222" s="275"/>
      <c r="AR222" s="275"/>
      <c r="AS222" s="275"/>
      <c r="AT222" s="44"/>
      <c r="AU222" s="1"/>
      <c r="AV222" s="1"/>
    </row>
    <row r="223" spans="18:48">
      <c r="R223" s="1"/>
      <c r="S223" s="1"/>
      <c r="T223" s="275" t="s">
        <v>1935</v>
      </c>
      <c r="U223" s="44" t="b">
        <f>ISBLANK(TableauPokemonCapturé[[#This Row],[PokeID]])=FALSE</f>
        <v>0</v>
      </c>
      <c r="V223" s="1"/>
      <c r="W223" s="1"/>
      <c r="X223" s="43"/>
      <c r="Y223" s="275"/>
      <c r="Z223" s="44"/>
      <c r="AA223" s="1"/>
      <c r="AB223" s="43"/>
      <c r="AC223" s="44"/>
      <c r="AD223" s="43"/>
      <c r="AE223" s="275"/>
      <c r="AF223" s="275"/>
      <c r="AG223" s="44"/>
      <c r="AH223" s="43"/>
      <c r="AI223" s="275"/>
      <c r="AJ223" s="275"/>
      <c r="AK223" s="275"/>
      <c r="AL223" s="275"/>
      <c r="AM223" s="275"/>
      <c r="AN223" s="277"/>
      <c r="AO223" s="274"/>
      <c r="AP223" s="275"/>
      <c r="AQ223" s="275"/>
      <c r="AR223" s="275"/>
      <c r="AS223" s="275"/>
      <c r="AT223" s="44"/>
      <c r="AU223" s="1"/>
      <c r="AV223" s="1"/>
    </row>
    <row r="224" spans="18:48">
      <c r="R224" s="1"/>
      <c r="S224" s="1"/>
      <c r="T224" s="275" t="s">
        <v>1936</v>
      </c>
      <c r="U224" s="44" t="b">
        <f>ISBLANK(TableauPokemonCapturé[[#This Row],[PokeID]])=FALSE</f>
        <v>0</v>
      </c>
      <c r="V224" s="1"/>
      <c r="W224" s="1"/>
      <c r="X224" s="43"/>
      <c r="Y224" s="275"/>
      <c r="Z224" s="44"/>
      <c r="AA224" s="1"/>
      <c r="AB224" s="43"/>
      <c r="AC224" s="44"/>
      <c r="AD224" s="43"/>
      <c r="AE224" s="275"/>
      <c r="AF224" s="275"/>
      <c r="AG224" s="44"/>
      <c r="AH224" s="43"/>
      <c r="AI224" s="275"/>
      <c r="AJ224" s="275"/>
      <c r="AK224" s="275"/>
      <c r="AL224" s="275"/>
      <c r="AM224" s="275"/>
      <c r="AN224" s="277"/>
      <c r="AO224" s="274"/>
      <c r="AP224" s="275"/>
      <c r="AQ224" s="275"/>
      <c r="AR224" s="275"/>
      <c r="AS224" s="275"/>
      <c r="AT224" s="44"/>
      <c r="AU224" s="1"/>
      <c r="AV224" s="1"/>
    </row>
    <row r="225" spans="18:48">
      <c r="R225" s="1"/>
      <c r="S225" s="1"/>
      <c r="T225" s="275" t="s">
        <v>1937</v>
      </c>
      <c r="U225" s="44" t="b">
        <f>ISBLANK(TableauPokemonCapturé[[#This Row],[PokeID]])=FALSE</f>
        <v>0</v>
      </c>
      <c r="V225" s="1"/>
      <c r="W225" s="1"/>
      <c r="X225" s="43"/>
      <c r="Y225" s="275"/>
      <c r="Z225" s="44"/>
      <c r="AA225" s="1"/>
      <c r="AB225" s="43"/>
      <c r="AC225" s="44"/>
      <c r="AD225" s="43"/>
      <c r="AE225" s="275"/>
      <c r="AF225" s="275"/>
      <c r="AG225" s="44"/>
      <c r="AH225" s="43"/>
      <c r="AI225" s="275"/>
      <c r="AJ225" s="275"/>
      <c r="AK225" s="275"/>
      <c r="AL225" s="275"/>
      <c r="AM225" s="275"/>
      <c r="AN225" s="277"/>
      <c r="AO225" s="274"/>
      <c r="AP225" s="275"/>
      <c r="AQ225" s="275"/>
      <c r="AR225" s="275"/>
      <c r="AS225" s="275"/>
      <c r="AT225" s="44"/>
      <c r="AU225" s="1"/>
      <c r="AV225" s="1"/>
    </row>
    <row r="226" spans="18:48">
      <c r="R226" s="1"/>
      <c r="S226" s="1"/>
      <c r="T226" s="275" t="s">
        <v>1938</v>
      </c>
      <c r="U226" s="44" t="b">
        <f>ISBLANK(TableauPokemonCapturé[[#This Row],[PokeID]])=FALSE</f>
        <v>0</v>
      </c>
      <c r="V226" s="1"/>
      <c r="W226" s="1"/>
      <c r="X226" s="43"/>
      <c r="Y226" s="275"/>
      <c r="Z226" s="44"/>
      <c r="AA226" s="1"/>
      <c r="AB226" s="43"/>
      <c r="AC226" s="44"/>
      <c r="AD226" s="43"/>
      <c r="AE226" s="275"/>
      <c r="AF226" s="275"/>
      <c r="AG226" s="44"/>
      <c r="AH226" s="43"/>
      <c r="AI226" s="275"/>
      <c r="AJ226" s="275"/>
      <c r="AK226" s="275"/>
      <c r="AL226" s="275"/>
      <c r="AM226" s="275"/>
      <c r="AN226" s="277"/>
      <c r="AO226" s="274"/>
      <c r="AP226" s="275"/>
      <c r="AQ226" s="275"/>
      <c r="AR226" s="275"/>
      <c r="AS226" s="275"/>
      <c r="AT226" s="44"/>
      <c r="AU226" s="1"/>
      <c r="AV226" s="1"/>
    </row>
    <row r="227" spans="18:48">
      <c r="R227" s="1"/>
      <c r="S227" s="1"/>
      <c r="T227" s="275" t="s">
        <v>1939</v>
      </c>
      <c r="U227" s="44" t="b">
        <f>ISBLANK(TableauPokemonCapturé[[#This Row],[PokeID]])=FALSE</f>
        <v>0</v>
      </c>
      <c r="V227" s="1"/>
      <c r="W227" s="1"/>
      <c r="X227" s="43"/>
      <c r="Y227" s="275"/>
      <c r="Z227" s="44"/>
      <c r="AA227" s="1"/>
      <c r="AB227" s="43"/>
      <c r="AC227" s="44"/>
      <c r="AD227" s="43"/>
      <c r="AE227" s="275"/>
      <c r="AF227" s="275"/>
      <c r="AG227" s="44"/>
      <c r="AH227" s="43"/>
      <c r="AI227" s="275"/>
      <c r="AJ227" s="275"/>
      <c r="AK227" s="275"/>
      <c r="AL227" s="275"/>
      <c r="AM227" s="275"/>
      <c r="AN227" s="277"/>
      <c r="AO227" s="274"/>
      <c r="AP227" s="275"/>
      <c r="AQ227" s="275"/>
      <c r="AR227" s="275"/>
      <c r="AS227" s="275"/>
      <c r="AT227" s="44"/>
      <c r="AU227" s="1"/>
      <c r="AV227" s="1"/>
    </row>
    <row r="228" spans="18:48">
      <c r="R228" s="1"/>
      <c r="S228" s="1"/>
      <c r="T228" s="275" t="s">
        <v>1940</v>
      </c>
      <c r="U228" s="44" t="b">
        <f>ISBLANK(TableauPokemonCapturé[[#This Row],[PokeID]])=FALSE</f>
        <v>0</v>
      </c>
      <c r="V228" s="1"/>
      <c r="W228" s="1"/>
      <c r="X228" s="43"/>
      <c r="Y228" s="275"/>
      <c r="Z228" s="44"/>
      <c r="AA228" s="1"/>
      <c r="AB228" s="43"/>
      <c r="AC228" s="44"/>
      <c r="AD228" s="43"/>
      <c r="AE228" s="275"/>
      <c r="AF228" s="275"/>
      <c r="AG228" s="44"/>
      <c r="AH228" s="43"/>
      <c r="AI228" s="275"/>
      <c r="AJ228" s="275"/>
      <c r="AK228" s="275"/>
      <c r="AL228" s="275"/>
      <c r="AM228" s="275"/>
      <c r="AN228" s="277"/>
      <c r="AO228" s="274"/>
      <c r="AP228" s="275"/>
      <c r="AQ228" s="275"/>
      <c r="AR228" s="275"/>
      <c r="AS228" s="275"/>
      <c r="AT228" s="44"/>
      <c r="AU228" s="1"/>
      <c r="AV228" s="1"/>
    </row>
    <row r="229" spans="18:48">
      <c r="R229" s="1"/>
      <c r="S229" s="1"/>
      <c r="T229" s="275" t="s">
        <v>1941</v>
      </c>
      <c r="U229" s="44" t="b">
        <f>ISBLANK(TableauPokemonCapturé[[#This Row],[PokeID]])=FALSE</f>
        <v>0</v>
      </c>
      <c r="V229" s="1"/>
      <c r="W229" s="1"/>
      <c r="X229" s="43"/>
      <c r="Y229" s="275"/>
      <c r="Z229" s="44"/>
      <c r="AA229" s="1"/>
      <c r="AB229" s="43"/>
      <c r="AC229" s="44"/>
      <c r="AD229" s="43"/>
      <c r="AE229" s="275"/>
      <c r="AF229" s="275"/>
      <c r="AG229" s="44"/>
      <c r="AH229" s="43"/>
      <c r="AI229" s="275"/>
      <c r="AJ229" s="275"/>
      <c r="AK229" s="275"/>
      <c r="AL229" s="275"/>
      <c r="AM229" s="275"/>
      <c r="AN229" s="277"/>
      <c r="AO229" s="274"/>
      <c r="AP229" s="275"/>
      <c r="AQ229" s="275"/>
      <c r="AR229" s="275"/>
      <c r="AS229" s="275"/>
      <c r="AT229" s="44"/>
      <c r="AU229" s="1"/>
      <c r="AV229" s="1"/>
    </row>
    <row r="230" spans="18:48">
      <c r="R230" s="1"/>
      <c r="S230" s="1"/>
      <c r="T230" s="275" t="s">
        <v>1942</v>
      </c>
      <c r="U230" s="44" t="b">
        <f>ISBLANK(TableauPokemonCapturé[[#This Row],[PokeID]])=FALSE</f>
        <v>0</v>
      </c>
      <c r="V230" s="1"/>
      <c r="W230" s="1"/>
      <c r="X230" s="43"/>
      <c r="Y230" s="275"/>
      <c r="Z230" s="44"/>
      <c r="AA230" s="1"/>
      <c r="AB230" s="43"/>
      <c r="AC230" s="44"/>
      <c r="AD230" s="43"/>
      <c r="AE230" s="275"/>
      <c r="AF230" s="275"/>
      <c r="AG230" s="44"/>
      <c r="AH230" s="43"/>
      <c r="AI230" s="275"/>
      <c r="AJ230" s="275"/>
      <c r="AK230" s="275"/>
      <c r="AL230" s="275"/>
      <c r="AM230" s="275"/>
      <c r="AN230" s="277"/>
      <c r="AO230" s="274"/>
      <c r="AP230" s="275"/>
      <c r="AQ230" s="275"/>
      <c r="AR230" s="275"/>
      <c r="AS230" s="275"/>
      <c r="AT230" s="44"/>
      <c r="AU230" s="1"/>
      <c r="AV230" s="1"/>
    </row>
    <row r="231" spans="18:48">
      <c r="R231" s="1"/>
      <c r="S231" s="1"/>
      <c r="T231" s="275" t="s">
        <v>1943</v>
      </c>
      <c r="U231" s="44" t="b">
        <f>ISBLANK(TableauPokemonCapturé[[#This Row],[PokeID]])=FALSE</f>
        <v>0</v>
      </c>
      <c r="V231" s="1"/>
      <c r="W231" s="1"/>
      <c r="X231" s="43"/>
      <c r="Y231" s="275"/>
      <c r="Z231" s="44"/>
      <c r="AA231" s="1"/>
      <c r="AB231" s="43"/>
      <c r="AC231" s="44"/>
      <c r="AD231" s="43"/>
      <c r="AE231" s="275"/>
      <c r="AF231" s="275"/>
      <c r="AG231" s="44"/>
      <c r="AH231" s="43"/>
      <c r="AI231" s="275"/>
      <c r="AJ231" s="275"/>
      <c r="AK231" s="275"/>
      <c r="AL231" s="275"/>
      <c r="AM231" s="275"/>
      <c r="AN231" s="277"/>
      <c r="AO231" s="274"/>
      <c r="AP231" s="275"/>
      <c r="AQ231" s="275"/>
      <c r="AR231" s="275"/>
      <c r="AS231" s="275"/>
      <c r="AT231" s="44"/>
      <c r="AU231" s="1"/>
      <c r="AV231" s="1"/>
    </row>
    <row r="232" spans="18:48">
      <c r="R232" s="1"/>
      <c r="S232" s="1"/>
      <c r="T232" s="275" t="s">
        <v>1944</v>
      </c>
      <c r="U232" s="44" t="b">
        <f>ISBLANK(TableauPokemonCapturé[[#This Row],[PokeID]])=FALSE</f>
        <v>0</v>
      </c>
      <c r="V232" s="1"/>
      <c r="W232" s="1"/>
      <c r="X232" s="43"/>
      <c r="Y232" s="275"/>
      <c r="Z232" s="44"/>
      <c r="AA232" s="1"/>
      <c r="AB232" s="43"/>
      <c r="AC232" s="44"/>
      <c r="AD232" s="43"/>
      <c r="AE232" s="275"/>
      <c r="AF232" s="275"/>
      <c r="AG232" s="44"/>
      <c r="AH232" s="43"/>
      <c r="AI232" s="275"/>
      <c r="AJ232" s="275"/>
      <c r="AK232" s="275"/>
      <c r="AL232" s="275"/>
      <c r="AM232" s="275"/>
      <c r="AN232" s="277"/>
      <c r="AO232" s="274"/>
      <c r="AP232" s="275"/>
      <c r="AQ232" s="275"/>
      <c r="AR232" s="275"/>
      <c r="AS232" s="275"/>
      <c r="AT232" s="44"/>
      <c r="AU232" s="1"/>
      <c r="AV232" s="1"/>
    </row>
    <row r="233" spans="18:48">
      <c r="R233" s="1"/>
      <c r="S233" s="1"/>
      <c r="T233" s="275" t="s">
        <v>1945</v>
      </c>
      <c r="U233" s="44" t="b">
        <f>ISBLANK(TableauPokemonCapturé[[#This Row],[PokeID]])=FALSE</f>
        <v>0</v>
      </c>
      <c r="V233" s="1"/>
      <c r="W233" s="1"/>
      <c r="X233" s="43"/>
      <c r="Y233" s="275"/>
      <c r="Z233" s="44"/>
      <c r="AA233" s="1"/>
      <c r="AB233" s="43"/>
      <c r="AC233" s="44"/>
      <c r="AD233" s="43"/>
      <c r="AE233" s="275"/>
      <c r="AF233" s="275"/>
      <c r="AG233" s="44"/>
      <c r="AH233" s="43"/>
      <c r="AI233" s="275"/>
      <c r="AJ233" s="275"/>
      <c r="AK233" s="275"/>
      <c r="AL233" s="275"/>
      <c r="AM233" s="275"/>
      <c r="AN233" s="277"/>
      <c r="AO233" s="274"/>
      <c r="AP233" s="275"/>
      <c r="AQ233" s="275"/>
      <c r="AR233" s="275"/>
      <c r="AS233" s="275"/>
      <c r="AT233" s="44"/>
      <c r="AU233" s="1"/>
      <c r="AV233" s="1"/>
    </row>
    <row r="234" spans="18:48">
      <c r="R234" s="1"/>
      <c r="S234" s="1"/>
      <c r="T234" s="275" t="s">
        <v>1946</v>
      </c>
      <c r="U234" s="44" t="b">
        <f>ISBLANK(TableauPokemonCapturé[[#This Row],[PokeID]])=FALSE</f>
        <v>0</v>
      </c>
      <c r="V234" s="1"/>
      <c r="W234" s="1"/>
      <c r="X234" s="43"/>
      <c r="Y234" s="275"/>
      <c r="Z234" s="44"/>
      <c r="AA234" s="1"/>
      <c r="AB234" s="43"/>
      <c r="AC234" s="44"/>
      <c r="AD234" s="43"/>
      <c r="AE234" s="275"/>
      <c r="AF234" s="275"/>
      <c r="AG234" s="44"/>
      <c r="AH234" s="43"/>
      <c r="AI234" s="275"/>
      <c r="AJ234" s="275"/>
      <c r="AK234" s="275"/>
      <c r="AL234" s="275"/>
      <c r="AM234" s="275"/>
      <c r="AN234" s="277"/>
      <c r="AO234" s="274"/>
      <c r="AP234" s="275"/>
      <c r="AQ234" s="275"/>
      <c r="AR234" s="275"/>
      <c r="AS234" s="275"/>
      <c r="AT234" s="44"/>
      <c r="AU234" s="1"/>
      <c r="AV234" s="1"/>
    </row>
    <row r="235" spans="18:48">
      <c r="R235" s="1"/>
      <c r="S235" s="1"/>
      <c r="T235" s="275" t="s">
        <v>1947</v>
      </c>
      <c r="U235" s="44" t="b">
        <f>ISBLANK(TableauPokemonCapturé[[#This Row],[PokeID]])=FALSE</f>
        <v>0</v>
      </c>
      <c r="V235" s="1"/>
      <c r="W235" s="1"/>
      <c r="X235" s="43"/>
      <c r="Y235" s="275"/>
      <c r="Z235" s="44"/>
      <c r="AA235" s="1"/>
      <c r="AB235" s="43"/>
      <c r="AC235" s="44"/>
      <c r="AD235" s="43"/>
      <c r="AE235" s="275"/>
      <c r="AF235" s="275"/>
      <c r="AG235" s="44"/>
      <c r="AH235" s="43"/>
      <c r="AI235" s="275"/>
      <c r="AJ235" s="275"/>
      <c r="AK235" s="275"/>
      <c r="AL235" s="275"/>
      <c r="AM235" s="275"/>
      <c r="AN235" s="277"/>
      <c r="AO235" s="274"/>
      <c r="AP235" s="275"/>
      <c r="AQ235" s="275"/>
      <c r="AR235" s="275"/>
      <c r="AS235" s="275"/>
      <c r="AT235" s="44"/>
      <c r="AU235" s="1"/>
      <c r="AV235" s="1"/>
    </row>
    <row r="236" spans="18:48">
      <c r="R236" s="1"/>
      <c r="S236" s="1"/>
      <c r="T236" s="275" t="s">
        <v>1948</v>
      </c>
      <c r="U236" s="44" t="b">
        <f>ISBLANK(TableauPokemonCapturé[[#This Row],[PokeID]])=FALSE</f>
        <v>0</v>
      </c>
      <c r="V236" s="1"/>
      <c r="W236" s="1"/>
      <c r="X236" s="43"/>
      <c r="Y236" s="275"/>
      <c r="Z236" s="44"/>
      <c r="AA236" s="1"/>
      <c r="AB236" s="43"/>
      <c r="AC236" s="44"/>
      <c r="AD236" s="43"/>
      <c r="AE236" s="275"/>
      <c r="AF236" s="275"/>
      <c r="AG236" s="44"/>
      <c r="AH236" s="43"/>
      <c r="AI236" s="275"/>
      <c r="AJ236" s="275"/>
      <c r="AK236" s="275"/>
      <c r="AL236" s="275"/>
      <c r="AM236" s="275"/>
      <c r="AN236" s="277"/>
      <c r="AO236" s="274"/>
      <c r="AP236" s="275"/>
      <c r="AQ236" s="275"/>
      <c r="AR236" s="275"/>
      <c r="AS236" s="275"/>
      <c r="AT236" s="44"/>
      <c r="AU236" s="1"/>
      <c r="AV236" s="1"/>
    </row>
    <row r="237" spans="18:48">
      <c r="R237" s="1"/>
      <c r="S237" s="1"/>
      <c r="T237" s="275" t="s">
        <v>1949</v>
      </c>
      <c r="U237" s="44" t="b">
        <f>ISBLANK(TableauPokemonCapturé[[#This Row],[PokeID]])=FALSE</f>
        <v>0</v>
      </c>
      <c r="V237" s="1"/>
      <c r="W237" s="1"/>
      <c r="X237" s="43"/>
      <c r="Y237" s="275"/>
      <c r="Z237" s="44"/>
      <c r="AA237" s="1"/>
      <c r="AB237" s="43"/>
      <c r="AC237" s="44"/>
      <c r="AD237" s="43"/>
      <c r="AE237" s="275"/>
      <c r="AF237" s="275"/>
      <c r="AG237" s="44"/>
      <c r="AH237" s="43"/>
      <c r="AI237" s="275"/>
      <c r="AJ237" s="275"/>
      <c r="AK237" s="275"/>
      <c r="AL237" s="275"/>
      <c r="AM237" s="275"/>
      <c r="AN237" s="277"/>
      <c r="AO237" s="274"/>
      <c r="AP237" s="275"/>
      <c r="AQ237" s="275"/>
      <c r="AR237" s="275"/>
      <c r="AS237" s="275"/>
      <c r="AT237" s="44"/>
      <c r="AU237" s="1"/>
      <c r="AV237" s="1"/>
    </row>
    <row r="238" spans="18:48">
      <c r="R238" s="1"/>
      <c r="S238" s="1"/>
      <c r="T238" s="275" t="s">
        <v>1950</v>
      </c>
      <c r="U238" s="44" t="b">
        <f>ISBLANK(TableauPokemonCapturé[[#This Row],[PokeID]])=FALSE</f>
        <v>0</v>
      </c>
      <c r="V238" s="1"/>
      <c r="W238" s="1"/>
      <c r="X238" s="43"/>
      <c r="Y238" s="275"/>
      <c r="Z238" s="44"/>
      <c r="AA238" s="1"/>
      <c r="AB238" s="43"/>
      <c r="AC238" s="44"/>
      <c r="AD238" s="43"/>
      <c r="AE238" s="275"/>
      <c r="AF238" s="275"/>
      <c r="AG238" s="44"/>
      <c r="AH238" s="43"/>
      <c r="AI238" s="275"/>
      <c r="AJ238" s="275"/>
      <c r="AK238" s="275"/>
      <c r="AL238" s="275"/>
      <c r="AM238" s="275"/>
      <c r="AN238" s="277"/>
      <c r="AO238" s="274"/>
      <c r="AP238" s="275"/>
      <c r="AQ238" s="275"/>
      <c r="AR238" s="275"/>
      <c r="AS238" s="275"/>
      <c r="AT238" s="44"/>
      <c r="AU238" s="1"/>
      <c r="AV238" s="1"/>
    </row>
    <row r="239" spans="18:48">
      <c r="R239" s="1"/>
      <c r="S239" s="1"/>
      <c r="T239" s="275" t="s">
        <v>1951</v>
      </c>
      <c r="U239" s="44" t="b">
        <f>ISBLANK(TableauPokemonCapturé[[#This Row],[PokeID]])=FALSE</f>
        <v>0</v>
      </c>
      <c r="V239" s="1"/>
      <c r="W239" s="1"/>
      <c r="X239" s="43"/>
      <c r="Y239" s="275"/>
      <c r="Z239" s="44"/>
      <c r="AA239" s="1"/>
      <c r="AB239" s="43"/>
      <c r="AC239" s="44"/>
      <c r="AD239" s="43"/>
      <c r="AE239" s="275"/>
      <c r="AF239" s="275"/>
      <c r="AG239" s="44"/>
      <c r="AH239" s="43"/>
      <c r="AI239" s="275"/>
      <c r="AJ239" s="275"/>
      <c r="AK239" s="275"/>
      <c r="AL239" s="275"/>
      <c r="AM239" s="275"/>
      <c r="AN239" s="277"/>
      <c r="AO239" s="274"/>
      <c r="AP239" s="275"/>
      <c r="AQ239" s="275"/>
      <c r="AR239" s="275"/>
      <c r="AS239" s="275"/>
      <c r="AT239" s="44"/>
      <c r="AU239" s="1"/>
      <c r="AV239" s="1"/>
    </row>
    <row r="240" spans="18:48">
      <c r="R240" s="1"/>
      <c r="S240" s="1"/>
      <c r="T240" s="275" t="s">
        <v>1952</v>
      </c>
      <c r="U240" s="44" t="b">
        <f>ISBLANK(TableauPokemonCapturé[[#This Row],[PokeID]])=FALSE</f>
        <v>0</v>
      </c>
      <c r="V240" s="1"/>
      <c r="W240" s="1"/>
      <c r="X240" s="43"/>
      <c r="Y240" s="275"/>
      <c r="Z240" s="44"/>
      <c r="AA240" s="1"/>
      <c r="AB240" s="43"/>
      <c r="AC240" s="44"/>
      <c r="AD240" s="43"/>
      <c r="AE240" s="275"/>
      <c r="AF240" s="275"/>
      <c r="AG240" s="44"/>
      <c r="AH240" s="43"/>
      <c r="AI240" s="275"/>
      <c r="AJ240" s="275"/>
      <c r="AK240" s="275"/>
      <c r="AL240" s="275"/>
      <c r="AM240" s="275"/>
      <c r="AN240" s="277"/>
      <c r="AO240" s="274"/>
      <c r="AP240" s="275"/>
      <c r="AQ240" s="275"/>
      <c r="AR240" s="275"/>
      <c r="AS240" s="275"/>
      <c r="AT240" s="44"/>
      <c r="AU240" s="1"/>
      <c r="AV240" s="1"/>
    </row>
    <row r="241" spans="18:48">
      <c r="R241" s="1"/>
      <c r="S241" s="1"/>
      <c r="T241" s="275" t="s">
        <v>1953</v>
      </c>
      <c r="U241" s="44" t="b">
        <f>ISBLANK(TableauPokemonCapturé[[#This Row],[PokeID]])=FALSE</f>
        <v>0</v>
      </c>
      <c r="V241" s="1"/>
      <c r="W241" s="1"/>
      <c r="X241" s="43"/>
      <c r="Y241" s="275"/>
      <c r="Z241" s="44"/>
      <c r="AA241" s="1"/>
      <c r="AB241" s="43"/>
      <c r="AC241" s="44"/>
      <c r="AD241" s="43"/>
      <c r="AE241" s="275"/>
      <c r="AF241" s="275"/>
      <c r="AG241" s="44"/>
      <c r="AH241" s="43"/>
      <c r="AI241" s="275"/>
      <c r="AJ241" s="275"/>
      <c r="AK241" s="275"/>
      <c r="AL241" s="275"/>
      <c r="AM241" s="275"/>
      <c r="AN241" s="277"/>
      <c r="AO241" s="274"/>
      <c r="AP241" s="275"/>
      <c r="AQ241" s="275"/>
      <c r="AR241" s="275"/>
      <c r="AS241" s="275"/>
      <c r="AT241" s="44"/>
      <c r="AU241" s="1"/>
      <c r="AV241" s="1"/>
    </row>
    <row r="242" spans="18:48">
      <c r="R242" s="1"/>
      <c r="S242" s="1"/>
      <c r="T242" s="275" t="s">
        <v>1954</v>
      </c>
      <c r="U242" s="44" t="b">
        <f>ISBLANK(TableauPokemonCapturé[[#This Row],[PokeID]])=FALSE</f>
        <v>0</v>
      </c>
      <c r="V242" s="1"/>
      <c r="W242" s="1"/>
      <c r="X242" s="43"/>
      <c r="Y242" s="275"/>
      <c r="Z242" s="44"/>
      <c r="AA242" s="1"/>
      <c r="AB242" s="43"/>
      <c r="AC242" s="44"/>
      <c r="AD242" s="43"/>
      <c r="AE242" s="275"/>
      <c r="AF242" s="275"/>
      <c r="AG242" s="44"/>
      <c r="AH242" s="43"/>
      <c r="AI242" s="275"/>
      <c r="AJ242" s="275"/>
      <c r="AK242" s="275"/>
      <c r="AL242" s="275"/>
      <c r="AM242" s="275"/>
      <c r="AN242" s="277"/>
      <c r="AO242" s="274"/>
      <c r="AP242" s="275"/>
      <c r="AQ242" s="275"/>
      <c r="AR242" s="275"/>
      <c r="AS242" s="275"/>
      <c r="AT242" s="44"/>
      <c r="AU242" s="1"/>
      <c r="AV242" s="1"/>
    </row>
    <row r="243" spans="18:48">
      <c r="R243" s="1"/>
      <c r="S243" s="1"/>
      <c r="T243" s="275" t="s">
        <v>1955</v>
      </c>
      <c r="U243" s="44" t="b">
        <f>ISBLANK(TableauPokemonCapturé[[#This Row],[PokeID]])=FALSE</f>
        <v>0</v>
      </c>
      <c r="V243" s="1"/>
      <c r="W243" s="1"/>
      <c r="X243" s="43"/>
      <c r="Y243" s="275"/>
      <c r="Z243" s="44"/>
      <c r="AA243" s="1"/>
      <c r="AB243" s="43"/>
      <c r="AC243" s="44"/>
      <c r="AD243" s="43"/>
      <c r="AE243" s="275"/>
      <c r="AF243" s="275"/>
      <c r="AG243" s="44"/>
      <c r="AH243" s="43"/>
      <c r="AI243" s="275"/>
      <c r="AJ243" s="275"/>
      <c r="AK243" s="275"/>
      <c r="AL243" s="275"/>
      <c r="AM243" s="275"/>
      <c r="AN243" s="277"/>
      <c r="AO243" s="274"/>
      <c r="AP243" s="275"/>
      <c r="AQ243" s="275"/>
      <c r="AR243" s="275"/>
      <c r="AS243" s="275"/>
      <c r="AT243" s="44"/>
      <c r="AU243" s="1"/>
      <c r="AV243" s="1"/>
    </row>
    <row r="244" spans="18:48">
      <c r="R244" s="1"/>
      <c r="S244" s="1"/>
      <c r="T244" s="275" t="s">
        <v>1956</v>
      </c>
      <c r="U244" s="44" t="b">
        <f>ISBLANK(TableauPokemonCapturé[[#This Row],[PokeID]])=FALSE</f>
        <v>0</v>
      </c>
      <c r="V244" s="1"/>
      <c r="W244" s="1"/>
      <c r="X244" s="43"/>
      <c r="Y244" s="275"/>
      <c r="Z244" s="44"/>
      <c r="AA244" s="1"/>
      <c r="AB244" s="43"/>
      <c r="AC244" s="44"/>
      <c r="AD244" s="43"/>
      <c r="AE244" s="275"/>
      <c r="AF244" s="275"/>
      <c r="AG244" s="44"/>
      <c r="AH244" s="43"/>
      <c r="AI244" s="275"/>
      <c r="AJ244" s="275"/>
      <c r="AK244" s="275"/>
      <c r="AL244" s="275"/>
      <c r="AM244" s="275"/>
      <c r="AN244" s="277"/>
      <c r="AO244" s="274"/>
      <c r="AP244" s="275"/>
      <c r="AQ244" s="275"/>
      <c r="AR244" s="275"/>
      <c r="AS244" s="275"/>
      <c r="AT244" s="44"/>
      <c r="AU244" s="1"/>
      <c r="AV244" s="1"/>
    </row>
    <row r="245" spans="18:48">
      <c r="R245" s="1"/>
      <c r="S245" s="1"/>
      <c r="T245" s="275" t="s">
        <v>1957</v>
      </c>
      <c r="U245" s="44" t="b">
        <f>ISBLANK(TableauPokemonCapturé[[#This Row],[PokeID]])=FALSE</f>
        <v>0</v>
      </c>
      <c r="V245" s="1"/>
      <c r="W245" s="1"/>
      <c r="X245" s="43"/>
      <c r="Y245" s="275"/>
      <c r="Z245" s="44"/>
      <c r="AA245" s="1"/>
      <c r="AB245" s="43"/>
      <c r="AC245" s="44"/>
      <c r="AD245" s="43"/>
      <c r="AE245" s="275"/>
      <c r="AF245" s="275"/>
      <c r="AG245" s="44"/>
      <c r="AH245" s="43"/>
      <c r="AI245" s="275"/>
      <c r="AJ245" s="275"/>
      <c r="AK245" s="275"/>
      <c r="AL245" s="275"/>
      <c r="AM245" s="275"/>
      <c r="AN245" s="277"/>
      <c r="AO245" s="274"/>
      <c r="AP245" s="275"/>
      <c r="AQ245" s="275"/>
      <c r="AR245" s="275"/>
      <c r="AS245" s="275"/>
      <c r="AT245" s="44"/>
      <c r="AU245" s="1"/>
      <c r="AV245" s="1"/>
    </row>
    <row r="246" spans="18:48">
      <c r="R246" s="1"/>
      <c r="S246" s="1"/>
      <c r="T246" s="275" t="s">
        <v>1958</v>
      </c>
      <c r="U246" s="44" t="b">
        <f>ISBLANK(TableauPokemonCapturé[[#This Row],[PokeID]])=FALSE</f>
        <v>0</v>
      </c>
      <c r="V246" s="1"/>
      <c r="W246" s="1"/>
      <c r="X246" s="43"/>
      <c r="Y246" s="275"/>
      <c r="Z246" s="44"/>
      <c r="AA246" s="1"/>
      <c r="AB246" s="43"/>
      <c r="AC246" s="44"/>
      <c r="AD246" s="43"/>
      <c r="AE246" s="275"/>
      <c r="AF246" s="275"/>
      <c r="AG246" s="44"/>
      <c r="AH246" s="43"/>
      <c r="AI246" s="275"/>
      <c r="AJ246" s="275"/>
      <c r="AK246" s="275"/>
      <c r="AL246" s="275"/>
      <c r="AM246" s="275"/>
      <c r="AN246" s="277"/>
      <c r="AO246" s="274"/>
      <c r="AP246" s="275"/>
      <c r="AQ246" s="275"/>
      <c r="AR246" s="275"/>
      <c r="AS246" s="275"/>
      <c r="AT246" s="44"/>
      <c r="AU246" s="1"/>
      <c r="AV246" s="1"/>
    </row>
    <row r="247" spans="18:48">
      <c r="R247" s="1"/>
      <c r="S247" s="1"/>
      <c r="T247" s="275" t="s">
        <v>1959</v>
      </c>
      <c r="U247" s="44" t="b">
        <f>ISBLANK(TableauPokemonCapturé[[#This Row],[PokeID]])=FALSE</f>
        <v>0</v>
      </c>
      <c r="V247" s="1"/>
      <c r="W247" s="1"/>
      <c r="X247" s="43"/>
      <c r="Y247" s="275"/>
      <c r="Z247" s="44"/>
      <c r="AA247" s="1"/>
      <c r="AB247" s="43"/>
      <c r="AC247" s="44"/>
      <c r="AD247" s="43"/>
      <c r="AE247" s="275"/>
      <c r="AF247" s="275"/>
      <c r="AG247" s="44"/>
      <c r="AH247" s="43"/>
      <c r="AI247" s="275"/>
      <c r="AJ247" s="275"/>
      <c r="AK247" s="275"/>
      <c r="AL247" s="275"/>
      <c r="AM247" s="275"/>
      <c r="AN247" s="277"/>
      <c r="AO247" s="274"/>
      <c r="AP247" s="275"/>
      <c r="AQ247" s="275"/>
      <c r="AR247" s="275"/>
      <c r="AS247" s="275"/>
      <c r="AT247" s="44"/>
      <c r="AU247" s="1"/>
      <c r="AV247" s="1"/>
    </row>
    <row r="248" spans="18:48">
      <c r="R248" s="1"/>
      <c r="S248" s="1"/>
      <c r="T248" s="275" t="s">
        <v>1960</v>
      </c>
      <c r="U248" s="44" t="b">
        <f>ISBLANK(TableauPokemonCapturé[[#This Row],[PokeID]])=FALSE</f>
        <v>0</v>
      </c>
      <c r="V248" s="1"/>
      <c r="W248" s="1"/>
      <c r="X248" s="43"/>
      <c r="Y248" s="275"/>
      <c r="Z248" s="44"/>
      <c r="AA248" s="1"/>
      <c r="AB248" s="43"/>
      <c r="AC248" s="44"/>
      <c r="AD248" s="43"/>
      <c r="AE248" s="275"/>
      <c r="AF248" s="275"/>
      <c r="AG248" s="44"/>
      <c r="AH248" s="43"/>
      <c r="AI248" s="275"/>
      <c r="AJ248" s="275"/>
      <c r="AK248" s="275"/>
      <c r="AL248" s="275"/>
      <c r="AM248" s="275"/>
      <c r="AN248" s="277"/>
      <c r="AO248" s="274"/>
      <c r="AP248" s="275"/>
      <c r="AQ248" s="275"/>
      <c r="AR248" s="275"/>
      <c r="AS248" s="275"/>
      <c r="AT248" s="44"/>
      <c r="AU248" s="1"/>
      <c r="AV248" s="1"/>
    </row>
    <row r="249" spans="18:48">
      <c r="R249" s="1"/>
      <c r="S249" s="1"/>
      <c r="T249" s="275" t="s">
        <v>1961</v>
      </c>
      <c r="U249" s="44" t="b">
        <f>ISBLANK(TableauPokemonCapturé[[#This Row],[PokeID]])=FALSE</f>
        <v>0</v>
      </c>
      <c r="V249" s="1"/>
      <c r="W249" s="1"/>
      <c r="X249" s="43"/>
      <c r="Y249" s="275"/>
      <c r="Z249" s="44"/>
      <c r="AA249" s="1"/>
      <c r="AB249" s="43"/>
      <c r="AC249" s="44"/>
      <c r="AD249" s="43"/>
      <c r="AE249" s="275"/>
      <c r="AF249" s="275"/>
      <c r="AG249" s="44"/>
      <c r="AH249" s="43"/>
      <c r="AI249" s="275"/>
      <c r="AJ249" s="275"/>
      <c r="AK249" s="275"/>
      <c r="AL249" s="275"/>
      <c r="AM249" s="275"/>
      <c r="AN249" s="277"/>
      <c r="AO249" s="274"/>
      <c r="AP249" s="275"/>
      <c r="AQ249" s="275"/>
      <c r="AR249" s="275"/>
      <c r="AS249" s="275"/>
      <c r="AT249" s="44"/>
      <c r="AU249" s="1"/>
      <c r="AV249" s="1"/>
    </row>
    <row r="250" spans="18:48">
      <c r="R250" s="1"/>
      <c r="S250" s="1"/>
      <c r="T250" s="275" t="s">
        <v>1962</v>
      </c>
      <c r="U250" s="44" t="b">
        <f>ISBLANK(TableauPokemonCapturé[[#This Row],[PokeID]])=FALSE</f>
        <v>0</v>
      </c>
      <c r="V250" s="1"/>
      <c r="W250" s="1"/>
      <c r="X250" s="43"/>
      <c r="Y250" s="275"/>
      <c r="Z250" s="44"/>
      <c r="AA250" s="1"/>
      <c r="AB250" s="43"/>
      <c r="AC250" s="44"/>
      <c r="AD250" s="43"/>
      <c r="AE250" s="275"/>
      <c r="AF250" s="275"/>
      <c r="AG250" s="44"/>
      <c r="AH250" s="43"/>
      <c r="AI250" s="275"/>
      <c r="AJ250" s="275"/>
      <c r="AK250" s="275"/>
      <c r="AL250" s="275"/>
      <c r="AM250" s="275"/>
      <c r="AN250" s="277"/>
      <c r="AO250" s="274"/>
      <c r="AP250" s="275"/>
      <c r="AQ250" s="275"/>
      <c r="AR250" s="275"/>
      <c r="AS250" s="275"/>
      <c r="AT250" s="44"/>
      <c r="AU250" s="1"/>
      <c r="AV250" s="1"/>
    </row>
    <row r="251" spans="18:48">
      <c r="R251" s="1"/>
      <c r="S251" s="1"/>
      <c r="T251" s="275" t="s">
        <v>1963</v>
      </c>
      <c r="U251" s="44" t="b">
        <f>ISBLANK(TableauPokemonCapturé[[#This Row],[PokeID]])=FALSE</f>
        <v>0</v>
      </c>
      <c r="V251" s="1"/>
      <c r="W251" s="1"/>
      <c r="X251" s="43"/>
      <c r="Y251" s="275"/>
      <c r="Z251" s="44"/>
      <c r="AA251" s="1"/>
      <c r="AB251" s="43"/>
      <c r="AC251" s="44"/>
      <c r="AD251" s="43"/>
      <c r="AE251" s="275"/>
      <c r="AF251" s="275"/>
      <c r="AG251" s="44"/>
      <c r="AH251" s="43"/>
      <c r="AI251" s="275"/>
      <c r="AJ251" s="275"/>
      <c r="AK251" s="275"/>
      <c r="AL251" s="275"/>
      <c r="AM251" s="275"/>
      <c r="AN251" s="277"/>
      <c r="AO251" s="274"/>
      <c r="AP251" s="275"/>
      <c r="AQ251" s="275"/>
      <c r="AR251" s="275"/>
      <c r="AS251" s="275"/>
      <c r="AT251" s="44"/>
      <c r="AU251" s="1"/>
      <c r="AV251" s="1"/>
    </row>
    <row r="252" spans="18:48">
      <c r="R252" s="1"/>
      <c r="S252" s="1"/>
      <c r="T252" s="275" t="s">
        <v>1964</v>
      </c>
      <c r="U252" s="44" t="b">
        <f>ISBLANK(TableauPokemonCapturé[[#This Row],[PokeID]])=FALSE</f>
        <v>0</v>
      </c>
      <c r="V252" s="1"/>
      <c r="W252" s="1"/>
      <c r="X252" s="43"/>
      <c r="Y252" s="275"/>
      <c r="Z252" s="44"/>
      <c r="AA252" s="1"/>
      <c r="AB252" s="43"/>
      <c r="AC252" s="44"/>
      <c r="AD252" s="43"/>
      <c r="AE252" s="275"/>
      <c r="AF252" s="275"/>
      <c r="AG252" s="44"/>
      <c r="AH252" s="43"/>
      <c r="AI252" s="275"/>
      <c r="AJ252" s="275"/>
      <c r="AK252" s="275"/>
      <c r="AL252" s="275"/>
      <c r="AM252" s="275"/>
      <c r="AN252" s="277"/>
      <c r="AO252" s="274"/>
      <c r="AP252" s="275"/>
      <c r="AQ252" s="275"/>
      <c r="AR252" s="275"/>
      <c r="AS252" s="275"/>
      <c r="AT252" s="44"/>
      <c r="AU252" s="1"/>
      <c r="AV252" s="1"/>
    </row>
    <row r="253" spans="18:48">
      <c r="R253" s="1"/>
      <c r="S253" s="1"/>
      <c r="T253" s="275" t="s">
        <v>1965</v>
      </c>
      <c r="U253" s="44" t="b">
        <f>ISBLANK(TableauPokemonCapturé[[#This Row],[PokeID]])=FALSE</f>
        <v>0</v>
      </c>
      <c r="V253" s="1"/>
      <c r="W253" s="1"/>
      <c r="X253" s="43"/>
      <c r="Y253" s="275"/>
      <c r="Z253" s="44"/>
      <c r="AA253" s="1"/>
      <c r="AB253" s="43"/>
      <c r="AC253" s="44"/>
      <c r="AD253" s="43"/>
      <c r="AE253" s="275"/>
      <c r="AF253" s="275"/>
      <c r="AG253" s="44"/>
      <c r="AH253" s="43"/>
      <c r="AI253" s="275"/>
      <c r="AJ253" s="275"/>
      <c r="AK253" s="275"/>
      <c r="AL253" s="275"/>
      <c r="AM253" s="275"/>
      <c r="AN253" s="277"/>
      <c r="AO253" s="274"/>
      <c r="AP253" s="275"/>
      <c r="AQ253" s="275"/>
      <c r="AR253" s="275"/>
      <c r="AS253" s="275"/>
      <c r="AT253" s="44"/>
      <c r="AU253" s="1"/>
      <c r="AV253" s="1"/>
    </row>
    <row r="254" spans="18:48">
      <c r="R254" s="1"/>
      <c r="S254" s="1"/>
      <c r="T254" s="275" t="s">
        <v>1966</v>
      </c>
      <c r="U254" s="44" t="b">
        <f>ISBLANK(TableauPokemonCapturé[[#This Row],[PokeID]])=FALSE</f>
        <v>0</v>
      </c>
      <c r="V254" s="1"/>
      <c r="W254" s="1"/>
      <c r="X254" s="43"/>
      <c r="Y254" s="275"/>
      <c r="Z254" s="44"/>
      <c r="AA254" s="1"/>
      <c r="AB254" s="43"/>
      <c r="AC254" s="44"/>
      <c r="AD254" s="43"/>
      <c r="AE254" s="275"/>
      <c r="AF254" s="275"/>
      <c r="AG254" s="44"/>
      <c r="AH254" s="43"/>
      <c r="AI254" s="275"/>
      <c r="AJ254" s="275"/>
      <c r="AK254" s="275"/>
      <c r="AL254" s="275"/>
      <c r="AM254" s="275"/>
      <c r="AN254" s="277"/>
      <c r="AO254" s="274"/>
      <c r="AP254" s="275"/>
      <c r="AQ254" s="275"/>
      <c r="AR254" s="275"/>
      <c r="AS254" s="275"/>
      <c r="AT254" s="44"/>
      <c r="AU254" s="1"/>
      <c r="AV254" s="1"/>
    </row>
    <row r="255" spans="18:48">
      <c r="R255" s="1"/>
      <c r="S255" s="1"/>
      <c r="T255" s="275" t="s">
        <v>1967</v>
      </c>
      <c r="U255" s="44" t="b">
        <f>ISBLANK(TableauPokemonCapturé[[#This Row],[PokeID]])=FALSE</f>
        <v>0</v>
      </c>
      <c r="V255" s="1"/>
      <c r="W255" s="1"/>
      <c r="X255" s="43"/>
      <c r="Y255" s="275"/>
      <c r="Z255" s="44"/>
      <c r="AA255" s="1"/>
      <c r="AB255" s="43"/>
      <c r="AC255" s="44"/>
      <c r="AD255" s="43"/>
      <c r="AE255" s="275"/>
      <c r="AF255" s="275"/>
      <c r="AG255" s="44"/>
      <c r="AH255" s="43"/>
      <c r="AI255" s="275"/>
      <c r="AJ255" s="275"/>
      <c r="AK255" s="275"/>
      <c r="AL255" s="275"/>
      <c r="AM255" s="275"/>
      <c r="AN255" s="277"/>
      <c r="AO255" s="274"/>
      <c r="AP255" s="275"/>
      <c r="AQ255" s="275"/>
      <c r="AR255" s="275"/>
      <c r="AS255" s="275"/>
      <c r="AT255" s="44"/>
      <c r="AU255" s="1"/>
      <c r="AV255" s="1"/>
    </row>
    <row r="256" spans="18:48">
      <c r="R256" s="1"/>
      <c r="S256" s="1"/>
      <c r="T256" s="275" t="s">
        <v>1968</v>
      </c>
      <c r="U256" s="44" t="b">
        <f>ISBLANK(TableauPokemonCapturé[[#This Row],[PokeID]])=FALSE</f>
        <v>0</v>
      </c>
      <c r="V256" s="1"/>
      <c r="W256" s="1"/>
      <c r="X256" s="43"/>
      <c r="Y256" s="275"/>
      <c r="Z256" s="44"/>
      <c r="AA256" s="1"/>
      <c r="AB256" s="43"/>
      <c r="AC256" s="44"/>
      <c r="AD256" s="43"/>
      <c r="AE256" s="275"/>
      <c r="AF256" s="275"/>
      <c r="AG256" s="44"/>
      <c r="AH256" s="43"/>
      <c r="AI256" s="275"/>
      <c r="AJ256" s="275"/>
      <c r="AK256" s="275"/>
      <c r="AL256" s="275"/>
      <c r="AM256" s="275"/>
      <c r="AN256" s="277"/>
      <c r="AO256" s="274"/>
      <c r="AP256" s="275"/>
      <c r="AQ256" s="275"/>
      <c r="AR256" s="275"/>
      <c r="AS256" s="275"/>
      <c r="AT256" s="44"/>
      <c r="AU256" s="1"/>
      <c r="AV256" s="1"/>
    </row>
    <row r="257" spans="18:48">
      <c r="R257" s="1"/>
      <c r="S257" s="1"/>
      <c r="T257" s="275" t="s">
        <v>1969</v>
      </c>
      <c r="U257" s="44" t="b">
        <f>ISBLANK(TableauPokemonCapturé[[#This Row],[PokeID]])=FALSE</f>
        <v>0</v>
      </c>
      <c r="V257" s="1"/>
      <c r="W257" s="1"/>
      <c r="X257" s="43"/>
      <c r="Y257" s="275"/>
      <c r="Z257" s="44"/>
      <c r="AA257" s="1"/>
      <c r="AB257" s="43"/>
      <c r="AC257" s="44"/>
      <c r="AD257" s="43"/>
      <c r="AE257" s="275"/>
      <c r="AF257" s="275"/>
      <c r="AG257" s="44"/>
      <c r="AH257" s="43"/>
      <c r="AI257" s="275"/>
      <c r="AJ257" s="275"/>
      <c r="AK257" s="275"/>
      <c r="AL257" s="275"/>
      <c r="AM257" s="275"/>
      <c r="AN257" s="277"/>
      <c r="AO257" s="274"/>
      <c r="AP257" s="275"/>
      <c r="AQ257" s="275"/>
      <c r="AR257" s="275"/>
      <c r="AS257" s="275"/>
      <c r="AT257" s="44"/>
      <c r="AU257" s="1"/>
      <c r="AV257" s="1"/>
    </row>
    <row r="258" spans="18:48">
      <c r="R258" s="1"/>
      <c r="S258" s="1"/>
      <c r="T258" s="275" t="s">
        <v>1970</v>
      </c>
      <c r="U258" s="44" t="b">
        <f>ISBLANK(TableauPokemonCapturé[[#This Row],[PokeID]])=FALSE</f>
        <v>0</v>
      </c>
      <c r="V258" s="1"/>
      <c r="W258" s="1"/>
      <c r="X258" s="43"/>
      <c r="Y258" s="275"/>
      <c r="Z258" s="44"/>
      <c r="AA258" s="1"/>
      <c r="AB258" s="43"/>
      <c r="AC258" s="44"/>
      <c r="AD258" s="43"/>
      <c r="AE258" s="275"/>
      <c r="AF258" s="275"/>
      <c r="AG258" s="44"/>
      <c r="AH258" s="43"/>
      <c r="AI258" s="275"/>
      <c r="AJ258" s="275"/>
      <c r="AK258" s="275"/>
      <c r="AL258" s="275"/>
      <c r="AM258" s="275"/>
      <c r="AN258" s="277"/>
      <c r="AO258" s="274"/>
      <c r="AP258" s="275"/>
      <c r="AQ258" s="275"/>
      <c r="AR258" s="275"/>
      <c r="AS258" s="275"/>
      <c r="AT258" s="44"/>
      <c r="AU258" s="1"/>
      <c r="AV258" s="1"/>
    </row>
    <row r="259" spans="18:48">
      <c r="R259" s="1"/>
      <c r="S259" s="1"/>
      <c r="T259" s="275" t="s">
        <v>1971</v>
      </c>
      <c r="U259" s="44" t="b">
        <f>ISBLANK(TableauPokemonCapturé[[#This Row],[PokeID]])=FALSE</f>
        <v>0</v>
      </c>
      <c r="V259" s="1"/>
      <c r="W259" s="1"/>
      <c r="X259" s="43"/>
      <c r="Y259" s="275"/>
      <c r="Z259" s="44"/>
      <c r="AA259" s="1"/>
      <c r="AB259" s="43"/>
      <c r="AC259" s="44"/>
      <c r="AD259" s="43"/>
      <c r="AE259" s="275"/>
      <c r="AF259" s="275"/>
      <c r="AG259" s="44"/>
      <c r="AH259" s="43"/>
      <c r="AI259" s="275"/>
      <c r="AJ259" s="275"/>
      <c r="AK259" s="275"/>
      <c r="AL259" s="275"/>
      <c r="AM259" s="275"/>
      <c r="AN259" s="277"/>
      <c r="AO259" s="274"/>
      <c r="AP259" s="275"/>
      <c r="AQ259" s="275"/>
      <c r="AR259" s="275"/>
      <c r="AS259" s="275"/>
      <c r="AT259" s="44"/>
      <c r="AU259" s="1"/>
      <c r="AV259" s="1"/>
    </row>
    <row r="260" spans="18:48">
      <c r="R260" s="1"/>
      <c r="S260" s="1"/>
      <c r="T260" s="275" t="s">
        <v>1972</v>
      </c>
      <c r="U260" s="44" t="b">
        <f>ISBLANK(TableauPokemonCapturé[[#This Row],[PokeID]])=FALSE</f>
        <v>0</v>
      </c>
      <c r="V260" s="1"/>
      <c r="W260" s="1"/>
      <c r="X260" s="43"/>
      <c r="Y260" s="275"/>
      <c r="Z260" s="44"/>
      <c r="AA260" s="1"/>
      <c r="AB260" s="43"/>
      <c r="AC260" s="44"/>
      <c r="AD260" s="43"/>
      <c r="AE260" s="275"/>
      <c r="AF260" s="275"/>
      <c r="AG260" s="44"/>
      <c r="AH260" s="43"/>
      <c r="AI260" s="275"/>
      <c r="AJ260" s="275"/>
      <c r="AK260" s="275"/>
      <c r="AL260" s="275"/>
      <c r="AM260" s="275"/>
      <c r="AN260" s="277"/>
      <c r="AO260" s="274"/>
      <c r="AP260" s="275"/>
      <c r="AQ260" s="275"/>
      <c r="AR260" s="275"/>
      <c r="AS260" s="275"/>
      <c r="AT260" s="44"/>
      <c r="AU260" s="1"/>
      <c r="AV260" s="1"/>
    </row>
    <row r="261" spans="18:48">
      <c r="R261" s="1"/>
      <c r="S261" s="1"/>
      <c r="T261" s="275" t="s">
        <v>1973</v>
      </c>
      <c r="U261" s="44" t="b">
        <f>ISBLANK(TableauPokemonCapturé[[#This Row],[PokeID]])=FALSE</f>
        <v>0</v>
      </c>
      <c r="V261" s="1"/>
      <c r="W261" s="1"/>
      <c r="X261" s="43"/>
      <c r="Y261" s="275"/>
      <c r="Z261" s="44"/>
      <c r="AA261" s="1"/>
      <c r="AB261" s="43"/>
      <c r="AC261" s="44"/>
      <c r="AD261" s="43"/>
      <c r="AE261" s="275"/>
      <c r="AF261" s="275"/>
      <c r="AG261" s="44"/>
      <c r="AH261" s="43"/>
      <c r="AI261" s="275"/>
      <c r="AJ261" s="275"/>
      <c r="AK261" s="275"/>
      <c r="AL261" s="275"/>
      <c r="AM261" s="275"/>
      <c r="AN261" s="277"/>
      <c r="AO261" s="274"/>
      <c r="AP261" s="275"/>
      <c r="AQ261" s="275"/>
      <c r="AR261" s="275"/>
      <c r="AS261" s="275"/>
      <c r="AT261" s="44"/>
      <c r="AU261" s="1"/>
      <c r="AV261" s="1"/>
    </row>
    <row r="262" spans="18:48">
      <c r="R262" s="1"/>
      <c r="S262" s="1"/>
      <c r="T262" s="275" t="s">
        <v>1974</v>
      </c>
      <c r="U262" s="44" t="b">
        <f>ISBLANK(TableauPokemonCapturé[[#This Row],[PokeID]])=FALSE</f>
        <v>0</v>
      </c>
      <c r="V262" s="1"/>
      <c r="W262" s="1"/>
      <c r="X262" s="43"/>
      <c r="Y262" s="275"/>
      <c r="Z262" s="44"/>
      <c r="AA262" s="1"/>
      <c r="AB262" s="43"/>
      <c r="AC262" s="44"/>
      <c r="AD262" s="43"/>
      <c r="AE262" s="275"/>
      <c r="AF262" s="275"/>
      <c r="AG262" s="44"/>
      <c r="AH262" s="43"/>
      <c r="AI262" s="275"/>
      <c r="AJ262" s="275"/>
      <c r="AK262" s="275"/>
      <c r="AL262" s="275"/>
      <c r="AM262" s="275"/>
      <c r="AN262" s="277"/>
      <c r="AO262" s="274"/>
      <c r="AP262" s="275"/>
      <c r="AQ262" s="275"/>
      <c r="AR262" s="275"/>
      <c r="AS262" s="275"/>
      <c r="AT262" s="44"/>
      <c r="AU262" s="1"/>
      <c r="AV262" s="1"/>
    </row>
    <row r="263" spans="18:48">
      <c r="R263" s="1"/>
      <c r="S263" s="1"/>
      <c r="T263" s="275" t="s">
        <v>1975</v>
      </c>
      <c r="U263" s="44" t="b">
        <f>ISBLANK(TableauPokemonCapturé[[#This Row],[PokeID]])=FALSE</f>
        <v>0</v>
      </c>
      <c r="V263" s="1"/>
      <c r="W263" s="1"/>
      <c r="X263" s="43"/>
      <c r="Y263" s="275"/>
      <c r="Z263" s="44"/>
      <c r="AA263" s="1"/>
      <c r="AB263" s="43"/>
      <c r="AC263" s="44"/>
      <c r="AD263" s="43"/>
      <c r="AE263" s="275"/>
      <c r="AF263" s="275"/>
      <c r="AG263" s="44"/>
      <c r="AH263" s="43"/>
      <c r="AI263" s="275"/>
      <c r="AJ263" s="275"/>
      <c r="AK263" s="275"/>
      <c r="AL263" s="275"/>
      <c r="AM263" s="275"/>
      <c r="AN263" s="277"/>
      <c r="AO263" s="274"/>
      <c r="AP263" s="275"/>
      <c r="AQ263" s="275"/>
      <c r="AR263" s="275"/>
      <c r="AS263" s="275"/>
      <c r="AT263" s="44"/>
      <c r="AU263" s="1"/>
      <c r="AV263" s="1"/>
    </row>
    <row r="264" spans="18:48">
      <c r="R264" s="1"/>
      <c r="S264" s="1"/>
      <c r="T264" s="275" t="s">
        <v>1976</v>
      </c>
      <c r="U264" s="44" t="b">
        <f>ISBLANK(TableauPokemonCapturé[[#This Row],[PokeID]])=FALSE</f>
        <v>0</v>
      </c>
      <c r="V264" s="1"/>
      <c r="W264" s="1"/>
      <c r="X264" s="43"/>
      <c r="Y264" s="275"/>
      <c r="Z264" s="44"/>
      <c r="AA264" s="1"/>
      <c r="AB264" s="43"/>
      <c r="AC264" s="44"/>
      <c r="AD264" s="43"/>
      <c r="AE264" s="275"/>
      <c r="AF264" s="275"/>
      <c r="AG264" s="44"/>
      <c r="AH264" s="43"/>
      <c r="AI264" s="275"/>
      <c r="AJ264" s="275"/>
      <c r="AK264" s="275"/>
      <c r="AL264" s="275"/>
      <c r="AM264" s="275"/>
      <c r="AN264" s="277"/>
      <c r="AO264" s="274"/>
      <c r="AP264" s="275"/>
      <c r="AQ264" s="275"/>
      <c r="AR264" s="275"/>
      <c r="AS264" s="275"/>
      <c r="AT264" s="44"/>
      <c r="AU264" s="1"/>
      <c r="AV264" s="1"/>
    </row>
    <row r="265" spans="18:48">
      <c r="R265" s="1"/>
      <c r="S265" s="1"/>
      <c r="T265" s="275" t="s">
        <v>1977</v>
      </c>
      <c r="U265" s="44" t="b">
        <f>ISBLANK(TableauPokemonCapturé[[#This Row],[PokeID]])=FALSE</f>
        <v>0</v>
      </c>
      <c r="V265" s="1"/>
      <c r="W265" s="1"/>
      <c r="X265" s="43"/>
      <c r="Y265" s="275"/>
      <c r="Z265" s="44"/>
      <c r="AA265" s="1"/>
      <c r="AB265" s="43"/>
      <c r="AC265" s="44"/>
      <c r="AD265" s="43"/>
      <c r="AE265" s="275"/>
      <c r="AF265" s="275"/>
      <c r="AG265" s="44"/>
      <c r="AH265" s="43"/>
      <c r="AI265" s="275"/>
      <c r="AJ265" s="275"/>
      <c r="AK265" s="275"/>
      <c r="AL265" s="275"/>
      <c r="AM265" s="275"/>
      <c r="AN265" s="277"/>
      <c r="AO265" s="274"/>
      <c r="AP265" s="275"/>
      <c r="AQ265" s="275"/>
      <c r="AR265" s="275"/>
      <c r="AS265" s="275"/>
      <c r="AT265" s="44"/>
      <c r="AU265" s="1"/>
      <c r="AV265" s="1"/>
    </row>
    <row r="266" spans="18:48">
      <c r="R266" s="1"/>
      <c r="S266" s="1"/>
      <c r="T266" s="275" t="s">
        <v>1978</v>
      </c>
      <c r="U266" s="44" t="b">
        <f>ISBLANK(TableauPokemonCapturé[[#This Row],[PokeID]])=FALSE</f>
        <v>0</v>
      </c>
      <c r="V266" s="1"/>
      <c r="W266" s="1"/>
      <c r="X266" s="43"/>
      <c r="Y266" s="275"/>
      <c r="Z266" s="44"/>
      <c r="AA266" s="1"/>
      <c r="AB266" s="43"/>
      <c r="AC266" s="44"/>
      <c r="AD266" s="43"/>
      <c r="AE266" s="275"/>
      <c r="AF266" s="275"/>
      <c r="AG266" s="44"/>
      <c r="AH266" s="43"/>
      <c r="AI266" s="275"/>
      <c r="AJ266" s="275"/>
      <c r="AK266" s="275"/>
      <c r="AL266" s="275"/>
      <c r="AM266" s="275"/>
      <c r="AN266" s="277"/>
      <c r="AO266" s="274"/>
      <c r="AP266" s="275"/>
      <c r="AQ266" s="275"/>
      <c r="AR266" s="275"/>
      <c r="AS266" s="275"/>
      <c r="AT266" s="44"/>
      <c r="AU266" s="1"/>
      <c r="AV266" s="1"/>
    </row>
    <row r="267" spans="18:48">
      <c r="R267" s="1"/>
      <c r="S267" s="1"/>
      <c r="T267" s="275" t="s">
        <v>1979</v>
      </c>
      <c r="U267" s="44" t="b">
        <f>ISBLANK(TableauPokemonCapturé[[#This Row],[PokeID]])=FALSE</f>
        <v>0</v>
      </c>
      <c r="V267" s="1"/>
      <c r="W267" s="1"/>
      <c r="X267" s="43"/>
      <c r="Y267" s="275"/>
      <c r="Z267" s="44"/>
      <c r="AA267" s="1"/>
      <c r="AB267" s="43"/>
      <c r="AC267" s="44"/>
      <c r="AD267" s="43"/>
      <c r="AE267" s="275"/>
      <c r="AF267" s="275"/>
      <c r="AG267" s="44"/>
      <c r="AH267" s="43"/>
      <c r="AI267" s="275"/>
      <c r="AJ267" s="275"/>
      <c r="AK267" s="275"/>
      <c r="AL267" s="275"/>
      <c r="AM267" s="275"/>
      <c r="AN267" s="277"/>
      <c r="AO267" s="274"/>
      <c r="AP267" s="275"/>
      <c r="AQ267" s="275"/>
      <c r="AR267" s="275"/>
      <c r="AS267" s="275"/>
      <c r="AT267" s="44"/>
      <c r="AU267" s="1"/>
      <c r="AV267" s="1"/>
    </row>
    <row r="268" spans="18:48">
      <c r="R268" s="1"/>
      <c r="S268" s="1"/>
      <c r="T268" s="275" t="s">
        <v>1980</v>
      </c>
      <c r="U268" s="44" t="b">
        <f>ISBLANK(TableauPokemonCapturé[[#This Row],[PokeID]])=FALSE</f>
        <v>0</v>
      </c>
      <c r="V268" s="1"/>
      <c r="W268" s="1"/>
      <c r="X268" s="43"/>
      <c r="Y268" s="275"/>
      <c r="Z268" s="44"/>
      <c r="AA268" s="1"/>
      <c r="AB268" s="43"/>
      <c r="AC268" s="44"/>
      <c r="AD268" s="43"/>
      <c r="AE268" s="275"/>
      <c r="AF268" s="275"/>
      <c r="AG268" s="44"/>
      <c r="AH268" s="43"/>
      <c r="AI268" s="275"/>
      <c r="AJ268" s="275"/>
      <c r="AK268" s="275"/>
      <c r="AL268" s="275"/>
      <c r="AM268" s="275"/>
      <c r="AN268" s="277"/>
      <c r="AO268" s="274"/>
      <c r="AP268" s="275"/>
      <c r="AQ268" s="275"/>
      <c r="AR268" s="275"/>
      <c r="AS268" s="275"/>
      <c r="AT268" s="44"/>
      <c r="AU268" s="1"/>
      <c r="AV268" s="1"/>
    </row>
    <row r="269" spans="18:48">
      <c r="R269" s="1"/>
      <c r="S269" s="1"/>
      <c r="T269" s="275" t="s">
        <v>1981</v>
      </c>
      <c r="U269" s="44" t="b">
        <f>ISBLANK(TableauPokemonCapturé[[#This Row],[PokeID]])=FALSE</f>
        <v>0</v>
      </c>
      <c r="V269" s="1"/>
      <c r="W269" s="1"/>
      <c r="X269" s="43"/>
      <c r="Y269" s="275"/>
      <c r="Z269" s="44"/>
      <c r="AA269" s="1"/>
      <c r="AB269" s="43"/>
      <c r="AC269" s="44"/>
      <c r="AD269" s="43"/>
      <c r="AE269" s="275"/>
      <c r="AF269" s="275"/>
      <c r="AG269" s="44"/>
      <c r="AH269" s="43"/>
      <c r="AI269" s="275"/>
      <c r="AJ269" s="275"/>
      <c r="AK269" s="275"/>
      <c r="AL269" s="275"/>
      <c r="AM269" s="275"/>
      <c r="AN269" s="277"/>
      <c r="AO269" s="274"/>
      <c r="AP269" s="275"/>
      <c r="AQ269" s="275"/>
      <c r="AR269" s="275"/>
      <c r="AS269" s="275"/>
      <c r="AT269" s="44"/>
      <c r="AU269" s="1"/>
      <c r="AV269" s="1"/>
    </row>
    <row r="270" spans="18:48">
      <c r="R270" s="1"/>
      <c r="S270" s="1"/>
      <c r="T270" s="275" t="s">
        <v>1982</v>
      </c>
      <c r="U270" s="44" t="b">
        <f>ISBLANK(TableauPokemonCapturé[[#This Row],[PokeID]])=FALSE</f>
        <v>0</v>
      </c>
      <c r="V270" s="1"/>
      <c r="W270" s="1"/>
      <c r="X270" s="43"/>
      <c r="Y270" s="275"/>
      <c r="Z270" s="44"/>
      <c r="AA270" s="1"/>
      <c r="AB270" s="43"/>
      <c r="AC270" s="44"/>
      <c r="AD270" s="43"/>
      <c r="AE270" s="275"/>
      <c r="AF270" s="275"/>
      <c r="AG270" s="44"/>
      <c r="AH270" s="43"/>
      <c r="AI270" s="275"/>
      <c r="AJ270" s="275"/>
      <c r="AK270" s="275"/>
      <c r="AL270" s="275"/>
      <c r="AM270" s="275"/>
      <c r="AN270" s="277"/>
      <c r="AO270" s="274"/>
      <c r="AP270" s="275"/>
      <c r="AQ270" s="275"/>
      <c r="AR270" s="275"/>
      <c r="AS270" s="275"/>
      <c r="AT270" s="44"/>
      <c r="AU270" s="1"/>
      <c r="AV270" s="1"/>
    </row>
    <row r="271" spans="18:48">
      <c r="R271" s="1"/>
      <c r="S271" s="1"/>
      <c r="T271" s="275" t="s">
        <v>1983</v>
      </c>
      <c r="U271" s="44" t="b">
        <f>ISBLANK(TableauPokemonCapturé[[#This Row],[PokeID]])=FALSE</f>
        <v>0</v>
      </c>
      <c r="V271" s="1"/>
      <c r="W271" s="1"/>
      <c r="X271" s="43"/>
      <c r="Y271" s="275"/>
      <c r="Z271" s="44"/>
      <c r="AA271" s="1"/>
      <c r="AB271" s="43"/>
      <c r="AC271" s="44"/>
      <c r="AD271" s="43"/>
      <c r="AE271" s="275"/>
      <c r="AF271" s="275"/>
      <c r="AG271" s="44"/>
      <c r="AH271" s="43"/>
      <c r="AI271" s="275"/>
      <c r="AJ271" s="275"/>
      <c r="AK271" s="275"/>
      <c r="AL271" s="275"/>
      <c r="AM271" s="275"/>
      <c r="AN271" s="277"/>
      <c r="AO271" s="274"/>
      <c r="AP271" s="275"/>
      <c r="AQ271" s="275"/>
      <c r="AR271" s="275"/>
      <c r="AS271" s="275"/>
      <c r="AT271" s="44"/>
      <c r="AU271" s="1"/>
      <c r="AV271" s="1"/>
    </row>
    <row r="272" spans="18:48">
      <c r="R272" s="1"/>
      <c r="S272" s="1"/>
      <c r="T272" s="275" t="s">
        <v>1984</v>
      </c>
      <c r="U272" s="44" t="b">
        <f>ISBLANK(TableauPokemonCapturé[[#This Row],[PokeID]])=FALSE</f>
        <v>0</v>
      </c>
      <c r="V272" s="1"/>
      <c r="W272" s="1"/>
      <c r="X272" s="43"/>
      <c r="Y272" s="275"/>
      <c r="Z272" s="44"/>
      <c r="AA272" s="1"/>
      <c r="AB272" s="43"/>
      <c r="AC272" s="44"/>
      <c r="AD272" s="43"/>
      <c r="AE272" s="275"/>
      <c r="AF272" s="275"/>
      <c r="AG272" s="44"/>
      <c r="AH272" s="43"/>
      <c r="AI272" s="275"/>
      <c r="AJ272" s="275"/>
      <c r="AK272" s="275"/>
      <c r="AL272" s="275"/>
      <c r="AM272" s="275"/>
      <c r="AN272" s="277"/>
      <c r="AO272" s="274"/>
      <c r="AP272" s="275"/>
      <c r="AQ272" s="275"/>
      <c r="AR272" s="275"/>
      <c r="AS272" s="275"/>
      <c r="AT272" s="44"/>
      <c r="AU272" s="1"/>
      <c r="AV272" s="1"/>
    </row>
    <row r="273" spans="18:48">
      <c r="R273" s="1"/>
      <c r="S273" s="1"/>
      <c r="T273" s="275" t="s">
        <v>1985</v>
      </c>
      <c r="U273" s="44" t="b">
        <f>ISBLANK(TableauPokemonCapturé[[#This Row],[PokeID]])=FALSE</f>
        <v>0</v>
      </c>
      <c r="V273" s="1"/>
      <c r="W273" s="1"/>
      <c r="X273" s="43"/>
      <c r="Y273" s="275"/>
      <c r="Z273" s="44"/>
      <c r="AA273" s="1"/>
      <c r="AB273" s="43"/>
      <c r="AC273" s="44"/>
      <c r="AD273" s="43"/>
      <c r="AE273" s="275"/>
      <c r="AF273" s="275"/>
      <c r="AG273" s="44"/>
      <c r="AH273" s="43"/>
      <c r="AI273" s="275"/>
      <c r="AJ273" s="275"/>
      <c r="AK273" s="275"/>
      <c r="AL273" s="275"/>
      <c r="AM273" s="275"/>
      <c r="AN273" s="277"/>
      <c r="AO273" s="274"/>
      <c r="AP273" s="275"/>
      <c r="AQ273" s="275"/>
      <c r="AR273" s="275"/>
      <c r="AS273" s="275"/>
      <c r="AT273" s="44"/>
      <c r="AU273" s="1"/>
      <c r="AV273" s="1"/>
    </row>
    <row r="274" spans="18:48">
      <c r="R274" s="1"/>
      <c r="S274" s="1"/>
      <c r="T274" s="275" t="s">
        <v>1986</v>
      </c>
      <c r="U274" s="44" t="b">
        <f>ISBLANK(TableauPokemonCapturé[[#This Row],[PokeID]])=FALSE</f>
        <v>0</v>
      </c>
      <c r="V274" s="1"/>
      <c r="W274" s="1"/>
      <c r="X274" s="43"/>
      <c r="Y274" s="275"/>
      <c r="Z274" s="44"/>
      <c r="AA274" s="1"/>
      <c r="AB274" s="43"/>
      <c r="AC274" s="44"/>
      <c r="AD274" s="43"/>
      <c r="AE274" s="275"/>
      <c r="AF274" s="275"/>
      <c r="AG274" s="44"/>
      <c r="AH274" s="43"/>
      <c r="AI274" s="275"/>
      <c r="AJ274" s="275"/>
      <c r="AK274" s="275"/>
      <c r="AL274" s="275"/>
      <c r="AM274" s="275"/>
      <c r="AN274" s="277"/>
      <c r="AO274" s="274"/>
      <c r="AP274" s="275"/>
      <c r="AQ274" s="275"/>
      <c r="AR274" s="275"/>
      <c r="AS274" s="275"/>
      <c r="AT274" s="44"/>
      <c r="AU274" s="1"/>
      <c r="AV274" s="1"/>
    </row>
    <row r="275" spans="18:48">
      <c r="R275" s="1"/>
      <c r="S275" s="1"/>
      <c r="T275" s="275" t="s">
        <v>1987</v>
      </c>
      <c r="U275" s="44" t="b">
        <f>ISBLANK(TableauPokemonCapturé[[#This Row],[PokeID]])=FALSE</f>
        <v>0</v>
      </c>
      <c r="V275" s="1"/>
      <c r="W275" s="1"/>
      <c r="X275" s="43"/>
      <c r="Y275" s="275"/>
      <c r="Z275" s="44"/>
      <c r="AA275" s="1"/>
      <c r="AB275" s="43"/>
      <c r="AC275" s="44"/>
      <c r="AD275" s="43"/>
      <c r="AE275" s="275"/>
      <c r="AF275" s="275"/>
      <c r="AG275" s="44"/>
      <c r="AH275" s="43"/>
      <c r="AI275" s="275"/>
      <c r="AJ275" s="275"/>
      <c r="AK275" s="275"/>
      <c r="AL275" s="275"/>
      <c r="AM275" s="275"/>
      <c r="AN275" s="277"/>
      <c r="AO275" s="274"/>
      <c r="AP275" s="275"/>
      <c r="AQ275" s="275"/>
      <c r="AR275" s="275"/>
      <c r="AS275" s="275"/>
      <c r="AT275" s="44"/>
      <c r="AU275" s="1"/>
      <c r="AV275" s="1"/>
    </row>
    <row r="276" spans="18:48">
      <c r="R276" s="1"/>
      <c r="S276" s="1"/>
      <c r="T276" s="275" t="s">
        <v>1988</v>
      </c>
      <c r="U276" s="44" t="b">
        <f>ISBLANK(TableauPokemonCapturé[[#This Row],[PokeID]])=FALSE</f>
        <v>0</v>
      </c>
      <c r="V276" s="1"/>
      <c r="W276" s="1"/>
      <c r="X276" s="43"/>
      <c r="Y276" s="275"/>
      <c r="Z276" s="44"/>
      <c r="AA276" s="1"/>
      <c r="AB276" s="43"/>
      <c r="AC276" s="44"/>
      <c r="AD276" s="43"/>
      <c r="AE276" s="275"/>
      <c r="AF276" s="275"/>
      <c r="AG276" s="44"/>
      <c r="AH276" s="43"/>
      <c r="AI276" s="275"/>
      <c r="AJ276" s="275"/>
      <c r="AK276" s="275"/>
      <c r="AL276" s="275"/>
      <c r="AM276" s="275"/>
      <c r="AN276" s="277"/>
      <c r="AO276" s="274"/>
      <c r="AP276" s="275"/>
      <c r="AQ276" s="275"/>
      <c r="AR276" s="275"/>
      <c r="AS276" s="275"/>
      <c r="AT276" s="44"/>
      <c r="AU276" s="1"/>
      <c r="AV276" s="1"/>
    </row>
    <row r="277" spans="18:48">
      <c r="R277" s="1"/>
      <c r="S277" s="1"/>
      <c r="T277" s="275" t="s">
        <v>1989</v>
      </c>
      <c r="U277" s="44" t="b">
        <f>ISBLANK(TableauPokemonCapturé[[#This Row],[PokeID]])=FALSE</f>
        <v>0</v>
      </c>
      <c r="V277" s="1"/>
      <c r="W277" s="1"/>
      <c r="X277" s="43"/>
      <c r="Y277" s="275"/>
      <c r="Z277" s="44"/>
      <c r="AA277" s="1"/>
      <c r="AB277" s="43"/>
      <c r="AC277" s="44"/>
      <c r="AD277" s="43"/>
      <c r="AE277" s="275"/>
      <c r="AF277" s="275"/>
      <c r="AG277" s="44"/>
      <c r="AH277" s="43"/>
      <c r="AI277" s="275"/>
      <c r="AJ277" s="275"/>
      <c r="AK277" s="275"/>
      <c r="AL277" s="275"/>
      <c r="AM277" s="275"/>
      <c r="AN277" s="277"/>
      <c r="AO277" s="274"/>
      <c r="AP277" s="275"/>
      <c r="AQ277" s="275"/>
      <c r="AR277" s="275"/>
      <c r="AS277" s="275"/>
      <c r="AT277" s="44"/>
      <c r="AU277" s="1"/>
      <c r="AV277" s="1"/>
    </row>
    <row r="278" spans="18:48">
      <c r="R278" s="1"/>
      <c r="S278" s="1"/>
      <c r="T278" s="275" t="s">
        <v>1990</v>
      </c>
      <c r="U278" s="44" t="b">
        <f>ISBLANK(TableauPokemonCapturé[[#This Row],[PokeID]])=FALSE</f>
        <v>0</v>
      </c>
      <c r="V278" s="1"/>
      <c r="W278" s="1"/>
      <c r="X278" s="43"/>
      <c r="Y278" s="275"/>
      <c r="Z278" s="44"/>
      <c r="AA278" s="1"/>
      <c r="AB278" s="43"/>
      <c r="AC278" s="44"/>
      <c r="AD278" s="43"/>
      <c r="AE278" s="275"/>
      <c r="AF278" s="275"/>
      <c r="AG278" s="44"/>
      <c r="AH278" s="43"/>
      <c r="AI278" s="275"/>
      <c r="AJ278" s="275"/>
      <c r="AK278" s="275"/>
      <c r="AL278" s="275"/>
      <c r="AM278" s="275"/>
      <c r="AN278" s="277"/>
      <c r="AO278" s="274"/>
      <c r="AP278" s="275"/>
      <c r="AQ278" s="275"/>
      <c r="AR278" s="275"/>
      <c r="AS278" s="275"/>
      <c r="AT278" s="44"/>
      <c r="AU278" s="1"/>
      <c r="AV278" s="1"/>
    </row>
    <row r="279" spans="18:48">
      <c r="R279" s="1"/>
      <c r="S279" s="1"/>
      <c r="T279" s="275" t="s">
        <v>1991</v>
      </c>
      <c r="U279" s="44" t="b">
        <f>ISBLANK(TableauPokemonCapturé[[#This Row],[PokeID]])=FALSE</f>
        <v>0</v>
      </c>
      <c r="V279" s="1"/>
      <c r="W279" s="1"/>
      <c r="X279" s="43"/>
      <c r="Y279" s="275"/>
      <c r="Z279" s="44"/>
      <c r="AA279" s="1"/>
      <c r="AB279" s="43"/>
      <c r="AC279" s="44"/>
      <c r="AD279" s="43"/>
      <c r="AE279" s="275"/>
      <c r="AF279" s="275"/>
      <c r="AG279" s="44"/>
      <c r="AH279" s="43"/>
      <c r="AI279" s="275"/>
      <c r="AJ279" s="275"/>
      <c r="AK279" s="275"/>
      <c r="AL279" s="275"/>
      <c r="AM279" s="275"/>
      <c r="AN279" s="277"/>
      <c r="AO279" s="274"/>
      <c r="AP279" s="275"/>
      <c r="AQ279" s="275"/>
      <c r="AR279" s="275"/>
      <c r="AS279" s="275"/>
      <c r="AT279" s="44"/>
      <c r="AU279" s="1"/>
      <c r="AV279" s="1"/>
    </row>
    <row r="280" spans="18:48">
      <c r="R280" s="1"/>
      <c r="S280" s="1"/>
      <c r="T280" s="275" t="s">
        <v>1992</v>
      </c>
      <c r="U280" s="44" t="b">
        <f>ISBLANK(TableauPokemonCapturé[[#This Row],[PokeID]])=FALSE</f>
        <v>0</v>
      </c>
      <c r="V280" s="1"/>
      <c r="W280" s="1"/>
      <c r="X280" s="43"/>
      <c r="Y280" s="275"/>
      <c r="Z280" s="44"/>
      <c r="AA280" s="1"/>
      <c r="AB280" s="43"/>
      <c r="AC280" s="44"/>
      <c r="AD280" s="43"/>
      <c r="AE280" s="275"/>
      <c r="AF280" s="275"/>
      <c r="AG280" s="44"/>
      <c r="AH280" s="43"/>
      <c r="AI280" s="275"/>
      <c r="AJ280" s="275"/>
      <c r="AK280" s="275"/>
      <c r="AL280" s="275"/>
      <c r="AM280" s="275"/>
      <c r="AN280" s="277"/>
      <c r="AO280" s="274"/>
      <c r="AP280" s="275"/>
      <c r="AQ280" s="275"/>
      <c r="AR280" s="275"/>
      <c r="AS280" s="275"/>
      <c r="AT280" s="44"/>
      <c r="AU280" s="1"/>
      <c r="AV280" s="1"/>
    </row>
    <row r="281" spans="18:48">
      <c r="R281" s="1"/>
      <c r="S281" s="1"/>
      <c r="T281" s="275" t="s">
        <v>1993</v>
      </c>
      <c r="U281" s="44" t="b">
        <f>ISBLANK(TableauPokemonCapturé[[#This Row],[PokeID]])=FALSE</f>
        <v>0</v>
      </c>
      <c r="V281" s="1"/>
      <c r="W281" s="1"/>
      <c r="X281" s="43"/>
      <c r="Y281" s="275"/>
      <c r="Z281" s="44"/>
      <c r="AA281" s="1"/>
      <c r="AB281" s="43"/>
      <c r="AC281" s="44"/>
      <c r="AD281" s="43"/>
      <c r="AE281" s="275"/>
      <c r="AF281" s="275"/>
      <c r="AG281" s="44"/>
      <c r="AH281" s="43"/>
      <c r="AI281" s="275"/>
      <c r="AJ281" s="275"/>
      <c r="AK281" s="275"/>
      <c r="AL281" s="275"/>
      <c r="AM281" s="275"/>
      <c r="AN281" s="277"/>
      <c r="AO281" s="274"/>
      <c r="AP281" s="275"/>
      <c r="AQ281" s="275"/>
      <c r="AR281" s="275"/>
      <c r="AS281" s="275"/>
      <c r="AT281" s="44"/>
      <c r="AU281" s="1"/>
      <c r="AV281" s="1"/>
    </row>
    <row r="282" spans="18:48">
      <c r="R282" s="1"/>
      <c r="S282" s="1"/>
      <c r="T282" s="275" t="s">
        <v>1994</v>
      </c>
      <c r="U282" s="44" t="b">
        <f>ISBLANK(TableauPokemonCapturé[[#This Row],[PokeID]])=FALSE</f>
        <v>0</v>
      </c>
      <c r="V282" s="1"/>
      <c r="W282" s="1"/>
      <c r="X282" s="43"/>
      <c r="Y282" s="275"/>
      <c r="Z282" s="44"/>
      <c r="AA282" s="1"/>
      <c r="AB282" s="43"/>
      <c r="AC282" s="44"/>
      <c r="AD282" s="43"/>
      <c r="AE282" s="275"/>
      <c r="AF282" s="275"/>
      <c r="AG282" s="44"/>
      <c r="AH282" s="43"/>
      <c r="AI282" s="275"/>
      <c r="AJ282" s="275"/>
      <c r="AK282" s="275"/>
      <c r="AL282" s="275"/>
      <c r="AM282" s="275"/>
      <c r="AN282" s="277"/>
      <c r="AO282" s="274"/>
      <c r="AP282" s="275"/>
      <c r="AQ282" s="275"/>
      <c r="AR282" s="275"/>
      <c r="AS282" s="275"/>
      <c r="AT282" s="44"/>
      <c r="AU282" s="1"/>
      <c r="AV282" s="1"/>
    </row>
    <row r="283" spans="18:48">
      <c r="R283" s="1"/>
      <c r="S283" s="1"/>
      <c r="T283" s="275" t="s">
        <v>1995</v>
      </c>
      <c r="U283" s="44" t="b">
        <f>ISBLANK(TableauPokemonCapturé[[#This Row],[PokeID]])=FALSE</f>
        <v>0</v>
      </c>
      <c r="V283" s="1"/>
      <c r="W283" s="1"/>
      <c r="X283" s="43"/>
      <c r="Y283" s="275"/>
      <c r="Z283" s="44"/>
      <c r="AA283" s="1"/>
      <c r="AB283" s="43"/>
      <c r="AC283" s="44"/>
      <c r="AD283" s="43"/>
      <c r="AE283" s="275"/>
      <c r="AF283" s="275"/>
      <c r="AG283" s="44"/>
      <c r="AH283" s="43"/>
      <c r="AI283" s="275"/>
      <c r="AJ283" s="275"/>
      <c r="AK283" s="275"/>
      <c r="AL283" s="275"/>
      <c r="AM283" s="275"/>
      <c r="AN283" s="277"/>
      <c r="AO283" s="274"/>
      <c r="AP283" s="275"/>
      <c r="AQ283" s="275"/>
      <c r="AR283" s="275"/>
      <c r="AS283" s="275"/>
      <c r="AT283" s="44"/>
      <c r="AU283" s="1"/>
      <c r="AV283" s="1"/>
    </row>
    <row r="284" spans="18:48">
      <c r="R284" s="1"/>
      <c r="S284" s="1"/>
      <c r="T284" s="275" t="s">
        <v>1996</v>
      </c>
      <c r="U284" s="44" t="b">
        <f>ISBLANK(TableauPokemonCapturé[[#This Row],[PokeID]])=FALSE</f>
        <v>0</v>
      </c>
      <c r="V284" s="1"/>
      <c r="W284" s="1"/>
      <c r="X284" s="43"/>
      <c r="Y284" s="275"/>
      <c r="Z284" s="44"/>
      <c r="AA284" s="1"/>
      <c r="AB284" s="43"/>
      <c r="AC284" s="44"/>
      <c r="AD284" s="43"/>
      <c r="AE284" s="275"/>
      <c r="AF284" s="275"/>
      <c r="AG284" s="44"/>
      <c r="AH284" s="43"/>
      <c r="AI284" s="275"/>
      <c r="AJ284" s="275"/>
      <c r="AK284" s="275"/>
      <c r="AL284" s="275"/>
      <c r="AM284" s="275"/>
      <c r="AN284" s="277"/>
      <c r="AO284" s="274"/>
      <c r="AP284" s="275"/>
      <c r="AQ284" s="275"/>
      <c r="AR284" s="275"/>
      <c r="AS284" s="275"/>
      <c r="AT284" s="44"/>
      <c r="AU284" s="1"/>
      <c r="AV284" s="1"/>
    </row>
    <row r="285" spans="18:48">
      <c r="R285" s="1"/>
      <c r="S285" s="1"/>
      <c r="T285" s="275" t="s">
        <v>1997</v>
      </c>
      <c r="U285" s="44" t="b">
        <f>ISBLANK(TableauPokemonCapturé[[#This Row],[PokeID]])=FALSE</f>
        <v>0</v>
      </c>
      <c r="V285" s="1"/>
      <c r="W285" s="1"/>
      <c r="X285" s="43"/>
      <c r="Y285" s="275"/>
      <c r="Z285" s="44"/>
      <c r="AA285" s="1"/>
      <c r="AB285" s="43"/>
      <c r="AC285" s="44"/>
      <c r="AD285" s="43"/>
      <c r="AE285" s="275"/>
      <c r="AF285" s="275"/>
      <c r="AG285" s="44"/>
      <c r="AH285" s="43"/>
      <c r="AI285" s="275"/>
      <c r="AJ285" s="275"/>
      <c r="AK285" s="275"/>
      <c r="AL285" s="275"/>
      <c r="AM285" s="275"/>
      <c r="AN285" s="277"/>
      <c r="AO285" s="274"/>
      <c r="AP285" s="275"/>
      <c r="AQ285" s="275"/>
      <c r="AR285" s="275"/>
      <c r="AS285" s="275"/>
      <c r="AT285" s="44"/>
      <c r="AU285" s="1"/>
      <c r="AV285" s="1"/>
    </row>
    <row r="286" spans="18:48">
      <c r="R286" s="1"/>
      <c r="S286" s="1"/>
      <c r="T286" s="275" t="s">
        <v>1998</v>
      </c>
      <c r="U286" s="44" t="b">
        <f>ISBLANK(TableauPokemonCapturé[[#This Row],[PokeID]])=FALSE</f>
        <v>0</v>
      </c>
      <c r="V286" s="1"/>
      <c r="W286" s="1"/>
      <c r="X286" s="43"/>
      <c r="Y286" s="275"/>
      <c r="Z286" s="44"/>
      <c r="AA286" s="1"/>
      <c r="AB286" s="43"/>
      <c r="AC286" s="44"/>
      <c r="AD286" s="43"/>
      <c r="AE286" s="275"/>
      <c r="AF286" s="275"/>
      <c r="AG286" s="44"/>
      <c r="AH286" s="43"/>
      <c r="AI286" s="275"/>
      <c r="AJ286" s="275"/>
      <c r="AK286" s="275"/>
      <c r="AL286" s="275"/>
      <c r="AM286" s="275"/>
      <c r="AN286" s="277"/>
      <c r="AO286" s="274"/>
      <c r="AP286" s="275"/>
      <c r="AQ286" s="275"/>
      <c r="AR286" s="275"/>
      <c r="AS286" s="275"/>
      <c r="AT286" s="44"/>
      <c r="AU286" s="1"/>
      <c r="AV286" s="1"/>
    </row>
    <row r="287" spans="18:48">
      <c r="R287" s="1"/>
      <c r="S287" s="1"/>
      <c r="T287" s="275" t="s">
        <v>1999</v>
      </c>
      <c r="U287" s="44" t="b">
        <f>ISBLANK(TableauPokemonCapturé[[#This Row],[PokeID]])=FALSE</f>
        <v>0</v>
      </c>
      <c r="V287" s="1"/>
      <c r="W287" s="1"/>
      <c r="X287" s="43"/>
      <c r="Y287" s="275"/>
      <c r="Z287" s="44"/>
      <c r="AA287" s="1"/>
      <c r="AB287" s="43"/>
      <c r="AC287" s="44"/>
      <c r="AD287" s="43"/>
      <c r="AE287" s="275"/>
      <c r="AF287" s="275"/>
      <c r="AG287" s="44"/>
      <c r="AH287" s="43"/>
      <c r="AI287" s="275"/>
      <c r="AJ287" s="275"/>
      <c r="AK287" s="275"/>
      <c r="AL287" s="275"/>
      <c r="AM287" s="275"/>
      <c r="AN287" s="277"/>
      <c r="AO287" s="274"/>
      <c r="AP287" s="275"/>
      <c r="AQ287" s="275"/>
      <c r="AR287" s="275"/>
      <c r="AS287" s="275"/>
      <c r="AT287" s="44"/>
      <c r="AU287" s="1"/>
      <c r="AV287" s="1"/>
    </row>
    <row r="288" spans="18:48">
      <c r="R288" s="1"/>
      <c r="S288" s="1"/>
      <c r="T288" s="275" t="s">
        <v>2000</v>
      </c>
      <c r="U288" s="44" t="b">
        <f>ISBLANK(TableauPokemonCapturé[[#This Row],[PokeID]])=FALSE</f>
        <v>0</v>
      </c>
      <c r="V288" s="1"/>
      <c r="W288" s="1"/>
      <c r="X288" s="43"/>
      <c r="Y288" s="275"/>
      <c r="Z288" s="44"/>
      <c r="AA288" s="1"/>
      <c r="AB288" s="43"/>
      <c r="AC288" s="44"/>
      <c r="AD288" s="43"/>
      <c r="AE288" s="275"/>
      <c r="AF288" s="275"/>
      <c r="AG288" s="44"/>
      <c r="AH288" s="43"/>
      <c r="AI288" s="275"/>
      <c r="AJ288" s="275"/>
      <c r="AK288" s="275"/>
      <c r="AL288" s="275"/>
      <c r="AM288" s="275"/>
      <c r="AN288" s="277"/>
      <c r="AO288" s="274"/>
      <c r="AP288" s="275"/>
      <c r="AQ288" s="275"/>
      <c r="AR288" s="275"/>
      <c r="AS288" s="275"/>
      <c r="AT288" s="44"/>
      <c r="AU288" s="1"/>
      <c r="AV288" s="1"/>
    </row>
    <row r="289" spans="18:48">
      <c r="R289" s="1"/>
      <c r="S289" s="1"/>
      <c r="T289" s="275" t="s">
        <v>2001</v>
      </c>
      <c r="U289" s="44" t="b">
        <f>ISBLANK(TableauPokemonCapturé[[#This Row],[PokeID]])=FALSE</f>
        <v>0</v>
      </c>
      <c r="V289" s="1"/>
      <c r="W289" s="1"/>
      <c r="X289" s="43"/>
      <c r="Y289" s="275"/>
      <c r="Z289" s="44"/>
      <c r="AA289" s="1"/>
      <c r="AB289" s="43"/>
      <c r="AC289" s="44"/>
      <c r="AD289" s="43"/>
      <c r="AE289" s="275"/>
      <c r="AF289" s="275"/>
      <c r="AG289" s="44"/>
      <c r="AH289" s="43"/>
      <c r="AI289" s="275"/>
      <c r="AJ289" s="275"/>
      <c r="AK289" s="275"/>
      <c r="AL289" s="275"/>
      <c r="AM289" s="275"/>
      <c r="AN289" s="277"/>
      <c r="AO289" s="274"/>
      <c r="AP289" s="275"/>
      <c r="AQ289" s="275"/>
      <c r="AR289" s="275"/>
      <c r="AS289" s="275"/>
      <c r="AT289" s="44"/>
      <c r="AU289" s="1"/>
      <c r="AV289" s="1"/>
    </row>
    <row r="290" spans="18:48">
      <c r="R290" s="1"/>
      <c r="S290" s="1"/>
      <c r="T290" s="275" t="s">
        <v>2002</v>
      </c>
      <c r="U290" s="44" t="b">
        <f>ISBLANK(TableauPokemonCapturé[[#This Row],[PokeID]])=FALSE</f>
        <v>0</v>
      </c>
      <c r="V290" s="1"/>
      <c r="W290" s="1"/>
      <c r="X290" s="43"/>
      <c r="Y290" s="275"/>
      <c r="Z290" s="44"/>
      <c r="AA290" s="1"/>
      <c r="AB290" s="43"/>
      <c r="AC290" s="44"/>
      <c r="AD290" s="43"/>
      <c r="AE290" s="275"/>
      <c r="AF290" s="275"/>
      <c r="AG290" s="44"/>
      <c r="AH290" s="43"/>
      <c r="AI290" s="275"/>
      <c r="AJ290" s="275"/>
      <c r="AK290" s="275"/>
      <c r="AL290" s="275"/>
      <c r="AM290" s="275"/>
      <c r="AN290" s="277"/>
      <c r="AO290" s="274"/>
      <c r="AP290" s="275"/>
      <c r="AQ290" s="275"/>
      <c r="AR290" s="275"/>
      <c r="AS290" s="275"/>
      <c r="AT290" s="44"/>
      <c r="AU290" s="1"/>
      <c r="AV290" s="1"/>
    </row>
    <row r="291" spans="18:48">
      <c r="R291" s="1"/>
      <c r="S291" s="1"/>
      <c r="T291" s="275" t="s">
        <v>2003</v>
      </c>
      <c r="U291" s="44" t="b">
        <f>ISBLANK(TableauPokemonCapturé[[#This Row],[PokeID]])=FALSE</f>
        <v>0</v>
      </c>
      <c r="V291" s="1"/>
      <c r="W291" s="1"/>
      <c r="X291" s="43"/>
      <c r="Y291" s="275"/>
      <c r="Z291" s="44"/>
      <c r="AA291" s="1"/>
      <c r="AB291" s="43"/>
      <c r="AC291" s="44"/>
      <c r="AD291" s="43"/>
      <c r="AE291" s="275"/>
      <c r="AF291" s="275"/>
      <c r="AG291" s="44"/>
      <c r="AH291" s="43"/>
      <c r="AI291" s="275"/>
      <c r="AJ291" s="275"/>
      <c r="AK291" s="275"/>
      <c r="AL291" s="275"/>
      <c r="AM291" s="275"/>
      <c r="AN291" s="277"/>
      <c r="AO291" s="274"/>
      <c r="AP291" s="275"/>
      <c r="AQ291" s="275"/>
      <c r="AR291" s="275"/>
      <c r="AS291" s="275"/>
      <c r="AT291" s="44"/>
      <c r="AU291" s="1"/>
      <c r="AV291" s="1"/>
    </row>
    <row r="292" spans="18:48">
      <c r="R292" s="1"/>
      <c r="S292" s="1"/>
      <c r="T292" s="275" t="s">
        <v>2004</v>
      </c>
      <c r="U292" s="44" t="b">
        <f>ISBLANK(TableauPokemonCapturé[[#This Row],[PokeID]])=FALSE</f>
        <v>0</v>
      </c>
      <c r="V292" s="1"/>
      <c r="W292" s="1"/>
      <c r="X292" s="43"/>
      <c r="Y292" s="275"/>
      <c r="Z292" s="44"/>
      <c r="AA292" s="1"/>
      <c r="AB292" s="43"/>
      <c r="AC292" s="44"/>
      <c r="AD292" s="43"/>
      <c r="AE292" s="275"/>
      <c r="AF292" s="275"/>
      <c r="AG292" s="44"/>
      <c r="AH292" s="43"/>
      <c r="AI292" s="275"/>
      <c r="AJ292" s="275"/>
      <c r="AK292" s="275"/>
      <c r="AL292" s="275"/>
      <c r="AM292" s="275"/>
      <c r="AN292" s="277"/>
      <c r="AO292" s="274"/>
      <c r="AP292" s="275"/>
      <c r="AQ292" s="275"/>
      <c r="AR292" s="275"/>
      <c r="AS292" s="275"/>
      <c r="AT292" s="44"/>
      <c r="AU292" s="1"/>
      <c r="AV292" s="1"/>
    </row>
    <row r="293" spans="18:48">
      <c r="R293" s="1"/>
      <c r="S293" s="1"/>
      <c r="T293" s="275" t="s">
        <v>2005</v>
      </c>
      <c r="U293" s="44" t="b">
        <f>ISBLANK(TableauPokemonCapturé[[#This Row],[PokeID]])=FALSE</f>
        <v>0</v>
      </c>
      <c r="V293" s="1"/>
      <c r="W293" s="1"/>
      <c r="X293" s="43"/>
      <c r="Y293" s="275"/>
      <c r="Z293" s="44"/>
      <c r="AA293" s="1"/>
      <c r="AB293" s="43"/>
      <c r="AC293" s="44"/>
      <c r="AD293" s="43"/>
      <c r="AE293" s="275"/>
      <c r="AF293" s="275"/>
      <c r="AG293" s="44"/>
      <c r="AH293" s="43"/>
      <c r="AI293" s="275"/>
      <c r="AJ293" s="275"/>
      <c r="AK293" s="275"/>
      <c r="AL293" s="275"/>
      <c r="AM293" s="275"/>
      <c r="AN293" s="277"/>
      <c r="AO293" s="274"/>
      <c r="AP293" s="275"/>
      <c r="AQ293" s="275"/>
      <c r="AR293" s="275"/>
      <c r="AS293" s="275"/>
      <c r="AT293" s="44"/>
      <c r="AU293" s="1"/>
      <c r="AV293" s="1"/>
    </row>
    <row r="294" spans="18:48">
      <c r="R294" s="1"/>
      <c r="S294" s="1"/>
      <c r="T294" s="275" t="s">
        <v>2006</v>
      </c>
      <c r="U294" s="44" t="b">
        <f>ISBLANK(TableauPokemonCapturé[[#This Row],[PokeID]])=FALSE</f>
        <v>0</v>
      </c>
      <c r="V294" s="1"/>
      <c r="W294" s="1"/>
      <c r="X294" s="43"/>
      <c r="Y294" s="275"/>
      <c r="Z294" s="44"/>
      <c r="AA294" s="1"/>
      <c r="AB294" s="43"/>
      <c r="AC294" s="44"/>
      <c r="AD294" s="43"/>
      <c r="AE294" s="275"/>
      <c r="AF294" s="275"/>
      <c r="AG294" s="44"/>
      <c r="AH294" s="43"/>
      <c r="AI294" s="275"/>
      <c r="AJ294" s="275"/>
      <c r="AK294" s="275"/>
      <c r="AL294" s="275"/>
      <c r="AM294" s="275"/>
      <c r="AN294" s="277"/>
      <c r="AO294" s="274"/>
      <c r="AP294" s="275"/>
      <c r="AQ294" s="275"/>
      <c r="AR294" s="275"/>
      <c r="AS294" s="275"/>
      <c r="AT294" s="44"/>
      <c r="AU294" s="1"/>
      <c r="AV294" s="1"/>
    </row>
    <row r="295" spans="18:48">
      <c r="R295" s="1"/>
      <c r="S295" s="1"/>
      <c r="T295" s="275" t="s">
        <v>2007</v>
      </c>
      <c r="U295" s="44" t="b">
        <f>ISBLANK(TableauPokemonCapturé[[#This Row],[PokeID]])=FALSE</f>
        <v>0</v>
      </c>
      <c r="V295" s="1"/>
      <c r="W295" s="1"/>
      <c r="X295" s="43"/>
      <c r="Y295" s="275"/>
      <c r="Z295" s="44"/>
      <c r="AA295" s="1"/>
      <c r="AB295" s="43"/>
      <c r="AC295" s="44"/>
      <c r="AD295" s="43"/>
      <c r="AE295" s="275"/>
      <c r="AF295" s="275"/>
      <c r="AG295" s="44"/>
      <c r="AH295" s="43"/>
      <c r="AI295" s="275"/>
      <c r="AJ295" s="275"/>
      <c r="AK295" s="275"/>
      <c r="AL295" s="275"/>
      <c r="AM295" s="275"/>
      <c r="AN295" s="277"/>
      <c r="AO295" s="274"/>
      <c r="AP295" s="275"/>
      <c r="AQ295" s="275"/>
      <c r="AR295" s="275"/>
      <c r="AS295" s="275"/>
      <c r="AT295" s="44"/>
      <c r="AU295" s="1"/>
      <c r="AV295" s="1"/>
    </row>
    <row r="296" spans="18:48">
      <c r="R296" s="1"/>
      <c r="S296" s="1"/>
      <c r="T296" s="275" t="s">
        <v>2008</v>
      </c>
      <c r="U296" s="44" t="b">
        <f>ISBLANK(TableauPokemonCapturé[[#This Row],[PokeID]])=FALSE</f>
        <v>0</v>
      </c>
      <c r="V296" s="1"/>
      <c r="W296" s="1"/>
      <c r="X296" s="43"/>
      <c r="Y296" s="275"/>
      <c r="Z296" s="44"/>
      <c r="AA296" s="1"/>
      <c r="AB296" s="43"/>
      <c r="AC296" s="44"/>
      <c r="AD296" s="43"/>
      <c r="AE296" s="275"/>
      <c r="AF296" s="275"/>
      <c r="AG296" s="44"/>
      <c r="AH296" s="43"/>
      <c r="AI296" s="275"/>
      <c r="AJ296" s="275"/>
      <c r="AK296" s="275"/>
      <c r="AL296" s="275"/>
      <c r="AM296" s="275"/>
      <c r="AN296" s="277"/>
      <c r="AO296" s="274"/>
      <c r="AP296" s="275"/>
      <c r="AQ296" s="275"/>
      <c r="AR296" s="275"/>
      <c r="AS296" s="275"/>
      <c r="AT296" s="44"/>
      <c r="AU296" s="1"/>
      <c r="AV296" s="1"/>
    </row>
    <row r="297" spans="18:48">
      <c r="R297" s="1"/>
      <c r="S297" s="1"/>
      <c r="T297" s="275" t="s">
        <v>2009</v>
      </c>
      <c r="U297" s="44" t="b">
        <f>ISBLANK(TableauPokemonCapturé[[#This Row],[PokeID]])=FALSE</f>
        <v>0</v>
      </c>
      <c r="V297" s="1"/>
      <c r="W297" s="1"/>
      <c r="X297" s="43"/>
      <c r="Y297" s="275"/>
      <c r="Z297" s="44"/>
      <c r="AA297" s="1"/>
      <c r="AB297" s="43"/>
      <c r="AC297" s="44"/>
      <c r="AD297" s="43"/>
      <c r="AE297" s="275"/>
      <c r="AF297" s="275"/>
      <c r="AG297" s="44"/>
      <c r="AH297" s="43"/>
      <c r="AI297" s="275"/>
      <c r="AJ297" s="275"/>
      <c r="AK297" s="275"/>
      <c r="AL297" s="275"/>
      <c r="AM297" s="275"/>
      <c r="AN297" s="277"/>
      <c r="AO297" s="274"/>
      <c r="AP297" s="275"/>
      <c r="AQ297" s="275"/>
      <c r="AR297" s="275"/>
      <c r="AS297" s="275"/>
      <c r="AT297" s="44"/>
      <c r="AU297" s="1"/>
      <c r="AV297" s="1"/>
    </row>
    <row r="298" spans="18:48">
      <c r="R298" s="1"/>
      <c r="S298" s="1"/>
      <c r="T298" s="275" t="s">
        <v>2010</v>
      </c>
      <c r="U298" s="44" t="b">
        <f>ISBLANK(TableauPokemonCapturé[[#This Row],[PokeID]])=FALSE</f>
        <v>0</v>
      </c>
      <c r="V298" s="1"/>
      <c r="W298" s="1"/>
      <c r="X298" s="43"/>
      <c r="Y298" s="275"/>
      <c r="Z298" s="44"/>
      <c r="AA298" s="1"/>
      <c r="AB298" s="43"/>
      <c r="AC298" s="44"/>
      <c r="AD298" s="43"/>
      <c r="AE298" s="275"/>
      <c r="AF298" s="275"/>
      <c r="AG298" s="44"/>
      <c r="AH298" s="43"/>
      <c r="AI298" s="275"/>
      <c r="AJ298" s="275"/>
      <c r="AK298" s="275"/>
      <c r="AL298" s="275"/>
      <c r="AM298" s="275"/>
      <c r="AN298" s="277"/>
      <c r="AO298" s="274"/>
      <c r="AP298" s="275"/>
      <c r="AQ298" s="275"/>
      <c r="AR298" s="275"/>
      <c r="AS298" s="275"/>
      <c r="AT298" s="44"/>
      <c r="AU298" s="1"/>
      <c r="AV298" s="1"/>
    </row>
    <row r="299" spans="18:48">
      <c r="R299" s="1"/>
      <c r="S299" s="1"/>
      <c r="T299" s="275" t="s">
        <v>2011</v>
      </c>
      <c r="U299" s="44" t="b">
        <f>ISBLANK(TableauPokemonCapturé[[#This Row],[PokeID]])=FALSE</f>
        <v>0</v>
      </c>
      <c r="V299" s="1"/>
      <c r="W299" s="1"/>
      <c r="X299" s="43"/>
      <c r="Y299" s="275"/>
      <c r="Z299" s="44"/>
      <c r="AA299" s="1"/>
      <c r="AB299" s="43"/>
      <c r="AC299" s="44"/>
      <c r="AD299" s="43"/>
      <c r="AE299" s="275"/>
      <c r="AF299" s="275"/>
      <c r="AG299" s="44"/>
      <c r="AH299" s="43"/>
      <c r="AI299" s="275"/>
      <c r="AJ299" s="275"/>
      <c r="AK299" s="275"/>
      <c r="AL299" s="275"/>
      <c r="AM299" s="275"/>
      <c r="AN299" s="277"/>
      <c r="AO299" s="274"/>
      <c r="AP299" s="275"/>
      <c r="AQ299" s="275"/>
      <c r="AR299" s="275"/>
      <c r="AS299" s="275"/>
      <c r="AT299" s="44"/>
      <c r="AU299" s="1"/>
      <c r="AV299" s="1"/>
    </row>
    <row r="300" spans="18:48">
      <c r="R300" s="1"/>
      <c r="S300" s="1"/>
      <c r="T300" s="275" t="s">
        <v>2012</v>
      </c>
      <c r="U300" s="44" t="b">
        <f>ISBLANK(TableauPokemonCapturé[[#This Row],[PokeID]])=FALSE</f>
        <v>0</v>
      </c>
      <c r="V300" s="1"/>
      <c r="W300" s="1"/>
      <c r="X300" s="43"/>
      <c r="Y300" s="275"/>
      <c r="Z300" s="44"/>
      <c r="AA300" s="1"/>
      <c r="AB300" s="43"/>
      <c r="AC300" s="44"/>
      <c r="AD300" s="43"/>
      <c r="AE300" s="275"/>
      <c r="AF300" s="275"/>
      <c r="AG300" s="44"/>
      <c r="AH300" s="43"/>
      <c r="AI300" s="275"/>
      <c r="AJ300" s="275"/>
      <c r="AK300" s="275"/>
      <c r="AL300" s="275"/>
      <c r="AM300" s="275"/>
      <c r="AN300" s="277"/>
      <c r="AO300" s="274"/>
      <c r="AP300" s="275"/>
      <c r="AQ300" s="275"/>
      <c r="AR300" s="275"/>
      <c r="AS300" s="275"/>
      <c r="AT300" s="44"/>
      <c r="AU300" s="1"/>
      <c r="AV300" s="1"/>
    </row>
    <row r="301" spans="18:48">
      <c r="R301" s="1"/>
      <c r="S301" s="1"/>
      <c r="T301" s="275" t="s">
        <v>2013</v>
      </c>
      <c r="U301" s="44" t="b">
        <f>ISBLANK(TableauPokemonCapturé[[#This Row],[PokeID]])=FALSE</f>
        <v>0</v>
      </c>
      <c r="V301" s="1"/>
      <c r="W301" s="1"/>
      <c r="X301" s="43"/>
      <c r="Y301" s="275"/>
      <c r="Z301" s="44"/>
      <c r="AA301" s="1"/>
      <c r="AB301" s="43"/>
      <c r="AC301" s="44"/>
      <c r="AD301" s="43"/>
      <c r="AE301" s="275"/>
      <c r="AF301" s="275"/>
      <c r="AG301" s="44"/>
      <c r="AH301" s="43"/>
      <c r="AI301" s="275"/>
      <c r="AJ301" s="275"/>
      <c r="AK301" s="275"/>
      <c r="AL301" s="275"/>
      <c r="AM301" s="275"/>
      <c r="AN301" s="277"/>
      <c r="AO301" s="274"/>
      <c r="AP301" s="275"/>
      <c r="AQ301" s="275"/>
      <c r="AR301" s="275"/>
      <c r="AS301" s="275"/>
      <c r="AT301" s="44"/>
      <c r="AU301" s="1"/>
      <c r="AV301" s="1"/>
    </row>
    <row r="302" spans="18:48">
      <c r="R302" s="1"/>
      <c r="S302" s="1"/>
      <c r="T302" s="275" t="s">
        <v>2014</v>
      </c>
      <c r="U302" s="44" t="b">
        <f>ISBLANK(TableauPokemonCapturé[[#This Row],[PokeID]])=FALSE</f>
        <v>0</v>
      </c>
      <c r="V302" s="1"/>
      <c r="W302" s="1"/>
      <c r="X302" s="43"/>
      <c r="Y302" s="275"/>
      <c r="Z302" s="44"/>
      <c r="AA302" s="1"/>
      <c r="AB302" s="43"/>
      <c r="AC302" s="44"/>
      <c r="AD302" s="43"/>
      <c r="AE302" s="275"/>
      <c r="AF302" s="275"/>
      <c r="AG302" s="44"/>
      <c r="AH302" s="43"/>
      <c r="AI302" s="275"/>
      <c r="AJ302" s="275"/>
      <c r="AK302" s="275"/>
      <c r="AL302" s="275"/>
      <c r="AM302" s="275"/>
      <c r="AN302" s="277"/>
      <c r="AO302" s="274"/>
      <c r="AP302" s="275"/>
      <c r="AQ302" s="275"/>
      <c r="AR302" s="275"/>
      <c r="AS302" s="275"/>
      <c r="AT302" s="44"/>
      <c r="AU302" s="1"/>
      <c r="AV302" s="1"/>
    </row>
    <row r="303" spans="18:48">
      <c r="R303" s="1"/>
      <c r="S303" s="1"/>
      <c r="T303" s="275" t="s">
        <v>2015</v>
      </c>
      <c r="U303" s="44" t="b">
        <f>ISBLANK(TableauPokemonCapturé[[#This Row],[PokeID]])=FALSE</f>
        <v>0</v>
      </c>
      <c r="V303" s="1"/>
      <c r="W303" s="1"/>
      <c r="X303" s="43"/>
      <c r="Y303" s="275"/>
      <c r="Z303" s="44"/>
      <c r="AA303" s="1"/>
      <c r="AB303" s="43"/>
      <c r="AC303" s="44"/>
      <c r="AD303" s="43"/>
      <c r="AE303" s="275"/>
      <c r="AF303" s="275"/>
      <c r="AG303" s="44"/>
      <c r="AH303" s="43"/>
      <c r="AI303" s="275"/>
      <c r="AJ303" s="275"/>
      <c r="AK303" s="275"/>
      <c r="AL303" s="275"/>
      <c r="AM303" s="275"/>
      <c r="AN303" s="277"/>
      <c r="AO303" s="274"/>
      <c r="AP303" s="275"/>
      <c r="AQ303" s="275"/>
      <c r="AR303" s="275"/>
      <c r="AS303" s="275"/>
      <c r="AT303" s="44"/>
      <c r="AU303" s="1"/>
      <c r="AV303" s="1"/>
    </row>
    <row r="304" spans="18:48">
      <c r="R304" s="1"/>
      <c r="S304" s="1"/>
      <c r="T304" s="275" t="s">
        <v>2016</v>
      </c>
      <c r="U304" s="44" t="b">
        <f>ISBLANK(TableauPokemonCapturé[[#This Row],[PokeID]])=FALSE</f>
        <v>0</v>
      </c>
      <c r="V304" s="1"/>
      <c r="W304" s="1"/>
      <c r="X304" s="43"/>
      <c r="Y304" s="275"/>
      <c r="Z304" s="44"/>
      <c r="AA304" s="1"/>
      <c r="AB304" s="43"/>
      <c r="AC304" s="44"/>
      <c r="AD304" s="43"/>
      <c r="AE304" s="275"/>
      <c r="AF304" s="275"/>
      <c r="AG304" s="44"/>
      <c r="AH304" s="43"/>
      <c r="AI304" s="275"/>
      <c r="AJ304" s="275"/>
      <c r="AK304" s="275"/>
      <c r="AL304" s="275"/>
      <c r="AM304" s="275"/>
      <c r="AN304" s="277"/>
      <c r="AO304" s="274"/>
      <c r="AP304" s="275"/>
      <c r="AQ304" s="275"/>
      <c r="AR304" s="275"/>
      <c r="AS304" s="275"/>
      <c r="AT304" s="44"/>
      <c r="AU304" s="1"/>
      <c r="AV304" s="1"/>
    </row>
    <row r="305" spans="18:48">
      <c r="R305" s="1"/>
      <c r="S305" s="1"/>
      <c r="T305" s="275" t="s">
        <v>2017</v>
      </c>
      <c r="U305" s="44" t="b">
        <f>ISBLANK(TableauPokemonCapturé[[#This Row],[PokeID]])=FALSE</f>
        <v>0</v>
      </c>
      <c r="V305" s="1"/>
      <c r="W305" s="1"/>
      <c r="X305" s="43"/>
      <c r="Y305" s="275"/>
      <c r="Z305" s="44"/>
      <c r="AA305" s="1"/>
      <c r="AB305" s="43"/>
      <c r="AC305" s="44"/>
      <c r="AD305" s="43"/>
      <c r="AE305" s="275"/>
      <c r="AF305" s="275"/>
      <c r="AG305" s="44"/>
      <c r="AH305" s="43"/>
      <c r="AI305" s="275"/>
      <c r="AJ305" s="275"/>
      <c r="AK305" s="275"/>
      <c r="AL305" s="275"/>
      <c r="AM305" s="275"/>
      <c r="AN305" s="277"/>
      <c r="AO305" s="274"/>
      <c r="AP305" s="275"/>
      <c r="AQ305" s="275"/>
      <c r="AR305" s="275"/>
      <c r="AS305" s="275"/>
      <c r="AT305" s="44"/>
      <c r="AU305" s="1"/>
      <c r="AV305" s="1"/>
    </row>
    <row r="306" spans="18:48">
      <c r="R306" s="1"/>
      <c r="S306" s="1"/>
      <c r="T306" s="275" t="s">
        <v>2018</v>
      </c>
      <c r="U306" s="44" t="b">
        <f>ISBLANK(TableauPokemonCapturé[[#This Row],[PokeID]])=FALSE</f>
        <v>0</v>
      </c>
      <c r="V306" s="1"/>
      <c r="W306" s="1"/>
      <c r="X306" s="43"/>
      <c r="Y306" s="275"/>
      <c r="Z306" s="44"/>
      <c r="AA306" s="1"/>
      <c r="AB306" s="43"/>
      <c r="AC306" s="44"/>
      <c r="AD306" s="43"/>
      <c r="AE306" s="275"/>
      <c r="AF306" s="275"/>
      <c r="AG306" s="44"/>
      <c r="AH306" s="43"/>
      <c r="AI306" s="275"/>
      <c r="AJ306" s="275"/>
      <c r="AK306" s="275"/>
      <c r="AL306" s="275"/>
      <c r="AM306" s="275"/>
      <c r="AN306" s="277"/>
      <c r="AO306" s="274"/>
      <c r="AP306" s="275"/>
      <c r="AQ306" s="275"/>
      <c r="AR306" s="275"/>
      <c r="AS306" s="275"/>
      <c r="AT306" s="44"/>
      <c r="AU306" s="1"/>
      <c r="AV306" s="1"/>
    </row>
    <row r="307" spans="18:48">
      <c r="R307" s="1"/>
      <c r="S307" s="1"/>
      <c r="T307" s="275" t="s">
        <v>2019</v>
      </c>
      <c r="U307" s="44" t="b">
        <f>ISBLANK(TableauPokemonCapturé[[#This Row],[PokeID]])=FALSE</f>
        <v>0</v>
      </c>
      <c r="V307" s="1"/>
      <c r="W307" s="1"/>
      <c r="X307" s="43"/>
      <c r="Y307" s="275"/>
      <c r="Z307" s="44"/>
      <c r="AA307" s="1"/>
      <c r="AB307" s="43"/>
      <c r="AC307" s="44"/>
      <c r="AD307" s="43"/>
      <c r="AE307" s="275"/>
      <c r="AF307" s="275"/>
      <c r="AG307" s="44"/>
      <c r="AH307" s="43"/>
      <c r="AI307" s="275"/>
      <c r="AJ307" s="275"/>
      <c r="AK307" s="275"/>
      <c r="AL307" s="275"/>
      <c r="AM307" s="275"/>
      <c r="AN307" s="277"/>
      <c r="AO307" s="274"/>
      <c r="AP307" s="275"/>
      <c r="AQ307" s="275"/>
      <c r="AR307" s="275"/>
      <c r="AS307" s="275"/>
      <c r="AT307" s="44"/>
      <c r="AU307" s="1"/>
      <c r="AV307" s="1"/>
    </row>
    <row r="308" spans="18:48">
      <c r="R308" s="1"/>
      <c r="S308" s="1"/>
      <c r="T308" s="275" t="s">
        <v>2020</v>
      </c>
      <c r="U308" s="44" t="b">
        <f>ISBLANK(TableauPokemonCapturé[[#This Row],[PokeID]])=FALSE</f>
        <v>0</v>
      </c>
      <c r="V308" s="1"/>
      <c r="W308" s="1"/>
      <c r="X308" s="43"/>
      <c r="Y308" s="275"/>
      <c r="Z308" s="44"/>
      <c r="AA308" s="1"/>
      <c r="AB308" s="43"/>
      <c r="AC308" s="44"/>
      <c r="AD308" s="43"/>
      <c r="AE308" s="275"/>
      <c r="AF308" s="275"/>
      <c r="AG308" s="44"/>
      <c r="AH308" s="43"/>
      <c r="AI308" s="275"/>
      <c r="AJ308" s="275"/>
      <c r="AK308" s="275"/>
      <c r="AL308" s="275"/>
      <c r="AM308" s="275"/>
      <c r="AN308" s="277"/>
      <c r="AO308" s="274"/>
      <c r="AP308" s="275"/>
      <c r="AQ308" s="275"/>
      <c r="AR308" s="275"/>
      <c r="AS308" s="275"/>
      <c r="AT308" s="44"/>
      <c r="AU308" s="1"/>
      <c r="AV308" s="1"/>
    </row>
  </sheetData>
  <phoneticPr fontId="26" type="noConversion"/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B1:FY312"/>
  <sheetViews>
    <sheetView topLeftCell="L233" zoomScale="65" zoomScaleNormal="205" workbookViewId="0">
      <selection activeCell="DF259" sqref="DF259"/>
    </sheetView>
  </sheetViews>
  <sheetFormatPr baseColWidth="10" defaultColWidth="1.6640625" defaultRowHeight="9" customHeight="1"/>
  <sheetData>
    <row r="1" spans="2:98" ht="9" customHeight="1" thickBot="1"/>
    <row r="2" spans="2:98" ht="9" customHeight="1" thickBot="1">
      <c r="B2" s="202" t="s">
        <v>73</v>
      </c>
      <c r="C2" s="215" t="s">
        <v>73</v>
      </c>
      <c r="D2" s="215" t="s">
        <v>73</v>
      </c>
      <c r="E2" s="215" t="s">
        <v>73</v>
      </c>
      <c r="F2" s="215" t="s">
        <v>73</v>
      </c>
      <c r="G2" s="215" t="s">
        <v>73</v>
      </c>
      <c r="H2" s="215" t="s">
        <v>73</v>
      </c>
      <c r="I2" s="215" t="s">
        <v>73</v>
      </c>
      <c r="J2" s="215" t="s">
        <v>73</v>
      </c>
      <c r="K2" s="215" t="s">
        <v>73</v>
      </c>
      <c r="L2" s="215" t="s">
        <v>73</v>
      </c>
      <c r="M2" s="215" t="s">
        <v>73</v>
      </c>
      <c r="N2" s="215" t="s">
        <v>73</v>
      </c>
      <c r="O2" s="215" t="s">
        <v>73</v>
      </c>
      <c r="P2" s="215" t="s">
        <v>73</v>
      </c>
      <c r="Q2" s="215" t="s">
        <v>73</v>
      </c>
      <c r="R2" s="215" t="s">
        <v>73</v>
      </c>
      <c r="S2" s="215" t="s">
        <v>73</v>
      </c>
      <c r="T2" s="215" t="s">
        <v>73</v>
      </c>
      <c r="U2" s="215" t="s">
        <v>73</v>
      </c>
      <c r="V2" s="215" t="s">
        <v>73</v>
      </c>
      <c r="W2" s="215" t="s">
        <v>73</v>
      </c>
      <c r="X2" s="215" t="s">
        <v>73</v>
      </c>
      <c r="Y2" s="215" t="s">
        <v>73</v>
      </c>
      <c r="Z2" s="215" t="s">
        <v>73</v>
      </c>
      <c r="AA2" s="215" t="s">
        <v>73</v>
      </c>
      <c r="AB2" s="215" t="s">
        <v>73</v>
      </c>
      <c r="AC2" s="215" t="s">
        <v>73</v>
      </c>
      <c r="AD2" s="215" t="s">
        <v>73</v>
      </c>
      <c r="AE2" s="215" t="s">
        <v>73</v>
      </c>
      <c r="AF2" s="215" t="s">
        <v>73</v>
      </c>
      <c r="AG2" s="215" t="s">
        <v>73</v>
      </c>
      <c r="AH2" s="215" t="s">
        <v>73</v>
      </c>
      <c r="AI2" s="215" t="s">
        <v>73</v>
      </c>
      <c r="AJ2" s="215" t="s">
        <v>73</v>
      </c>
      <c r="AK2" s="215" t="s">
        <v>73</v>
      </c>
      <c r="AL2" s="215" t="s">
        <v>73</v>
      </c>
      <c r="AM2" s="215" t="s">
        <v>73</v>
      </c>
      <c r="AN2" s="215" t="s">
        <v>73</v>
      </c>
      <c r="AO2" s="215" t="s">
        <v>73</v>
      </c>
      <c r="AP2" s="215" t="s">
        <v>73</v>
      </c>
      <c r="AQ2" s="215" t="s">
        <v>73</v>
      </c>
      <c r="AR2" s="215" t="s">
        <v>73</v>
      </c>
      <c r="AS2" s="215" t="s">
        <v>73</v>
      </c>
      <c r="AT2" s="215" t="s">
        <v>73</v>
      </c>
      <c r="AU2" s="215" t="s">
        <v>73</v>
      </c>
      <c r="AV2" s="215" t="s">
        <v>73</v>
      </c>
      <c r="AW2" s="215" t="s">
        <v>73</v>
      </c>
      <c r="AX2" s="215" t="s">
        <v>73</v>
      </c>
      <c r="AY2" s="215" t="s">
        <v>73</v>
      </c>
      <c r="AZ2" s="215" t="s">
        <v>73</v>
      </c>
      <c r="BA2" s="215" t="s">
        <v>73</v>
      </c>
      <c r="BB2" s="215" t="s">
        <v>73</v>
      </c>
      <c r="BC2" s="203" t="s">
        <v>73</v>
      </c>
    </row>
    <row r="3" spans="2:98" ht="9" customHeight="1">
      <c r="B3" s="204" t="s">
        <v>73</v>
      </c>
      <c r="C3" t="s">
        <v>73</v>
      </c>
      <c r="D3" t="s">
        <v>73</v>
      </c>
      <c r="E3" t="s">
        <v>73</v>
      </c>
      <c r="F3" t="s">
        <v>73</v>
      </c>
      <c r="G3" t="s">
        <v>73</v>
      </c>
      <c r="H3" t="s">
        <v>73</v>
      </c>
      <c r="I3" t="s">
        <v>73</v>
      </c>
      <c r="J3" t="s">
        <v>73</v>
      </c>
      <c r="K3" t="s">
        <v>73</v>
      </c>
      <c r="L3" t="s">
        <v>73</v>
      </c>
      <c r="M3" t="s">
        <v>73</v>
      </c>
      <c r="N3" t="s">
        <v>73</v>
      </c>
      <c r="O3" t="s">
        <v>73</v>
      </c>
      <c r="P3" t="s">
        <v>73</v>
      </c>
      <c r="Q3" t="s">
        <v>73</v>
      </c>
      <c r="R3" t="s">
        <v>73</v>
      </c>
      <c r="S3" t="s">
        <v>73</v>
      </c>
      <c r="T3" t="s">
        <v>73</v>
      </c>
      <c r="U3" t="s">
        <v>73</v>
      </c>
      <c r="V3" t="s">
        <v>73</v>
      </c>
      <c r="W3" t="s">
        <v>73</v>
      </c>
      <c r="X3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s="205" t="s">
        <v>73</v>
      </c>
      <c r="CH3" s="238" t="s">
        <v>73</v>
      </c>
      <c r="CI3" s="241" t="s">
        <v>73</v>
      </c>
      <c r="CJ3" s="241" t="s">
        <v>73</v>
      </c>
      <c r="CK3" s="241" t="s">
        <v>73</v>
      </c>
      <c r="CL3" s="241" t="s">
        <v>73</v>
      </c>
      <c r="CM3" s="241" t="s">
        <v>73</v>
      </c>
      <c r="CN3" s="241" t="s">
        <v>73</v>
      </c>
      <c r="CO3" s="241" t="s">
        <v>73</v>
      </c>
      <c r="CP3" s="241" t="s">
        <v>73</v>
      </c>
      <c r="CQ3" s="241" t="s">
        <v>73</v>
      </c>
      <c r="CR3" s="241" t="s">
        <v>73</v>
      </c>
      <c r="CS3" s="241" t="s">
        <v>73</v>
      </c>
      <c r="CT3" s="242" t="s">
        <v>73</v>
      </c>
    </row>
    <row r="4" spans="2:98" ht="9" customHeight="1">
      <c r="B4" s="20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  <c r="H4" t="s">
        <v>73</v>
      </c>
      <c r="I4" t="s">
        <v>73</v>
      </c>
      <c r="J4" t="s">
        <v>73</v>
      </c>
      <c r="K4" t="s">
        <v>73</v>
      </c>
      <c r="L4" t="s">
        <v>73</v>
      </c>
      <c r="M4" t="s">
        <v>73</v>
      </c>
      <c r="N4" t="s">
        <v>73</v>
      </c>
      <c r="O4" t="s">
        <v>73</v>
      </c>
      <c r="P4" t="s">
        <v>73</v>
      </c>
      <c r="Q4" t="s">
        <v>73</v>
      </c>
      <c r="R4" t="s">
        <v>73</v>
      </c>
      <c r="S4" t="s">
        <v>73</v>
      </c>
      <c r="T4" t="s">
        <v>73</v>
      </c>
      <c r="U4" t="s">
        <v>73</v>
      </c>
      <c r="V4" t="s">
        <v>73</v>
      </c>
      <c r="W4" t="s">
        <v>73</v>
      </c>
      <c r="X4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s="205" t="s">
        <v>73</v>
      </c>
      <c r="CH4" s="239" t="s">
        <v>73</v>
      </c>
      <c r="CI4" t="s">
        <v>73</v>
      </c>
      <c r="CJ4" t="s">
        <v>73</v>
      </c>
      <c r="CK4" t="s">
        <v>73</v>
      </c>
      <c r="CL4" t="s">
        <v>73</v>
      </c>
      <c r="CM4" t="s">
        <v>73</v>
      </c>
      <c r="CN4" t="s">
        <v>73</v>
      </c>
      <c r="CO4" t="s">
        <v>73</v>
      </c>
      <c r="CP4" t="s">
        <v>73</v>
      </c>
      <c r="CQ4" t="s">
        <v>73</v>
      </c>
      <c r="CR4" t="s">
        <v>73</v>
      </c>
      <c r="CS4" t="s">
        <v>73</v>
      </c>
      <c r="CT4" s="243" t="s">
        <v>73</v>
      </c>
    </row>
    <row r="5" spans="2:98" ht="9" customHeight="1">
      <c r="B5" s="204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  <c r="J5" t="s">
        <v>73</v>
      </c>
      <c r="K5" t="s">
        <v>73</v>
      </c>
      <c r="L5" t="s">
        <v>73</v>
      </c>
      <c r="M5" t="s">
        <v>73</v>
      </c>
      <c r="N5" t="s">
        <v>73</v>
      </c>
      <c r="O5" t="s">
        <v>73</v>
      </c>
      <c r="P5" t="s">
        <v>73</v>
      </c>
      <c r="Q5" t="s">
        <v>73</v>
      </c>
      <c r="R5" t="s">
        <v>73</v>
      </c>
      <c r="S5" t="s">
        <v>73</v>
      </c>
      <c r="T5" t="s">
        <v>73</v>
      </c>
      <c r="U5" t="s">
        <v>73</v>
      </c>
      <c r="V5" t="s">
        <v>73</v>
      </c>
      <c r="W5" t="s">
        <v>73</v>
      </c>
      <c r="X5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s="205" t="s">
        <v>73</v>
      </c>
      <c r="CH5" s="239" t="s">
        <v>73</v>
      </c>
      <c r="CI5" t="s">
        <v>73</v>
      </c>
      <c r="CJ5" t="s">
        <v>73</v>
      </c>
      <c r="CK5" t="s">
        <v>73</v>
      </c>
      <c r="CL5" t="s">
        <v>73</v>
      </c>
      <c r="CM5" t="s">
        <v>73</v>
      </c>
      <c r="CN5" t="s">
        <v>73</v>
      </c>
      <c r="CO5" t="s">
        <v>73</v>
      </c>
      <c r="CP5" t="s">
        <v>73</v>
      </c>
      <c r="CQ5" t="s">
        <v>73</v>
      </c>
      <c r="CR5" t="s">
        <v>73</v>
      </c>
      <c r="CS5" t="s">
        <v>73</v>
      </c>
      <c r="CT5" s="243" t="s">
        <v>73</v>
      </c>
    </row>
    <row r="6" spans="2:98" ht="9" customHeight="1">
      <c r="B6" s="204" t="s">
        <v>73</v>
      </c>
      <c r="C6" t="s">
        <v>73</v>
      </c>
      <c r="D6" t="s">
        <v>73</v>
      </c>
      <c r="E6" t="s">
        <v>73</v>
      </c>
      <c r="F6" t="s">
        <v>73</v>
      </c>
      <c r="G6" t="s">
        <v>73</v>
      </c>
      <c r="H6" t="s">
        <v>73</v>
      </c>
      <c r="I6" t="s">
        <v>73</v>
      </c>
      <c r="J6" t="s">
        <v>73</v>
      </c>
      <c r="K6" t="s">
        <v>73</v>
      </c>
      <c r="L6" t="s">
        <v>73</v>
      </c>
      <c r="M6" t="s">
        <v>73</v>
      </c>
      <c r="N6" t="s">
        <v>73</v>
      </c>
      <c r="O6" t="s">
        <v>73</v>
      </c>
      <c r="P6" t="s">
        <v>73</v>
      </c>
      <c r="Q6" t="s">
        <v>73</v>
      </c>
      <c r="R6" t="s">
        <v>73</v>
      </c>
      <c r="S6" t="s">
        <v>73</v>
      </c>
      <c r="T6" t="s">
        <v>73</v>
      </c>
      <c r="U6" t="s">
        <v>73</v>
      </c>
      <c r="V6" t="s">
        <v>73</v>
      </c>
      <c r="W6" t="s">
        <v>73</v>
      </c>
      <c r="X6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s="205" t="s">
        <v>73</v>
      </c>
      <c r="CH6" s="239" t="s">
        <v>73</v>
      </c>
      <c r="CI6" t="s">
        <v>73</v>
      </c>
      <c r="CJ6" t="s">
        <v>73</v>
      </c>
      <c r="CK6" t="s">
        <v>73</v>
      </c>
      <c r="CL6" t="s">
        <v>73</v>
      </c>
      <c r="CM6" t="s">
        <v>73</v>
      </c>
      <c r="CN6" t="s">
        <v>73</v>
      </c>
      <c r="CO6" t="s">
        <v>73</v>
      </c>
      <c r="CP6" t="s">
        <v>73</v>
      </c>
      <c r="CQ6" t="s">
        <v>73</v>
      </c>
      <c r="CR6" t="s">
        <v>73</v>
      </c>
      <c r="CS6" t="s">
        <v>73</v>
      </c>
      <c r="CT6" s="243" t="s">
        <v>73</v>
      </c>
    </row>
    <row r="7" spans="2:98" ht="9" customHeight="1">
      <c r="B7" s="204" t="s">
        <v>73</v>
      </c>
      <c r="C7" t="s">
        <v>73</v>
      </c>
      <c r="D7" t="s">
        <v>73</v>
      </c>
      <c r="E7" t="s">
        <v>73</v>
      </c>
      <c r="F7" t="s">
        <v>73</v>
      </c>
      <c r="G7" t="s">
        <v>73</v>
      </c>
      <c r="H7" t="s">
        <v>73</v>
      </c>
      <c r="I7" t="s">
        <v>73</v>
      </c>
      <c r="J7" t="s">
        <v>73</v>
      </c>
      <c r="K7" t="s">
        <v>73</v>
      </c>
      <c r="L7" t="s">
        <v>73</v>
      </c>
      <c r="Z7" t="s">
        <v>73</v>
      </c>
      <c r="AA7" t="s">
        <v>73</v>
      </c>
      <c r="AB7" t="s">
        <v>73</v>
      </c>
      <c r="BA7" t="s">
        <v>73</v>
      </c>
      <c r="BB7" t="s">
        <v>73</v>
      </c>
      <c r="BC7" s="205" t="s">
        <v>73</v>
      </c>
      <c r="CH7" s="239" t="s">
        <v>73</v>
      </c>
      <c r="CN7" t="s">
        <v>73</v>
      </c>
      <c r="CT7" s="243" t="s">
        <v>73</v>
      </c>
    </row>
    <row r="8" spans="2:98" ht="9" customHeight="1">
      <c r="B8" s="204" t="s">
        <v>73</v>
      </c>
      <c r="C8" t="s">
        <v>73</v>
      </c>
      <c r="D8" t="s">
        <v>73</v>
      </c>
      <c r="E8" t="s">
        <v>73</v>
      </c>
      <c r="F8" t="s">
        <v>73</v>
      </c>
      <c r="G8" t="s">
        <v>73</v>
      </c>
      <c r="H8" t="s">
        <v>73</v>
      </c>
      <c r="I8" t="s">
        <v>73</v>
      </c>
      <c r="J8" t="s">
        <v>73</v>
      </c>
      <c r="K8" t="s">
        <v>73</v>
      </c>
      <c r="L8" t="s">
        <v>73</v>
      </c>
      <c r="Z8" t="s">
        <v>73</v>
      </c>
      <c r="AA8" t="s">
        <v>73</v>
      </c>
      <c r="AB8" t="s">
        <v>73</v>
      </c>
      <c r="BA8" t="s">
        <v>73</v>
      </c>
      <c r="BB8" t="s">
        <v>73</v>
      </c>
      <c r="BC8" s="205" t="s">
        <v>73</v>
      </c>
      <c r="CH8" s="239" t="s">
        <v>73</v>
      </c>
      <c r="CP8" s="237" t="s">
        <v>1420</v>
      </c>
      <c r="CQ8" s="237" t="s">
        <v>1421</v>
      </c>
      <c r="CR8" s="237" t="s">
        <v>1422</v>
      </c>
      <c r="CT8" s="243" t="s">
        <v>73</v>
      </c>
    </row>
    <row r="9" spans="2:98" ht="9" customHeight="1">
      <c r="B9" s="204" t="s">
        <v>73</v>
      </c>
      <c r="C9" t="s">
        <v>73</v>
      </c>
      <c r="D9" t="s">
        <v>73</v>
      </c>
      <c r="E9" t="s">
        <v>73</v>
      </c>
      <c r="F9" t="s">
        <v>73</v>
      </c>
      <c r="G9" t="s">
        <v>73</v>
      </c>
      <c r="H9" t="s">
        <v>73</v>
      </c>
      <c r="I9" t="s">
        <v>73</v>
      </c>
      <c r="J9" t="s">
        <v>73</v>
      </c>
      <c r="K9" t="s">
        <v>73</v>
      </c>
      <c r="L9" t="s">
        <v>73</v>
      </c>
      <c r="Z9" t="s">
        <v>73</v>
      </c>
      <c r="AA9" t="s">
        <v>73</v>
      </c>
      <c r="AB9" t="s">
        <v>73</v>
      </c>
      <c r="BA9" t="s">
        <v>73</v>
      </c>
      <c r="BB9" t="s">
        <v>73</v>
      </c>
      <c r="BC9" s="205" t="s">
        <v>73</v>
      </c>
      <c r="CH9" s="239" t="s">
        <v>73</v>
      </c>
      <c r="CK9" t="s">
        <v>73</v>
      </c>
      <c r="CL9" t="s">
        <v>73</v>
      </c>
      <c r="CP9" s="237" t="s">
        <v>1420</v>
      </c>
      <c r="CQ9" s="237" t="s">
        <v>1421</v>
      </c>
      <c r="CR9" s="237" t="s">
        <v>1422</v>
      </c>
      <c r="CT9" s="243" t="s">
        <v>73</v>
      </c>
    </row>
    <row r="10" spans="2:98" ht="9" customHeight="1">
      <c r="B10" s="204" t="s">
        <v>73</v>
      </c>
      <c r="C10" t="s">
        <v>73</v>
      </c>
      <c r="D10" t="s">
        <v>73</v>
      </c>
      <c r="E10" t="s">
        <v>73</v>
      </c>
      <c r="F10" t="s">
        <v>73</v>
      </c>
      <c r="G10" t="s">
        <v>73</v>
      </c>
      <c r="H10" t="s">
        <v>73</v>
      </c>
      <c r="I10" t="s">
        <v>73</v>
      </c>
      <c r="J10" t="s">
        <v>73</v>
      </c>
      <c r="K10" t="s">
        <v>73</v>
      </c>
      <c r="L10" t="s">
        <v>73</v>
      </c>
      <c r="Z10" t="s">
        <v>73</v>
      </c>
      <c r="AA10" t="s">
        <v>73</v>
      </c>
      <c r="AB10" t="s">
        <v>73</v>
      </c>
      <c r="AH10" t="s">
        <v>73</v>
      </c>
      <c r="AI10" t="s">
        <v>73</v>
      </c>
      <c r="AJ10" t="s">
        <v>73</v>
      </c>
      <c r="AK10" t="s">
        <v>73</v>
      </c>
      <c r="AL10" t="s">
        <v>73</v>
      </c>
      <c r="AM10" t="s">
        <v>73</v>
      </c>
      <c r="AN10" t="s">
        <v>73</v>
      </c>
      <c r="AO10" t="s">
        <v>73</v>
      </c>
      <c r="AP10" t="s">
        <v>73</v>
      </c>
      <c r="AQ10" t="s">
        <v>73</v>
      </c>
      <c r="AR10" t="s">
        <v>73</v>
      </c>
      <c r="AS10" t="s">
        <v>73</v>
      </c>
      <c r="AT10" t="s">
        <v>73</v>
      </c>
      <c r="AU10" t="s">
        <v>73</v>
      </c>
      <c r="AV10" t="s">
        <v>73</v>
      </c>
      <c r="BA10" t="s">
        <v>73</v>
      </c>
      <c r="BB10" t="s">
        <v>73</v>
      </c>
      <c r="BC10" s="205" t="s">
        <v>73</v>
      </c>
      <c r="CH10" s="239" t="s">
        <v>73</v>
      </c>
      <c r="CI10" t="s">
        <v>73</v>
      </c>
      <c r="CJ10" t="s">
        <v>73</v>
      </c>
      <c r="CK10" t="s">
        <v>73</v>
      </c>
      <c r="CL10" t="s">
        <v>73</v>
      </c>
      <c r="CT10" s="243" t="s">
        <v>73</v>
      </c>
    </row>
    <row r="11" spans="2:98" ht="9" customHeight="1">
      <c r="B11" s="204" t="s">
        <v>73</v>
      </c>
      <c r="C11" t="s">
        <v>73</v>
      </c>
      <c r="D11" t="s">
        <v>73</v>
      </c>
      <c r="E11" t="s">
        <v>73</v>
      </c>
      <c r="F11" t="s">
        <v>1439</v>
      </c>
      <c r="G11" t="s">
        <v>1439</v>
      </c>
      <c r="H11" t="s">
        <v>1439</v>
      </c>
      <c r="I11" t="s">
        <v>73</v>
      </c>
      <c r="J11" t="s">
        <v>73</v>
      </c>
      <c r="K11" t="s">
        <v>73</v>
      </c>
      <c r="L11" t="s">
        <v>73</v>
      </c>
      <c r="Z11" t="s">
        <v>73</v>
      </c>
      <c r="AA11" t="s">
        <v>73</v>
      </c>
      <c r="AB11" t="s">
        <v>73</v>
      </c>
      <c r="AH11" t="s">
        <v>73</v>
      </c>
      <c r="AI11" t="s">
        <v>73</v>
      </c>
      <c r="AJ11" t="s">
        <v>73</v>
      </c>
      <c r="AK11" t="s">
        <v>73</v>
      </c>
      <c r="AL11" t="s">
        <v>73</v>
      </c>
      <c r="AM11" t="s">
        <v>73</v>
      </c>
      <c r="AN11" t="s">
        <v>73</v>
      </c>
      <c r="AO11" t="s">
        <v>73</v>
      </c>
      <c r="AP11" t="s">
        <v>73</v>
      </c>
      <c r="AQ11" t="s">
        <v>73</v>
      </c>
      <c r="AR11" t="s">
        <v>73</v>
      </c>
      <c r="AS11" t="s">
        <v>73</v>
      </c>
      <c r="AT11" t="s">
        <v>73</v>
      </c>
      <c r="AU11" t="s">
        <v>73</v>
      </c>
      <c r="AV11" t="s">
        <v>73</v>
      </c>
      <c r="BA11" t="s">
        <v>73</v>
      </c>
      <c r="BB11" t="s">
        <v>73</v>
      </c>
      <c r="BC11" s="205" t="s">
        <v>73</v>
      </c>
      <c r="CH11" s="239" t="s">
        <v>73</v>
      </c>
      <c r="CI11" t="s">
        <v>73</v>
      </c>
      <c r="CJ11" t="s">
        <v>73</v>
      </c>
      <c r="CK11" t="s">
        <v>73</v>
      </c>
      <c r="CL11" t="s">
        <v>73</v>
      </c>
      <c r="CP11" t="s">
        <v>73</v>
      </c>
      <c r="CQ11" t="s">
        <v>73</v>
      </c>
      <c r="CR11" t="s">
        <v>73</v>
      </c>
      <c r="CS11" t="s">
        <v>73</v>
      </c>
      <c r="CT11" s="243" t="s">
        <v>73</v>
      </c>
    </row>
    <row r="12" spans="2:98" ht="9" customHeight="1">
      <c r="B12" s="204" t="s">
        <v>73</v>
      </c>
      <c r="C12" t="s">
        <v>73</v>
      </c>
      <c r="D12" t="s">
        <v>73</v>
      </c>
      <c r="E12" t="s">
        <v>73</v>
      </c>
      <c r="I12" t="s">
        <v>73</v>
      </c>
      <c r="J12" t="s">
        <v>73</v>
      </c>
      <c r="K12" t="s">
        <v>73</v>
      </c>
      <c r="L12" t="s">
        <v>73</v>
      </c>
      <c r="Z12" t="s">
        <v>73</v>
      </c>
      <c r="AA12" t="s">
        <v>73</v>
      </c>
      <c r="AB12" t="s">
        <v>73</v>
      </c>
      <c r="AH12" t="s">
        <v>73</v>
      </c>
      <c r="AI12" t="s">
        <v>73</v>
      </c>
      <c r="AJ12" t="s">
        <v>73</v>
      </c>
      <c r="AK12" t="s">
        <v>73</v>
      </c>
      <c r="AL12" t="s">
        <v>73</v>
      </c>
      <c r="AM12" t="s">
        <v>73</v>
      </c>
      <c r="AN12" t="s">
        <v>73</v>
      </c>
      <c r="AO12" t="s">
        <v>73</v>
      </c>
      <c r="AP12" t="s">
        <v>73</v>
      </c>
      <c r="AQ12" t="s">
        <v>73</v>
      </c>
      <c r="AR12" t="s">
        <v>73</v>
      </c>
      <c r="AS12" t="s">
        <v>73</v>
      </c>
      <c r="AT12" t="s">
        <v>73</v>
      </c>
      <c r="AU12" t="s">
        <v>73</v>
      </c>
      <c r="AV12" t="s">
        <v>73</v>
      </c>
      <c r="BA12" t="s">
        <v>73</v>
      </c>
      <c r="BB12" t="s">
        <v>73</v>
      </c>
      <c r="BC12" s="205" t="s">
        <v>73</v>
      </c>
      <c r="CH12" s="239" t="s">
        <v>73</v>
      </c>
      <c r="CI12" t="s">
        <v>73</v>
      </c>
      <c r="CJ12" t="s">
        <v>73</v>
      </c>
      <c r="CL12" t="s">
        <v>73</v>
      </c>
      <c r="CP12" t="s">
        <v>73</v>
      </c>
      <c r="CQ12" t="s">
        <v>73</v>
      </c>
      <c r="CR12" t="s">
        <v>73</v>
      </c>
      <c r="CS12" t="s">
        <v>73</v>
      </c>
      <c r="CT12" s="243" t="s">
        <v>73</v>
      </c>
    </row>
    <row r="13" spans="2:98" ht="9" customHeight="1">
      <c r="B13" s="204" t="s">
        <v>73</v>
      </c>
      <c r="C13" t="s">
        <v>73</v>
      </c>
      <c r="D13" t="s">
        <v>73</v>
      </c>
      <c r="E13" t="s">
        <v>73</v>
      </c>
      <c r="I13" t="s">
        <v>73</v>
      </c>
      <c r="J13" t="s">
        <v>73</v>
      </c>
      <c r="K13" t="s">
        <v>73</v>
      </c>
      <c r="L13" t="s">
        <v>73</v>
      </c>
      <c r="R13" t="s">
        <v>73</v>
      </c>
      <c r="S13" t="s">
        <v>73</v>
      </c>
      <c r="T13" t="s">
        <v>73</v>
      </c>
      <c r="Z13" t="s">
        <v>73</v>
      </c>
      <c r="AA13" t="s">
        <v>73</v>
      </c>
      <c r="AB13" t="s">
        <v>73</v>
      </c>
      <c r="AH13" t="s">
        <v>73</v>
      </c>
      <c r="AI13" t="s">
        <v>73</v>
      </c>
      <c r="AJ13" t="s">
        <v>73</v>
      </c>
      <c r="AK13" t="s">
        <v>73</v>
      </c>
      <c r="AL13" t="s">
        <v>73</v>
      </c>
      <c r="AM13" t="s">
        <v>73</v>
      </c>
      <c r="AN13" t="s">
        <v>73</v>
      </c>
      <c r="AO13" t="s">
        <v>73</v>
      </c>
      <c r="AP13" t="s">
        <v>73</v>
      </c>
      <c r="AQ13" t="s">
        <v>73</v>
      </c>
      <c r="AR13" t="s">
        <v>73</v>
      </c>
      <c r="AS13" t="s">
        <v>73</v>
      </c>
      <c r="AT13" t="s">
        <v>73</v>
      </c>
      <c r="AU13" t="s">
        <v>73</v>
      </c>
      <c r="AV13" t="s">
        <v>73</v>
      </c>
      <c r="BA13" t="s">
        <v>73</v>
      </c>
      <c r="BB13" t="s">
        <v>73</v>
      </c>
      <c r="BC13" s="205" t="s">
        <v>73</v>
      </c>
      <c r="CH13" s="239" t="s">
        <v>73</v>
      </c>
      <c r="CI13" s="237" t="s">
        <v>1423</v>
      </c>
      <c r="CJ13" s="237" t="s">
        <v>1423</v>
      </c>
      <c r="CP13" t="s">
        <v>73</v>
      </c>
      <c r="CS13" t="s">
        <v>73</v>
      </c>
      <c r="CT13" s="243" t="s">
        <v>73</v>
      </c>
    </row>
    <row r="14" spans="2:98" ht="9" customHeight="1">
      <c r="B14" s="204" t="s">
        <v>73</v>
      </c>
      <c r="C14" t="s">
        <v>73</v>
      </c>
      <c r="D14" t="s">
        <v>73</v>
      </c>
      <c r="E14" t="s">
        <v>73</v>
      </c>
      <c r="H14" t="s">
        <v>73</v>
      </c>
      <c r="I14" t="s">
        <v>73</v>
      </c>
      <c r="J14" t="s">
        <v>73</v>
      </c>
      <c r="K14" t="s">
        <v>73</v>
      </c>
      <c r="L14" t="s">
        <v>73</v>
      </c>
      <c r="M14" t="s">
        <v>1348</v>
      </c>
      <c r="N14" t="s">
        <v>1348</v>
      </c>
      <c r="O14" t="s">
        <v>1348</v>
      </c>
      <c r="P14" t="s">
        <v>1348</v>
      </c>
      <c r="Q14" t="s">
        <v>1348</v>
      </c>
      <c r="R14" t="s">
        <v>73</v>
      </c>
      <c r="S14" t="s">
        <v>73</v>
      </c>
      <c r="T14" t="s">
        <v>73</v>
      </c>
      <c r="U14" t="s">
        <v>1348</v>
      </c>
      <c r="V14" t="s">
        <v>1348</v>
      </c>
      <c r="W14" t="s">
        <v>1348</v>
      </c>
      <c r="X14" t="s">
        <v>1348</v>
      </c>
      <c r="Y14" t="s">
        <v>1348</v>
      </c>
      <c r="Z14" t="s">
        <v>73</v>
      </c>
      <c r="AA14" t="s">
        <v>73</v>
      </c>
      <c r="AB14" t="s">
        <v>73</v>
      </c>
      <c r="AC14" t="s">
        <v>1348</v>
      </c>
      <c r="AD14" t="s">
        <v>1348</v>
      </c>
      <c r="AE14" t="s">
        <v>1348</v>
      </c>
      <c r="AF14" t="s">
        <v>1348</v>
      </c>
      <c r="AG14" t="s">
        <v>1348</v>
      </c>
      <c r="AH14" t="s">
        <v>73</v>
      </c>
      <c r="AI14" t="s">
        <v>73</v>
      </c>
      <c r="AJ14" t="s">
        <v>73</v>
      </c>
      <c r="AK14" t="s">
        <v>73</v>
      </c>
      <c r="AL14" t="s">
        <v>73</v>
      </c>
      <c r="AM14" t="s">
        <v>73</v>
      </c>
      <c r="AN14" t="s">
        <v>73</v>
      </c>
      <c r="AO14" t="s">
        <v>73</v>
      </c>
      <c r="AP14" t="s">
        <v>73</v>
      </c>
      <c r="AQ14" t="s">
        <v>73</v>
      </c>
      <c r="AR14" t="s">
        <v>73</v>
      </c>
      <c r="AS14" t="s">
        <v>73</v>
      </c>
      <c r="AT14" t="s">
        <v>73</v>
      </c>
      <c r="AU14" t="s">
        <v>73</v>
      </c>
      <c r="AV14" t="s">
        <v>73</v>
      </c>
      <c r="BA14" t="s">
        <v>73</v>
      </c>
      <c r="BB14" t="s">
        <v>73</v>
      </c>
      <c r="BC14" s="205" t="s">
        <v>73</v>
      </c>
      <c r="CH14" s="239" t="s">
        <v>73</v>
      </c>
      <c r="CI14" s="237" t="s">
        <v>1423</v>
      </c>
      <c r="CJ14" s="237" t="s">
        <v>1423</v>
      </c>
      <c r="CS14" t="s">
        <v>73</v>
      </c>
      <c r="CT14" s="243" t="s">
        <v>73</v>
      </c>
    </row>
    <row r="15" spans="2:98" ht="9" customHeight="1">
      <c r="B15" s="204" t="s">
        <v>73</v>
      </c>
      <c r="C15" t="s">
        <v>73</v>
      </c>
      <c r="D15" t="s">
        <v>73</v>
      </c>
      <c r="E15" t="s">
        <v>1348</v>
      </c>
      <c r="F15" t="s">
        <v>1348</v>
      </c>
      <c r="G15" t="s">
        <v>1348</v>
      </c>
      <c r="H15" t="s">
        <v>1348</v>
      </c>
      <c r="I15" t="s">
        <v>1348</v>
      </c>
      <c r="J15" t="s">
        <v>73</v>
      </c>
      <c r="K15" t="s">
        <v>73</v>
      </c>
      <c r="L15" t="s">
        <v>73</v>
      </c>
      <c r="M15" t="s">
        <v>1348</v>
      </c>
      <c r="N15" t="s">
        <v>1348</v>
      </c>
      <c r="O15" t="s">
        <v>1348</v>
      </c>
      <c r="P15" t="s">
        <v>1348</v>
      </c>
      <c r="Q15" t="s">
        <v>1348</v>
      </c>
      <c r="R15" t="s">
        <v>73</v>
      </c>
      <c r="S15" t="s">
        <v>73</v>
      </c>
      <c r="T15" t="s">
        <v>73</v>
      </c>
      <c r="U15" t="s">
        <v>1348</v>
      </c>
      <c r="V15" t="s">
        <v>1348</v>
      </c>
      <c r="W15" t="s">
        <v>1348</v>
      </c>
      <c r="X15" t="s">
        <v>1348</v>
      </c>
      <c r="Y15" t="s">
        <v>1348</v>
      </c>
      <c r="Z15" t="s">
        <v>73</v>
      </c>
      <c r="AA15" t="s">
        <v>73</v>
      </c>
      <c r="AB15" t="s">
        <v>73</v>
      </c>
      <c r="AC15" t="s">
        <v>1348</v>
      </c>
      <c r="AD15" t="s">
        <v>1348</v>
      </c>
      <c r="AE15" t="s">
        <v>1348</v>
      </c>
      <c r="AF15" t="s">
        <v>1348</v>
      </c>
      <c r="AG15" t="s">
        <v>1348</v>
      </c>
      <c r="AH15" t="s">
        <v>73</v>
      </c>
      <c r="AI15" t="s">
        <v>73</v>
      </c>
      <c r="AJ15" t="s">
        <v>73</v>
      </c>
      <c r="AK15" t="s">
        <v>73</v>
      </c>
      <c r="AL15" t="s">
        <v>73</v>
      </c>
      <c r="AM15" t="s">
        <v>73</v>
      </c>
      <c r="AN15" t="s">
        <v>73</v>
      </c>
      <c r="AO15" t="s">
        <v>73</v>
      </c>
      <c r="AP15" t="s">
        <v>73</v>
      </c>
      <c r="AQ15" t="s">
        <v>73</v>
      </c>
      <c r="AR15" t="s">
        <v>73</v>
      </c>
      <c r="AS15" t="s">
        <v>73</v>
      </c>
      <c r="AT15" t="s">
        <v>73</v>
      </c>
      <c r="AU15" t="s">
        <v>73</v>
      </c>
      <c r="AV15" t="s">
        <v>73</v>
      </c>
      <c r="BA15" t="s">
        <v>73</v>
      </c>
      <c r="BB15" t="s">
        <v>73</v>
      </c>
      <c r="BC15" s="205" t="s">
        <v>73</v>
      </c>
      <c r="CH15" s="239" t="s">
        <v>73</v>
      </c>
      <c r="CT15" s="243" t="s">
        <v>73</v>
      </c>
    </row>
    <row r="16" spans="2:98" ht="9" customHeight="1" thickBot="1">
      <c r="B16" s="204" t="s">
        <v>73</v>
      </c>
      <c r="C16" t="s">
        <v>73</v>
      </c>
      <c r="D16" t="s">
        <v>73</v>
      </c>
      <c r="E16" t="s">
        <v>1348</v>
      </c>
      <c r="F16" t="s">
        <v>1348</v>
      </c>
      <c r="G16" t="s">
        <v>1348</v>
      </c>
      <c r="H16" t="s">
        <v>1348</v>
      </c>
      <c r="I16" t="s">
        <v>1348</v>
      </c>
      <c r="J16" t="s">
        <v>73</v>
      </c>
      <c r="K16" t="s">
        <v>73</v>
      </c>
      <c r="L16" t="s">
        <v>73</v>
      </c>
      <c r="M16" t="s">
        <v>1348</v>
      </c>
      <c r="N16" t="s">
        <v>1348</v>
      </c>
      <c r="O16" t="s">
        <v>1348</v>
      </c>
      <c r="P16" t="s">
        <v>1348</v>
      </c>
      <c r="Q16" t="s">
        <v>1348</v>
      </c>
      <c r="R16" t="s">
        <v>73</v>
      </c>
      <c r="S16" t="s">
        <v>73</v>
      </c>
      <c r="T16" t="s">
        <v>73</v>
      </c>
      <c r="U16" t="s">
        <v>1348</v>
      </c>
      <c r="V16" t="s">
        <v>1348</v>
      </c>
      <c r="W16" t="s">
        <v>1348</v>
      </c>
      <c r="X16" t="s">
        <v>1348</v>
      </c>
      <c r="Y16" t="s">
        <v>1348</v>
      </c>
      <c r="Z16" t="s">
        <v>73</v>
      </c>
      <c r="AA16" t="s">
        <v>73</v>
      </c>
      <c r="AB16" t="s">
        <v>73</v>
      </c>
      <c r="AC16" t="s">
        <v>1348</v>
      </c>
      <c r="AD16" t="s">
        <v>1348</v>
      </c>
      <c r="AE16" t="s">
        <v>1348</v>
      </c>
      <c r="AF16" t="s">
        <v>1348</v>
      </c>
      <c r="AG16" t="s">
        <v>1348</v>
      </c>
      <c r="AH16" t="s">
        <v>73</v>
      </c>
      <c r="AI16" t="s">
        <v>73</v>
      </c>
      <c r="AJ16" t="s">
        <v>73</v>
      </c>
      <c r="AK16" t="s">
        <v>73</v>
      </c>
      <c r="AL16" t="s">
        <v>73</v>
      </c>
      <c r="AM16" t="s">
        <v>73</v>
      </c>
      <c r="AN16" t="s">
        <v>73</v>
      </c>
      <c r="AO16" t="s">
        <v>73</v>
      </c>
      <c r="AP16" t="s">
        <v>73</v>
      </c>
      <c r="AQ16" t="s">
        <v>73</v>
      </c>
      <c r="AR16" t="s">
        <v>73</v>
      </c>
      <c r="AS16" t="s">
        <v>73</v>
      </c>
      <c r="AT16" t="s">
        <v>73</v>
      </c>
      <c r="AU16" t="s">
        <v>73</v>
      </c>
      <c r="AV16" t="s">
        <v>73</v>
      </c>
      <c r="BA16" t="s">
        <v>73</v>
      </c>
      <c r="BB16" t="s">
        <v>73</v>
      </c>
      <c r="BC16" s="205" t="s">
        <v>73</v>
      </c>
      <c r="CH16" s="240" t="s">
        <v>73</v>
      </c>
      <c r="CI16" s="245" t="s">
        <v>73</v>
      </c>
      <c r="CJ16" s="245" t="s">
        <v>73</v>
      </c>
      <c r="CK16" s="245" t="s">
        <v>73</v>
      </c>
      <c r="CL16" s="245" t="s">
        <v>73</v>
      </c>
      <c r="CM16" s="245" t="s">
        <v>73</v>
      </c>
      <c r="CN16" s="246" t="s">
        <v>1429</v>
      </c>
      <c r="CO16" s="245" t="s">
        <v>73</v>
      </c>
      <c r="CP16" s="245" t="s">
        <v>73</v>
      </c>
      <c r="CQ16" s="245" t="s">
        <v>73</v>
      </c>
      <c r="CR16" s="245" t="s">
        <v>73</v>
      </c>
      <c r="CS16" s="245" t="s">
        <v>73</v>
      </c>
      <c r="CT16" s="244" t="s">
        <v>73</v>
      </c>
    </row>
    <row r="17" spans="2:55" ht="9" customHeight="1">
      <c r="B17" s="204" t="s">
        <v>73</v>
      </c>
      <c r="C17" t="s">
        <v>73</v>
      </c>
      <c r="D17" t="s">
        <v>73</v>
      </c>
      <c r="E17" t="s">
        <v>1348</v>
      </c>
      <c r="F17" t="s">
        <v>1348</v>
      </c>
      <c r="G17" t="s">
        <v>1348</v>
      </c>
      <c r="H17" t="s">
        <v>1348</v>
      </c>
      <c r="I17" t="s">
        <v>1348</v>
      </c>
      <c r="J17" t="s">
        <v>73</v>
      </c>
      <c r="K17" t="s">
        <v>73</v>
      </c>
      <c r="L17" t="s">
        <v>73</v>
      </c>
      <c r="M17" t="s">
        <v>1348</v>
      </c>
      <c r="N17" t="s">
        <v>1348</v>
      </c>
      <c r="O17" t="s">
        <v>1348</v>
      </c>
      <c r="P17" t="s">
        <v>1348</v>
      </c>
      <c r="Q17" t="s">
        <v>1348</v>
      </c>
      <c r="R17" t="s">
        <v>73</v>
      </c>
      <c r="S17" t="s">
        <v>73</v>
      </c>
      <c r="T17" t="s">
        <v>73</v>
      </c>
      <c r="U17" t="s">
        <v>1348</v>
      </c>
      <c r="V17" t="s">
        <v>1348</v>
      </c>
      <c r="W17" t="s">
        <v>1348</v>
      </c>
      <c r="X17" t="s">
        <v>1348</v>
      </c>
      <c r="Y17" t="s">
        <v>1348</v>
      </c>
      <c r="Z17" t="s">
        <v>73</v>
      </c>
      <c r="AA17" t="s">
        <v>73</v>
      </c>
      <c r="AB17" t="s">
        <v>73</v>
      </c>
      <c r="AC17" t="s">
        <v>1348</v>
      </c>
      <c r="AD17" t="s">
        <v>1348</v>
      </c>
      <c r="AE17" t="s">
        <v>1348</v>
      </c>
      <c r="AF17" t="s">
        <v>1348</v>
      </c>
      <c r="AG17" t="s">
        <v>1348</v>
      </c>
      <c r="AH17" t="s">
        <v>1348</v>
      </c>
      <c r="AI17" t="s">
        <v>1348</v>
      </c>
      <c r="AJ17" t="s">
        <v>1348</v>
      </c>
      <c r="AK17" t="s">
        <v>1348</v>
      </c>
      <c r="AL17" t="s">
        <v>1348</v>
      </c>
      <c r="AM17" t="s">
        <v>1348</v>
      </c>
      <c r="BA17" t="s">
        <v>73</v>
      </c>
      <c r="BB17" t="s">
        <v>73</v>
      </c>
      <c r="BC17" s="205" t="s">
        <v>73</v>
      </c>
    </row>
    <row r="18" spans="2:55" ht="9" customHeight="1">
      <c r="B18" s="204" t="s">
        <v>73</v>
      </c>
      <c r="C18" t="s">
        <v>73</v>
      </c>
      <c r="D18" t="s">
        <v>73</v>
      </c>
      <c r="E18" t="s">
        <v>1348</v>
      </c>
      <c r="F18" t="s">
        <v>1348</v>
      </c>
      <c r="G18" t="s">
        <v>1348</v>
      </c>
      <c r="H18" t="s">
        <v>1348</v>
      </c>
      <c r="I18" t="s">
        <v>1348</v>
      </c>
      <c r="J18" t="s">
        <v>73</v>
      </c>
      <c r="K18" t="s">
        <v>73</v>
      </c>
      <c r="L18" t="s">
        <v>73</v>
      </c>
      <c r="M18" t="s">
        <v>1348</v>
      </c>
      <c r="N18" t="s">
        <v>1348</v>
      </c>
      <c r="O18" t="s">
        <v>1348</v>
      </c>
      <c r="P18" t="s">
        <v>1348</v>
      </c>
      <c r="Q18" t="s">
        <v>1348</v>
      </c>
      <c r="R18" t="s">
        <v>73</v>
      </c>
      <c r="S18" t="s">
        <v>73</v>
      </c>
      <c r="T18" t="s">
        <v>73</v>
      </c>
      <c r="U18" t="s">
        <v>1348</v>
      </c>
      <c r="V18" t="s">
        <v>1348</v>
      </c>
      <c r="W18" t="s">
        <v>1348</v>
      </c>
      <c r="X18" t="s">
        <v>1348</v>
      </c>
      <c r="Y18" t="s">
        <v>1348</v>
      </c>
      <c r="Z18" t="s">
        <v>73</v>
      </c>
      <c r="AA18" t="s">
        <v>73</v>
      </c>
      <c r="AB18" t="s">
        <v>73</v>
      </c>
      <c r="AC18" t="s">
        <v>1348</v>
      </c>
      <c r="AD18" t="s">
        <v>1348</v>
      </c>
      <c r="AE18" t="s">
        <v>1348</v>
      </c>
      <c r="AF18" t="s">
        <v>1348</v>
      </c>
      <c r="AG18" t="s">
        <v>1348</v>
      </c>
      <c r="AH18" t="s">
        <v>1348</v>
      </c>
      <c r="AI18" t="s">
        <v>1348</v>
      </c>
      <c r="AJ18" t="s">
        <v>1348</v>
      </c>
      <c r="AK18" t="s">
        <v>1348</v>
      </c>
      <c r="AL18" t="s">
        <v>1348</v>
      </c>
      <c r="AM18" t="s">
        <v>1348</v>
      </c>
      <c r="BA18" t="s">
        <v>73</v>
      </c>
      <c r="BB18" t="s">
        <v>73</v>
      </c>
      <c r="BC18" s="205" t="s">
        <v>73</v>
      </c>
    </row>
    <row r="19" spans="2:55" ht="9" customHeight="1">
      <c r="B19" s="204" t="s">
        <v>73</v>
      </c>
      <c r="C19" t="s">
        <v>73</v>
      </c>
      <c r="D19" t="s">
        <v>73</v>
      </c>
      <c r="E19" t="s">
        <v>1348</v>
      </c>
      <c r="F19" t="s">
        <v>1348</v>
      </c>
      <c r="G19" t="s">
        <v>1348</v>
      </c>
      <c r="H19" t="s">
        <v>1348</v>
      </c>
      <c r="I19" t="s">
        <v>1348</v>
      </c>
      <c r="J19" t="s">
        <v>73</v>
      </c>
      <c r="K19" t="s">
        <v>73</v>
      </c>
      <c r="L19" t="s">
        <v>73</v>
      </c>
      <c r="M19" t="s">
        <v>1348</v>
      </c>
      <c r="N19" t="s">
        <v>1348</v>
      </c>
      <c r="O19" t="s">
        <v>1348</v>
      </c>
      <c r="P19" t="s">
        <v>1348</v>
      </c>
      <c r="Q19" t="s">
        <v>1348</v>
      </c>
      <c r="R19" t="s">
        <v>73</v>
      </c>
      <c r="S19" t="s">
        <v>73</v>
      </c>
      <c r="T19" t="s">
        <v>73</v>
      </c>
      <c r="U19" t="s">
        <v>1348</v>
      </c>
      <c r="V19" t="s">
        <v>1348</v>
      </c>
      <c r="W19" t="s">
        <v>1348</v>
      </c>
      <c r="X19" t="s">
        <v>1348</v>
      </c>
      <c r="Y19" t="s">
        <v>1348</v>
      </c>
      <c r="Z19" t="s">
        <v>73</v>
      </c>
      <c r="AA19" t="s">
        <v>73</v>
      </c>
      <c r="AB19" t="s">
        <v>73</v>
      </c>
      <c r="AC19" t="s">
        <v>1348</v>
      </c>
      <c r="AD19" t="s">
        <v>1348</v>
      </c>
      <c r="AE19" t="s">
        <v>1348</v>
      </c>
      <c r="AF19" t="s">
        <v>1348</v>
      </c>
      <c r="AG19" t="s">
        <v>1348</v>
      </c>
      <c r="AH19" t="s">
        <v>1348</v>
      </c>
      <c r="AI19" t="s">
        <v>1348</v>
      </c>
      <c r="AJ19" t="s">
        <v>1348</v>
      </c>
      <c r="AK19" t="s">
        <v>1348</v>
      </c>
      <c r="AL19" t="s">
        <v>1348</v>
      </c>
      <c r="AM19" t="s">
        <v>1348</v>
      </c>
      <c r="BA19" t="s">
        <v>73</v>
      </c>
      <c r="BB19" t="s">
        <v>73</v>
      </c>
      <c r="BC19" s="205" t="s">
        <v>73</v>
      </c>
    </row>
    <row r="20" spans="2:55" ht="9" customHeight="1">
      <c r="B20" s="204" t="s">
        <v>73</v>
      </c>
      <c r="C20" t="s">
        <v>73</v>
      </c>
      <c r="D20" t="s">
        <v>73</v>
      </c>
      <c r="E20" t="s">
        <v>1348</v>
      </c>
      <c r="F20" t="s">
        <v>1348</v>
      </c>
      <c r="G20" t="s">
        <v>1348</v>
      </c>
      <c r="H20" t="s">
        <v>1348</v>
      </c>
      <c r="I20" t="s">
        <v>1348</v>
      </c>
      <c r="J20" t="s">
        <v>73</v>
      </c>
      <c r="K20" t="s">
        <v>73</v>
      </c>
      <c r="L20" t="s">
        <v>73</v>
      </c>
      <c r="M20" t="s">
        <v>1348</v>
      </c>
      <c r="N20" t="s">
        <v>1348</v>
      </c>
      <c r="O20" t="s">
        <v>1348</v>
      </c>
      <c r="P20" t="s">
        <v>1348</v>
      </c>
      <c r="Q20" t="s">
        <v>1348</v>
      </c>
      <c r="R20" t="s">
        <v>73</v>
      </c>
      <c r="S20" t="s">
        <v>73</v>
      </c>
      <c r="T20" t="s">
        <v>73</v>
      </c>
      <c r="U20" t="s">
        <v>1348</v>
      </c>
      <c r="V20" t="s">
        <v>1348</v>
      </c>
      <c r="W20" t="s">
        <v>1348</v>
      </c>
      <c r="X20" t="s">
        <v>1348</v>
      </c>
      <c r="Y20" t="s">
        <v>1348</v>
      </c>
      <c r="Z20" t="s">
        <v>73</v>
      </c>
      <c r="AA20" t="s">
        <v>73</v>
      </c>
      <c r="AB20" t="s">
        <v>73</v>
      </c>
      <c r="AC20" t="s">
        <v>1348</v>
      </c>
      <c r="AD20" t="s">
        <v>1348</v>
      </c>
      <c r="AE20" t="s">
        <v>1348</v>
      </c>
      <c r="AF20" t="s">
        <v>1348</v>
      </c>
      <c r="AG20" t="s">
        <v>1348</v>
      </c>
      <c r="AH20" t="s">
        <v>1348</v>
      </c>
      <c r="AI20" t="s">
        <v>1348</v>
      </c>
      <c r="AJ20" t="s">
        <v>1348</v>
      </c>
      <c r="AK20" t="s">
        <v>1348</v>
      </c>
      <c r="AL20" t="s">
        <v>1348</v>
      </c>
      <c r="AM20" t="s">
        <v>1348</v>
      </c>
      <c r="AU20" t="s">
        <v>73</v>
      </c>
      <c r="AV20" t="s">
        <v>73</v>
      </c>
      <c r="AW20" t="s">
        <v>73</v>
      </c>
      <c r="AX20" t="s">
        <v>73</v>
      </c>
      <c r="AY20" t="s">
        <v>73</v>
      </c>
      <c r="AZ20" t="s">
        <v>73</v>
      </c>
      <c r="BA20" t="s">
        <v>73</v>
      </c>
      <c r="BB20" t="s">
        <v>73</v>
      </c>
      <c r="BC20" s="205" t="s">
        <v>73</v>
      </c>
    </row>
    <row r="21" spans="2:55" ht="9" customHeight="1">
      <c r="B21" s="204" t="s">
        <v>73</v>
      </c>
      <c r="C21" t="s">
        <v>73</v>
      </c>
      <c r="D21" t="s">
        <v>73</v>
      </c>
      <c r="E21" t="s">
        <v>1348</v>
      </c>
      <c r="F21" t="s">
        <v>1348</v>
      </c>
      <c r="G21" t="s">
        <v>1348</v>
      </c>
      <c r="H21" t="s">
        <v>1348</v>
      </c>
      <c r="I21" t="s">
        <v>1348</v>
      </c>
      <c r="J21" t="s">
        <v>73</v>
      </c>
      <c r="K21" t="s">
        <v>73</v>
      </c>
      <c r="L21" t="s">
        <v>73</v>
      </c>
      <c r="M21" t="s">
        <v>1348</v>
      </c>
      <c r="N21" t="s">
        <v>1348</v>
      </c>
      <c r="O21" t="s">
        <v>1348</v>
      </c>
      <c r="P21" t="s">
        <v>1348</v>
      </c>
      <c r="Q21" t="s">
        <v>1348</v>
      </c>
      <c r="R21" t="s">
        <v>73</v>
      </c>
      <c r="S21" t="s">
        <v>73</v>
      </c>
      <c r="T21" t="s">
        <v>73</v>
      </c>
      <c r="U21" t="s">
        <v>1348</v>
      </c>
      <c r="V21" t="s">
        <v>1348</v>
      </c>
      <c r="W21" t="s">
        <v>1348</v>
      </c>
      <c r="X21" t="s">
        <v>1348</v>
      </c>
      <c r="Y21" t="s">
        <v>1348</v>
      </c>
      <c r="Z21" t="s">
        <v>73</v>
      </c>
      <c r="AA21" t="s">
        <v>73</v>
      </c>
      <c r="AB21" t="s">
        <v>73</v>
      </c>
      <c r="AC21" t="s">
        <v>1348</v>
      </c>
      <c r="AD21" t="s">
        <v>1348</v>
      </c>
      <c r="AE21" t="s">
        <v>1348</v>
      </c>
      <c r="AF21" t="s">
        <v>1348</v>
      </c>
      <c r="AG21" t="s">
        <v>1348</v>
      </c>
      <c r="AH21" t="s">
        <v>1348</v>
      </c>
      <c r="AI21" t="s">
        <v>1348</v>
      </c>
      <c r="AJ21" t="s">
        <v>1348</v>
      </c>
      <c r="AK21" t="s">
        <v>1348</v>
      </c>
      <c r="AL21" t="s">
        <v>1348</v>
      </c>
      <c r="AU21" t="s">
        <v>73</v>
      </c>
      <c r="AV21" t="s">
        <v>73</v>
      </c>
      <c r="AW21" t="s">
        <v>73</v>
      </c>
      <c r="AX21" t="s">
        <v>73</v>
      </c>
      <c r="AY21" t="s">
        <v>73</v>
      </c>
      <c r="AZ21" t="s">
        <v>73</v>
      </c>
      <c r="BA21" t="s">
        <v>73</v>
      </c>
      <c r="BB21" t="s">
        <v>73</v>
      </c>
      <c r="BC21" s="205" t="s">
        <v>73</v>
      </c>
    </row>
    <row r="22" spans="2:55" ht="9" customHeight="1">
      <c r="B22" s="204" t="s">
        <v>73</v>
      </c>
      <c r="C22" t="s">
        <v>73</v>
      </c>
      <c r="D22" t="s">
        <v>73</v>
      </c>
      <c r="E22" t="s">
        <v>1348</v>
      </c>
      <c r="F22" t="s">
        <v>1348</v>
      </c>
      <c r="G22" t="s">
        <v>1348</v>
      </c>
      <c r="H22" t="s">
        <v>1348</v>
      </c>
      <c r="I22" t="s">
        <v>1348</v>
      </c>
      <c r="J22" t="s">
        <v>73</v>
      </c>
      <c r="K22" t="s">
        <v>73</v>
      </c>
      <c r="L22" t="s">
        <v>73</v>
      </c>
      <c r="M22" t="s">
        <v>1348</v>
      </c>
      <c r="N22" t="s">
        <v>1348</v>
      </c>
      <c r="O22" t="s">
        <v>1348</v>
      </c>
      <c r="P22" t="s">
        <v>1348</v>
      </c>
      <c r="Q22" t="s">
        <v>1348</v>
      </c>
      <c r="R22" t="s">
        <v>73</v>
      </c>
      <c r="S22" t="s">
        <v>73</v>
      </c>
      <c r="T22" t="s">
        <v>73</v>
      </c>
      <c r="U22" t="s">
        <v>1348</v>
      </c>
      <c r="V22" t="s">
        <v>1348</v>
      </c>
      <c r="W22" t="s">
        <v>1348</v>
      </c>
      <c r="X22" t="s">
        <v>1348</v>
      </c>
      <c r="Y22" t="s">
        <v>1348</v>
      </c>
      <c r="Z22" t="s">
        <v>73</v>
      </c>
      <c r="AA22" t="s">
        <v>73</v>
      </c>
      <c r="AB22" t="s">
        <v>73</v>
      </c>
      <c r="AC22" t="s">
        <v>1348</v>
      </c>
      <c r="AD22" t="s">
        <v>1348</v>
      </c>
      <c r="AE22" t="s">
        <v>1348</v>
      </c>
      <c r="AF22" t="s">
        <v>1348</v>
      </c>
      <c r="AG22" t="s">
        <v>1348</v>
      </c>
      <c r="AH22" t="s">
        <v>1348</v>
      </c>
      <c r="AI22" t="s">
        <v>73</v>
      </c>
      <c r="AJ22" t="s">
        <v>73</v>
      </c>
      <c r="AK22" t="s">
        <v>73</v>
      </c>
      <c r="AL22" t="s">
        <v>73</v>
      </c>
      <c r="AM22" t="s">
        <v>73</v>
      </c>
      <c r="AN22" t="s">
        <v>73</v>
      </c>
      <c r="AU22" t="s">
        <v>73</v>
      </c>
      <c r="AV22" t="s">
        <v>73</v>
      </c>
      <c r="AW22" t="s">
        <v>73</v>
      </c>
      <c r="AX22" t="s">
        <v>73</v>
      </c>
      <c r="AY22" t="s">
        <v>73</v>
      </c>
      <c r="AZ22" t="s">
        <v>73</v>
      </c>
      <c r="BA22" t="s">
        <v>73</v>
      </c>
      <c r="BB22" t="s">
        <v>73</v>
      </c>
      <c r="BC22" s="205" t="s">
        <v>73</v>
      </c>
    </row>
    <row r="23" spans="2:55" ht="9" customHeight="1">
      <c r="B23" s="204" t="s">
        <v>73</v>
      </c>
      <c r="C23" t="s">
        <v>73</v>
      </c>
      <c r="D23" t="s">
        <v>73</v>
      </c>
      <c r="E23" t="s">
        <v>1348</v>
      </c>
      <c r="F23" t="s">
        <v>1348</v>
      </c>
      <c r="G23" t="s">
        <v>1348</v>
      </c>
      <c r="H23" t="s">
        <v>1348</v>
      </c>
      <c r="I23" t="s">
        <v>1348</v>
      </c>
      <c r="J23" t="s">
        <v>73</v>
      </c>
      <c r="K23" t="s">
        <v>73</v>
      </c>
      <c r="L23" t="s">
        <v>73</v>
      </c>
      <c r="M23" t="s">
        <v>1348</v>
      </c>
      <c r="N23" t="s">
        <v>1348</v>
      </c>
      <c r="O23" t="s">
        <v>1348</v>
      </c>
      <c r="P23" t="s">
        <v>1348</v>
      </c>
      <c r="Q23" t="s">
        <v>1348</v>
      </c>
      <c r="R23" t="s">
        <v>73</v>
      </c>
      <c r="S23" t="s">
        <v>73</v>
      </c>
      <c r="T23" t="s">
        <v>73</v>
      </c>
      <c r="U23" t="s">
        <v>1348</v>
      </c>
      <c r="V23" t="s">
        <v>1348</v>
      </c>
      <c r="W23" t="s">
        <v>1348</v>
      </c>
      <c r="X23" t="s">
        <v>1348</v>
      </c>
      <c r="Y23" t="s">
        <v>1348</v>
      </c>
      <c r="Z23" t="s">
        <v>73</v>
      </c>
      <c r="AA23" t="s">
        <v>73</v>
      </c>
      <c r="AB23" t="s">
        <v>73</v>
      </c>
      <c r="AF23" t="s">
        <v>1348</v>
      </c>
      <c r="AG23" t="s">
        <v>1348</v>
      </c>
      <c r="AH23" t="s">
        <v>1348</v>
      </c>
      <c r="AI23" t="s">
        <v>73</v>
      </c>
      <c r="AJ23" t="s">
        <v>73</v>
      </c>
      <c r="AK23" t="s">
        <v>73</v>
      </c>
      <c r="AL23" t="s">
        <v>73</v>
      </c>
      <c r="AM23" t="s">
        <v>73</v>
      </c>
      <c r="AN23" t="s">
        <v>73</v>
      </c>
      <c r="AU23" t="s">
        <v>73</v>
      </c>
      <c r="AV23" t="s">
        <v>73</v>
      </c>
      <c r="AW23" t="s">
        <v>73</v>
      </c>
      <c r="AX23" t="s">
        <v>73</v>
      </c>
      <c r="AY23" t="s">
        <v>73</v>
      </c>
      <c r="AZ23" t="s">
        <v>73</v>
      </c>
      <c r="BA23" t="s">
        <v>73</v>
      </c>
      <c r="BB23" t="s">
        <v>73</v>
      </c>
      <c r="BC23" s="205" t="s">
        <v>73</v>
      </c>
    </row>
    <row r="24" spans="2:55" ht="9" customHeight="1">
      <c r="B24" s="204" t="s">
        <v>73</v>
      </c>
      <c r="C24" t="s">
        <v>73</v>
      </c>
      <c r="D24" t="s">
        <v>73</v>
      </c>
      <c r="E24" t="s">
        <v>1348</v>
      </c>
      <c r="F24" t="s">
        <v>1348</v>
      </c>
      <c r="G24" t="s">
        <v>1348</v>
      </c>
      <c r="H24" t="s">
        <v>1348</v>
      </c>
      <c r="I24" t="s">
        <v>1348</v>
      </c>
      <c r="J24" t="s">
        <v>73</v>
      </c>
      <c r="K24" t="s">
        <v>73</v>
      </c>
      <c r="L24" t="s">
        <v>73</v>
      </c>
      <c r="M24" t="s">
        <v>1348</v>
      </c>
      <c r="N24" t="s">
        <v>1348</v>
      </c>
      <c r="O24" t="s">
        <v>1348</v>
      </c>
      <c r="P24" t="s">
        <v>1348</v>
      </c>
      <c r="Q24" t="s">
        <v>1348</v>
      </c>
      <c r="R24" t="s">
        <v>73</v>
      </c>
      <c r="S24" t="s">
        <v>73</v>
      </c>
      <c r="T24" t="s">
        <v>73</v>
      </c>
      <c r="Z24" t="s">
        <v>73</v>
      </c>
      <c r="AA24" t="s">
        <v>73</v>
      </c>
      <c r="AB24" t="s">
        <v>73</v>
      </c>
      <c r="AI24" t="s">
        <v>73</v>
      </c>
      <c r="AJ24" t="s">
        <v>73</v>
      </c>
      <c r="AK24" t="s">
        <v>73</v>
      </c>
      <c r="AL24" t="s">
        <v>73</v>
      </c>
      <c r="AM24" t="s">
        <v>73</v>
      </c>
      <c r="AN24" t="s">
        <v>73</v>
      </c>
      <c r="AU24" t="s">
        <v>73</v>
      </c>
      <c r="AV24" t="s">
        <v>73</v>
      </c>
      <c r="AW24" t="s">
        <v>73</v>
      </c>
      <c r="AX24" t="s">
        <v>73</v>
      </c>
      <c r="AY24" t="s">
        <v>73</v>
      </c>
      <c r="AZ24" t="s">
        <v>73</v>
      </c>
      <c r="BA24" t="s">
        <v>73</v>
      </c>
      <c r="BB24" t="s">
        <v>73</v>
      </c>
      <c r="BC24" s="205" t="s">
        <v>73</v>
      </c>
    </row>
    <row r="25" spans="2:55" ht="9" customHeight="1">
      <c r="B25" s="204" t="s">
        <v>73</v>
      </c>
      <c r="C25" t="s">
        <v>73</v>
      </c>
      <c r="D25" t="s">
        <v>73</v>
      </c>
      <c r="E25" t="s">
        <v>1348</v>
      </c>
      <c r="F25" t="s">
        <v>1348</v>
      </c>
      <c r="G25" t="s">
        <v>1348</v>
      </c>
      <c r="H25" t="s">
        <v>1348</v>
      </c>
      <c r="I25" t="s">
        <v>1348</v>
      </c>
      <c r="J25" t="s">
        <v>73</v>
      </c>
      <c r="K25" t="s">
        <v>73</v>
      </c>
      <c r="L25" t="s">
        <v>73</v>
      </c>
      <c r="M25" t="s">
        <v>1348</v>
      </c>
      <c r="N25" t="s">
        <v>1348</v>
      </c>
      <c r="O25" t="s">
        <v>1348</v>
      </c>
      <c r="P25" t="s">
        <v>1348</v>
      </c>
      <c r="Q25" t="s">
        <v>1348</v>
      </c>
      <c r="R25" t="s">
        <v>73</v>
      </c>
      <c r="S25" t="s">
        <v>73</v>
      </c>
      <c r="T25" t="s">
        <v>73</v>
      </c>
      <c r="AI25" t="s">
        <v>73</v>
      </c>
      <c r="AJ25" t="s">
        <v>73</v>
      </c>
      <c r="AK25" t="s">
        <v>73</v>
      </c>
      <c r="AL25" t="s">
        <v>73</v>
      </c>
      <c r="AM25" t="s">
        <v>73</v>
      </c>
      <c r="AN25" t="s">
        <v>73</v>
      </c>
      <c r="AU25" t="s">
        <v>73</v>
      </c>
      <c r="AV25" t="s">
        <v>73</v>
      </c>
      <c r="AW25" t="s">
        <v>73</v>
      </c>
      <c r="AX25" t="s">
        <v>73</v>
      </c>
      <c r="AY25" t="s">
        <v>73</v>
      </c>
      <c r="AZ25" t="s">
        <v>73</v>
      </c>
      <c r="BA25" t="s">
        <v>73</v>
      </c>
      <c r="BB25" t="s">
        <v>73</v>
      </c>
      <c r="BC25" s="205" t="s">
        <v>73</v>
      </c>
    </row>
    <row r="26" spans="2:55" ht="9" customHeight="1">
      <c r="B26" s="204" t="s">
        <v>73</v>
      </c>
      <c r="C26" t="s">
        <v>73</v>
      </c>
      <c r="D26" t="s">
        <v>73</v>
      </c>
      <c r="E26" t="s">
        <v>1348</v>
      </c>
      <c r="F26" t="s">
        <v>1348</v>
      </c>
      <c r="G26" t="s">
        <v>1348</v>
      </c>
      <c r="H26" t="s">
        <v>1348</v>
      </c>
      <c r="I26" t="s">
        <v>1348</v>
      </c>
      <c r="J26" t="s">
        <v>73</v>
      </c>
      <c r="K26" t="s">
        <v>73</v>
      </c>
      <c r="L26" t="s">
        <v>73</v>
      </c>
      <c r="M26" t="s">
        <v>1348</v>
      </c>
      <c r="N26" t="s">
        <v>1348</v>
      </c>
      <c r="O26" t="s">
        <v>1348</v>
      </c>
      <c r="P26" t="s">
        <v>1348</v>
      </c>
      <c r="Q26" t="s">
        <v>1348</v>
      </c>
      <c r="R26" t="s">
        <v>73</v>
      </c>
      <c r="S26" t="s">
        <v>73</v>
      </c>
      <c r="T26" t="s">
        <v>73</v>
      </c>
      <c r="U26" t="s">
        <v>73</v>
      </c>
      <c r="V26" t="s">
        <v>73</v>
      </c>
      <c r="AI26" t="s">
        <v>73</v>
      </c>
      <c r="AJ26" t="s">
        <v>73</v>
      </c>
      <c r="AK26" t="s">
        <v>73</v>
      </c>
      <c r="AL26" t="s">
        <v>73</v>
      </c>
      <c r="AM26" t="s">
        <v>73</v>
      </c>
      <c r="AN26" t="s">
        <v>73</v>
      </c>
      <c r="BA26" t="s">
        <v>73</v>
      </c>
      <c r="BB26" t="s">
        <v>73</v>
      </c>
      <c r="BC26" s="205" t="s">
        <v>73</v>
      </c>
    </row>
    <row r="27" spans="2:55" ht="9" customHeight="1">
      <c r="B27" s="204" t="s">
        <v>73</v>
      </c>
      <c r="C27" t="s">
        <v>73</v>
      </c>
      <c r="D27" t="s">
        <v>73</v>
      </c>
      <c r="E27" t="s">
        <v>1348</v>
      </c>
      <c r="F27" t="s">
        <v>1348</v>
      </c>
      <c r="G27" t="s">
        <v>1348</v>
      </c>
      <c r="H27" t="s">
        <v>1348</v>
      </c>
      <c r="I27" t="s">
        <v>1348</v>
      </c>
      <c r="J27" t="s">
        <v>73</v>
      </c>
      <c r="K27" t="s">
        <v>73</v>
      </c>
      <c r="L27" t="s">
        <v>73</v>
      </c>
      <c r="M27" t="s">
        <v>1348</v>
      </c>
      <c r="N27" t="s">
        <v>1348</v>
      </c>
      <c r="O27" t="s">
        <v>1348</v>
      </c>
      <c r="P27" t="s">
        <v>1348</v>
      </c>
      <c r="Q27" t="s">
        <v>1348</v>
      </c>
      <c r="R27" t="s">
        <v>73</v>
      </c>
      <c r="S27" t="s">
        <v>73</v>
      </c>
      <c r="T27" t="s">
        <v>73</v>
      </c>
      <c r="U27" t="s">
        <v>73</v>
      </c>
      <c r="V27" t="s">
        <v>73</v>
      </c>
      <c r="AI27" t="s">
        <v>73</v>
      </c>
      <c r="AJ27" t="s">
        <v>73</v>
      </c>
      <c r="AK27" t="s">
        <v>73</v>
      </c>
      <c r="AL27" t="s">
        <v>73</v>
      </c>
      <c r="AM27" t="s">
        <v>73</v>
      </c>
      <c r="AN27" t="s">
        <v>73</v>
      </c>
      <c r="BA27" t="s">
        <v>73</v>
      </c>
      <c r="BB27" t="s">
        <v>73</v>
      </c>
      <c r="BC27" s="205" t="s">
        <v>73</v>
      </c>
    </row>
    <row r="28" spans="2:55" ht="9" customHeight="1">
      <c r="B28" s="204" t="s">
        <v>73</v>
      </c>
      <c r="C28" t="s">
        <v>73</v>
      </c>
      <c r="D28" t="s">
        <v>73</v>
      </c>
      <c r="E28" t="s">
        <v>1348</v>
      </c>
      <c r="F28" t="s">
        <v>1348</v>
      </c>
      <c r="G28" t="s">
        <v>1348</v>
      </c>
      <c r="H28" t="s">
        <v>1348</v>
      </c>
      <c r="I28" t="s">
        <v>1348</v>
      </c>
      <c r="J28" t="s">
        <v>73</v>
      </c>
      <c r="K28" t="s">
        <v>73</v>
      </c>
      <c r="L28" t="s">
        <v>73</v>
      </c>
      <c r="M28" t="s">
        <v>1348</v>
      </c>
      <c r="N28" t="s">
        <v>1348</v>
      </c>
      <c r="O28" t="s">
        <v>1348</v>
      </c>
      <c r="P28" t="s">
        <v>1348</v>
      </c>
      <c r="Q28" t="s">
        <v>1348</v>
      </c>
      <c r="R28" t="s">
        <v>1348</v>
      </c>
      <c r="S28" t="s">
        <v>1348</v>
      </c>
      <c r="T28" t="s">
        <v>73</v>
      </c>
      <c r="U28" t="s">
        <v>73</v>
      </c>
      <c r="V28" t="s">
        <v>73</v>
      </c>
      <c r="W28" t="s">
        <v>73</v>
      </c>
      <c r="X28" t="s">
        <v>73</v>
      </c>
      <c r="Y28" t="s">
        <v>73</v>
      </c>
      <c r="Z28" t="s">
        <v>73</v>
      </c>
      <c r="AA28" t="s">
        <v>73</v>
      </c>
      <c r="AB28" t="s">
        <v>73</v>
      </c>
      <c r="AC28" t="s">
        <v>73</v>
      </c>
      <c r="AD28" t="s">
        <v>73</v>
      </c>
      <c r="AE28" t="s">
        <v>73</v>
      </c>
      <c r="AF28" t="s">
        <v>73</v>
      </c>
      <c r="AG28" t="s">
        <v>73</v>
      </c>
      <c r="AH28" t="s">
        <v>73</v>
      </c>
      <c r="AI28" t="s">
        <v>73</v>
      </c>
      <c r="AJ28" t="s">
        <v>73</v>
      </c>
      <c r="AK28" t="s">
        <v>73</v>
      </c>
      <c r="AL28" t="s">
        <v>73</v>
      </c>
      <c r="AM28" t="s">
        <v>73</v>
      </c>
      <c r="AN28" t="s">
        <v>73</v>
      </c>
      <c r="AS28" t="s">
        <v>73</v>
      </c>
      <c r="BA28" t="s">
        <v>73</v>
      </c>
      <c r="BB28" t="s">
        <v>73</v>
      </c>
      <c r="BC28" s="205" t="s">
        <v>73</v>
      </c>
    </row>
    <row r="29" spans="2:55" ht="9" customHeight="1">
      <c r="B29" s="204" t="s">
        <v>73</v>
      </c>
      <c r="C29" t="s">
        <v>73</v>
      </c>
      <c r="D29" t="s">
        <v>73</v>
      </c>
      <c r="E29" t="s">
        <v>1348</v>
      </c>
      <c r="F29" t="s">
        <v>1348</v>
      </c>
      <c r="G29" t="s">
        <v>1348</v>
      </c>
      <c r="H29" t="s">
        <v>1348</v>
      </c>
      <c r="I29" t="s">
        <v>1348</v>
      </c>
      <c r="M29" t="s">
        <v>1348</v>
      </c>
      <c r="N29" t="s">
        <v>1348</v>
      </c>
      <c r="O29" t="s">
        <v>1348</v>
      </c>
      <c r="P29" t="s">
        <v>1348</v>
      </c>
      <c r="Q29" t="s">
        <v>1348</v>
      </c>
      <c r="R29" t="s">
        <v>1348</v>
      </c>
      <c r="S29" t="s">
        <v>1348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73</v>
      </c>
      <c r="AG29" t="s">
        <v>73</v>
      </c>
      <c r="AH29" t="s">
        <v>73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73</v>
      </c>
      <c r="BA29" t="s">
        <v>73</v>
      </c>
      <c r="BB29" t="s">
        <v>73</v>
      </c>
      <c r="BC29" s="205" t="s">
        <v>73</v>
      </c>
    </row>
    <row r="30" spans="2:55" ht="9" customHeight="1">
      <c r="B30" s="204" t="s">
        <v>73</v>
      </c>
      <c r="C30" t="s">
        <v>73</v>
      </c>
      <c r="D30" t="s">
        <v>73</v>
      </c>
      <c r="T30" t="s">
        <v>73</v>
      </c>
      <c r="U30" t="s">
        <v>73</v>
      </c>
      <c r="V30" t="s">
        <v>73</v>
      </c>
      <c r="W30" t="s">
        <v>73</v>
      </c>
      <c r="X30" t="s">
        <v>73</v>
      </c>
      <c r="Y30" t="s">
        <v>73</v>
      </c>
      <c r="Z30" t="s">
        <v>73</v>
      </c>
      <c r="AA30" t="s">
        <v>73</v>
      </c>
      <c r="AB30" t="s">
        <v>73</v>
      </c>
      <c r="AC30" t="s">
        <v>73</v>
      </c>
      <c r="AD30" t="s">
        <v>73</v>
      </c>
      <c r="AE30" t="s">
        <v>73</v>
      </c>
      <c r="AF30" t="s">
        <v>73</v>
      </c>
      <c r="AG30" t="s">
        <v>73</v>
      </c>
      <c r="AH30" t="s">
        <v>73</v>
      </c>
      <c r="AI30" t="s">
        <v>73</v>
      </c>
      <c r="AJ30" t="s">
        <v>73</v>
      </c>
      <c r="AK30" t="s">
        <v>73</v>
      </c>
      <c r="AL30" t="s">
        <v>73</v>
      </c>
      <c r="AM30" t="s">
        <v>73</v>
      </c>
      <c r="AN30" t="s">
        <v>73</v>
      </c>
      <c r="BA30" t="s">
        <v>73</v>
      </c>
      <c r="BB30" t="s">
        <v>73</v>
      </c>
      <c r="BC30" s="205" t="s">
        <v>73</v>
      </c>
    </row>
    <row r="31" spans="2:55" ht="9" customHeight="1">
      <c r="B31" s="204" t="s">
        <v>73</v>
      </c>
      <c r="C31" t="s">
        <v>73</v>
      </c>
      <c r="D31" t="s">
        <v>73</v>
      </c>
      <c r="K31" t="s">
        <v>73</v>
      </c>
      <c r="T31" t="s">
        <v>73</v>
      </c>
      <c r="U31" t="s">
        <v>73</v>
      </c>
      <c r="V31" t="s">
        <v>73</v>
      </c>
      <c r="W31" t="s">
        <v>73</v>
      </c>
      <c r="X31" t="s">
        <v>73</v>
      </c>
      <c r="Y31" t="s">
        <v>73</v>
      </c>
      <c r="Z31" t="s">
        <v>73</v>
      </c>
      <c r="AA31" t="s">
        <v>73</v>
      </c>
      <c r="AB31" t="s">
        <v>73</v>
      </c>
      <c r="AC31" t="s">
        <v>73</v>
      </c>
      <c r="AD31" t="s">
        <v>73</v>
      </c>
      <c r="AE31" t="s">
        <v>73</v>
      </c>
      <c r="AF31" t="s">
        <v>73</v>
      </c>
      <c r="AG31" t="s">
        <v>73</v>
      </c>
      <c r="AH31" t="s">
        <v>73</v>
      </c>
      <c r="AI31" t="s">
        <v>73</v>
      </c>
      <c r="AJ31" t="s">
        <v>73</v>
      </c>
      <c r="AK31" t="s">
        <v>73</v>
      </c>
      <c r="AL31" t="s">
        <v>73</v>
      </c>
      <c r="AM31" t="s">
        <v>73</v>
      </c>
      <c r="AN31" t="s">
        <v>73</v>
      </c>
      <c r="AO31" t="s">
        <v>1348</v>
      </c>
      <c r="AP31" t="s">
        <v>1348</v>
      </c>
      <c r="AQ31" t="s">
        <v>1348</v>
      </c>
      <c r="AR31" t="s">
        <v>1348</v>
      </c>
      <c r="BA31" t="s">
        <v>73</v>
      </c>
      <c r="BB31" t="s">
        <v>73</v>
      </c>
      <c r="BC31" s="205" t="s">
        <v>73</v>
      </c>
    </row>
    <row r="32" spans="2:55" ht="9" customHeight="1">
      <c r="B32" s="204" t="s">
        <v>73</v>
      </c>
      <c r="C32" t="s">
        <v>73</v>
      </c>
      <c r="D32" t="s">
        <v>73</v>
      </c>
      <c r="Z32" t="s">
        <v>73</v>
      </c>
      <c r="AA32" t="s">
        <v>73</v>
      </c>
      <c r="AB32" t="s">
        <v>73</v>
      </c>
      <c r="AC32" t="s">
        <v>73</v>
      </c>
      <c r="AD32" t="s">
        <v>73</v>
      </c>
      <c r="AE32" t="s">
        <v>73</v>
      </c>
      <c r="AF32" t="s">
        <v>73</v>
      </c>
      <c r="AG32" t="s">
        <v>73</v>
      </c>
      <c r="AH32" t="s">
        <v>73</v>
      </c>
      <c r="AI32" t="s">
        <v>73</v>
      </c>
      <c r="AJ32" t="s">
        <v>73</v>
      </c>
      <c r="AK32" t="s">
        <v>73</v>
      </c>
      <c r="AL32" t="s">
        <v>73</v>
      </c>
      <c r="AM32" t="s">
        <v>73</v>
      </c>
      <c r="AN32" t="s">
        <v>73</v>
      </c>
      <c r="AO32" t="s">
        <v>1348</v>
      </c>
      <c r="AP32" t="s">
        <v>1348</v>
      </c>
      <c r="AQ32" t="s">
        <v>1348</v>
      </c>
      <c r="AR32" t="s">
        <v>1348</v>
      </c>
      <c r="AS32" t="s">
        <v>1348</v>
      </c>
      <c r="AT32" t="s">
        <v>73</v>
      </c>
      <c r="AU32" t="s">
        <v>73</v>
      </c>
      <c r="AV32" t="s">
        <v>73</v>
      </c>
      <c r="BA32" t="s">
        <v>73</v>
      </c>
      <c r="BB32" t="s">
        <v>73</v>
      </c>
      <c r="BC32" s="205" t="s">
        <v>73</v>
      </c>
    </row>
    <row r="33" spans="2:55" ht="9" customHeight="1">
      <c r="B33" s="204" t="s">
        <v>73</v>
      </c>
      <c r="C33" t="s">
        <v>73</v>
      </c>
      <c r="D33" t="s">
        <v>73</v>
      </c>
      <c r="Z33" t="s">
        <v>73</v>
      </c>
      <c r="AA33" t="s">
        <v>73</v>
      </c>
      <c r="AB33" t="s">
        <v>73</v>
      </c>
      <c r="AC33" t="s">
        <v>73</v>
      </c>
      <c r="AD33" t="s">
        <v>73</v>
      </c>
      <c r="AE33" t="s">
        <v>73</v>
      </c>
      <c r="AF33" t="s">
        <v>73</v>
      </c>
      <c r="AG33" t="s">
        <v>73</v>
      </c>
      <c r="AH33" t="s">
        <v>73</v>
      </c>
      <c r="AI33" t="s">
        <v>73</v>
      </c>
      <c r="AJ33" t="s">
        <v>73</v>
      </c>
      <c r="AK33" t="s">
        <v>73</v>
      </c>
      <c r="AL33" t="s">
        <v>73</v>
      </c>
      <c r="AM33" t="s">
        <v>73</v>
      </c>
      <c r="AN33" t="s">
        <v>73</v>
      </c>
      <c r="AO33" t="s">
        <v>1348</v>
      </c>
      <c r="AP33" t="s">
        <v>1348</v>
      </c>
      <c r="AQ33" t="s">
        <v>1348</v>
      </c>
      <c r="AR33" t="s">
        <v>1348</v>
      </c>
      <c r="AS33" t="s">
        <v>1348</v>
      </c>
      <c r="AT33" t="s">
        <v>73</v>
      </c>
      <c r="AU33" t="s">
        <v>73</v>
      </c>
      <c r="AV33" t="s">
        <v>73</v>
      </c>
      <c r="BA33" t="s">
        <v>73</v>
      </c>
      <c r="BB33" t="s">
        <v>73</v>
      </c>
      <c r="BC33" s="205" t="s">
        <v>73</v>
      </c>
    </row>
    <row r="34" spans="2:55" ht="9" customHeight="1">
      <c r="B34" s="204" t="s">
        <v>73</v>
      </c>
      <c r="C34" t="s">
        <v>73</v>
      </c>
      <c r="D34" t="s">
        <v>73</v>
      </c>
      <c r="Z34" t="s">
        <v>73</v>
      </c>
      <c r="AA34" t="s">
        <v>73</v>
      </c>
      <c r="AB34" t="s">
        <v>73</v>
      </c>
      <c r="AC34" t="s">
        <v>73</v>
      </c>
      <c r="AD34" t="s">
        <v>73</v>
      </c>
      <c r="AE34" t="s">
        <v>73</v>
      </c>
      <c r="AF34" t="s">
        <v>73</v>
      </c>
      <c r="AG34" t="s">
        <v>73</v>
      </c>
      <c r="AH34" t="s">
        <v>73</v>
      </c>
      <c r="AI34" t="s">
        <v>73</v>
      </c>
      <c r="AJ34" t="s">
        <v>73</v>
      </c>
      <c r="AK34" t="s">
        <v>73</v>
      </c>
      <c r="AL34" t="s">
        <v>73</v>
      </c>
      <c r="AM34" t="s">
        <v>73</v>
      </c>
      <c r="AN34" t="s">
        <v>73</v>
      </c>
      <c r="AO34" t="s">
        <v>1348</v>
      </c>
      <c r="AP34" t="s">
        <v>1348</v>
      </c>
      <c r="AQ34" t="s">
        <v>1348</v>
      </c>
      <c r="AR34" t="s">
        <v>1348</v>
      </c>
      <c r="AS34" t="s">
        <v>1348</v>
      </c>
      <c r="AT34" t="s">
        <v>73</v>
      </c>
      <c r="AU34" t="s">
        <v>73</v>
      </c>
      <c r="AV34" t="s">
        <v>73</v>
      </c>
      <c r="BA34" t="s">
        <v>73</v>
      </c>
      <c r="BB34" t="s">
        <v>73</v>
      </c>
      <c r="BC34" s="205" t="s">
        <v>73</v>
      </c>
    </row>
    <row r="35" spans="2:55" ht="9" customHeight="1">
      <c r="B35" s="204" t="s">
        <v>73</v>
      </c>
      <c r="C35" t="s">
        <v>73</v>
      </c>
      <c r="D35" t="s">
        <v>73</v>
      </c>
      <c r="Z35" t="s">
        <v>73</v>
      </c>
      <c r="AA35" t="s">
        <v>73</v>
      </c>
      <c r="AB35" t="s">
        <v>73</v>
      </c>
      <c r="AC35" t="s">
        <v>73</v>
      </c>
      <c r="AD35" t="s">
        <v>73</v>
      </c>
      <c r="AE35" t="s">
        <v>73</v>
      </c>
      <c r="AF35" t="s">
        <v>73</v>
      </c>
      <c r="AG35" t="s">
        <v>73</v>
      </c>
      <c r="AH35" t="s">
        <v>73</v>
      </c>
      <c r="AI35" t="s">
        <v>73</v>
      </c>
      <c r="AJ35" t="s">
        <v>73</v>
      </c>
      <c r="AK35" t="s">
        <v>73</v>
      </c>
      <c r="AL35" t="s">
        <v>73</v>
      </c>
      <c r="AM35" t="s">
        <v>73</v>
      </c>
      <c r="AN35" t="s">
        <v>73</v>
      </c>
      <c r="AO35" t="s">
        <v>1348</v>
      </c>
      <c r="AP35" t="s">
        <v>1348</v>
      </c>
      <c r="AQ35" t="s">
        <v>1348</v>
      </c>
      <c r="AR35" t="s">
        <v>1348</v>
      </c>
      <c r="AS35" t="s">
        <v>1348</v>
      </c>
      <c r="AT35" t="s">
        <v>73</v>
      </c>
      <c r="AU35" t="s">
        <v>73</v>
      </c>
      <c r="AV35" t="s">
        <v>73</v>
      </c>
      <c r="BA35" t="s">
        <v>73</v>
      </c>
      <c r="BB35" t="s">
        <v>73</v>
      </c>
      <c r="BC35" s="205" t="s">
        <v>73</v>
      </c>
    </row>
    <row r="36" spans="2:55" ht="9" customHeight="1">
      <c r="B36" s="204" t="s">
        <v>73</v>
      </c>
      <c r="C36" t="s">
        <v>73</v>
      </c>
      <c r="D36" t="s">
        <v>73</v>
      </c>
      <c r="E36" t="s">
        <v>73</v>
      </c>
      <c r="F36" t="s">
        <v>73</v>
      </c>
      <c r="G36" t="s">
        <v>73</v>
      </c>
      <c r="H36" t="s">
        <v>73</v>
      </c>
      <c r="I36" t="s">
        <v>73</v>
      </c>
      <c r="J36" t="s">
        <v>73</v>
      </c>
      <c r="K36" t="s">
        <v>73</v>
      </c>
      <c r="L36" t="s">
        <v>73</v>
      </c>
      <c r="M36" t="s">
        <v>73</v>
      </c>
      <c r="N36" t="s">
        <v>73</v>
      </c>
      <c r="O36" t="s">
        <v>73</v>
      </c>
      <c r="P36" t="s">
        <v>73</v>
      </c>
      <c r="Q36" t="s">
        <v>73</v>
      </c>
      <c r="R36" t="s">
        <v>73</v>
      </c>
      <c r="S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1348</v>
      </c>
      <c r="AP36" t="s">
        <v>1348</v>
      </c>
      <c r="AQ36" t="s">
        <v>1348</v>
      </c>
      <c r="AR36" t="s">
        <v>1348</v>
      </c>
      <c r="AS36" t="s">
        <v>1348</v>
      </c>
      <c r="AT36" t="s">
        <v>73</v>
      </c>
      <c r="AU36" t="s">
        <v>73</v>
      </c>
      <c r="AV36" t="s">
        <v>73</v>
      </c>
      <c r="BA36" t="s">
        <v>73</v>
      </c>
      <c r="BB36" t="s">
        <v>73</v>
      </c>
      <c r="BC36" s="205" t="s">
        <v>73</v>
      </c>
    </row>
    <row r="37" spans="2:55" ht="9" customHeight="1">
      <c r="B37" s="204" t="s">
        <v>73</v>
      </c>
      <c r="C37" t="s">
        <v>73</v>
      </c>
      <c r="D37" t="s">
        <v>73</v>
      </c>
      <c r="E37" t="s">
        <v>73</v>
      </c>
      <c r="F37" t="s">
        <v>73</v>
      </c>
      <c r="G37" t="s">
        <v>73</v>
      </c>
      <c r="H37" t="s">
        <v>73</v>
      </c>
      <c r="I37" t="s">
        <v>73</v>
      </c>
      <c r="J37" t="s">
        <v>73</v>
      </c>
      <c r="K37" t="s">
        <v>73</v>
      </c>
      <c r="L37" t="s">
        <v>73</v>
      </c>
      <c r="M37" t="s">
        <v>73</v>
      </c>
      <c r="N37" t="s">
        <v>73</v>
      </c>
      <c r="O37" t="s">
        <v>73</v>
      </c>
      <c r="P37" t="s">
        <v>73</v>
      </c>
      <c r="Q37" t="s">
        <v>73</v>
      </c>
      <c r="R37" t="s">
        <v>73</v>
      </c>
      <c r="S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1348</v>
      </c>
      <c r="AP37" t="s">
        <v>1348</v>
      </c>
      <c r="AQ37" t="s">
        <v>1348</v>
      </c>
      <c r="AR37" t="s">
        <v>1348</v>
      </c>
      <c r="AS37" t="s">
        <v>1348</v>
      </c>
      <c r="AT37" t="s">
        <v>73</v>
      </c>
      <c r="AU37" t="s">
        <v>73</v>
      </c>
      <c r="AV37" t="s">
        <v>73</v>
      </c>
      <c r="BA37" t="s">
        <v>73</v>
      </c>
      <c r="BB37" t="s">
        <v>73</v>
      </c>
      <c r="BC37" s="205" t="s">
        <v>73</v>
      </c>
    </row>
    <row r="38" spans="2:55" ht="9" customHeight="1">
      <c r="B38" s="204" t="s">
        <v>73</v>
      </c>
      <c r="C38" t="s">
        <v>73</v>
      </c>
      <c r="D38" t="s">
        <v>73</v>
      </c>
      <c r="E38" t="s">
        <v>73</v>
      </c>
      <c r="F38" t="s">
        <v>73</v>
      </c>
      <c r="G38" t="s">
        <v>73</v>
      </c>
      <c r="H38" t="s">
        <v>73</v>
      </c>
      <c r="I38" t="s">
        <v>73</v>
      </c>
      <c r="J38" t="s">
        <v>73</v>
      </c>
      <c r="K38" t="s">
        <v>73</v>
      </c>
      <c r="L38" t="s">
        <v>73</v>
      </c>
      <c r="M38" t="s">
        <v>73</v>
      </c>
      <c r="N38" t="s">
        <v>73</v>
      </c>
      <c r="O38" t="s">
        <v>73</v>
      </c>
      <c r="P38" t="s">
        <v>73</v>
      </c>
      <c r="Q38" t="s">
        <v>73</v>
      </c>
      <c r="R38" t="s">
        <v>73</v>
      </c>
      <c r="S38" t="s">
        <v>73</v>
      </c>
      <c r="T38" t="s">
        <v>73</v>
      </c>
      <c r="U38" t="s">
        <v>73</v>
      </c>
      <c r="V38" t="s">
        <v>73</v>
      </c>
      <c r="W38" t="s">
        <v>73</v>
      </c>
      <c r="X38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1348</v>
      </c>
      <c r="AP38" t="s">
        <v>1348</v>
      </c>
      <c r="AQ38" t="s">
        <v>1348</v>
      </c>
      <c r="AR38" t="s">
        <v>1348</v>
      </c>
      <c r="AS38" t="s">
        <v>1348</v>
      </c>
      <c r="AT38" t="s">
        <v>73</v>
      </c>
      <c r="AU38" t="s">
        <v>73</v>
      </c>
      <c r="AV38" t="s">
        <v>73</v>
      </c>
      <c r="BA38" t="s">
        <v>73</v>
      </c>
      <c r="BB38" t="s">
        <v>73</v>
      </c>
      <c r="BC38" s="205" t="s">
        <v>73</v>
      </c>
    </row>
    <row r="39" spans="2:55" ht="9" customHeight="1">
      <c r="B39" s="204" t="s">
        <v>73</v>
      </c>
      <c r="C39" t="s">
        <v>73</v>
      </c>
      <c r="D39" t="s">
        <v>73</v>
      </c>
      <c r="E39" t="s">
        <v>73</v>
      </c>
      <c r="F39" t="s">
        <v>73</v>
      </c>
      <c r="G39" t="s">
        <v>73</v>
      </c>
      <c r="H39" t="s">
        <v>73</v>
      </c>
      <c r="I39" t="s">
        <v>73</v>
      </c>
      <c r="J39" t="s">
        <v>73</v>
      </c>
      <c r="K39" t="s">
        <v>73</v>
      </c>
      <c r="L39" t="s">
        <v>73</v>
      </c>
      <c r="M39" t="s">
        <v>73</v>
      </c>
      <c r="N39" t="s">
        <v>73</v>
      </c>
      <c r="O39" t="s">
        <v>73</v>
      </c>
      <c r="P39" t="s">
        <v>73</v>
      </c>
      <c r="Q39" t="s">
        <v>73</v>
      </c>
      <c r="R39" t="s">
        <v>73</v>
      </c>
      <c r="S39" t="s">
        <v>73</v>
      </c>
      <c r="T39" t="s">
        <v>73</v>
      </c>
      <c r="U39" t="s">
        <v>73</v>
      </c>
      <c r="V39" t="s">
        <v>73</v>
      </c>
      <c r="W39" t="s">
        <v>73</v>
      </c>
      <c r="X39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1348</v>
      </c>
      <c r="AP39" t="s">
        <v>1348</v>
      </c>
      <c r="AQ39" t="s">
        <v>1348</v>
      </c>
      <c r="AR39" t="s">
        <v>1348</v>
      </c>
      <c r="AS39" t="s">
        <v>1348</v>
      </c>
      <c r="AT39" t="s">
        <v>73</v>
      </c>
      <c r="AU39" t="s">
        <v>73</v>
      </c>
      <c r="AV39" t="s">
        <v>73</v>
      </c>
      <c r="BA39" t="s">
        <v>73</v>
      </c>
      <c r="BB39" t="s">
        <v>73</v>
      </c>
      <c r="BC39" s="205" t="s">
        <v>73</v>
      </c>
    </row>
    <row r="40" spans="2:55" ht="9" customHeight="1">
      <c r="B40" s="204" t="s">
        <v>73</v>
      </c>
      <c r="C40" t="s">
        <v>73</v>
      </c>
      <c r="D40" t="s">
        <v>73</v>
      </c>
      <c r="E40" t="s">
        <v>73</v>
      </c>
      <c r="F40" t="s">
        <v>73</v>
      </c>
      <c r="G40" t="s">
        <v>73</v>
      </c>
      <c r="H40" t="s">
        <v>73</v>
      </c>
      <c r="I40" t="s">
        <v>73</v>
      </c>
      <c r="J40" t="s">
        <v>73</v>
      </c>
      <c r="K40" t="s">
        <v>73</v>
      </c>
      <c r="L40" t="s">
        <v>73</v>
      </c>
      <c r="M40" t="s">
        <v>73</v>
      </c>
      <c r="N40" t="s">
        <v>73</v>
      </c>
      <c r="O40" t="s">
        <v>73</v>
      </c>
      <c r="P40" t="s">
        <v>73</v>
      </c>
      <c r="Q40" t="s">
        <v>73</v>
      </c>
      <c r="R40" t="s">
        <v>73</v>
      </c>
      <c r="S40" t="s">
        <v>73</v>
      </c>
      <c r="T40" t="s">
        <v>73</v>
      </c>
      <c r="U40" t="s">
        <v>73</v>
      </c>
      <c r="V40" t="s">
        <v>73</v>
      </c>
      <c r="W40" t="s">
        <v>73</v>
      </c>
      <c r="X40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1348</v>
      </c>
      <c r="AP40" t="s">
        <v>1348</v>
      </c>
      <c r="AQ40" t="s">
        <v>1348</v>
      </c>
      <c r="AR40" t="s">
        <v>1348</v>
      </c>
      <c r="AS40" t="s">
        <v>1348</v>
      </c>
      <c r="AT40" t="s">
        <v>73</v>
      </c>
      <c r="AU40" t="s">
        <v>73</v>
      </c>
      <c r="AV40" t="s">
        <v>73</v>
      </c>
      <c r="BA40" t="s">
        <v>73</v>
      </c>
      <c r="BB40" t="s">
        <v>73</v>
      </c>
      <c r="BC40" s="205" t="s">
        <v>73</v>
      </c>
    </row>
    <row r="41" spans="2:55" ht="9" customHeight="1">
      <c r="B41" s="204" t="s">
        <v>73</v>
      </c>
      <c r="C41" t="s">
        <v>73</v>
      </c>
      <c r="D41" t="s">
        <v>73</v>
      </c>
      <c r="E41" t="s">
        <v>1348</v>
      </c>
      <c r="F41" t="s">
        <v>1348</v>
      </c>
      <c r="G41" t="s">
        <v>1348</v>
      </c>
      <c r="H41" t="s">
        <v>1348</v>
      </c>
      <c r="I41" t="s">
        <v>1348</v>
      </c>
      <c r="J41" t="s">
        <v>1348</v>
      </c>
      <c r="K41" t="s">
        <v>1348</v>
      </c>
      <c r="L41" t="s">
        <v>1348</v>
      </c>
      <c r="M41" t="s">
        <v>1348</v>
      </c>
      <c r="N41" t="s">
        <v>1348</v>
      </c>
      <c r="O41" t="s">
        <v>1348</v>
      </c>
      <c r="P41" t="s">
        <v>1348</v>
      </c>
      <c r="Q41" t="s">
        <v>1348</v>
      </c>
      <c r="R41" t="s">
        <v>1348</v>
      </c>
      <c r="S41" t="s">
        <v>1348</v>
      </c>
      <c r="T41" t="s">
        <v>73</v>
      </c>
      <c r="U41" t="s">
        <v>73</v>
      </c>
      <c r="V41" t="s">
        <v>73</v>
      </c>
      <c r="W41" t="s">
        <v>73</v>
      </c>
      <c r="X41" t="s">
        <v>73</v>
      </c>
      <c r="Y41" t="s">
        <v>73</v>
      </c>
      <c r="Z41" t="s">
        <v>73</v>
      </c>
      <c r="AA41" t="s">
        <v>73</v>
      </c>
      <c r="AB41" t="s">
        <v>73</v>
      </c>
      <c r="AC41" t="s">
        <v>73</v>
      </c>
      <c r="AD41" t="s">
        <v>73</v>
      </c>
      <c r="AE41" t="s">
        <v>73</v>
      </c>
      <c r="AF41" t="s">
        <v>73</v>
      </c>
      <c r="AG41" t="s">
        <v>73</v>
      </c>
      <c r="AH41" t="s">
        <v>73</v>
      </c>
      <c r="AI41" t="s">
        <v>73</v>
      </c>
      <c r="AJ41" t="s">
        <v>73</v>
      </c>
      <c r="AK41" t="s">
        <v>73</v>
      </c>
      <c r="AL41" t="s">
        <v>73</v>
      </c>
      <c r="AM41" t="s">
        <v>73</v>
      </c>
      <c r="AN41" t="s">
        <v>73</v>
      </c>
      <c r="AO41" t="s">
        <v>1348</v>
      </c>
      <c r="AP41" t="s">
        <v>1348</v>
      </c>
      <c r="AQ41" t="s">
        <v>1348</v>
      </c>
      <c r="AR41" t="s">
        <v>1348</v>
      </c>
      <c r="AS41" t="s">
        <v>1348</v>
      </c>
      <c r="AT41" t="s">
        <v>73</v>
      </c>
      <c r="AU41" t="s">
        <v>73</v>
      </c>
      <c r="AV41" t="s">
        <v>73</v>
      </c>
      <c r="BA41" t="s">
        <v>73</v>
      </c>
      <c r="BB41" t="s">
        <v>73</v>
      </c>
      <c r="BC41" s="205" t="s">
        <v>73</v>
      </c>
    </row>
    <row r="42" spans="2:55" ht="9" customHeight="1">
      <c r="B42" s="204" t="s">
        <v>73</v>
      </c>
      <c r="C42" t="s">
        <v>73</v>
      </c>
      <c r="D42" t="s">
        <v>73</v>
      </c>
      <c r="E42" t="s">
        <v>1348</v>
      </c>
      <c r="F42" t="s">
        <v>1348</v>
      </c>
      <c r="G42" t="s">
        <v>1348</v>
      </c>
      <c r="H42" t="s">
        <v>1348</v>
      </c>
      <c r="I42" t="s">
        <v>1348</v>
      </c>
      <c r="J42" t="s">
        <v>1348</v>
      </c>
      <c r="K42" t="s">
        <v>1348</v>
      </c>
      <c r="L42" t="s">
        <v>1348</v>
      </c>
      <c r="M42" t="s">
        <v>1348</v>
      </c>
      <c r="N42" t="s">
        <v>1348</v>
      </c>
      <c r="O42" t="s">
        <v>1348</v>
      </c>
      <c r="P42" t="s">
        <v>1348</v>
      </c>
      <c r="Q42" t="s">
        <v>1348</v>
      </c>
      <c r="R42" t="s">
        <v>1348</v>
      </c>
      <c r="S42" t="s">
        <v>1348</v>
      </c>
      <c r="T42" t="s">
        <v>73</v>
      </c>
      <c r="U42" t="s">
        <v>73</v>
      </c>
      <c r="V42" t="s">
        <v>73</v>
      </c>
      <c r="W42" t="s">
        <v>73</v>
      </c>
      <c r="X42" t="s">
        <v>73</v>
      </c>
      <c r="Y42" t="s">
        <v>73</v>
      </c>
      <c r="Z42" t="s">
        <v>73</v>
      </c>
      <c r="AA42" t="s">
        <v>73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73</v>
      </c>
      <c r="AH42" t="s">
        <v>73</v>
      </c>
      <c r="AI42" t="s">
        <v>73</v>
      </c>
      <c r="AJ42" t="s">
        <v>73</v>
      </c>
      <c r="AK42" t="s">
        <v>73</v>
      </c>
      <c r="AL42" t="s">
        <v>73</v>
      </c>
      <c r="AM42" t="s">
        <v>73</v>
      </c>
      <c r="AN42" t="s">
        <v>73</v>
      </c>
      <c r="AO42" t="s">
        <v>1348</v>
      </c>
      <c r="AP42" t="s">
        <v>1348</v>
      </c>
      <c r="AQ42" t="s">
        <v>1348</v>
      </c>
      <c r="AR42" t="s">
        <v>1348</v>
      </c>
      <c r="AS42" t="s">
        <v>1348</v>
      </c>
      <c r="AT42" t="s">
        <v>73</v>
      </c>
      <c r="AU42" t="s">
        <v>73</v>
      </c>
      <c r="AV42" t="s">
        <v>73</v>
      </c>
      <c r="BA42" t="s">
        <v>73</v>
      </c>
      <c r="BB42" t="s">
        <v>73</v>
      </c>
      <c r="BC42" s="205" t="s">
        <v>73</v>
      </c>
    </row>
    <row r="43" spans="2:55" ht="9" customHeight="1">
      <c r="B43" s="204" t="s">
        <v>73</v>
      </c>
      <c r="C43" t="s">
        <v>73</v>
      </c>
      <c r="D43" t="s">
        <v>73</v>
      </c>
      <c r="E43" t="s">
        <v>1348</v>
      </c>
      <c r="F43" t="s">
        <v>1348</v>
      </c>
      <c r="G43" t="s">
        <v>1348</v>
      </c>
      <c r="H43" t="s">
        <v>1348</v>
      </c>
      <c r="I43" t="s">
        <v>1348</v>
      </c>
      <c r="J43" t="s">
        <v>1348</v>
      </c>
      <c r="K43" t="s">
        <v>1348</v>
      </c>
      <c r="L43" t="s">
        <v>1348</v>
      </c>
      <c r="M43" t="s">
        <v>1348</v>
      </c>
      <c r="N43" t="s">
        <v>1348</v>
      </c>
      <c r="O43" t="s">
        <v>1348</v>
      </c>
      <c r="P43" t="s">
        <v>1348</v>
      </c>
      <c r="Q43" t="s">
        <v>1348</v>
      </c>
      <c r="R43" t="s">
        <v>1348</v>
      </c>
      <c r="S43" t="s">
        <v>1348</v>
      </c>
      <c r="T43" t="s">
        <v>73</v>
      </c>
      <c r="U43" t="s">
        <v>73</v>
      </c>
      <c r="V43" t="s">
        <v>73</v>
      </c>
      <c r="W43" t="s">
        <v>73</v>
      </c>
      <c r="X43" t="s">
        <v>73</v>
      </c>
      <c r="Y43" t="s">
        <v>73</v>
      </c>
      <c r="Z43" t="s">
        <v>73</v>
      </c>
      <c r="AA43" t="s">
        <v>73</v>
      </c>
      <c r="AB43" t="s">
        <v>73</v>
      </c>
      <c r="AC43" t="s">
        <v>73</v>
      </c>
      <c r="AD43" t="s">
        <v>73</v>
      </c>
      <c r="AE43" t="s">
        <v>73</v>
      </c>
      <c r="AF43" t="s">
        <v>73</v>
      </c>
      <c r="AG43" t="s">
        <v>73</v>
      </c>
      <c r="AH43" t="s">
        <v>73</v>
      </c>
      <c r="AI43" t="s">
        <v>73</v>
      </c>
      <c r="AJ43" t="s">
        <v>73</v>
      </c>
      <c r="AK43" t="s">
        <v>73</v>
      </c>
      <c r="AL43" t="s">
        <v>73</v>
      </c>
      <c r="AM43" t="s">
        <v>73</v>
      </c>
      <c r="AN43" t="s">
        <v>73</v>
      </c>
      <c r="AO43" t="s">
        <v>1348</v>
      </c>
      <c r="AP43" t="s">
        <v>1348</v>
      </c>
      <c r="AQ43" t="s">
        <v>1348</v>
      </c>
      <c r="AR43" t="s">
        <v>1348</v>
      </c>
      <c r="AS43" t="s">
        <v>1348</v>
      </c>
      <c r="AT43" t="s">
        <v>73</v>
      </c>
      <c r="AU43" t="s">
        <v>73</v>
      </c>
      <c r="AV43" t="s">
        <v>73</v>
      </c>
      <c r="BA43" t="s">
        <v>73</v>
      </c>
      <c r="BB43" t="s">
        <v>73</v>
      </c>
      <c r="BC43" s="205" t="s">
        <v>73</v>
      </c>
    </row>
    <row r="44" spans="2:55" ht="9" customHeight="1">
      <c r="B44" s="204" t="s">
        <v>73</v>
      </c>
      <c r="C44" t="s">
        <v>73</v>
      </c>
      <c r="D44" t="s">
        <v>73</v>
      </c>
      <c r="E44" t="s">
        <v>1348</v>
      </c>
      <c r="F44" t="s">
        <v>1348</v>
      </c>
      <c r="G44" t="s">
        <v>1348</v>
      </c>
      <c r="H44" t="s">
        <v>1348</v>
      </c>
      <c r="I44" t="s">
        <v>1348</v>
      </c>
      <c r="J44" t="s">
        <v>1348</v>
      </c>
      <c r="K44" t="s">
        <v>1348</v>
      </c>
      <c r="L44" t="s">
        <v>1348</v>
      </c>
      <c r="M44" t="s">
        <v>1348</v>
      </c>
      <c r="N44" t="s">
        <v>1348</v>
      </c>
      <c r="O44" t="s">
        <v>1348</v>
      </c>
      <c r="P44" t="s">
        <v>1348</v>
      </c>
      <c r="Q44" t="s">
        <v>1348</v>
      </c>
      <c r="R44" t="s">
        <v>1348</v>
      </c>
      <c r="S44" t="s">
        <v>1348</v>
      </c>
      <c r="T44" t="s">
        <v>73</v>
      </c>
      <c r="U44" t="s">
        <v>73</v>
      </c>
      <c r="V44" t="s">
        <v>73</v>
      </c>
      <c r="W44" t="s">
        <v>73</v>
      </c>
      <c r="X44" t="s">
        <v>73</v>
      </c>
      <c r="Y44" t="s">
        <v>73</v>
      </c>
      <c r="Z44" t="s">
        <v>73</v>
      </c>
      <c r="AA44" t="s">
        <v>73</v>
      </c>
      <c r="AB44" t="s">
        <v>73</v>
      </c>
      <c r="AC44" t="s">
        <v>73</v>
      </c>
      <c r="AD44" t="s">
        <v>73</v>
      </c>
      <c r="AE44" t="s">
        <v>73</v>
      </c>
      <c r="AF44" t="s">
        <v>73</v>
      </c>
      <c r="AG44" t="s">
        <v>73</v>
      </c>
      <c r="AH44" t="s">
        <v>73</v>
      </c>
      <c r="AI44" t="s">
        <v>73</v>
      </c>
      <c r="AJ44" t="s">
        <v>73</v>
      </c>
      <c r="AK44" t="s">
        <v>73</v>
      </c>
      <c r="AL44" t="s">
        <v>73</v>
      </c>
      <c r="AM44" t="s">
        <v>73</v>
      </c>
      <c r="AN44" t="s">
        <v>73</v>
      </c>
      <c r="AO44" t="s">
        <v>1348</v>
      </c>
      <c r="AP44" t="s">
        <v>1348</v>
      </c>
      <c r="AQ44" t="s">
        <v>1348</v>
      </c>
      <c r="AR44" t="s">
        <v>1348</v>
      </c>
      <c r="AS44" t="s">
        <v>1348</v>
      </c>
      <c r="BA44" t="s">
        <v>73</v>
      </c>
      <c r="BB44" t="s">
        <v>73</v>
      </c>
      <c r="BC44" s="205" t="s">
        <v>73</v>
      </c>
    </row>
    <row r="45" spans="2:55" ht="9" customHeight="1">
      <c r="B45" s="204" t="s">
        <v>73</v>
      </c>
      <c r="C45" t="s">
        <v>73</v>
      </c>
      <c r="D45" t="s">
        <v>73</v>
      </c>
      <c r="E45" t="s">
        <v>1348</v>
      </c>
      <c r="F45" t="s">
        <v>1348</v>
      </c>
      <c r="G45" t="s">
        <v>1348</v>
      </c>
      <c r="H45" t="s">
        <v>1348</v>
      </c>
      <c r="I45" t="s">
        <v>1348</v>
      </c>
      <c r="J45" t="s">
        <v>1348</v>
      </c>
      <c r="K45" t="s">
        <v>1348</v>
      </c>
      <c r="L45" t="s">
        <v>1348</v>
      </c>
      <c r="M45" t="s">
        <v>1348</v>
      </c>
      <c r="N45" t="s">
        <v>1348</v>
      </c>
      <c r="O45" t="s">
        <v>1348</v>
      </c>
      <c r="P45" t="s">
        <v>1348</v>
      </c>
      <c r="Q45" t="s">
        <v>1348</v>
      </c>
      <c r="R45" t="s">
        <v>1348</v>
      </c>
      <c r="S45" t="s">
        <v>1348</v>
      </c>
      <c r="T45" t="s">
        <v>1348</v>
      </c>
      <c r="U45" t="s">
        <v>1348</v>
      </c>
      <c r="V45" t="s">
        <v>1348</v>
      </c>
      <c r="W45" t="s">
        <v>1348</v>
      </c>
      <c r="X45" t="s">
        <v>1348</v>
      </c>
      <c r="Y45" t="s">
        <v>1348</v>
      </c>
      <c r="Z45" t="s">
        <v>1348</v>
      </c>
      <c r="AA45" t="s">
        <v>1348</v>
      </c>
      <c r="AB45" t="s">
        <v>1348</v>
      </c>
      <c r="AC45" t="s">
        <v>1348</v>
      </c>
      <c r="AD45" t="s">
        <v>1348</v>
      </c>
      <c r="AE45" t="s">
        <v>1348</v>
      </c>
      <c r="AF45" t="s">
        <v>1348</v>
      </c>
      <c r="AG45" t="s">
        <v>1348</v>
      </c>
      <c r="AH45" t="s">
        <v>1348</v>
      </c>
      <c r="AI45" t="s">
        <v>73</v>
      </c>
      <c r="AJ45" t="s">
        <v>73</v>
      </c>
      <c r="AK45" t="s">
        <v>73</v>
      </c>
      <c r="AL45" t="s">
        <v>73</v>
      </c>
      <c r="AM45" t="s">
        <v>73</v>
      </c>
      <c r="AN45" t="s">
        <v>73</v>
      </c>
      <c r="AO45" t="s">
        <v>1348</v>
      </c>
      <c r="AP45" t="s">
        <v>1348</v>
      </c>
      <c r="AQ45" t="s">
        <v>1348</v>
      </c>
      <c r="AR45" t="s">
        <v>1348</v>
      </c>
      <c r="BA45" t="s">
        <v>73</v>
      </c>
      <c r="BB45" t="s">
        <v>73</v>
      </c>
      <c r="BC45" s="205" t="s">
        <v>73</v>
      </c>
    </row>
    <row r="46" spans="2:55" ht="9" customHeight="1">
      <c r="B46" s="204" t="s">
        <v>73</v>
      </c>
      <c r="C46" t="s">
        <v>73</v>
      </c>
      <c r="D46" t="s">
        <v>73</v>
      </c>
      <c r="E46" t="s">
        <v>73</v>
      </c>
      <c r="F46" t="s">
        <v>73</v>
      </c>
      <c r="G46" t="s">
        <v>73</v>
      </c>
      <c r="H46" t="s">
        <v>73</v>
      </c>
      <c r="I46" t="s">
        <v>73</v>
      </c>
      <c r="J46" t="s">
        <v>73</v>
      </c>
      <c r="K46" t="s">
        <v>73</v>
      </c>
      <c r="L46" t="s">
        <v>73</v>
      </c>
      <c r="M46" t="s">
        <v>73</v>
      </c>
      <c r="N46" t="s">
        <v>1348</v>
      </c>
      <c r="O46" t="s">
        <v>1348</v>
      </c>
      <c r="P46" t="s">
        <v>1348</v>
      </c>
      <c r="Q46" t="s">
        <v>1348</v>
      </c>
      <c r="R46" t="s">
        <v>1348</v>
      </c>
      <c r="S46" t="s">
        <v>1348</v>
      </c>
      <c r="T46" t="s">
        <v>1348</v>
      </c>
      <c r="U46" t="s">
        <v>1348</v>
      </c>
      <c r="V46" t="s">
        <v>1348</v>
      </c>
      <c r="W46" t="s">
        <v>1348</v>
      </c>
      <c r="X46" t="s">
        <v>1348</v>
      </c>
      <c r="Y46" t="s">
        <v>1348</v>
      </c>
      <c r="Z46" t="s">
        <v>1348</v>
      </c>
      <c r="AA46" t="s">
        <v>1348</v>
      </c>
      <c r="AB46" t="s">
        <v>1348</v>
      </c>
      <c r="AC46" t="s">
        <v>1348</v>
      </c>
      <c r="AD46" t="s">
        <v>73</v>
      </c>
      <c r="AG46" t="s">
        <v>1348</v>
      </c>
      <c r="AH46" t="s">
        <v>1348</v>
      </c>
      <c r="AI46" t="s">
        <v>73</v>
      </c>
      <c r="AJ46" t="s">
        <v>73</v>
      </c>
      <c r="AK46" t="s">
        <v>73</v>
      </c>
      <c r="AL46" t="s">
        <v>73</v>
      </c>
      <c r="AM46" t="s">
        <v>73</v>
      </c>
      <c r="AN46" t="s">
        <v>73</v>
      </c>
      <c r="AO46" t="s">
        <v>1348</v>
      </c>
      <c r="AP46" t="s">
        <v>1348</v>
      </c>
      <c r="AQ46" t="s">
        <v>1348</v>
      </c>
      <c r="BA46" t="s">
        <v>73</v>
      </c>
      <c r="BB46" t="s">
        <v>73</v>
      </c>
      <c r="BC46" s="205" t="s">
        <v>73</v>
      </c>
    </row>
    <row r="47" spans="2:55" ht="9" customHeight="1">
      <c r="B47" s="204" t="s">
        <v>73</v>
      </c>
      <c r="C47" t="s">
        <v>73</v>
      </c>
      <c r="D47" t="s">
        <v>73</v>
      </c>
      <c r="E47" t="s">
        <v>73</v>
      </c>
      <c r="F47" t="s">
        <v>73</v>
      </c>
      <c r="G47" t="s">
        <v>73</v>
      </c>
      <c r="H47" t="s">
        <v>73</v>
      </c>
      <c r="I47" t="s">
        <v>73</v>
      </c>
      <c r="J47" t="s">
        <v>73</v>
      </c>
      <c r="K47" t="s">
        <v>73</v>
      </c>
      <c r="L47" t="s">
        <v>73</v>
      </c>
      <c r="M47" t="s">
        <v>73</v>
      </c>
      <c r="N47" t="s">
        <v>1348</v>
      </c>
      <c r="O47" t="s">
        <v>1348</v>
      </c>
      <c r="P47" t="s">
        <v>1348</v>
      </c>
      <c r="Q47" t="s">
        <v>1348</v>
      </c>
      <c r="R47" t="s">
        <v>1348</v>
      </c>
      <c r="S47" t="s">
        <v>1348</v>
      </c>
      <c r="T47" t="s">
        <v>1348</v>
      </c>
      <c r="U47" t="s">
        <v>1348</v>
      </c>
      <c r="V47" t="s">
        <v>1348</v>
      </c>
      <c r="W47" t="s">
        <v>1348</v>
      </c>
      <c r="X47" t="s">
        <v>1348</v>
      </c>
      <c r="Y47" t="s">
        <v>1348</v>
      </c>
      <c r="Z47" t="s">
        <v>1348</v>
      </c>
      <c r="AA47" t="s">
        <v>1348</v>
      </c>
      <c r="AB47" t="s">
        <v>1348</v>
      </c>
      <c r="AC47" t="s">
        <v>1348</v>
      </c>
      <c r="AG47" t="s">
        <v>1348</v>
      </c>
      <c r="AH47" t="s">
        <v>1348</v>
      </c>
      <c r="AI47" t="s">
        <v>73</v>
      </c>
      <c r="AJ47" t="s">
        <v>73</v>
      </c>
      <c r="AK47" t="s">
        <v>73</v>
      </c>
      <c r="AL47" t="s">
        <v>73</v>
      </c>
      <c r="AM47" t="s">
        <v>73</v>
      </c>
      <c r="AN47" t="s">
        <v>73</v>
      </c>
      <c r="AO47" t="s">
        <v>1348</v>
      </c>
      <c r="AP47" t="s">
        <v>1348</v>
      </c>
      <c r="AQ47" t="s">
        <v>1348</v>
      </c>
      <c r="BA47" t="s">
        <v>73</v>
      </c>
      <c r="BB47" t="s">
        <v>73</v>
      </c>
      <c r="BC47" s="205" t="s">
        <v>73</v>
      </c>
    </row>
    <row r="48" spans="2:55" ht="9" customHeight="1">
      <c r="B48" s="204" t="s">
        <v>73</v>
      </c>
      <c r="C48" t="s">
        <v>73</v>
      </c>
      <c r="D48" t="s">
        <v>73</v>
      </c>
      <c r="E48" t="s">
        <v>73</v>
      </c>
      <c r="F48" t="s">
        <v>73</v>
      </c>
      <c r="G48" t="s">
        <v>73</v>
      </c>
      <c r="H48" t="s">
        <v>73</v>
      </c>
      <c r="I48" t="s">
        <v>73</v>
      </c>
      <c r="J48" t="s">
        <v>73</v>
      </c>
      <c r="K48" t="s">
        <v>73</v>
      </c>
      <c r="L48" t="s">
        <v>73</v>
      </c>
      <c r="M48" t="s">
        <v>73</v>
      </c>
      <c r="P48" t="s">
        <v>1348</v>
      </c>
      <c r="Q48" t="s">
        <v>1348</v>
      </c>
      <c r="R48" t="s">
        <v>1348</v>
      </c>
      <c r="S48" t="s">
        <v>73</v>
      </c>
      <c r="T48" t="s">
        <v>73</v>
      </c>
      <c r="U48" t="s">
        <v>73</v>
      </c>
      <c r="V48" t="s">
        <v>73</v>
      </c>
      <c r="W48" t="s">
        <v>73</v>
      </c>
      <c r="X48" t="s">
        <v>73</v>
      </c>
      <c r="Y48" t="s">
        <v>73</v>
      </c>
      <c r="Z48" t="s">
        <v>73</v>
      </c>
      <c r="AA48" t="s">
        <v>73</v>
      </c>
      <c r="AB48" t="s">
        <v>1348</v>
      </c>
      <c r="AC48" t="s">
        <v>1348</v>
      </c>
      <c r="AG48" t="s">
        <v>1348</v>
      </c>
      <c r="AH48" t="s">
        <v>1348</v>
      </c>
      <c r="AI48" t="s">
        <v>73</v>
      </c>
      <c r="AJ48" t="s">
        <v>73</v>
      </c>
      <c r="AK48" t="s">
        <v>73</v>
      </c>
      <c r="AL48" t="s">
        <v>73</v>
      </c>
      <c r="AM48" t="s">
        <v>73</v>
      </c>
      <c r="AN48" t="s">
        <v>73</v>
      </c>
      <c r="AO48" t="s">
        <v>1348</v>
      </c>
      <c r="AP48" t="s">
        <v>1348</v>
      </c>
      <c r="AQ48" t="s">
        <v>1348</v>
      </c>
      <c r="AU48" t="s">
        <v>73</v>
      </c>
      <c r="AV48" t="s">
        <v>73</v>
      </c>
      <c r="AW48" t="s">
        <v>73</v>
      </c>
      <c r="AX48" t="s">
        <v>73</v>
      </c>
      <c r="AY48" t="s">
        <v>73</v>
      </c>
      <c r="AZ48" t="s">
        <v>73</v>
      </c>
      <c r="BA48" t="s">
        <v>73</v>
      </c>
      <c r="BB48" t="s">
        <v>73</v>
      </c>
      <c r="BC48" s="205" t="s">
        <v>73</v>
      </c>
    </row>
    <row r="49" spans="2:55" ht="9" customHeight="1">
      <c r="B49" s="204" t="s">
        <v>73</v>
      </c>
      <c r="C49" t="s">
        <v>73</v>
      </c>
      <c r="D49" t="s">
        <v>73</v>
      </c>
      <c r="E49" t="s">
        <v>73</v>
      </c>
      <c r="F49" t="s">
        <v>73</v>
      </c>
      <c r="G49" t="s">
        <v>73</v>
      </c>
      <c r="H49" t="s">
        <v>73</v>
      </c>
      <c r="I49" t="s">
        <v>73</v>
      </c>
      <c r="J49" t="s">
        <v>73</v>
      </c>
      <c r="K49" t="s">
        <v>73</v>
      </c>
      <c r="L49" t="s">
        <v>73</v>
      </c>
      <c r="M49" t="s">
        <v>73</v>
      </c>
      <c r="P49" t="s">
        <v>1348</v>
      </c>
      <c r="Q49" t="s">
        <v>1348</v>
      </c>
      <c r="R49" t="s">
        <v>1348</v>
      </c>
      <c r="S49" t="s">
        <v>73</v>
      </c>
      <c r="T49" t="s">
        <v>73</v>
      </c>
      <c r="U49" t="s">
        <v>73</v>
      </c>
      <c r="V49" t="s">
        <v>73</v>
      </c>
      <c r="W49" t="s">
        <v>73</v>
      </c>
      <c r="X49" t="s">
        <v>73</v>
      </c>
      <c r="Y49" t="s">
        <v>73</v>
      </c>
      <c r="Z49" t="s">
        <v>73</v>
      </c>
      <c r="AA49" t="s">
        <v>73</v>
      </c>
      <c r="AB49" t="s">
        <v>1348</v>
      </c>
      <c r="AC49" t="s">
        <v>1348</v>
      </c>
      <c r="AG49" t="s">
        <v>1348</v>
      </c>
      <c r="AH49" t="s">
        <v>1348</v>
      </c>
      <c r="AI49" t="s">
        <v>73</v>
      </c>
      <c r="AJ49" t="s">
        <v>73</v>
      </c>
      <c r="AK49" t="s">
        <v>73</v>
      </c>
      <c r="AL49" t="s">
        <v>73</v>
      </c>
      <c r="AM49" t="s">
        <v>73</v>
      </c>
      <c r="AN49" t="s">
        <v>73</v>
      </c>
      <c r="AO49" t="s">
        <v>1348</v>
      </c>
      <c r="AP49" t="s">
        <v>1348</v>
      </c>
      <c r="AQ49" t="s">
        <v>1348</v>
      </c>
      <c r="AU49" t="s">
        <v>73</v>
      </c>
      <c r="AV49" t="s">
        <v>73</v>
      </c>
      <c r="AW49" t="s">
        <v>73</v>
      </c>
      <c r="AX49" t="s">
        <v>73</v>
      </c>
      <c r="AY49" t="s">
        <v>73</v>
      </c>
      <c r="AZ49" t="s">
        <v>73</v>
      </c>
      <c r="BA49" t="s">
        <v>73</v>
      </c>
      <c r="BB49" t="s">
        <v>73</v>
      </c>
      <c r="BC49" s="205" t="s">
        <v>73</v>
      </c>
    </row>
    <row r="50" spans="2:55" ht="9" customHeight="1">
      <c r="B50" s="204" t="s">
        <v>73</v>
      </c>
      <c r="C50" t="s">
        <v>73</v>
      </c>
      <c r="D50" t="s">
        <v>73</v>
      </c>
      <c r="E50" t="s">
        <v>73</v>
      </c>
      <c r="F50" t="s">
        <v>73</v>
      </c>
      <c r="G50" t="s">
        <v>73</v>
      </c>
      <c r="H50" t="s">
        <v>73</v>
      </c>
      <c r="I50" t="s">
        <v>73</v>
      </c>
      <c r="J50" t="s">
        <v>73</v>
      </c>
      <c r="K50" t="s">
        <v>73</v>
      </c>
      <c r="L50" t="s">
        <v>73</v>
      </c>
      <c r="M50" t="s">
        <v>73</v>
      </c>
      <c r="P50" t="s">
        <v>1348</v>
      </c>
      <c r="Q50" t="s">
        <v>1348</v>
      </c>
      <c r="R50" t="s">
        <v>1348</v>
      </c>
      <c r="S50" t="s">
        <v>73</v>
      </c>
      <c r="T50" t="s">
        <v>73</v>
      </c>
      <c r="U50" t="s">
        <v>73</v>
      </c>
      <c r="V50" t="s">
        <v>73</v>
      </c>
      <c r="W50" t="s">
        <v>73</v>
      </c>
      <c r="X50" t="s">
        <v>73</v>
      </c>
      <c r="Y50" t="s">
        <v>73</v>
      </c>
      <c r="Z50" t="s">
        <v>73</v>
      </c>
      <c r="AA50" t="s">
        <v>73</v>
      </c>
      <c r="AB50" t="s">
        <v>1348</v>
      </c>
      <c r="AC50" t="s">
        <v>1348</v>
      </c>
      <c r="AG50" t="s">
        <v>1348</v>
      </c>
      <c r="AH50" t="s">
        <v>1348</v>
      </c>
      <c r="AI50" t="s">
        <v>73</v>
      </c>
      <c r="AJ50" t="s">
        <v>73</v>
      </c>
      <c r="AK50" t="s">
        <v>73</v>
      </c>
      <c r="AL50" t="s">
        <v>73</v>
      </c>
      <c r="AM50" t="s">
        <v>73</v>
      </c>
      <c r="AN50" t="s">
        <v>73</v>
      </c>
      <c r="AO50" t="s">
        <v>1348</v>
      </c>
      <c r="AP50" t="s">
        <v>1348</v>
      </c>
      <c r="AQ50" t="s">
        <v>1348</v>
      </c>
      <c r="AU50" t="s">
        <v>73</v>
      </c>
      <c r="AV50" t="s">
        <v>73</v>
      </c>
      <c r="AW50" t="s">
        <v>73</v>
      </c>
      <c r="AX50" t="s">
        <v>73</v>
      </c>
      <c r="AY50" t="s">
        <v>73</v>
      </c>
      <c r="AZ50" t="s">
        <v>73</v>
      </c>
      <c r="BA50" t="s">
        <v>73</v>
      </c>
      <c r="BB50" t="s">
        <v>73</v>
      </c>
      <c r="BC50" s="205" t="s">
        <v>73</v>
      </c>
    </row>
    <row r="51" spans="2:55" ht="9" customHeight="1">
      <c r="B51" s="204" t="s">
        <v>73</v>
      </c>
      <c r="C51" t="s">
        <v>73</v>
      </c>
      <c r="D51" t="s">
        <v>73</v>
      </c>
      <c r="E51" t="s">
        <v>73</v>
      </c>
      <c r="F51" t="s">
        <v>73</v>
      </c>
      <c r="G51" t="s">
        <v>73</v>
      </c>
      <c r="H51" t="s">
        <v>73</v>
      </c>
      <c r="I51" t="s">
        <v>73</v>
      </c>
      <c r="J51" t="s">
        <v>73</v>
      </c>
      <c r="K51" t="s">
        <v>73</v>
      </c>
      <c r="L51" t="s">
        <v>73</v>
      </c>
      <c r="M51" t="s">
        <v>73</v>
      </c>
      <c r="P51" t="s">
        <v>1348</v>
      </c>
      <c r="Q51" t="s">
        <v>1348</v>
      </c>
      <c r="R51" t="s">
        <v>1348</v>
      </c>
      <c r="S51" t="s">
        <v>73</v>
      </c>
      <c r="T51" t="s">
        <v>73</v>
      </c>
      <c r="U51" t="s">
        <v>73</v>
      </c>
      <c r="V51" t="s">
        <v>73</v>
      </c>
      <c r="W51" t="s">
        <v>73</v>
      </c>
      <c r="X51" t="s">
        <v>73</v>
      </c>
      <c r="Y51" t="s">
        <v>73</v>
      </c>
      <c r="Z51" t="s">
        <v>73</v>
      </c>
      <c r="AA51" t="s">
        <v>73</v>
      </c>
      <c r="AB51" t="s">
        <v>1348</v>
      </c>
      <c r="AC51" t="s">
        <v>1348</v>
      </c>
      <c r="AG51" t="s">
        <v>1348</v>
      </c>
      <c r="AH51" t="s">
        <v>1348</v>
      </c>
      <c r="AI51" t="s">
        <v>73</v>
      </c>
      <c r="AJ51" t="s">
        <v>73</v>
      </c>
      <c r="AK51" t="s">
        <v>73</v>
      </c>
      <c r="AL51" t="s">
        <v>73</v>
      </c>
      <c r="AM51" t="s">
        <v>73</v>
      </c>
      <c r="AN51" t="s">
        <v>73</v>
      </c>
      <c r="AO51" t="s">
        <v>1348</v>
      </c>
      <c r="AP51" t="s">
        <v>1348</v>
      </c>
      <c r="AQ51" t="s">
        <v>1348</v>
      </c>
      <c r="AU51" t="s">
        <v>73</v>
      </c>
      <c r="AV51" t="s">
        <v>73</v>
      </c>
      <c r="AW51" t="s">
        <v>73</v>
      </c>
      <c r="AX51" t="s">
        <v>73</v>
      </c>
      <c r="AY51" t="s">
        <v>73</v>
      </c>
      <c r="AZ51" t="s">
        <v>73</v>
      </c>
      <c r="BA51" t="s">
        <v>73</v>
      </c>
      <c r="BB51" t="s">
        <v>73</v>
      </c>
      <c r="BC51" s="205" t="s">
        <v>73</v>
      </c>
    </row>
    <row r="52" spans="2:55" ht="9" customHeight="1">
      <c r="B52" s="204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  <c r="H52" t="s">
        <v>73</v>
      </c>
      <c r="I52" t="s">
        <v>73</v>
      </c>
      <c r="J52" t="s">
        <v>73</v>
      </c>
      <c r="K52" t="s">
        <v>73</v>
      </c>
      <c r="L52" t="s">
        <v>73</v>
      </c>
      <c r="M52" t="s">
        <v>73</v>
      </c>
      <c r="P52" t="s">
        <v>1348</v>
      </c>
      <c r="Q52" t="s">
        <v>1348</v>
      </c>
      <c r="R52" t="s">
        <v>1348</v>
      </c>
      <c r="S52" t="s">
        <v>73</v>
      </c>
      <c r="T52" t="s">
        <v>73</v>
      </c>
      <c r="U52" t="s">
        <v>73</v>
      </c>
      <c r="V52" t="s">
        <v>73</v>
      </c>
      <c r="W52" t="s">
        <v>73</v>
      </c>
      <c r="X52" t="s">
        <v>73</v>
      </c>
      <c r="Y52" t="s">
        <v>73</v>
      </c>
      <c r="Z52" t="s">
        <v>73</v>
      </c>
      <c r="AA52" t="s">
        <v>73</v>
      </c>
      <c r="AB52" t="s">
        <v>1348</v>
      </c>
      <c r="AC52" t="s">
        <v>1348</v>
      </c>
      <c r="AG52" t="s">
        <v>1348</v>
      </c>
      <c r="AH52" t="s">
        <v>1348</v>
      </c>
      <c r="AI52" t="s">
        <v>73</v>
      </c>
      <c r="AJ52" t="s">
        <v>73</v>
      </c>
      <c r="AK52" t="s">
        <v>73</v>
      </c>
      <c r="AL52" t="s">
        <v>73</v>
      </c>
      <c r="AM52" t="s">
        <v>73</v>
      </c>
      <c r="AN52" t="s">
        <v>73</v>
      </c>
      <c r="AO52" t="s">
        <v>1348</v>
      </c>
      <c r="AP52" t="s">
        <v>1348</v>
      </c>
      <c r="AQ52" t="s">
        <v>1348</v>
      </c>
      <c r="AU52" t="s">
        <v>73</v>
      </c>
      <c r="AV52" t="s">
        <v>73</v>
      </c>
      <c r="AW52" t="s">
        <v>73</v>
      </c>
      <c r="AX52" t="s">
        <v>73</v>
      </c>
      <c r="AY52" t="s">
        <v>73</v>
      </c>
      <c r="AZ52" t="s">
        <v>73</v>
      </c>
      <c r="BA52" t="s">
        <v>73</v>
      </c>
      <c r="BB52" t="s">
        <v>73</v>
      </c>
      <c r="BC52" s="205" t="s">
        <v>73</v>
      </c>
    </row>
    <row r="53" spans="2:55" ht="9" customHeight="1">
      <c r="B53" s="204" t="s">
        <v>73</v>
      </c>
      <c r="C53" t="s">
        <v>73</v>
      </c>
      <c r="D53" t="s">
        <v>73</v>
      </c>
      <c r="E53" t="s">
        <v>73</v>
      </c>
      <c r="F53" t="s">
        <v>73</v>
      </c>
      <c r="G53" t="s">
        <v>73</v>
      </c>
      <c r="H53" t="s">
        <v>73</v>
      </c>
      <c r="I53" t="s">
        <v>73</v>
      </c>
      <c r="J53" t="s">
        <v>73</v>
      </c>
      <c r="K53" t="s">
        <v>73</v>
      </c>
      <c r="L53" t="s">
        <v>73</v>
      </c>
      <c r="M53" t="s">
        <v>73</v>
      </c>
      <c r="P53" t="s">
        <v>1348</v>
      </c>
      <c r="Q53" t="s">
        <v>1348</v>
      </c>
      <c r="R53" t="s">
        <v>1348</v>
      </c>
      <c r="S53" t="s">
        <v>73</v>
      </c>
      <c r="T53" t="s">
        <v>73</v>
      </c>
      <c r="U53" t="s">
        <v>73</v>
      </c>
      <c r="V53" t="s">
        <v>73</v>
      </c>
      <c r="W53" t="s">
        <v>73</v>
      </c>
      <c r="X53" t="s">
        <v>73</v>
      </c>
      <c r="Y53" t="s">
        <v>73</v>
      </c>
      <c r="Z53" t="s">
        <v>73</v>
      </c>
      <c r="AA53" t="s">
        <v>73</v>
      </c>
      <c r="AB53" t="s">
        <v>1348</v>
      </c>
      <c r="AC53" t="s">
        <v>1348</v>
      </c>
      <c r="AG53" t="s">
        <v>1348</v>
      </c>
      <c r="AH53" t="s">
        <v>1348</v>
      </c>
      <c r="AI53" t="s">
        <v>73</v>
      </c>
      <c r="AJ53" t="s">
        <v>73</v>
      </c>
      <c r="AK53" t="s">
        <v>73</v>
      </c>
      <c r="AL53" t="s">
        <v>73</v>
      </c>
      <c r="AM53" t="s">
        <v>73</v>
      </c>
      <c r="AN53" t="s">
        <v>73</v>
      </c>
      <c r="AO53" t="s">
        <v>1348</v>
      </c>
      <c r="AP53" t="s">
        <v>1348</v>
      </c>
      <c r="AQ53" t="s">
        <v>1348</v>
      </c>
      <c r="AU53" t="s">
        <v>73</v>
      </c>
      <c r="AV53" t="s">
        <v>73</v>
      </c>
      <c r="AW53" t="s">
        <v>73</v>
      </c>
      <c r="AX53" t="s">
        <v>73</v>
      </c>
      <c r="AY53" t="s">
        <v>73</v>
      </c>
      <c r="AZ53" t="s">
        <v>73</v>
      </c>
      <c r="BA53" t="s">
        <v>73</v>
      </c>
      <c r="BB53" t="s">
        <v>73</v>
      </c>
      <c r="BC53" s="205" t="s">
        <v>73</v>
      </c>
    </row>
    <row r="54" spans="2:55" ht="9" customHeight="1">
      <c r="B54" s="204" t="s">
        <v>73</v>
      </c>
      <c r="C54" t="s">
        <v>73</v>
      </c>
      <c r="D54" t="s">
        <v>73</v>
      </c>
      <c r="E54" t="s">
        <v>73</v>
      </c>
      <c r="F54" t="s">
        <v>73</v>
      </c>
      <c r="G54" t="s">
        <v>73</v>
      </c>
      <c r="H54" t="s">
        <v>73</v>
      </c>
      <c r="I54" t="s">
        <v>73</v>
      </c>
      <c r="J54" t="s">
        <v>73</v>
      </c>
      <c r="K54" t="s">
        <v>73</v>
      </c>
      <c r="L54" t="s">
        <v>73</v>
      </c>
      <c r="M54" t="s">
        <v>73</v>
      </c>
      <c r="P54" t="s">
        <v>1348</v>
      </c>
      <c r="Q54" t="s">
        <v>1348</v>
      </c>
      <c r="R54" t="s">
        <v>1348</v>
      </c>
      <c r="S54" t="s">
        <v>73</v>
      </c>
      <c r="T54" t="s">
        <v>73</v>
      </c>
      <c r="U54" t="s">
        <v>73</v>
      </c>
      <c r="V54" t="s">
        <v>73</v>
      </c>
      <c r="W54" t="s">
        <v>73</v>
      </c>
      <c r="X54" t="s">
        <v>73</v>
      </c>
      <c r="Y54" t="s">
        <v>73</v>
      </c>
      <c r="Z54" t="s">
        <v>73</v>
      </c>
      <c r="AA54" t="s">
        <v>73</v>
      </c>
      <c r="AB54" t="s">
        <v>1348</v>
      </c>
      <c r="AC54" t="s">
        <v>1348</v>
      </c>
      <c r="AG54" t="s">
        <v>1348</v>
      </c>
      <c r="AH54" t="s">
        <v>1348</v>
      </c>
      <c r="AI54" t="s">
        <v>73</v>
      </c>
      <c r="AJ54" t="s">
        <v>73</v>
      </c>
      <c r="AK54" t="s">
        <v>73</v>
      </c>
      <c r="AL54" t="s">
        <v>73</v>
      </c>
      <c r="AM54" t="s">
        <v>73</v>
      </c>
      <c r="AN54" t="s">
        <v>73</v>
      </c>
      <c r="AO54" t="s">
        <v>1348</v>
      </c>
      <c r="AP54" t="s">
        <v>1348</v>
      </c>
      <c r="AQ54" t="s">
        <v>1348</v>
      </c>
      <c r="AU54" t="s">
        <v>73</v>
      </c>
      <c r="AV54" t="s">
        <v>73</v>
      </c>
      <c r="AW54" t="s">
        <v>73</v>
      </c>
      <c r="AX54" t="s">
        <v>73</v>
      </c>
      <c r="AY54" t="s">
        <v>73</v>
      </c>
      <c r="AZ54" t="s">
        <v>73</v>
      </c>
      <c r="BA54" t="s">
        <v>73</v>
      </c>
      <c r="BB54" t="s">
        <v>73</v>
      </c>
      <c r="BC54" s="205" t="s">
        <v>73</v>
      </c>
    </row>
    <row r="55" spans="2:55" ht="9" customHeight="1">
      <c r="B55" s="204" t="s">
        <v>73</v>
      </c>
      <c r="C55" t="s">
        <v>73</v>
      </c>
      <c r="D55" t="s">
        <v>73</v>
      </c>
      <c r="E55" t="s">
        <v>73</v>
      </c>
      <c r="F55" t="s">
        <v>73</v>
      </c>
      <c r="G55" t="s">
        <v>73</v>
      </c>
      <c r="H55" t="s">
        <v>73</v>
      </c>
      <c r="I55" t="s">
        <v>73</v>
      </c>
      <c r="J55" t="s">
        <v>73</v>
      </c>
      <c r="K55" t="s">
        <v>73</v>
      </c>
      <c r="L55" t="s">
        <v>73</v>
      </c>
      <c r="M55" t="s">
        <v>73</v>
      </c>
      <c r="P55" t="s">
        <v>1348</v>
      </c>
      <c r="Q55" t="s">
        <v>1348</v>
      </c>
      <c r="R55" t="s">
        <v>1348</v>
      </c>
      <c r="S55" t="s">
        <v>73</v>
      </c>
      <c r="T55" t="s">
        <v>73</v>
      </c>
      <c r="U55" t="s">
        <v>73</v>
      </c>
      <c r="V55" t="s">
        <v>73</v>
      </c>
      <c r="W55" t="s">
        <v>73</v>
      </c>
      <c r="X55" t="s">
        <v>73</v>
      </c>
      <c r="Y55" t="s">
        <v>73</v>
      </c>
      <c r="Z55" t="s">
        <v>73</v>
      </c>
      <c r="AA55" t="s">
        <v>73</v>
      </c>
      <c r="AB55" t="s">
        <v>1348</v>
      </c>
      <c r="AC55" t="s">
        <v>1348</v>
      </c>
      <c r="AG55" t="s">
        <v>1348</v>
      </c>
      <c r="AH55" t="s">
        <v>1348</v>
      </c>
      <c r="AI55" t="s">
        <v>73</v>
      </c>
      <c r="AJ55" t="s">
        <v>73</v>
      </c>
      <c r="AK55" t="s">
        <v>73</v>
      </c>
      <c r="AL55" t="s">
        <v>73</v>
      </c>
      <c r="AM55" t="s">
        <v>73</v>
      </c>
      <c r="AN55" t="s">
        <v>73</v>
      </c>
      <c r="AO55" t="s">
        <v>1348</v>
      </c>
      <c r="AP55" t="s">
        <v>1348</v>
      </c>
      <c r="AQ55" t="s">
        <v>1348</v>
      </c>
      <c r="AU55" t="s">
        <v>73</v>
      </c>
      <c r="AV55" t="s">
        <v>73</v>
      </c>
      <c r="AW55" t="s">
        <v>73</v>
      </c>
      <c r="AX55" t="s">
        <v>73</v>
      </c>
      <c r="AY55" t="s">
        <v>73</v>
      </c>
      <c r="AZ55" t="s">
        <v>73</v>
      </c>
      <c r="BA55" t="s">
        <v>73</v>
      </c>
      <c r="BB55" t="s">
        <v>73</v>
      </c>
      <c r="BC55" s="205" t="s">
        <v>73</v>
      </c>
    </row>
    <row r="56" spans="2:55" ht="9" customHeight="1">
      <c r="B56" s="204" t="s">
        <v>73</v>
      </c>
      <c r="C56" t="s">
        <v>73</v>
      </c>
      <c r="D56" t="s">
        <v>73</v>
      </c>
      <c r="E56" t="s">
        <v>73</v>
      </c>
      <c r="F56" t="s">
        <v>73</v>
      </c>
      <c r="G56" t="s">
        <v>73</v>
      </c>
      <c r="H56" t="s">
        <v>73</v>
      </c>
      <c r="I56" t="s">
        <v>73</v>
      </c>
      <c r="J56" t="s">
        <v>73</v>
      </c>
      <c r="K56" t="s">
        <v>73</v>
      </c>
      <c r="L56" t="s">
        <v>73</v>
      </c>
      <c r="M56" t="s">
        <v>73</v>
      </c>
      <c r="P56" t="s">
        <v>1348</v>
      </c>
      <c r="Q56" t="s">
        <v>1348</v>
      </c>
      <c r="R56" t="s">
        <v>1348</v>
      </c>
      <c r="S56" t="s">
        <v>73</v>
      </c>
      <c r="T56" t="s">
        <v>73</v>
      </c>
      <c r="U56" t="s">
        <v>73</v>
      </c>
      <c r="V56" t="s">
        <v>73</v>
      </c>
      <c r="W56" t="s">
        <v>73</v>
      </c>
      <c r="X56" t="s">
        <v>73</v>
      </c>
      <c r="Y56" t="s">
        <v>73</v>
      </c>
      <c r="Z56" t="s">
        <v>73</v>
      </c>
      <c r="AA56" t="s">
        <v>73</v>
      </c>
      <c r="AB56" t="s">
        <v>1348</v>
      </c>
      <c r="AC56" t="s">
        <v>1348</v>
      </c>
      <c r="AE56" t="s">
        <v>73</v>
      </c>
      <c r="AG56" t="s">
        <v>1348</v>
      </c>
      <c r="AH56" t="s">
        <v>1348</v>
      </c>
      <c r="AI56" t="s">
        <v>73</v>
      </c>
      <c r="AJ56" t="s">
        <v>73</v>
      </c>
      <c r="AK56" t="s">
        <v>73</v>
      </c>
      <c r="AL56" t="s">
        <v>73</v>
      </c>
      <c r="AM56" t="s">
        <v>73</v>
      </c>
      <c r="AN56" t="s">
        <v>73</v>
      </c>
      <c r="AO56" t="s">
        <v>1348</v>
      </c>
      <c r="AP56" t="s">
        <v>1348</v>
      </c>
      <c r="AQ56" t="s">
        <v>1348</v>
      </c>
      <c r="AU56" t="s">
        <v>73</v>
      </c>
      <c r="AV56" t="s">
        <v>73</v>
      </c>
      <c r="AW56" t="s">
        <v>73</v>
      </c>
      <c r="AX56" t="s">
        <v>73</v>
      </c>
      <c r="AY56" t="s">
        <v>73</v>
      </c>
      <c r="AZ56" t="s">
        <v>73</v>
      </c>
      <c r="BA56" t="s">
        <v>73</v>
      </c>
      <c r="BB56" t="s">
        <v>73</v>
      </c>
      <c r="BC56" s="205" t="s">
        <v>73</v>
      </c>
    </row>
    <row r="57" spans="2:55" ht="9" customHeight="1">
      <c r="B57" s="204" t="s">
        <v>73</v>
      </c>
      <c r="C57" t="s">
        <v>73</v>
      </c>
      <c r="D57" t="s">
        <v>73</v>
      </c>
      <c r="E57" t="s">
        <v>1348</v>
      </c>
      <c r="F57" t="s">
        <v>1348</v>
      </c>
      <c r="G57" t="s">
        <v>1348</v>
      </c>
      <c r="H57" t="s">
        <v>1348</v>
      </c>
      <c r="I57" t="s">
        <v>1348</v>
      </c>
      <c r="J57" t="s">
        <v>1348</v>
      </c>
      <c r="K57" t="s">
        <v>1348</v>
      </c>
      <c r="L57" t="s">
        <v>1348</v>
      </c>
      <c r="M57" t="s">
        <v>1348</v>
      </c>
      <c r="P57" t="s">
        <v>1348</v>
      </c>
      <c r="Q57" t="s">
        <v>1348</v>
      </c>
      <c r="R57" t="s">
        <v>1348</v>
      </c>
      <c r="S57" t="s">
        <v>1348</v>
      </c>
      <c r="T57" t="s">
        <v>1348</v>
      </c>
      <c r="U57" t="s">
        <v>1348</v>
      </c>
      <c r="V57" t="s">
        <v>1348</v>
      </c>
      <c r="W57" t="s">
        <v>1348</v>
      </c>
      <c r="X57" t="s">
        <v>1348</v>
      </c>
      <c r="Y57" t="s">
        <v>1348</v>
      </c>
      <c r="Z57" t="s">
        <v>1348</v>
      </c>
      <c r="AA57" t="s">
        <v>1348</v>
      </c>
      <c r="AB57" t="s">
        <v>1348</v>
      </c>
      <c r="AC57" t="s">
        <v>1348</v>
      </c>
      <c r="AD57" t="s">
        <v>73</v>
      </c>
      <c r="AE57" t="s">
        <v>73</v>
      </c>
      <c r="AF57" t="s">
        <v>73</v>
      </c>
      <c r="AG57" t="s">
        <v>1348</v>
      </c>
      <c r="AH57" t="s">
        <v>1348</v>
      </c>
      <c r="AI57" t="s">
        <v>1348</v>
      </c>
      <c r="AJ57" t="s">
        <v>1348</v>
      </c>
      <c r="AK57" t="s">
        <v>1348</v>
      </c>
      <c r="AL57" t="s">
        <v>1348</v>
      </c>
      <c r="AM57" t="s">
        <v>1348</v>
      </c>
      <c r="AN57" t="s">
        <v>1348</v>
      </c>
      <c r="AO57" t="s">
        <v>1348</v>
      </c>
      <c r="AP57" t="s">
        <v>1348</v>
      </c>
      <c r="AQ57" t="s">
        <v>1348</v>
      </c>
      <c r="AU57" t="s">
        <v>1348</v>
      </c>
      <c r="AV57" t="s">
        <v>1348</v>
      </c>
      <c r="AW57" t="s">
        <v>1348</v>
      </c>
      <c r="AX57" t="s">
        <v>1348</v>
      </c>
      <c r="AY57" t="s">
        <v>1348</v>
      </c>
      <c r="AZ57" t="s">
        <v>1348</v>
      </c>
      <c r="BA57" t="s">
        <v>73</v>
      </c>
      <c r="BB57" t="s">
        <v>73</v>
      </c>
      <c r="BC57" s="205" t="s">
        <v>73</v>
      </c>
    </row>
    <row r="58" spans="2:55" ht="9" customHeight="1">
      <c r="B58" s="204" t="s">
        <v>73</v>
      </c>
      <c r="C58" t="s">
        <v>73</v>
      </c>
      <c r="D58" t="s">
        <v>73</v>
      </c>
      <c r="E58" t="s">
        <v>1348</v>
      </c>
      <c r="F58" t="s">
        <v>1348</v>
      </c>
      <c r="G58" t="s">
        <v>1348</v>
      </c>
      <c r="H58" t="s">
        <v>1348</v>
      </c>
      <c r="I58" t="s">
        <v>1348</v>
      </c>
      <c r="J58" t="s">
        <v>1348</v>
      </c>
      <c r="K58" t="s">
        <v>1348</v>
      </c>
      <c r="L58" t="s">
        <v>1348</v>
      </c>
      <c r="M58" t="s">
        <v>1348</v>
      </c>
      <c r="P58" t="s">
        <v>1348</v>
      </c>
      <c r="Q58" t="s">
        <v>1348</v>
      </c>
      <c r="R58" t="s">
        <v>1348</v>
      </c>
      <c r="S58" t="s">
        <v>1348</v>
      </c>
      <c r="T58" t="s">
        <v>1348</v>
      </c>
      <c r="U58" t="s">
        <v>1348</v>
      </c>
      <c r="V58" t="s">
        <v>1348</v>
      </c>
      <c r="W58" t="s">
        <v>1348</v>
      </c>
      <c r="X58" t="s">
        <v>1348</v>
      </c>
      <c r="Y58" t="s">
        <v>1348</v>
      </c>
      <c r="Z58" t="s">
        <v>1348</v>
      </c>
      <c r="AA58" t="s">
        <v>1348</v>
      </c>
      <c r="AB58" t="s">
        <v>1348</v>
      </c>
      <c r="AC58" t="s">
        <v>1348</v>
      </c>
      <c r="AD58" t="s">
        <v>73</v>
      </c>
      <c r="AE58" t="s">
        <v>73</v>
      </c>
      <c r="AF58" t="s">
        <v>73</v>
      </c>
      <c r="AG58" t="s">
        <v>1348</v>
      </c>
      <c r="AH58" t="s">
        <v>1348</v>
      </c>
      <c r="AI58" t="s">
        <v>1348</v>
      </c>
      <c r="AJ58" t="s">
        <v>1348</v>
      </c>
      <c r="AK58" t="s">
        <v>1348</v>
      </c>
      <c r="AL58" t="s">
        <v>1348</v>
      </c>
      <c r="AM58" t="s">
        <v>1348</v>
      </c>
      <c r="AN58" t="s">
        <v>1348</v>
      </c>
      <c r="AO58" t="s">
        <v>1348</v>
      </c>
      <c r="AP58" t="s">
        <v>1348</v>
      </c>
      <c r="AQ58" t="s">
        <v>1348</v>
      </c>
      <c r="AU58" t="s">
        <v>1348</v>
      </c>
      <c r="AV58" t="s">
        <v>1348</v>
      </c>
      <c r="AW58" t="s">
        <v>1348</v>
      </c>
      <c r="AX58" t="s">
        <v>1348</v>
      </c>
      <c r="AY58" t="s">
        <v>1348</v>
      </c>
      <c r="AZ58" t="s">
        <v>1348</v>
      </c>
      <c r="BA58" t="s">
        <v>73</v>
      </c>
      <c r="BB58" t="s">
        <v>73</v>
      </c>
      <c r="BC58" s="205" t="s">
        <v>73</v>
      </c>
    </row>
    <row r="59" spans="2:55" ht="9" customHeight="1">
      <c r="B59" s="204" t="s">
        <v>73</v>
      </c>
      <c r="C59" t="s">
        <v>73</v>
      </c>
      <c r="D59" t="s">
        <v>73</v>
      </c>
      <c r="E59" t="s">
        <v>1348</v>
      </c>
      <c r="F59" t="s">
        <v>1348</v>
      </c>
      <c r="G59" t="s">
        <v>1348</v>
      </c>
      <c r="H59" t="s">
        <v>1348</v>
      </c>
      <c r="I59" t="s">
        <v>1348</v>
      </c>
      <c r="J59" t="s">
        <v>1348</v>
      </c>
      <c r="K59" t="s">
        <v>1348</v>
      </c>
      <c r="L59" t="s">
        <v>1348</v>
      </c>
      <c r="M59" t="s">
        <v>1348</v>
      </c>
      <c r="Q59" t="s">
        <v>1348</v>
      </c>
      <c r="R59" t="s">
        <v>1348</v>
      </c>
      <c r="S59" t="s">
        <v>1348</v>
      </c>
      <c r="T59" t="s">
        <v>1348</v>
      </c>
      <c r="U59" t="s">
        <v>1348</v>
      </c>
      <c r="V59" t="s">
        <v>1348</v>
      </c>
      <c r="W59" t="s">
        <v>1348</v>
      </c>
      <c r="X59" t="s">
        <v>1348</v>
      </c>
      <c r="Y59" t="s">
        <v>1348</v>
      </c>
      <c r="Z59" t="s">
        <v>1348</v>
      </c>
      <c r="AA59" t="s">
        <v>1348</v>
      </c>
      <c r="AB59" t="s">
        <v>1348</v>
      </c>
      <c r="AE59" t="s">
        <v>73</v>
      </c>
      <c r="AH59" t="s">
        <v>1348</v>
      </c>
      <c r="AI59" t="s">
        <v>1348</v>
      </c>
      <c r="AJ59" t="s">
        <v>1348</v>
      </c>
      <c r="AK59" t="s">
        <v>1348</v>
      </c>
      <c r="AL59" t="s">
        <v>1348</v>
      </c>
      <c r="AM59" t="s">
        <v>1348</v>
      </c>
      <c r="AN59" t="s">
        <v>1348</v>
      </c>
      <c r="AO59" t="s">
        <v>1348</v>
      </c>
      <c r="AP59" t="s">
        <v>1348</v>
      </c>
      <c r="AT59" t="s">
        <v>1348</v>
      </c>
      <c r="AU59" t="s">
        <v>1348</v>
      </c>
      <c r="AV59" t="s">
        <v>1348</v>
      </c>
      <c r="AW59" t="s">
        <v>1348</v>
      </c>
      <c r="AX59" t="s">
        <v>1348</v>
      </c>
      <c r="AY59" t="s">
        <v>1348</v>
      </c>
      <c r="AZ59" t="s">
        <v>1348</v>
      </c>
      <c r="BA59" t="s">
        <v>73</v>
      </c>
      <c r="BB59" t="s">
        <v>73</v>
      </c>
      <c r="BC59" s="205" t="s">
        <v>73</v>
      </c>
    </row>
    <row r="60" spans="2:55" ht="9" customHeight="1">
      <c r="B60" s="204" t="s">
        <v>73</v>
      </c>
      <c r="C60" t="s">
        <v>73</v>
      </c>
      <c r="D60" t="s">
        <v>73</v>
      </c>
      <c r="E60" t="s">
        <v>1348</v>
      </c>
      <c r="F60" t="s">
        <v>1348</v>
      </c>
      <c r="G60" t="s">
        <v>1348</v>
      </c>
      <c r="H60" t="s">
        <v>1348</v>
      </c>
      <c r="I60" t="s">
        <v>1348</v>
      </c>
      <c r="J60" t="s">
        <v>1348</v>
      </c>
      <c r="K60" t="s">
        <v>1348</v>
      </c>
      <c r="L60" t="s">
        <v>1348</v>
      </c>
      <c r="M60" t="s">
        <v>1348</v>
      </c>
      <c r="R60" t="s">
        <v>1348</v>
      </c>
      <c r="S60" t="s">
        <v>1348</v>
      </c>
      <c r="T60" t="s">
        <v>1348</v>
      </c>
      <c r="U60" t="s">
        <v>1348</v>
      </c>
      <c r="V60" t="s">
        <v>1348</v>
      </c>
      <c r="W60" t="s">
        <v>1348</v>
      </c>
      <c r="X60" t="s">
        <v>1348</v>
      </c>
      <c r="Y60" t="s">
        <v>1348</v>
      </c>
      <c r="Z60" t="s">
        <v>1348</v>
      </c>
      <c r="AA60" t="s">
        <v>1348</v>
      </c>
      <c r="AI60" t="s">
        <v>1348</v>
      </c>
      <c r="AJ60" t="s">
        <v>1348</v>
      </c>
      <c r="AK60" t="s">
        <v>1348</v>
      </c>
      <c r="AL60" t="s">
        <v>1348</v>
      </c>
      <c r="AM60" t="s">
        <v>1348</v>
      </c>
      <c r="AN60" t="s">
        <v>1348</v>
      </c>
      <c r="AO60" t="s">
        <v>1348</v>
      </c>
      <c r="AT60" t="s">
        <v>1348</v>
      </c>
      <c r="AU60" t="s">
        <v>1348</v>
      </c>
      <c r="AV60" t="s">
        <v>1348</v>
      </c>
      <c r="AW60" t="s">
        <v>1348</v>
      </c>
      <c r="AX60" t="s">
        <v>1348</v>
      </c>
      <c r="AY60" t="s">
        <v>1348</v>
      </c>
      <c r="AZ60" t="s">
        <v>1348</v>
      </c>
      <c r="BA60" t="s">
        <v>73</v>
      </c>
      <c r="BB60" t="s">
        <v>73</v>
      </c>
      <c r="BC60" s="205" t="s">
        <v>73</v>
      </c>
    </row>
    <row r="61" spans="2:55" ht="9" customHeight="1">
      <c r="B61" s="204" t="s">
        <v>73</v>
      </c>
      <c r="C61" t="s">
        <v>73</v>
      </c>
      <c r="D61" t="s">
        <v>73</v>
      </c>
      <c r="E61" t="s">
        <v>1348</v>
      </c>
      <c r="F61" t="s">
        <v>1348</v>
      </c>
      <c r="G61" t="s">
        <v>1348</v>
      </c>
      <c r="H61" t="s">
        <v>1348</v>
      </c>
      <c r="I61" t="s">
        <v>1348</v>
      </c>
      <c r="J61" t="s">
        <v>1348</v>
      </c>
      <c r="K61" t="s">
        <v>1348</v>
      </c>
      <c r="L61" t="s">
        <v>1348</v>
      </c>
      <c r="AO61" t="s">
        <v>73</v>
      </c>
      <c r="AT61" t="s">
        <v>1348</v>
      </c>
      <c r="AU61" t="s">
        <v>1348</v>
      </c>
      <c r="AV61" t="s">
        <v>1348</v>
      </c>
      <c r="AW61" t="s">
        <v>1348</v>
      </c>
      <c r="AX61" t="s">
        <v>1348</v>
      </c>
      <c r="AY61" t="s">
        <v>1348</v>
      </c>
      <c r="AZ61" t="s">
        <v>1348</v>
      </c>
      <c r="BA61" t="s">
        <v>73</v>
      </c>
      <c r="BB61" t="s">
        <v>73</v>
      </c>
      <c r="BC61" s="205" t="s">
        <v>73</v>
      </c>
    </row>
    <row r="62" spans="2:55" ht="9" customHeight="1">
      <c r="B62" s="204" t="s">
        <v>73</v>
      </c>
      <c r="C62" t="s">
        <v>73</v>
      </c>
      <c r="D62" t="s">
        <v>73</v>
      </c>
      <c r="E62" t="s">
        <v>1348</v>
      </c>
      <c r="F62" t="s">
        <v>1348</v>
      </c>
      <c r="G62" t="s">
        <v>1348</v>
      </c>
      <c r="H62" t="s">
        <v>1348</v>
      </c>
      <c r="I62" t="s">
        <v>1348</v>
      </c>
      <c r="J62" t="s">
        <v>1348</v>
      </c>
      <c r="K62" t="s">
        <v>1348</v>
      </c>
      <c r="L62" t="s">
        <v>1348</v>
      </c>
      <c r="AG62" t="s">
        <v>73</v>
      </c>
      <c r="AS62" t="s">
        <v>1348</v>
      </c>
      <c r="AT62" t="s">
        <v>1348</v>
      </c>
      <c r="AU62" t="s">
        <v>1348</v>
      </c>
      <c r="AV62" t="s">
        <v>1348</v>
      </c>
      <c r="AW62" t="s">
        <v>1348</v>
      </c>
      <c r="AX62" t="s">
        <v>1348</v>
      </c>
      <c r="AY62" t="s">
        <v>1348</v>
      </c>
      <c r="AZ62" t="s">
        <v>1348</v>
      </c>
      <c r="BA62" t="s">
        <v>73</v>
      </c>
      <c r="BB62" t="s">
        <v>73</v>
      </c>
      <c r="BC62" s="205" t="s">
        <v>73</v>
      </c>
    </row>
    <row r="63" spans="2:55" ht="9" customHeight="1">
      <c r="B63" s="204" t="s">
        <v>73</v>
      </c>
      <c r="C63" t="s">
        <v>73</v>
      </c>
      <c r="D63" t="s">
        <v>73</v>
      </c>
      <c r="E63" t="s">
        <v>1348</v>
      </c>
      <c r="F63" t="s">
        <v>1348</v>
      </c>
      <c r="G63" t="s">
        <v>1348</v>
      </c>
      <c r="H63" t="s">
        <v>1348</v>
      </c>
      <c r="I63" t="s">
        <v>1348</v>
      </c>
      <c r="J63" t="s">
        <v>1348</v>
      </c>
      <c r="K63" t="s">
        <v>1348</v>
      </c>
      <c r="L63" t="s">
        <v>1348</v>
      </c>
      <c r="AS63" t="s">
        <v>1348</v>
      </c>
      <c r="AT63" t="s">
        <v>1348</v>
      </c>
      <c r="AU63" t="s">
        <v>1348</v>
      </c>
      <c r="AV63" t="s">
        <v>1348</v>
      </c>
      <c r="AW63" t="s">
        <v>1348</v>
      </c>
      <c r="AX63" t="s">
        <v>1348</v>
      </c>
      <c r="AY63" t="s">
        <v>1348</v>
      </c>
      <c r="AZ63" t="s">
        <v>1348</v>
      </c>
      <c r="BA63" t="s">
        <v>73</v>
      </c>
      <c r="BB63" t="s">
        <v>73</v>
      </c>
      <c r="BC63" s="205" t="s">
        <v>73</v>
      </c>
    </row>
    <row r="64" spans="2:55" ht="9" customHeight="1">
      <c r="B64" s="204" t="s">
        <v>73</v>
      </c>
      <c r="C64" t="s">
        <v>73</v>
      </c>
      <c r="D64" t="s">
        <v>73</v>
      </c>
      <c r="E64" t="s">
        <v>73</v>
      </c>
      <c r="F64" t="s">
        <v>73</v>
      </c>
      <c r="G64" t="s">
        <v>73</v>
      </c>
      <c r="H64" t="s">
        <v>73</v>
      </c>
      <c r="I64" t="s">
        <v>73</v>
      </c>
      <c r="J64" t="s">
        <v>73</v>
      </c>
      <c r="K64" t="s">
        <v>73</v>
      </c>
      <c r="L64" t="s">
        <v>73</v>
      </c>
      <c r="M64" t="s">
        <v>73</v>
      </c>
      <c r="N64" t="s">
        <v>73</v>
      </c>
      <c r="O64" t="s">
        <v>73</v>
      </c>
      <c r="P64" t="s">
        <v>73</v>
      </c>
      <c r="Q64" t="s">
        <v>73</v>
      </c>
      <c r="R64" t="s">
        <v>73</v>
      </c>
      <c r="S64" t="s">
        <v>73</v>
      </c>
      <c r="T64" t="s">
        <v>73</v>
      </c>
      <c r="U64" t="s">
        <v>73</v>
      </c>
      <c r="V64" t="s">
        <v>73</v>
      </c>
      <c r="W64" t="s">
        <v>73</v>
      </c>
      <c r="X64" t="s">
        <v>73</v>
      </c>
      <c r="Y64" t="s">
        <v>73</v>
      </c>
      <c r="Z64" t="s">
        <v>73</v>
      </c>
      <c r="AA64" t="s">
        <v>73</v>
      </c>
      <c r="AB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AY64" t="s">
        <v>73</v>
      </c>
      <c r="AZ64" t="s">
        <v>73</v>
      </c>
      <c r="BA64" t="s">
        <v>73</v>
      </c>
      <c r="BB64" t="s">
        <v>73</v>
      </c>
      <c r="BC64" s="205" t="s">
        <v>73</v>
      </c>
    </row>
    <row r="65" spans="2:94" ht="9" customHeight="1">
      <c r="B65" s="204" t="s">
        <v>73</v>
      </c>
      <c r="C65" t="s">
        <v>73</v>
      </c>
      <c r="D65" t="s">
        <v>73</v>
      </c>
      <c r="E65" t="s">
        <v>73</v>
      </c>
      <c r="F65" t="s">
        <v>73</v>
      </c>
      <c r="G65" t="s">
        <v>73</v>
      </c>
      <c r="H65" t="s">
        <v>73</v>
      </c>
      <c r="I65" t="s">
        <v>73</v>
      </c>
      <c r="J65" t="s">
        <v>73</v>
      </c>
      <c r="K65" t="s">
        <v>73</v>
      </c>
      <c r="L65" t="s">
        <v>73</v>
      </c>
      <c r="M65" t="s">
        <v>73</v>
      </c>
      <c r="N65" t="s">
        <v>73</v>
      </c>
      <c r="O65" t="s">
        <v>73</v>
      </c>
      <c r="P65" t="s">
        <v>73</v>
      </c>
      <c r="Q65" t="s">
        <v>73</v>
      </c>
      <c r="R65" t="s">
        <v>73</v>
      </c>
      <c r="S65" t="s">
        <v>73</v>
      </c>
      <c r="T65" t="s">
        <v>73</v>
      </c>
      <c r="U65" t="s">
        <v>73</v>
      </c>
      <c r="V65" t="s">
        <v>73</v>
      </c>
      <c r="W65" t="s">
        <v>73</v>
      </c>
      <c r="X65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1438</v>
      </c>
      <c r="AE65" t="s">
        <v>1438</v>
      </c>
      <c r="AF65" t="s">
        <v>1438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73</v>
      </c>
      <c r="BA65" t="s">
        <v>73</v>
      </c>
      <c r="BB65" t="s">
        <v>73</v>
      </c>
      <c r="BC65" s="205" t="s">
        <v>73</v>
      </c>
      <c r="CP65" s="235"/>
    </row>
    <row r="66" spans="2:94" ht="9" customHeight="1">
      <c r="B66" s="204" t="s">
        <v>73</v>
      </c>
      <c r="C66" t="s">
        <v>73</v>
      </c>
      <c r="D66" t="s">
        <v>73</v>
      </c>
      <c r="E66" t="s">
        <v>73</v>
      </c>
      <c r="F66" t="s">
        <v>73</v>
      </c>
      <c r="G66" t="s">
        <v>73</v>
      </c>
      <c r="H66" t="s">
        <v>73</v>
      </c>
      <c r="I66" t="s">
        <v>73</v>
      </c>
      <c r="J66" t="s">
        <v>73</v>
      </c>
      <c r="K66" t="s">
        <v>73</v>
      </c>
      <c r="L66" t="s">
        <v>73</v>
      </c>
      <c r="M66" t="s">
        <v>73</v>
      </c>
      <c r="N66" t="s">
        <v>73</v>
      </c>
      <c r="O66" t="s">
        <v>73</v>
      </c>
      <c r="P66" t="s">
        <v>73</v>
      </c>
      <c r="Q66" t="s">
        <v>73</v>
      </c>
      <c r="R66" t="s">
        <v>73</v>
      </c>
      <c r="S66" t="s">
        <v>73</v>
      </c>
      <c r="T66" t="s">
        <v>73</v>
      </c>
      <c r="U66" t="s">
        <v>73</v>
      </c>
      <c r="V66" t="s">
        <v>73</v>
      </c>
      <c r="W66" t="s">
        <v>73</v>
      </c>
      <c r="X66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s="205" t="s">
        <v>73</v>
      </c>
      <c r="CP66" s="235"/>
    </row>
    <row r="67" spans="2:94" ht="9" customHeight="1">
      <c r="B67" s="204" t="s">
        <v>73</v>
      </c>
      <c r="C67" t="s">
        <v>73</v>
      </c>
      <c r="D67" t="s">
        <v>73</v>
      </c>
      <c r="E67" t="s">
        <v>73</v>
      </c>
      <c r="F67" t="s">
        <v>73</v>
      </c>
      <c r="G67" t="s">
        <v>73</v>
      </c>
      <c r="H67" t="s">
        <v>73</v>
      </c>
      <c r="I67" t="s">
        <v>73</v>
      </c>
      <c r="J67" t="s">
        <v>73</v>
      </c>
      <c r="K67" t="s">
        <v>73</v>
      </c>
      <c r="L67" t="s">
        <v>73</v>
      </c>
      <c r="M67" t="s">
        <v>73</v>
      </c>
      <c r="N67" t="s">
        <v>73</v>
      </c>
      <c r="O67" t="s">
        <v>73</v>
      </c>
      <c r="P67" t="s">
        <v>73</v>
      </c>
      <c r="Q67" t="s">
        <v>73</v>
      </c>
      <c r="R67" t="s">
        <v>73</v>
      </c>
      <c r="S67" t="s">
        <v>73</v>
      </c>
      <c r="T67" t="s">
        <v>73</v>
      </c>
      <c r="U67" t="s">
        <v>73</v>
      </c>
      <c r="V67" t="s">
        <v>73</v>
      </c>
      <c r="W67" t="s">
        <v>73</v>
      </c>
      <c r="X67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s="205" t="s">
        <v>73</v>
      </c>
      <c r="CP67" s="235"/>
    </row>
    <row r="68" spans="2:94" ht="9" customHeight="1">
      <c r="B68" s="204" t="s">
        <v>73</v>
      </c>
      <c r="C68" t="s">
        <v>73</v>
      </c>
      <c r="D68" t="s">
        <v>73</v>
      </c>
      <c r="E68" t="s">
        <v>73</v>
      </c>
      <c r="F68" t="s">
        <v>73</v>
      </c>
      <c r="G68" t="s">
        <v>73</v>
      </c>
      <c r="H68" t="s">
        <v>73</v>
      </c>
      <c r="I68" t="s">
        <v>73</v>
      </c>
      <c r="J68" t="s">
        <v>73</v>
      </c>
      <c r="K68" t="s">
        <v>73</v>
      </c>
      <c r="L68" t="s">
        <v>73</v>
      </c>
      <c r="M68" t="s">
        <v>73</v>
      </c>
      <c r="N68" t="s">
        <v>73</v>
      </c>
      <c r="O68" t="s">
        <v>73</v>
      </c>
      <c r="P68" t="s">
        <v>73</v>
      </c>
      <c r="Q68" t="s">
        <v>73</v>
      </c>
      <c r="R68" t="s">
        <v>73</v>
      </c>
      <c r="S68" t="s">
        <v>73</v>
      </c>
      <c r="T68" t="s">
        <v>73</v>
      </c>
      <c r="U68" t="s">
        <v>73</v>
      </c>
      <c r="V68" t="s">
        <v>73</v>
      </c>
      <c r="W68" t="s">
        <v>73</v>
      </c>
      <c r="X68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s="205" t="s">
        <v>73</v>
      </c>
      <c r="CP68" s="235"/>
    </row>
    <row r="69" spans="2:94" ht="9" customHeight="1">
      <c r="B69" s="204" t="s">
        <v>73</v>
      </c>
      <c r="C69" t="s">
        <v>73</v>
      </c>
      <c r="D69" t="s">
        <v>73</v>
      </c>
      <c r="E69" t="s">
        <v>73</v>
      </c>
      <c r="F69" t="s">
        <v>73</v>
      </c>
      <c r="G69" t="s">
        <v>73</v>
      </c>
      <c r="H69" t="s">
        <v>73</v>
      </c>
      <c r="I69" t="s">
        <v>73</v>
      </c>
      <c r="J69" t="s">
        <v>73</v>
      </c>
      <c r="K69" t="s">
        <v>73</v>
      </c>
      <c r="L69" t="s">
        <v>73</v>
      </c>
      <c r="M69" t="s">
        <v>73</v>
      </c>
      <c r="N69" t="s">
        <v>73</v>
      </c>
      <c r="O69" t="s">
        <v>73</v>
      </c>
      <c r="P69" t="s">
        <v>73</v>
      </c>
      <c r="Q69" t="s">
        <v>73</v>
      </c>
      <c r="R69" t="s">
        <v>73</v>
      </c>
      <c r="S69" t="s">
        <v>73</v>
      </c>
      <c r="T69" t="s">
        <v>73</v>
      </c>
      <c r="U69" t="s">
        <v>73</v>
      </c>
      <c r="V69" t="s">
        <v>73</v>
      </c>
      <c r="W69" t="s">
        <v>73</v>
      </c>
      <c r="X69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s="205" t="s">
        <v>73</v>
      </c>
      <c r="CP69" s="235"/>
    </row>
    <row r="70" spans="2:94" ht="9" customHeight="1" thickBot="1">
      <c r="B70" s="206" t="s">
        <v>73</v>
      </c>
      <c r="C70" s="216" t="s">
        <v>73</v>
      </c>
      <c r="D70" s="216" t="s">
        <v>73</v>
      </c>
      <c r="E70" s="216" t="s">
        <v>73</v>
      </c>
      <c r="F70" s="216" t="s">
        <v>73</v>
      </c>
      <c r="G70" s="216" t="s">
        <v>73</v>
      </c>
      <c r="H70" s="216" t="s">
        <v>73</v>
      </c>
      <c r="I70" s="216" t="s">
        <v>73</v>
      </c>
      <c r="J70" s="216" t="s">
        <v>73</v>
      </c>
      <c r="K70" s="216" t="s">
        <v>73</v>
      </c>
      <c r="L70" s="216" t="s">
        <v>73</v>
      </c>
      <c r="M70" s="216" t="s">
        <v>73</v>
      </c>
      <c r="N70" s="216" t="s">
        <v>73</v>
      </c>
      <c r="O70" s="216" t="s">
        <v>73</v>
      </c>
      <c r="P70" s="216" t="s">
        <v>73</v>
      </c>
      <c r="Q70" s="216" t="s">
        <v>73</v>
      </c>
      <c r="R70" s="216" t="s">
        <v>73</v>
      </c>
      <c r="S70" s="216" t="s">
        <v>73</v>
      </c>
      <c r="T70" s="216" t="s">
        <v>73</v>
      </c>
      <c r="U70" s="216" t="s">
        <v>73</v>
      </c>
      <c r="V70" s="216" t="s">
        <v>73</v>
      </c>
      <c r="W70" s="216" t="s">
        <v>73</v>
      </c>
      <c r="X70" s="216" t="s">
        <v>73</v>
      </c>
      <c r="Y70" s="216" t="s">
        <v>73</v>
      </c>
      <c r="Z70" s="216" t="s">
        <v>73</v>
      </c>
      <c r="AA70" s="216" t="s">
        <v>73</v>
      </c>
      <c r="AB70" s="216" t="s">
        <v>73</v>
      </c>
      <c r="AC70" s="216" t="s">
        <v>73</v>
      </c>
      <c r="AD70" s="216" t="s">
        <v>73</v>
      </c>
      <c r="AE70" s="216" t="s">
        <v>73</v>
      </c>
      <c r="AF70" s="216" t="s">
        <v>73</v>
      </c>
      <c r="AG70" s="216" t="s">
        <v>73</v>
      </c>
      <c r="AH70" s="216" t="s">
        <v>73</v>
      </c>
      <c r="AI70" s="216" t="s">
        <v>73</v>
      </c>
      <c r="AJ70" s="216" t="s">
        <v>73</v>
      </c>
      <c r="AK70" s="216" t="s">
        <v>73</v>
      </c>
      <c r="AL70" s="216" t="s">
        <v>73</v>
      </c>
      <c r="AM70" s="216" t="s">
        <v>73</v>
      </c>
      <c r="AN70" s="216" t="s">
        <v>73</v>
      </c>
      <c r="AO70" s="216" t="s">
        <v>73</v>
      </c>
      <c r="AP70" s="216" t="s">
        <v>73</v>
      </c>
      <c r="AQ70" s="216" t="s">
        <v>73</v>
      </c>
      <c r="AR70" s="216" t="s">
        <v>73</v>
      </c>
      <c r="AS70" s="216" t="s">
        <v>73</v>
      </c>
      <c r="AT70" s="216" t="s">
        <v>73</v>
      </c>
      <c r="AU70" s="216" t="s">
        <v>73</v>
      </c>
      <c r="AV70" s="216" t="s">
        <v>73</v>
      </c>
      <c r="AW70" s="216" t="s">
        <v>73</v>
      </c>
      <c r="AX70" s="216" t="s">
        <v>73</v>
      </c>
      <c r="AY70" s="216" t="s">
        <v>73</v>
      </c>
      <c r="AZ70" s="216" t="s">
        <v>73</v>
      </c>
      <c r="BA70" s="216" t="s">
        <v>73</v>
      </c>
      <c r="BB70" s="216" t="s">
        <v>73</v>
      </c>
      <c r="BC70" s="159" t="s">
        <v>73</v>
      </c>
      <c r="CP70" s="235"/>
    </row>
    <row r="71" spans="2:94" ht="9" customHeight="1">
      <c r="CP71" s="235"/>
    </row>
    <row r="72" spans="2:94" ht="9" customHeight="1">
      <c r="CP72" s="235"/>
    </row>
    <row r="73" spans="2:94" ht="9" customHeight="1">
      <c r="CP73" s="235"/>
    </row>
    <row r="74" spans="2:94" ht="9" customHeight="1">
      <c r="CP74" s="235"/>
    </row>
    <row r="75" spans="2:94" ht="9" customHeight="1">
      <c r="CP75" s="235"/>
    </row>
    <row r="76" spans="2:94" ht="9" customHeight="1">
      <c r="CP76" s="235"/>
    </row>
    <row r="77" spans="2:94" ht="9" customHeight="1">
      <c r="CP77" s="235"/>
    </row>
    <row r="78" spans="2:94" ht="9" customHeight="1">
      <c r="CP78" s="235"/>
    </row>
    <row r="92" spans="47:94" ht="9" customHeight="1" thickBot="1"/>
    <row r="93" spans="47:94" ht="9" customHeight="1">
      <c r="AU93" s="202" t="s">
        <v>73</v>
      </c>
      <c r="AV93" s="215" t="s">
        <v>73</v>
      </c>
      <c r="AW93" s="215" t="s">
        <v>73</v>
      </c>
      <c r="AX93" s="215" t="s">
        <v>73</v>
      </c>
      <c r="AY93" s="215" t="s">
        <v>73</v>
      </c>
      <c r="AZ93" s="215" t="s">
        <v>73</v>
      </c>
      <c r="BA93" s="215" t="s">
        <v>73</v>
      </c>
      <c r="BB93" s="215" t="s">
        <v>73</v>
      </c>
      <c r="BC93" s="215" t="s">
        <v>73</v>
      </c>
      <c r="BD93" s="215" t="s">
        <v>73</v>
      </c>
      <c r="BE93" s="215" t="s">
        <v>73</v>
      </c>
      <c r="BF93" s="215" t="s">
        <v>73</v>
      </c>
      <c r="BG93" s="215" t="s">
        <v>73</v>
      </c>
      <c r="BH93" s="215" t="s">
        <v>73</v>
      </c>
      <c r="BI93" s="215" t="s">
        <v>73</v>
      </c>
      <c r="BJ93" s="215" t="s">
        <v>73</v>
      </c>
      <c r="BK93" s="215" t="s">
        <v>73</v>
      </c>
      <c r="BL93" s="215" t="s">
        <v>73</v>
      </c>
      <c r="BM93" s="215" t="s">
        <v>73</v>
      </c>
      <c r="BN93" s="215" t="s">
        <v>73</v>
      </c>
      <c r="BO93" s="215" t="s">
        <v>73</v>
      </c>
      <c r="BP93" s="215" t="s">
        <v>73</v>
      </c>
      <c r="BQ93" s="215" t="s">
        <v>73</v>
      </c>
      <c r="BR93" s="215" t="s">
        <v>73</v>
      </c>
      <c r="BS93" s="215" t="s">
        <v>73</v>
      </c>
      <c r="BT93" s="215" t="s">
        <v>73</v>
      </c>
      <c r="BU93" s="215" t="s">
        <v>73</v>
      </c>
      <c r="BV93" s="215" t="s">
        <v>73</v>
      </c>
      <c r="BW93" s="215" t="s">
        <v>73</v>
      </c>
      <c r="BX93" s="215" t="s">
        <v>73</v>
      </c>
      <c r="BY93" s="215" t="s">
        <v>73</v>
      </c>
      <c r="BZ93" s="215" t="s">
        <v>73</v>
      </c>
      <c r="CA93" s="215" t="s">
        <v>73</v>
      </c>
      <c r="CB93" s="215" t="s">
        <v>73</v>
      </c>
      <c r="CC93" s="215" t="s">
        <v>73</v>
      </c>
      <c r="CD93" s="215" t="s">
        <v>73</v>
      </c>
      <c r="CE93" s="215" t="s">
        <v>73</v>
      </c>
      <c r="CF93" s="215" t="s">
        <v>73</v>
      </c>
      <c r="CG93" s="215" t="s">
        <v>73</v>
      </c>
      <c r="CH93" s="215" t="s">
        <v>73</v>
      </c>
      <c r="CI93" s="215" t="s">
        <v>73</v>
      </c>
      <c r="CJ93" s="215" t="s">
        <v>73</v>
      </c>
      <c r="CK93" s="215" t="s">
        <v>73</v>
      </c>
      <c r="CL93" s="215" t="s">
        <v>73</v>
      </c>
      <c r="CM93" s="215" t="s">
        <v>73</v>
      </c>
      <c r="CN93" s="215" t="s">
        <v>73</v>
      </c>
      <c r="CO93" s="215" t="s">
        <v>73</v>
      </c>
      <c r="CP93" s="203" t="s">
        <v>73</v>
      </c>
    </row>
    <row r="94" spans="47:94" ht="9" customHeight="1">
      <c r="AU94" s="204" t="s">
        <v>73</v>
      </c>
      <c r="AV94" t="s">
        <v>73</v>
      </c>
      <c r="AW94" t="s">
        <v>73</v>
      </c>
      <c r="AX94" t="s">
        <v>73</v>
      </c>
      <c r="AY94" t="s">
        <v>73</v>
      </c>
      <c r="AZ94" t="s">
        <v>73</v>
      </c>
      <c r="BA94" t="s">
        <v>73</v>
      </c>
      <c r="BB94" t="s">
        <v>73</v>
      </c>
      <c r="BC94" t="s">
        <v>73</v>
      </c>
      <c r="BD94" t="s">
        <v>73</v>
      </c>
      <c r="BE94" t="s">
        <v>73</v>
      </c>
      <c r="BF94" t="s">
        <v>73</v>
      </c>
      <c r="BG94" t="s">
        <v>73</v>
      </c>
      <c r="BH94" t="s">
        <v>73</v>
      </c>
      <c r="BI94" t="s">
        <v>73</v>
      </c>
      <c r="BJ94" t="s">
        <v>73</v>
      </c>
      <c r="BK94" t="s">
        <v>73</v>
      </c>
      <c r="BL94" t="s">
        <v>73</v>
      </c>
      <c r="BM94" t="s">
        <v>73</v>
      </c>
      <c r="BN94" t="s">
        <v>73</v>
      </c>
      <c r="BO94" t="s">
        <v>73</v>
      </c>
      <c r="BP94" t="s">
        <v>73</v>
      </c>
      <c r="BQ94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s="205" t="s">
        <v>73</v>
      </c>
    </row>
    <row r="95" spans="47:94" ht="9" customHeight="1">
      <c r="AU95" s="204" t="s">
        <v>73</v>
      </c>
      <c r="AV95" t="s">
        <v>73</v>
      </c>
      <c r="AW95" t="s">
        <v>73</v>
      </c>
      <c r="AX95" t="s">
        <v>73</v>
      </c>
      <c r="BG95" t="s">
        <v>73</v>
      </c>
      <c r="BH95" t="s">
        <v>73</v>
      </c>
      <c r="BI95" t="s">
        <v>73</v>
      </c>
      <c r="BJ95" t="s">
        <v>73</v>
      </c>
      <c r="BK95" t="s">
        <v>73</v>
      </c>
      <c r="BL95" t="s">
        <v>73</v>
      </c>
      <c r="BM95" t="s">
        <v>73</v>
      </c>
      <c r="BN95" t="s">
        <v>73</v>
      </c>
      <c r="BO95" t="s">
        <v>73</v>
      </c>
      <c r="BP95" t="s">
        <v>73</v>
      </c>
      <c r="BQ95" t="s">
        <v>73</v>
      </c>
      <c r="BR95" t="s">
        <v>73</v>
      </c>
      <c r="BS95" t="s">
        <v>73</v>
      </c>
      <c r="BT95" t="s">
        <v>73</v>
      </c>
      <c r="BU95" t="s">
        <v>73</v>
      </c>
      <c r="BV95" t="s">
        <v>73</v>
      </c>
      <c r="BW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s="205" t="s">
        <v>73</v>
      </c>
    </row>
    <row r="96" spans="47:94" ht="9" customHeight="1">
      <c r="AU96" s="204" t="s">
        <v>73</v>
      </c>
      <c r="AV96" t="s">
        <v>73</v>
      </c>
      <c r="AW96" t="s">
        <v>73</v>
      </c>
      <c r="AX96" t="s">
        <v>73</v>
      </c>
      <c r="BG96" t="s">
        <v>73</v>
      </c>
      <c r="BH96" t="s">
        <v>73</v>
      </c>
      <c r="BI96" t="s">
        <v>73</v>
      </c>
      <c r="BJ96" t="s">
        <v>73</v>
      </c>
      <c r="BK96" t="s">
        <v>73</v>
      </c>
      <c r="BL96" t="s">
        <v>73</v>
      </c>
      <c r="BM96" t="s">
        <v>73</v>
      </c>
      <c r="BN96" t="s">
        <v>73</v>
      </c>
      <c r="BO96" t="s">
        <v>73</v>
      </c>
      <c r="BP96" t="s">
        <v>73</v>
      </c>
      <c r="BQ96" t="s">
        <v>73</v>
      </c>
      <c r="BR96" t="s">
        <v>73</v>
      </c>
      <c r="BS96" t="s">
        <v>73</v>
      </c>
      <c r="BT96" t="s">
        <v>73</v>
      </c>
      <c r="BU96" t="s">
        <v>73</v>
      </c>
      <c r="BV96" t="s">
        <v>73</v>
      </c>
      <c r="BW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s="205" t="s">
        <v>73</v>
      </c>
    </row>
    <row r="97" spans="47:181" ht="9" customHeight="1">
      <c r="AU97" s="204" t="s">
        <v>73</v>
      </c>
      <c r="AV97" t="s">
        <v>73</v>
      </c>
      <c r="AW97" t="s">
        <v>73</v>
      </c>
      <c r="AX97" t="s">
        <v>73</v>
      </c>
      <c r="BG97" t="s">
        <v>73</v>
      </c>
      <c r="BH97" t="s">
        <v>73</v>
      </c>
      <c r="BI97" t="s">
        <v>73</v>
      </c>
      <c r="BJ97" t="s">
        <v>73</v>
      </c>
      <c r="BK97" t="s">
        <v>73</v>
      </c>
      <c r="BL97" t="s">
        <v>73</v>
      </c>
      <c r="BM97" t="s">
        <v>73</v>
      </c>
      <c r="BN97" t="s">
        <v>73</v>
      </c>
      <c r="BO97" t="s">
        <v>73</v>
      </c>
      <c r="BP97" t="s">
        <v>73</v>
      </c>
      <c r="BQ97" t="s">
        <v>73</v>
      </c>
      <c r="BR97" t="s">
        <v>73</v>
      </c>
      <c r="BS97" t="s">
        <v>73</v>
      </c>
      <c r="BT97" t="s">
        <v>73</v>
      </c>
      <c r="BU97" t="s">
        <v>73</v>
      </c>
      <c r="BV97" t="s">
        <v>73</v>
      </c>
      <c r="BW97" t="s">
        <v>73</v>
      </c>
      <c r="BX97" t="s">
        <v>73</v>
      </c>
      <c r="BY97" t="s">
        <v>73</v>
      </c>
      <c r="BZ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s="205" t="s">
        <v>73</v>
      </c>
    </row>
    <row r="98" spans="47:181" ht="9" customHeight="1">
      <c r="AU98" s="204" t="s">
        <v>73</v>
      </c>
      <c r="AV98" t="s">
        <v>73</v>
      </c>
      <c r="AW98" t="s">
        <v>73</v>
      </c>
      <c r="AX98" t="s">
        <v>73</v>
      </c>
      <c r="BG98" t="s">
        <v>73</v>
      </c>
      <c r="BH98" t="s">
        <v>73</v>
      </c>
      <c r="BI98" t="s">
        <v>73</v>
      </c>
      <c r="BJ98" t="s">
        <v>73</v>
      </c>
      <c r="BK98" t="s">
        <v>73</v>
      </c>
      <c r="BL98" t="s">
        <v>73</v>
      </c>
      <c r="BM98" t="s">
        <v>73</v>
      </c>
      <c r="BN98" t="s">
        <v>73</v>
      </c>
      <c r="BO98" t="s">
        <v>73</v>
      </c>
      <c r="BP98" t="s">
        <v>73</v>
      </c>
      <c r="BQ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CN98" t="s">
        <v>73</v>
      </c>
      <c r="CO98" t="s">
        <v>73</v>
      </c>
      <c r="CP98" s="205" t="s">
        <v>73</v>
      </c>
    </row>
    <row r="99" spans="47:181" ht="9" customHeight="1">
      <c r="AU99" s="204" t="s">
        <v>73</v>
      </c>
      <c r="AV99" t="s">
        <v>73</v>
      </c>
      <c r="AW99" t="s">
        <v>73</v>
      </c>
      <c r="AX99" t="s">
        <v>73</v>
      </c>
      <c r="AY99" t="s">
        <v>73</v>
      </c>
      <c r="AZ99" t="s">
        <v>73</v>
      </c>
      <c r="BA99" t="s">
        <v>73</v>
      </c>
      <c r="BG99" t="s">
        <v>73</v>
      </c>
      <c r="BH99" t="s">
        <v>73</v>
      </c>
      <c r="BI99" t="s">
        <v>73</v>
      </c>
      <c r="BJ99" t="s">
        <v>73</v>
      </c>
      <c r="BK99" t="s">
        <v>73</v>
      </c>
      <c r="BL99" t="s">
        <v>73</v>
      </c>
      <c r="BM99" t="s">
        <v>73</v>
      </c>
      <c r="BN99" t="s">
        <v>73</v>
      </c>
      <c r="BO99" t="s">
        <v>73</v>
      </c>
      <c r="BP99" t="s">
        <v>73</v>
      </c>
      <c r="BQ99" t="s">
        <v>73</v>
      </c>
      <c r="BT99" t="s">
        <v>73</v>
      </c>
      <c r="BU99" t="s">
        <v>73</v>
      </c>
      <c r="BV99" t="s">
        <v>73</v>
      </c>
      <c r="BW99" t="s">
        <v>73</v>
      </c>
      <c r="BX99" t="s">
        <v>73</v>
      </c>
      <c r="BY99" t="s">
        <v>73</v>
      </c>
      <c r="BZ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N99" t="s">
        <v>73</v>
      </c>
      <c r="CO99" t="s">
        <v>73</v>
      </c>
      <c r="CP99" s="205" t="s">
        <v>73</v>
      </c>
    </row>
    <row r="100" spans="47:181" ht="9" customHeight="1">
      <c r="AU100" s="204" t="s">
        <v>73</v>
      </c>
      <c r="AV100" t="s">
        <v>73</v>
      </c>
      <c r="AW100" t="s">
        <v>73</v>
      </c>
      <c r="AX100" t="s">
        <v>73</v>
      </c>
      <c r="AY100" t="s">
        <v>1320</v>
      </c>
      <c r="AZ100" t="s">
        <v>1320</v>
      </c>
      <c r="BA100" t="s">
        <v>1320</v>
      </c>
      <c r="BD100" t="s">
        <v>1320</v>
      </c>
      <c r="BE100" t="s">
        <v>1320</v>
      </c>
      <c r="BF100" t="s">
        <v>1320</v>
      </c>
      <c r="BG100" t="s">
        <v>1320</v>
      </c>
      <c r="BH100" t="s">
        <v>1320</v>
      </c>
      <c r="BI100" t="s">
        <v>1320</v>
      </c>
      <c r="BJ100" t="s">
        <v>1320</v>
      </c>
      <c r="BK100" t="s">
        <v>73</v>
      </c>
      <c r="BL100" t="s">
        <v>1349</v>
      </c>
      <c r="BM100" t="s">
        <v>73</v>
      </c>
      <c r="BN100" t="s">
        <v>73</v>
      </c>
      <c r="BO100" t="s">
        <v>1320</v>
      </c>
      <c r="BP100" t="s">
        <v>1320</v>
      </c>
      <c r="BQ100" t="s">
        <v>1320</v>
      </c>
      <c r="BR100" t="s">
        <v>1320</v>
      </c>
      <c r="BS100" t="s">
        <v>1320</v>
      </c>
      <c r="BT100" t="s">
        <v>1320</v>
      </c>
      <c r="BU100" t="s">
        <v>1320</v>
      </c>
      <c r="BV100" t="s">
        <v>1320</v>
      </c>
      <c r="BW100" t="s">
        <v>1320</v>
      </c>
      <c r="BX100" t="s">
        <v>1320</v>
      </c>
      <c r="BY100" t="s">
        <v>1320</v>
      </c>
      <c r="BZ100" t="s">
        <v>1320</v>
      </c>
      <c r="CA100" t="s">
        <v>1320</v>
      </c>
      <c r="CB100" t="s">
        <v>1320</v>
      </c>
      <c r="CC100" t="s">
        <v>1320</v>
      </c>
      <c r="CD100" t="s">
        <v>1320</v>
      </c>
      <c r="CE100" t="s">
        <v>1320</v>
      </c>
      <c r="CI100" t="s">
        <v>73</v>
      </c>
      <c r="CJ100" t="s">
        <v>73</v>
      </c>
      <c r="CK100" t="s">
        <v>73</v>
      </c>
      <c r="CL100" t="s">
        <v>73</v>
      </c>
      <c r="CM100" t="s">
        <v>73</v>
      </c>
      <c r="CN100" t="s">
        <v>73</v>
      </c>
      <c r="CO100" t="s">
        <v>73</v>
      </c>
      <c r="CP100" s="205" t="s">
        <v>73</v>
      </c>
    </row>
    <row r="101" spans="47:181" ht="9" customHeight="1">
      <c r="AU101" s="204" t="s">
        <v>73</v>
      </c>
      <c r="AV101" t="s">
        <v>73</v>
      </c>
      <c r="AW101" t="s">
        <v>73</v>
      </c>
      <c r="AX101" t="s">
        <v>73</v>
      </c>
      <c r="CI101" t="s">
        <v>73</v>
      </c>
      <c r="CJ101" t="s">
        <v>73</v>
      </c>
      <c r="CK101" t="s">
        <v>73</v>
      </c>
      <c r="CL101" t="s">
        <v>73</v>
      </c>
      <c r="CM101" t="s">
        <v>73</v>
      </c>
      <c r="CN101" t="s">
        <v>73</v>
      </c>
      <c r="CO101" t="s">
        <v>73</v>
      </c>
      <c r="CP101" s="205" t="s">
        <v>73</v>
      </c>
    </row>
    <row r="102" spans="47:181" ht="9" customHeight="1">
      <c r="AU102" s="204" t="s">
        <v>73</v>
      </c>
      <c r="AV102" t="s">
        <v>73</v>
      </c>
      <c r="AW102" t="s">
        <v>73</v>
      </c>
      <c r="AX102" t="s">
        <v>73</v>
      </c>
      <c r="AY102" t="s">
        <v>73</v>
      </c>
      <c r="AZ102" t="s">
        <v>73</v>
      </c>
      <c r="CA102" t="s">
        <v>73</v>
      </c>
      <c r="CB102" t="s">
        <v>73</v>
      </c>
      <c r="CC102" t="s">
        <v>73</v>
      </c>
      <c r="CD102" t="s">
        <v>73</v>
      </c>
      <c r="CE102" t="s">
        <v>73</v>
      </c>
      <c r="CI102" t="s">
        <v>73</v>
      </c>
      <c r="CJ102" t="s">
        <v>73</v>
      </c>
      <c r="CK102" t="s">
        <v>73</v>
      </c>
      <c r="CL102" t="s">
        <v>73</v>
      </c>
      <c r="CM102" t="s">
        <v>73</v>
      </c>
      <c r="CN102" t="s">
        <v>73</v>
      </c>
      <c r="CO102" t="s">
        <v>73</v>
      </c>
      <c r="CP102" s="205" t="s">
        <v>73</v>
      </c>
    </row>
    <row r="103" spans="47:181" ht="9" customHeight="1" thickBot="1">
      <c r="AU103" s="204" t="s">
        <v>73</v>
      </c>
      <c r="AV103" t="s">
        <v>73</v>
      </c>
      <c r="AW103" t="s">
        <v>73</v>
      </c>
      <c r="AX103" t="s">
        <v>73</v>
      </c>
      <c r="AY103" t="s">
        <v>73</v>
      </c>
      <c r="AZ103" t="s">
        <v>73</v>
      </c>
      <c r="CA103" t="s">
        <v>73</v>
      </c>
      <c r="CB103" t="s">
        <v>73</v>
      </c>
      <c r="CC103" t="s">
        <v>73</v>
      </c>
      <c r="CD103" t="s">
        <v>73</v>
      </c>
      <c r="CE103" t="s">
        <v>73</v>
      </c>
      <c r="CI103" t="s">
        <v>73</v>
      </c>
      <c r="CJ103" t="s">
        <v>73</v>
      </c>
      <c r="CK103" t="s">
        <v>73</v>
      </c>
      <c r="CL103" t="s">
        <v>73</v>
      </c>
      <c r="CM103" t="s">
        <v>73</v>
      </c>
      <c r="CN103" t="s">
        <v>73</v>
      </c>
      <c r="CO103" t="s">
        <v>73</v>
      </c>
      <c r="CP103" s="205" t="s">
        <v>73</v>
      </c>
    </row>
    <row r="104" spans="47:181" ht="9" customHeight="1">
      <c r="AU104" s="204" t="s">
        <v>73</v>
      </c>
      <c r="AV104" t="s">
        <v>73</v>
      </c>
      <c r="AW104" t="s">
        <v>73</v>
      </c>
      <c r="AX104" t="s">
        <v>73</v>
      </c>
      <c r="AY104" t="s">
        <v>73</v>
      </c>
      <c r="AZ104" t="s">
        <v>73</v>
      </c>
      <c r="CA104" t="s">
        <v>73</v>
      </c>
      <c r="CB104" t="s">
        <v>73</v>
      </c>
      <c r="CC104" t="s">
        <v>73</v>
      </c>
      <c r="CD104" t="s">
        <v>73</v>
      </c>
      <c r="CE104" t="s">
        <v>73</v>
      </c>
      <c r="CI104" t="s">
        <v>73</v>
      </c>
      <c r="CJ104" t="s">
        <v>73</v>
      </c>
      <c r="CK104" t="s">
        <v>73</v>
      </c>
      <c r="CL104" t="s">
        <v>73</v>
      </c>
      <c r="CM104" t="s">
        <v>73</v>
      </c>
      <c r="CN104" t="s">
        <v>73</v>
      </c>
      <c r="CO104" t="s">
        <v>73</v>
      </c>
      <c r="CP104" s="205" t="s">
        <v>73</v>
      </c>
      <c r="CQ104" s="202" t="s">
        <v>73</v>
      </c>
      <c r="CR104" s="215" t="s">
        <v>73</v>
      </c>
      <c r="CS104" s="215" t="s">
        <v>73</v>
      </c>
      <c r="CT104" s="215" t="s">
        <v>73</v>
      </c>
      <c r="CU104" s="215" t="s">
        <v>73</v>
      </c>
      <c r="CV104" s="215" t="s">
        <v>73</v>
      </c>
      <c r="CW104" s="215" t="s">
        <v>73</v>
      </c>
      <c r="CX104" s="215" t="s">
        <v>73</v>
      </c>
      <c r="CY104" s="215" t="s">
        <v>73</v>
      </c>
      <c r="CZ104" s="215" t="s">
        <v>73</v>
      </c>
      <c r="DA104" s="215" t="s">
        <v>73</v>
      </c>
      <c r="DB104" s="215" t="s">
        <v>73</v>
      </c>
      <c r="DC104" s="215" t="s">
        <v>73</v>
      </c>
      <c r="DD104" s="215" t="s">
        <v>73</v>
      </c>
      <c r="DE104" s="215" t="s">
        <v>73</v>
      </c>
      <c r="DF104" s="215" t="s">
        <v>73</v>
      </c>
      <c r="DG104" s="215" t="s">
        <v>73</v>
      </c>
      <c r="DH104" s="215" t="s">
        <v>73</v>
      </c>
      <c r="DI104" s="215" t="s">
        <v>73</v>
      </c>
      <c r="DJ104" s="215" t="s">
        <v>73</v>
      </c>
      <c r="DK104" s="215" t="s">
        <v>73</v>
      </c>
      <c r="DL104" s="215" t="s">
        <v>73</v>
      </c>
      <c r="DM104" s="215" t="s">
        <v>73</v>
      </c>
      <c r="DN104" s="215" t="s">
        <v>73</v>
      </c>
      <c r="DO104" s="215" t="s">
        <v>73</v>
      </c>
      <c r="DP104" s="215" t="s">
        <v>73</v>
      </c>
      <c r="DQ104" s="215" t="s">
        <v>73</v>
      </c>
      <c r="DR104" s="215" t="s">
        <v>73</v>
      </c>
      <c r="DS104" s="215" t="s">
        <v>73</v>
      </c>
      <c r="DT104" s="215" t="s">
        <v>73</v>
      </c>
      <c r="DU104" s="215" t="s">
        <v>73</v>
      </c>
      <c r="DV104" s="215" t="s">
        <v>73</v>
      </c>
      <c r="DW104" s="215" t="s">
        <v>73</v>
      </c>
      <c r="DX104" s="215" t="s">
        <v>73</v>
      </c>
      <c r="DY104" s="215" t="s">
        <v>73</v>
      </c>
      <c r="DZ104" s="215" t="s">
        <v>73</v>
      </c>
      <c r="EA104" s="215" t="s">
        <v>73</v>
      </c>
      <c r="EB104" s="215" t="s">
        <v>73</v>
      </c>
      <c r="EC104" s="215" t="s">
        <v>73</v>
      </c>
      <c r="ED104" s="215" t="s">
        <v>73</v>
      </c>
      <c r="EE104" s="215" t="s">
        <v>73</v>
      </c>
      <c r="EF104" s="215" t="s">
        <v>73</v>
      </c>
      <c r="EG104" s="215" t="s">
        <v>73</v>
      </c>
      <c r="EH104" s="215" t="s">
        <v>73</v>
      </c>
      <c r="EI104" s="215" t="s">
        <v>73</v>
      </c>
      <c r="EJ104" s="215" t="s">
        <v>73</v>
      </c>
      <c r="EK104" s="215" t="s">
        <v>73</v>
      </c>
      <c r="EL104" s="215" t="s">
        <v>73</v>
      </c>
      <c r="EM104" s="215" t="s">
        <v>73</v>
      </c>
      <c r="EN104" s="215" t="s">
        <v>73</v>
      </c>
      <c r="EO104" s="215" t="s">
        <v>73</v>
      </c>
      <c r="EP104" s="215" t="s">
        <v>73</v>
      </c>
      <c r="EQ104" s="215" t="s">
        <v>73</v>
      </c>
      <c r="ER104" s="215" t="s">
        <v>73</v>
      </c>
      <c r="ES104" s="215" t="s">
        <v>73</v>
      </c>
      <c r="ET104" s="215" t="s">
        <v>73</v>
      </c>
      <c r="EU104" s="215" t="s">
        <v>73</v>
      </c>
      <c r="EV104" s="215" t="s">
        <v>73</v>
      </c>
      <c r="EW104" s="215" t="s">
        <v>73</v>
      </c>
      <c r="EX104" s="215" t="s">
        <v>73</v>
      </c>
      <c r="EY104" s="215" t="s">
        <v>73</v>
      </c>
      <c r="EZ104" s="215" t="s">
        <v>73</v>
      </c>
      <c r="FA104" s="215" t="s">
        <v>73</v>
      </c>
      <c r="FB104" s="215" t="s">
        <v>73</v>
      </c>
      <c r="FC104" s="215" t="s">
        <v>73</v>
      </c>
      <c r="FD104" s="215" t="s">
        <v>73</v>
      </c>
      <c r="FE104" s="215" t="s">
        <v>73</v>
      </c>
      <c r="FF104" s="215" t="s">
        <v>73</v>
      </c>
      <c r="FG104" s="215"/>
      <c r="FH104" s="215"/>
      <c r="FI104" s="215"/>
      <c r="FJ104" s="215"/>
      <c r="FK104" s="215"/>
      <c r="FL104" s="215"/>
      <c r="FM104" s="215"/>
      <c r="FN104" s="215"/>
      <c r="FO104" s="215" t="s">
        <v>73</v>
      </c>
      <c r="FP104" s="215" t="s">
        <v>73</v>
      </c>
      <c r="FQ104" s="215" t="s">
        <v>73</v>
      </c>
      <c r="FR104" s="215" t="s">
        <v>73</v>
      </c>
      <c r="FS104" s="215" t="s">
        <v>73</v>
      </c>
      <c r="FT104" s="215" t="s">
        <v>73</v>
      </c>
      <c r="FU104" s="215" t="s">
        <v>73</v>
      </c>
      <c r="FV104" s="215" t="s">
        <v>73</v>
      </c>
      <c r="FW104" s="215" t="s">
        <v>73</v>
      </c>
      <c r="FX104" s="215" t="s">
        <v>73</v>
      </c>
      <c r="FY104" s="203" t="s">
        <v>73</v>
      </c>
    </row>
    <row r="105" spans="47:181" ht="9" customHeight="1">
      <c r="AU105" s="204" t="s">
        <v>73</v>
      </c>
      <c r="AV105" t="s">
        <v>73</v>
      </c>
      <c r="AW105" t="s">
        <v>73</v>
      </c>
      <c r="AX105" t="s">
        <v>73</v>
      </c>
      <c r="AY105" t="s">
        <v>73</v>
      </c>
      <c r="AZ105" t="s">
        <v>73</v>
      </c>
      <c r="BD105" t="s">
        <v>73</v>
      </c>
      <c r="BE105" t="s">
        <v>73</v>
      </c>
      <c r="BG105" t="s">
        <v>73</v>
      </c>
      <c r="BH105" t="s">
        <v>73</v>
      </c>
      <c r="BI105" t="s">
        <v>73</v>
      </c>
      <c r="BJ105" t="s">
        <v>73</v>
      </c>
      <c r="BK105" t="s">
        <v>73</v>
      </c>
      <c r="BL105" t="s">
        <v>73</v>
      </c>
      <c r="BM105" t="s">
        <v>73</v>
      </c>
      <c r="BO105" t="s">
        <v>73</v>
      </c>
      <c r="BP105" t="s">
        <v>73</v>
      </c>
      <c r="CI105" t="s">
        <v>73</v>
      </c>
      <c r="CJ105" t="s">
        <v>73</v>
      </c>
      <c r="CK105" t="s">
        <v>73</v>
      </c>
      <c r="CL105" t="s">
        <v>73</v>
      </c>
      <c r="CM105" t="s">
        <v>73</v>
      </c>
      <c r="CN105" t="s">
        <v>73</v>
      </c>
      <c r="CO105" t="s">
        <v>73</v>
      </c>
      <c r="CP105" s="205" t="s">
        <v>73</v>
      </c>
      <c r="CQ105" s="204" t="s">
        <v>73</v>
      </c>
      <c r="CR105" t="s">
        <v>73</v>
      </c>
      <c r="CS105" t="s">
        <v>73</v>
      </c>
      <c r="CT105" t="s">
        <v>73</v>
      </c>
      <c r="CU105" t="s">
        <v>73</v>
      </c>
      <c r="CV105" t="s">
        <v>73</v>
      </c>
      <c r="CW105" t="s">
        <v>73</v>
      </c>
      <c r="CX105" t="s">
        <v>73</v>
      </c>
      <c r="CY105" t="s">
        <v>73</v>
      </c>
      <c r="CZ105" t="s">
        <v>73</v>
      </c>
      <c r="DA105" t="s">
        <v>73</v>
      </c>
      <c r="DB105" t="s">
        <v>73</v>
      </c>
      <c r="DC105" t="s">
        <v>73</v>
      </c>
      <c r="DD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t="s">
        <v>73</v>
      </c>
      <c r="DM105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s="205" t="s">
        <v>73</v>
      </c>
    </row>
    <row r="106" spans="47:181" ht="9" customHeight="1">
      <c r="AU106" s="204" t="s">
        <v>73</v>
      </c>
      <c r="AV106" t="s">
        <v>73</v>
      </c>
      <c r="AW106" t="s">
        <v>73</v>
      </c>
      <c r="AX106" t="s">
        <v>73</v>
      </c>
      <c r="AY106" t="s">
        <v>73</v>
      </c>
      <c r="AZ106" t="s">
        <v>73</v>
      </c>
      <c r="BD106" t="s">
        <v>73</v>
      </c>
      <c r="BE106" t="s">
        <v>73</v>
      </c>
      <c r="BG106" t="s">
        <v>73</v>
      </c>
      <c r="BH106" t="s">
        <v>73</v>
      </c>
      <c r="BI106" t="s">
        <v>73</v>
      </c>
      <c r="BJ106" t="s">
        <v>73</v>
      </c>
      <c r="BK106" t="s">
        <v>73</v>
      </c>
      <c r="BL106" t="s">
        <v>73</v>
      </c>
      <c r="BM106" t="s">
        <v>73</v>
      </c>
      <c r="BO106" t="s">
        <v>73</v>
      </c>
      <c r="BP106" t="s">
        <v>73</v>
      </c>
      <c r="CI106" t="s">
        <v>73</v>
      </c>
      <c r="CJ106" t="s">
        <v>73</v>
      </c>
      <c r="CK106" t="s">
        <v>73</v>
      </c>
      <c r="CL106" t="s">
        <v>73</v>
      </c>
      <c r="CM106" t="s">
        <v>73</v>
      </c>
      <c r="CN106" t="s">
        <v>73</v>
      </c>
      <c r="CO106" t="s">
        <v>73</v>
      </c>
      <c r="CP106" s="205" t="s">
        <v>73</v>
      </c>
      <c r="CQ106" s="204" t="s">
        <v>73</v>
      </c>
      <c r="CR106" t="s">
        <v>73</v>
      </c>
      <c r="CS106" t="s">
        <v>73</v>
      </c>
      <c r="CT106" t="s">
        <v>73</v>
      </c>
      <c r="CU106" t="s">
        <v>73</v>
      </c>
      <c r="CV106" t="s">
        <v>73</v>
      </c>
      <c r="CW106" t="s">
        <v>73</v>
      </c>
      <c r="CX106" t="s">
        <v>73</v>
      </c>
      <c r="CY106" t="s">
        <v>73</v>
      </c>
      <c r="CZ106" t="s">
        <v>73</v>
      </c>
      <c r="DA106" t="s">
        <v>73</v>
      </c>
      <c r="DB106" t="s">
        <v>73</v>
      </c>
      <c r="DC106" t="s">
        <v>73</v>
      </c>
      <c r="DD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t="s">
        <v>73</v>
      </c>
      <c r="DM106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s="205" t="s">
        <v>73</v>
      </c>
    </row>
    <row r="107" spans="47:181" ht="9" customHeight="1">
      <c r="AU107" s="204" t="s">
        <v>73</v>
      </c>
      <c r="AV107" t="s">
        <v>73</v>
      </c>
      <c r="AW107" t="s">
        <v>73</v>
      </c>
      <c r="AX107" t="s">
        <v>73</v>
      </c>
      <c r="AY107" t="s">
        <v>73</v>
      </c>
      <c r="AZ107" t="s">
        <v>73</v>
      </c>
      <c r="BD107" t="s">
        <v>73</v>
      </c>
      <c r="BE107" t="s">
        <v>73</v>
      </c>
      <c r="BF107" t="s">
        <v>73</v>
      </c>
      <c r="BG107" t="s">
        <v>73</v>
      </c>
      <c r="BH107" t="s">
        <v>73</v>
      </c>
      <c r="BI107" t="s">
        <v>73</v>
      </c>
      <c r="BJ107" t="s">
        <v>73</v>
      </c>
      <c r="BK107" t="s">
        <v>73</v>
      </c>
      <c r="BL107" t="s">
        <v>73</v>
      </c>
      <c r="BM107" t="s">
        <v>73</v>
      </c>
      <c r="BN107" t="s">
        <v>73</v>
      </c>
      <c r="BO107" t="s">
        <v>73</v>
      </c>
      <c r="BP107" t="s">
        <v>73</v>
      </c>
      <c r="CI107" t="s">
        <v>73</v>
      </c>
      <c r="CJ107" t="s">
        <v>73</v>
      </c>
      <c r="CK107" t="s">
        <v>73</v>
      </c>
      <c r="CL107" t="s">
        <v>73</v>
      </c>
      <c r="CM107" t="s">
        <v>73</v>
      </c>
      <c r="CN107" t="s">
        <v>73</v>
      </c>
      <c r="CO107" t="s">
        <v>73</v>
      </c>
      <c r="CP107" s="205" t="s">
        <v>73</v>
      </c>
      <c r="CQ107" s="204" t="s">
        <v>73</v>
      </c>
      <c r="CR107" t="s">
        <v>73</v>
      </c>
      <c r="CS107" t="s">
        <v>73</v>
      </c>
      <c r="CT107" t="s">
        <v>73</v>
      </c>
      <c r="CU107" t="s">
        <v>73</v>
      </c>
      <c r="CV107" t="s">
        <v>73</v>
      </c>
      <c r="CW107" t="s">
        <v>73</v>
      </c>
      <c r="CX107" t="s">
        <v>73</v>
      </c>
      <c r="CY107" t="s">
        <v>73</v>
      </c>
      <c r="CZ107" t="s">
        <v>73</v>
      </c>
      <c r="DA107" t="s">
        <v>73</v>
      </c>
      <c r="DB107" t="s">
        <v>73</v>
      </c>
      <c r="DC107" t="s">
        <v>73</v>
      </c>
      <c r="DZ107" t="s">
        <v>73</v>
      </c>
      <c r="EA107" t="s">
        <v>73</v>
      </c>
      <c r="EB107" t="s">
        <v>73</v>
      </c>
      <c r="EC107" t="s">
        <v>73</v>
      </c>
      <c r="ED107" t="s">
        <v>73</v>
      </c>
      <c r="EE107" t="s">
        <v>73</v>
      </c>
      <c r="EF107" t="s">
        <v>73</v>
      </c>
      <c r="EG107" t="s">
        <v>73</v>
      </c>
      <c r="EH107" t="s">
        <v>73</v>
      </c>
      <c r="EI107" t="s">
        <v>73</v>
      </c>
      <c r="EJ107" t="s">
        <v>73</v>
      </c>
      <c r="EK107" t="s">
        <v>73</v>
      </c>
      <c r="EL107" t="s">
        <v>73</v>
      </c>
      <c r="EM107" t="s">
        <v>73</v>
      </c>
      <c r="EN107" t="s">
        <v>73</v>
      </c>
      <c r="EO107" t="s">
        <v>73</v>
      </c>
      <c r="EP107" t="s">
        <v>73</v>
      </c>
      <c r="EQ107" t="s">
        <v>73</v>
      </c>
      <c r="ER107" t="s">
        <v>73</v>
      </c>
      <c r="ES107" t="s">
        <v>73</v>
      </c>
      <c r="ET107" t="s">
        <v>73</v>
      </c>
      <c r="EU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s="205" t="s">
        <v>73</v>
      </c>
    </row>
    <row r="108" spans="47:181" ht="9" customHeight="1">
      <c r="AU108" s="204" t="s">
        <v>73</v>
      </c>
      <c r="AV108" t="s">
        <v>73</v>
      </c>
      <c r="AW108" t="s">
        <v>73</v>
      </c>
      <c r="AX108" t="s">
        <v>73</v>
      </c>
      <c r="AY108" t="s">
        <v>73</v>
      </c>
      <c r="AZ108" t="s">
        <v>73</v>
      </c>
      <c r="BD108" t="s">
        <v>73</v>
      </c>
      <c r="BE108" t="s">
        <v>73</v>
      </c>
      <c r="BF108" t="s">
        <v>73</v>
      </c>
      <c r="BG108" t="s">
        <v>73</v>
      </c>
      <c r="BH108" t="s">
        <v>73</v>
      </c>
      <c r="BI108" t="s">
        <v>73</v>
      </c>
      <c r="BJ108" t="s">
        <v>73</v>
      </c>
      <c r="BK108" t="s">
        <v>73</v>
      </c>
      <c r="BL108" t="s">
        <v>73</v>
      </c>
      <c r="BM108" t="s">
        <v>73</v>
      </c>
      <c r="BN108" t="s">
        <v>73</v>
      </c>
      <c r="BO108" t="s">
        <v>73</v>
      </c>
      <c r="BP108" t="s">
        <v>73</v>
      </c>
      <c r="BU108" t="s">
        <v>73</v>
      </c>
      <c r="BV108" t="s">
        <v>73</v>
      </c>
      <c r="BW108" t="s">
        <v>73</v>
      </c>
      <c r="BX108" t="s">
        <v>73</v>
      </c>
      <c r="CI108" t="s">
        <v>73</v>
      </c>
      <c r="CJ108" t="s">
        <v>73</v>
      </c>
      <c r="CK108" t="s">
        <v>73</v>
      </c>
      <c r="CL108" t="s">
        <v>73</v>
      </c>
      <c r="CM108" t="s">
        <v>73</v>
      </c>
      <c r="CN108" t="s">
        <v>73</v>
      </c>
      <c r="CO108" t="s">
        <v>73</v>
      </c>
      <c r="CP108" s="205" t="s">
        <v>73</v>
      </c>
      <c r="CQ108" s="204" t="s">
        <v>73</v>
      </c>
      <c r="CR108" t="s">
        <v>73</v>
      </c>
      <c r="CS108" t="s">
        <v>73</v>
      </c>
      <c r="CT108" t="s">
        <v>73</v>
      </c>
      <c r="CU108" t="s">
        <v>73</v>
      </c>
      <c r="CV108" t="s">
        <v>73</v>
      </c>
      <c r="CW108" t="s">
        <v>73</v>
      </c>
      <c r="CX108" t="s">
        <v>73</v>
      </c>
      <c r="CY108" t="s">
        <v>73</v>
      </c>
      <c r="CZ108" t="s">
        <v>73</v>
      </c>
      <c r="DA108" t="s">
        <v>73</v>
      </c>
      <c r="EB108" t="s">
        <v>73</v>
      </c>
      <c r="EC108" t="s">
        <v>73</v>
      </c>
      <c r="ED108" t="s">
        <v>73</v>
      </c>
      <c r="EE108" t="s">
        <v>73</v>
      </c>
      <c r="EF108" t="s">
        <v>73</v>
      </c>
      <c r="EG108" t="s">
        <v>73</v>
      </c>
      <c r="EH108" t="s">
        <v>73</v>
      </c>
      <c r="EI108" t="s">
        <v>73</v>
      </c>
      <c r="EJ108" t="s">
        <v>73</v>
      </c>
      <c r="EK108" t="s">
        <v>73</v>
      </c>
      <c r="EL108" t="s">
        <v>73</v>
      </c>
      <c r="EM108" t="s">
        <v>73</v>
      </c>
      <c r="EN108" t="s">
        <v>73</v>
      </c>
      <c r="EO108" t="s">
        <v>73</v>
      </c>
      <c r="EP108" t="s">
        <v>73</v>
      </c>
      <c r="EQ108" t="s">
        <v>73</v>
      </c>
      <c r="ER108" t="s">
        <v>73</v>
      </c>
      <c r="ES108" t="s">
        <v>73</v>
      </c>
      <c r="ET108" t="s">
        <v>73</v>
      </c>
      <c r="EU108" t="s">
        <v>73</v>
      </c>
      <c r="EV108" t="s">
        <v>73</v>
      </c>
      <c r="E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s="205" t="s">
        <v>73</v>
      </c>
    </row>
    <row r="109" spans="47:181" ht="9" customHeight="1">
      <c r="AU109" s="204" t="s">
        <v>73</v>
      </c>
      <c r="AV109" t="s">
        <v>73</v>
      </c>
      <c r="AW109" t="s">
        <v>73</v>
      </c>
      <c r="AX109" t="s">
        <v>73</v>
      </c>
      <c r="AY109" t="s">
        <v>73</v>
      </c>
      <c r="AZ109" t="s">
        <v>73</v>
      </c>
      <c r="BD109" t="s">
        <v>73</v>
      </c>
      <c r="BE109" t="s">
        <v>73</v>
      </c>
      <c r="BF109" t="s">
        <v>73</v>
      </c>
      <c r="BJ109" t="s">
        <v>1321</v>
      </c>
      <c r="BO109" t="s">
        <v>73</v>
      </c>
      <c r="BP109" t="s">
        <v>73</v>
      </c>
      <c r="BU109" t="s">
        <v>73</v>
      </c>
      <c r="BV109" t="s">
        <v>73</v>
      </c>
      <c r="BW109" t="s">
        <v>73</v>
      </c>
      <c r="BX109" t="s">
        <v>73</v>
      </c>
      <c r="BY109" t="s">
        <v>73</v>
      </c>
      <c r="BZ109" t="s">
        <v>73</v>
      </c>
      <c r="CI109" t="s">
        <v>73</v>
      </c>
      <c r="CJ109" t="s">
        <v>73</v>
      </c>
      <c r="CK109" t="s">
        <v>73</v>
      </c>
      <c r="CL109" t="s">
        <v>73</v>
      </c>
      <c r="CM109" t="s">
        <v>73</v>
      </c>
      <c r="CN109" t="s">
        <v>73</v>
      </c>
      <c r="CO109" t="s">
        <v>73</v>
      </c>
      <c r="CP109" s="205" t="s">
        <v>73</v>
      </c>
      <c r="CQ109" s="204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CW109" t="s">
        <v>73</v>
      </c>
      <c r="CX109" t="s">
        <v>73</v>
      </c>
      <c r="CY109" t="s">
        <v>73</v>
      </c>
      <c r="CZ109" t="s">
        <v>73</v>
      </c>
      <c r="DA109" t="s">
        <v>73</v>
      </c>
      <c r="EB109" t="s">
        <v>73</v>
      </c>
      <c r="EC109" t="s">
        <v>73</v>
      </c>
      <c r="ED109" t="s">
        <v>73</v>
      </c>
      <c r="EE109" t="s">
        <v>73</v>
      </c>
      <c r="EF109" t="s">
        <v>73</v>
      </c>
      <c r="EG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D109" t="s">
        <v>73</v>
      </c>
      <c r="FE109" t="s">
        <v>73</v>
      </c>
      <c r="FF109" t="s">
        <v>73</v>
      </c>
      <c r="FL109" t="s">
        <v>73</v>
      </c>
      <c r="FM109" t="s">
        <v>73</v>
      </c>
      <c r="FN109" t="s">
        <v>73</v>
      </c>
      <c r="FO109" t="s">
        <v>73</v>
      </c>
      <c r="FP109" t="s">
        <v>73</v>
      </c>
      <c r="FQ109" t="s">
        <v>73</v>
      </c>
      <c r="FR109" t="s">
        <v>73</v>
      </c>
      <c r="FS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s="205" t="s">
        <v>73</v>
      </c>
    </row>
    <row r="110" spans="47:181" ht="9" customHeight="1">
      <c r="AU110" s="204" t="s">
        <v>73</v>
      </c>
      <c r="AV110" t="s">
        <v>73</v>
      </c>
      <c r="AW110" t="s">
        <v>73</v>
      </c>
      <c r="AX110" t="s">
        <v>73</v>
      </c>
      <c r="AY110" t="s">
        <v>73</v>
      </c>
      <c r="AZ110" t="s">
        <v>73</v>
      </c>
      <c r="BP110" t="s">
        <v>73</v>
      </c>
      <c r="BU110" t="s">
        <v>73</v>
      </c>
      <c r="BV110" t="s">
        <v>73</v>
      </c>
      <c r="BW110" t="s">
        <v>73</v>
      </c>
      <c r="BX110" t="s">
        <v>73</v>
      </c>
      <c r="BY110" t="s">
        <v>73</v>
      </c>
      <c r="BZ110" t="s">
        <v>73</v>
      </c>
      <c r="CI110" t="s">
        <v>73</v>
      </c>
      <c r="CJ110" t="s">
        <v>73</v>
      </c>
      <c r="CK110" t="s">
        <v>73</v>
      </c>
      <c r="CL110" t="s">
        <v>73</v>
      </c>
      <c r="CM110" t="s">
        <v>73</v>
      </c>
      <c r="CN110" t="s">
        <v>73</v>
      </c>
      <c r="CO110" t="s">
        <v>73</v>
      </c>
      <c r="CP110" s="205" t="s">
        <v>73</v>
      </c>
      <c r="CQ110" s="204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CW110" t="s">
        <v>73</v>
      </c>
      <c r="CX110" t="s">
        <v>73</v>
      </c>
      <c r="CY110" t="s">
        <v>73</v>
      </c>
      <c r="CZ110" t="s">
        <v>73</v>
      </c>
      <c r="DA110" t="s">
        <v>73</v>
      </c>
      <c r="DK110" t="s">
        <v>73</v>
      </c>
      <c r="DL110" t="s">
        <v>73</v>
      </c>
      <c r="DM110" t="s">
        <v>73</v>
      </c>
      <c r="DU110" t="s">
        <v>73</v>
      </c>
      <c r="DV110" t="s">
        <v>73</v>
      </c>
      <c r="EB110" t="s">
        <v>73</v>
      </c>
      <c r="EC110" t="s">
        <v>73</v>
      </c>
      <c r="ED110" t="s">
        <v>73</v>
      </c>
      <c r="EE110" t="s">
        <v>73</v>
      </c>
      <c r="EF110" t="s">
        <v>73</v>
      </c>
      <c r="EZ110" t="s">
        <v>73</v>
      </c>
      <c r="FA110" t="s">
        <v>73</v>
      </c>
      <c r="FB110" t="s">
        <v>73</v>
      </c>
      <c r="FC110" t="s">
        <v>73</v>
      </c>
      <c r="FD110" t="s">
        <v>73</v>
      </c>
      <c r="FE110" t="s">
        <v>73</v>
      </c>
      <c r="FF110" t="s">
        <v>73</v>
      </c>
      <c r="FL110" t="s">
        <v>73</v>
      </c>
      <c r="FM110" t="s">
        <v>73</v>
      </c>
      <c r="FN110" t="s">
        <v>73</v>
      </c>
      <c r="FO110" t="s">
        <v>73</v>
      </c>
      <c r="FP110" t="s">
        <v>73</v>
      </c>
      <c r="FQ110" t="s">
        <v>73</v>
      </c>
      <c r="FR110" t="s">
        <v>73</v>
      </c>
      <c r="FS110" t="s">
        <v>73</v>
      </c>
      <c r="FT110" t="s">
        <v>73</v>
      </c>
      <c r="FU110" t="s">
        <v>73</v>
      </c>
      <c r="FV110" t="s">
        <v>73</v>
      </c>
      <c r="FW110" t="s">
        <v>73</v>
      </c>
      <c r="FX110" t="s">
        <v>73</v>
      </c>
      <c r="FY110" s="205" t="s">
        <v>73</v>
      </c>
    </row>
    <row r="111" spans="47:181" ht="9" customHeight="1">
      <c r="AU111" s="204" t="s">
        <v>73</v>
      </c>
      <c r="AV111" t="s">
        <v>73</v>
      </c>
      <c r="AW111" t="s">
        <v>73</v>
      </c>
      <c r="AX111" t="s">
        <v>73</v>
      </c>
      <c r="AY111" t="s">
        <v>73</v>
      </c>
      <c r="AZ111" t="s">
        <v>73</v>
      </c>
      <c r="BP111" t="s">
        <v>73</v>
      </c>
      <c r="BU111" t="s">
        <v>73</v>
      </c>
      <c r="BV111" t="s">
        <v>73</v>
      </c>
      <c r="BW111" t="s">
        <v>1322</v>
      </c>
      <c r="BX111" t="s">
        <v>73</v>
      </c>
      <c r="BY111" t="s">
        <v>73</v>
      </c>
      <c r="BZ111" t="s">
        <v>73</v>
      </c>
      <c r="CI111" t="s">
        <v>73</v>
      </c>
      <c r="CJ111" t="s">
        <v>73</v>
      </c>
      <c r="CK111" t="s">
        <v>73</v>
      </c>
      <c r="CL111" t="s">
        <v>73</v>
      </c>
      <c r="CM111" t="s">
        <v>73</v>
      </c>
      <c r="CN111" t="s">
        <v>73</v>
      </c>
      <c r="CO111" t="s">
        <v>73</v>
      </c>
      <c r="CP111" s="205" t="s">
        <v>73</v>
      </c>
      <c r="CQ111" s="204" t="s">
        <v>73</v>
      </c>
      <c r="CR111" t="s">
        <v>73</v>
      </c>
      <c r="CS111" t="s">
        <v>73</v>
      </c>
      <c r="CT111" t="s">
        <v>73</v>
      </c>
      <c r="CU111" t="s">
        <v>73</v>
      </c>
      <c r="CV111" t="s">
        <v>73</v>
      </c>
      <c r="CW111" t="s">
        <v>73</v>
      </c>
      <c r="CX111" t="s">
        <v>73</v>
      </c>
      <c r="CY111" t="s">
        <v>73</v>
      </c>
      <c r="CZ111" t="s">
        <v>73</v>
      </c>
      <c r="DA111" t="s">
        <v>73</v>
      </c>
      <c r="DB111" t="s">
        <v>1320</v>
      </c>
      <c r="DC111" t="s">
        <v>1320</v>
      </c>
      <c r="DD111" t="s">
        <v>1320</v>
      </c>
      <c r="DG111" t="s">
        <v>1320</v>
      </c>
      <c r="DH111" t="s">
        <v>1320</v>
      </c>
      <c r="DI111" t="s">
        <v>1320</v>
      </c>
      <c r="DJ111" t="s">
        <v>1320</v>
      </c>
      <c r="DK111" t="s">
        <v>73</v>
      </c>
      <c r="DL111" t="s">
        <v>73</v>
      </c>
      <c r="DM111" t="s">
        <v>73</v>
      </c>
      <c r="DN111" t="s">
        <v>1320</v>
      </c>
      <c r="DO111" t="s">
        <v>1320</v>
      </c>
      <c r="DP111" t="s">
        <v>1320</v>
      </c>
      <c r="DQ111" t="s">
        <v>1320</v>
      </c>
      <c r="DR111" t="s">
        <v>1320</v>
      </c>
      <c r="DS111" t="s">
        <v>1320</v>
      </c>
      <c r="DT111" t="s">
        <v>1320</v>
      </c>
      <c r="DU111" t="s">
        <v>73</v>
      </c>
      <c r="DV111" t="s">
        <v>73</v>
      </c>
      <c r="DW111" t="s">
        <v>1320</v>
      </c>
      <c r="DX111" t="s">
        <v>1320</v>
      </c>
      <c r="DY111" t="s">
        <v>1320</v>
      </c>
      <c r="EB111" t="s">
        <v>73</v>
      </c>
      <c r="EC111" t="s">
        <v>73</v>
      </c>
      <c r="ED111" t="s">
        <v>73</v>
      </c>
      <c r="EE111" t="s">
        <v>73</v>
      </c>
      <c r="EF111" t="s">
        <v>73</v>
      </c>
      <c r="EZ111" t="s">
        <v>73</v>
      </c>
      <c r="FA111" t="s">
        <v>73</v>
      </c>
      <c r="FB111" t="s">
        <v>73</v>
      </c>
      <c r="FC111" t="s">
        <v>73</v>
      </c>
      <c r="FD111" t="s">
        <v>73</v>
      </c>
      <c r="FE111" t="s">
        <v>73</v>
      </c>
      <c r="FF111" t="s">
        <v>73</v>
      </c>
      <c r="FL111" t="s">
        <v>73</v>
      </c>
      <c r="FM111" t="s">
        <v>73</v>
      </c>
      <c r="FN111" t="s">
        <v>73</v>
      </c>
      <c r="FO111" t="s">
        <v>73</v>
      </c>
      <c r="FP111" t="s">
        <v>73</v>
      </c>
      <c r="FQ111" t="s">
        <v>73</v>
      </c>
      <c r="FR111" t="s">
        <v>73</v>
      </c>
      <c r="FS111" t="s">
        <v>73</v>
      </c>
      <c r="FT111" t="s">
        <v>73</v>
      </c>
      <c r="FU111" t="s">
        <v>73</v>
      </c>
      <c r="FV111" t="s">
        <v>73</v>
      </c>
      <c r="FW111" t="s">
        <v>73</v>
      </c>
      <c r="FX111" t="s">
        <v>73</v>
      </c>
      <c r="FY111" s="205" t="s">
        <v>73</v>
      </c>
    </row>
    <row r="112" spans="47:181" ht="9" customHeight="1">
      <c r="AU112" s="204" t="s">
        <v>73</v>
      </c>
      <c r="AV112" t="s">
        <v>73</v>
      </c>
      <c r="AW112" t="s">
        <v>73</v>
      </c>
      <c r="AX112" t="s">
        <v>73</v>
      </c>
      <c r="AY112" t="s">
        <v>73</v>
      </c>
      <c r="AZ112" t="s">
        <v>73</v>
      </c>
      <c r="BP112" t="s">
        <v>73</v>
      </c>
      <c r="CH112" t="s">
        <v>73</v>
      </c>
      <c r="CI112" t="s">
        <v>73</v>
      </c>
      <c r="CJ112" t="s">
        <v>73</v>
      </c>
      <c r="CK112" t="s">
        <v>73</v>
      </c>
      <c r="CL112" t="s">
        <v>73</v>
      </c>
      <c r="CM112" t="s">
        <v>73</v>
      </c>
      <c r="CN112" t="s">
        <v>73</v>
      </c>
      <c r="CO112" t="s">
        <v>73</v>
      </c>
      <c r="CP112" s="205" t="s">
        <v>73</v>
      </c>
      <c r="CQ112" s="204" t="s">
        <v>73</v>
      </c>
      <c r="CR112" t="s">
        <v>73</v>
      </c>
      <c r="CS112" t="s">
        <v>73</v>
      </c>
      <c r="CT112" t="s">
        <v>73</v>
      </c>
      <c r="CU112" t="s">
        <v>73</v>
      </c>
      <c r="CV112" t="s">
        <v>73</v>
      </c>
      <c r="CW112" t="s">
        <v>73</v>
      </c>
      <c r="DK112" t="s">
        <v>73</v>
      </c>
      <c r="DL112" t="s">
        <v>73</v>
      </c>
      <c r="DM112" t="s">
        <v>73</v>
      </c>
      <c r="DU112" t="s">
        <v>73</v>
      </c>
      <c r="DV112" t="s">
        <v>73</v>
      </c>
      <c r="EB112" t="s">
        <v>73</v>
      </c>
      <c r="EC112" t="s">
        <v>73</v>
      </c>
      <c r="ED112" t="s">
        <v>73</v>
      </c>
      <c r="EE112" t="s">
        <v>73</v>
      </c>
      <c r="EF112" t="s">
        <v>73</v>
      </c>
      <c r="EG112" t="s">
        <v>1320</v>
      </c>
      <c r="EH112" t="s">
        <v>1320</v>
      </c>
      <c r="EI112" t="s">
        <v>1320</v>
      </c>
      <c r="EJ112" t="s">
        <v>1320</v>
      </c>
      <c r="EM112" t="s">
        <v>73</v>
      </c>
      <c r="EN112" t="s">
        <v>73</v>
      </c>
      <c r="EO112" t="s">
        <v>73</v>
      </c>
      <c r="EP112" t="s">
        <v>73</v>
      </c>
      <c r="EQ112" t="s">
        <v>73</v>
      </c>
      <c r="ER112" t="s">
        <v>73</v>
      </c>
      <c r="ES112" t="s">
        <v>73</v>
      </c>
      <c r="ET112" t="s">
        <v>1320</v>
      </c>
      <c r="EU112" t="s">
        <v>1320</v>
      </c>
      <c r="EV112" t="s">
        <v>1320</v>
      </c>
      <c r="EW112" t="s">
        <v>1320</v>
      </c>
      <c r="EX112" t="s">
        <v>1320</v>
      </c>
      <c r="EZ112" t="s">
        <v>73</v>
      </c>
      <c r="FA112" t="s">
        <v>73</v>
      </c>
      <c r="FB112" t="s">
        <v>73</v>
      </c>
      <c r="FC112" t="s">
        <v>73</v>
      </c>
      <c r="FD112" t="s">
        <v>73</v>
      </c>
      <c r="FE112" t="s">
        <v>73</v>
      </c>
      <c r="FF112" t="s">
        <v>73</v>
      </c>
      <c r="FG112" t="s">
        <v>1320</v>
      </c>
      <c r="FH112" t="s">
        <v>1320</v>
      </c>
      <c r="FI112" t="s">
        <v>1320</v>
      </c>
      <c r="FL112" t="s">
        <v>73</v>
      </c>
      <c r="FM112" t="s">
        <v>73</v>
      </c>
      <c r="FN112" t="s">
        <v>73</v>
      </c>
      <c r="FO112" t="s">
        <v>73</v>
      </c>
      <c r="FP112" t="s">
        <v>73</v>
      </c>
      <c r="FQ112" t="s">
        <v>73</v>
      </c>
      <c r="FR112" t="s">
        <v>73</v>
      </c>
      <c r="FS112" t="s">
        <v>73</v>
      </c>
      <c r="FT112" t="s">
        <v>73</v>
      </c>
      <c r="FU112" t="s">
        <v>73</v>
      </c>
      <c r="FV112" t="s">
        <v>73</v>
      </c>
      <c r="FW112" t="s">
        <v>73</v>
      </c>
      <c r="FX112" t="s">
        <v>73</v>
      </c>
      <c r="FY112" s="205" t="s">
        <v>73</v>
      </c>
    </row>
    <row r="113" spans="47:181" ht="9" customHeight="1">
      <c r="AU113" s="204" t="s">
        <v>73</v>
      </c>
      <c r="AV113" t="s">
        <v>73</v>
      </c>
      <c r="AW113" t="s">
        <v>73</v>
      </c>
      <c r="AX113" t="s">
        <v>73</v>
      </c>
      <c r="AY113" t="s">
        <v>73</v>
      </c>
      <c r="AZ113" t="s">
        <v>73</v>
      </c>
      <c r="BA113" t="s">
        <v>73</v>
      </c>
      <c r="BB113" t="s">
        <v>73</v>
      </c>
      <c r="BC113" t="s">
        <v>73</v>
      </c>
      <c r="BD113" t="s">
        <v>73</v>
      </c>
      <c r="BE113" t="s">
        <v>73</v>
      </c>
      <c r="BF113" t="s">
        <v>73</v>
      </c>
      <c r="BG113" t="s">
        <v>73</v>
      </c>
      <c r="BH113" t="s">
        <v>73</v>
      </c>
      <c r="BI113" t="s">
        <v>73</v>
      </c>
      <c r="BJ113" t="s">
        <v>73</v>
      </c>
      <c r="BK113" t="s">
        <v>73</v>
      </c>
      <c r="BL113" t="s">
        <v>73</v>
      </c>
      <c r="BM113" t="s">
        <v>73</v>
      </c>
      <c r="BN113" t="s">
        <v>73</v>
      </c>
      <c r="BO113" t="s">
        <v>73</v>
      </c>
      <c r="BP113" t="s">
        <v>73</v>
      </c>
      <c r="CP113" s="205"/>
      <c r="CQ113" s="204"/>
      <c r="DK113" t="s">
        <v>73</v>
      </c>
      <c r="DL113" t="s">
        <v>73</v>
      </c>
      <c r="DM113" t="s">
        <v>73</v>
      </c>
      <c r="DU113" t="s">
        <v>73</v>
      </c>
      <c r="DV113" t="s">
        <v>73</v>
      </c>
      <c r="EM113" t="s">
        <v>73</v>
      </c>
      <c r="EN113" t="s">
        <v>73</v>
      </c>
      <c r="EO113" t="s">
        <v>73</v>
      </c>
      <c r="EP113" t="s">
        <v>73</v>
      </c>
      <c r="EQ113" t="s">
        <v>73</v>
      </c>
      <c r="ER113" t="s">
        <v>73</v>
      </c>
      <c r="ES113" t="s">
        <v>73</v>
      </c>
      <c r="EZ113" t="s">
        <v>73</v>
      </c>
      <c r="FA113" t="s">
        <v>73</v>
      </c>
      <c r="FB113" t="s">
        <v>73</v>
      </c>
      <c r="FC113" t="s">
        <v>73</v>
      </c>
      <c r="FD113" t="s">
        <v>73</v>
      </c>
      <c r="FE113" t="s">
        <v>73</v>
      </c>
      <c r="FF113" t="s">
        <v>73</v>
      </c>
      <c r="FL113" t="s">
        <v>73</v>
      </c>
      <c r="FM113" t="s">
        <v>73</v>
      </c>
      <c r="FN113" t="s">
        <v>73</v>
      </c>
      <c r="FO113" t="s">
        <v>73</v>
      </c>
      <c r="FP113" t="s">
        <v>73</v>
      </c>
      <c r="FQ113" t="s">
        <v>73</v>
      </c>
      <c r="FR113" t="s">
        <v>73</v>
      </c>
      <c r="FS113" t="s">
        <v>73</v>
      </c>
      <c r="FT113" t="s">
        <v>73</v>
      </c>
      <c r="FU113" t="s">
        <v>73</v>
      </c>
      <c r="FV113" t="s">
        <v>73</v>
      </c>
      <c r="FW113" t="s">
        <v>73</v>
      </c>
      <c r="FX113" t="s">
        <v>73</v>
      </c>
      <c r="FY113" s="205" t="s">
        <v>73</v>
      </c>
    </row>
    <row r="114" spans="47:181" ht="9" customHeight="1">
      <c r="AU114" s="204" t="s">
        <v>73</v>
      </c>
      <c r="AV114" t="s">
        <v>73</v>
      </c>
      <c r="AW114" t="s">
        <v>73</v>
      </c>
      <c r="AX114" t="s">
        <v>73</v>
      </c>
      <c r="AY114" t="s">
        <v>73</v>
      </c>
      <c r="AZ114" t="s">
        <v>73</v>
      </c>
      <c r="CP114" s="205"/>
      <c r="CQ114" s="204"/>
      <c r="DK114" t="s">
        <v>73</v>
      </c>
      <c r="DL114" t="s">
        <v>73</v>
      </c>
      <c r="DM114" t="s">
        <v>73</v>
      </c>
      <c r="DU114" t="s">
        <v>73</v>
      </c>
      <c r="DV114" t="s">
        <v>73</v>
      </c>
      <c r="DW114" t="s">
        <v>73</v>
      </c>
      <c r="EM114" t="s">
        <v>73</v>
      </c>
      <c r="EN114" t="s">
        <v>73</v>
      </c>
      <c r="EO114" t="s">
        <v>73</v>
      </c>
      <c r="EP114" t="s">
        <v>73</v>
      </c>
      <c r="EQ114" t="s">
        <v>73</v>
      </c>
      <c r="ER114" t="s">
        <v>73</v>
      </c>
      <c r="ES114" t="s">
        <v>73</v>
      </c>
      <c r="EZ114" t="s">
        <v>73</v>
      </c>
      <c r="FA114" t="s">
        <v>73</v>
      </c>
      <c r="FB114" t="s">
        <v>73</v>
      </c>
      <c r="FC114" t="s">
        <v>73</v>
      </c>
      <c r="FD114" t="s">
        <v>73</v>
      </c>
      <c r="FL114" t="s">
        <v>1348</v>
      </c>
      <c r="FM114" t="s">
        <v>1348</v>
      </c>
      <c r="FN114" t="s">
        <v>1348</v>
      </c>
      <c r="FO114" t="s">
        <v>1348</v>
      </c>
      <c r="FP114" t="s">
        <v>73</v>
      </c>
      <c r="FQ114" t="s">
        <v>73</v>
      </c>
      <c r="FR114" t="s">
        <v>73</v>
      </c>
      <c r="FS114" t="s">
        <v>73</v>
      </c>
      <c r="FT114" t="s">
        <v>73</v>
      </c>
      <c r="FU114" t="s">
        <v>73</v>
      </c>
      <c r="FV114" t="s">
        <v>73</v>
      </c>
      <c r="FW114" t="s">
        <v>73</v>
      </c>
      <c r="FX114" t="s">
        <v>73</v>
      </c>
      <c r="FY114" s="205" t="s">
        <v>73</v>
      </c>
    </row>
    <row r="115" spans="47:181" ht="9" customHeight="1">
      <c r="AU115" s="204" t="s">
        <v>73</v>
      </c>
      <c r="AV115" t="s">
        <v>73</v>
      </c>
      <c r="AW115" t="s">
        <v>73</v>
      </c>
      <c r="AX115" t="s">
        <v>73</v>
      </c>
      <c r="AY115" t="s">
        <v>73</v>
      </c>
      <c r="AZ115" t="s">
        <v>73</v>
      </c>
      <c r="BH115" t="s">
        <v>73</v>
      </c>
      <c r="BI115" t="s">
        <v>73</v>
      </c>
      <c r="BJ115" t="s">
        <v>73</v>
      </c>
      <c r="BK115" t="s">
        <v>73</v>
      </c>
      <c r="BL115" t="s">
        <v>73</v>
      </c>
      <c r="BM115" t="s">
        <v>73</v>
      </c>
      <c r="BN115" t="s">
        <v>73</v>
      </c>
      <c r="BO115" t="s">
        <v>73</v>
      </c>
      <c r="BP115" t="s">
        <v>73</v>
      </c>
      <c r="BU115" t="s">
        <v>73</v>
      </c>
      <c r="BV115" t="s">
        <v>73</v>
      </c>
      <c r="BW115" t="s">
        <v>73</v>
      </c>
      <c r="BX115" t="s">
        <v>73</v>
      </c>
      <c r="BY115" t="s">
        <v>73</v>
      </c>
      <c r="BZ115" t="s">
        <v>73</v>
      </c>
      <c r="CA115" t="s">
        <v>73</v>
      </c>
      <c r="CB115" t="s">
        <v>73</v>
      </c>
      <c r="CC115" t="s">
        <v>73</v>
      </c>
      <c r="CD115" t="s">
        <v>73</v>
      </c>
      <c r="CP115" s="205"/>
      <c r="CQ115" s="204"/>
      <c r="CZ115" t="s">
        <v>73</v>
      </c>
      <c r="DA115" t="s">
        <v>73</v>
      </c>
      <c r="DB115" t="s">
        <v>73</v>
      </c>
      <c r="DK115" t="s">
        <v>73</v>
      </c>
      <c r="DL115" t="s">
        <v>73</v>
      </c>
      <c r="DM115" t="s">
        <v>73</v>
      </c>
      <c r="DU115" t="s">
        <v>73</v>
      </c>
      <c r="DV115" t="s">
        <v>73</v>
      </c>
      <c r="DW115" t="s">
        <v>73</v>
      </c>
      <c r="DX115" t="s">
        <v>1348</v>
      </c>
      <c r="DY115" t="s">
        <v>1348</v>
      </c>
      <c r="DZ115" t="s">
        <v>1348</v>
      </c>
      <c r="EA115" t="s">
        <v>1348</v>
      </c>
      <c r="EB115" t="s">
        <v>1348</v>
      </c>
      <c r="EC115" t="s">
        <v>1348</v>
      </c>
      <c r="ED115" t="s">
        <v>1348</v>
      </c>
      <c r="EM115" t="s">
        <v>73</v>
      </c>
      <c r="EN115" t="s">
        <v>73</v>
      </c>
      <c r="EO115" t="s">
        <v>73</v>
      </c>
      <c r="EP115" t="s">
        <v>73</v>
      </c>
      <c r="EQ115" t="s">
        <v>73</v>
      </c>
      <c r="ER115" t="s">
        <v>73</v>
      </c>
      <c r="ES115" t="s">
        <v>73</v>
      </c>
      <c r="FI115" t="s">
        <v>73</v>
      </c>
      <c r="FJ115" t="s">
        <v>73</v>
      </c>
      <c r="FK115" t="s">
        <v>73</v>
      </c>
      <c r="FL115" t="s">
        <v>1348</v>
      </c>
      <c r="FM115" t="s">
        <v>1348</v>
      </c>
      <c r="FN115" t="s">
        <v>1348</v>
      </c>
      <c r="FO115" t="s">
        <v>1348</v>
      </c>
      <c r="FP115" t="s">
        <v>1348</v>
      </c>
      <c r="FQ115" t="s">
        <v>1348</v>
      </c>
      <c r="FR115" t="s">
        <v>73</v>
      </c>
      <c r="FS115" t="s">
        <v>73</v>
      </c>
      <c r="FT115" t="s">
        <v>73</v>
      </c>
      <c r="FU115" t="s">
        <v>73</v>
      </c>
      <c r="FV115" t="s">
        <v>73</v>
      </c>
      <c r="FW115" t="s">
        <v>73</v>
      </c>
      <c r="FX115" t="s">
        <v>73</v>
      </c>
      <c r="FY115" s="205" t="s">
        <v>73</v>
      </c>
    </row>
    <row r="116" spans="47:181" ht="9" customHeight="1">
      <c r="AU116" s="204" t="s">
        <v>73</v>
      </c>
      <c r="AV116" t="s">
        <v>73</v>
      </c>
      <c r="AW116" t="s">
        <v>73</v>
      </c>
      <c r="AX116" t="s">
        <v>73</v>
      </c>
      <c r="AY116" t="s">
        <v>73</v>
      </c>
      <c r="AZ116" t="s">
        <v>73</v>
      </c>
      <c r="BH116" t="s">
        <v>73</v>
      </c>
      <c r="BI116" t="s">
        <v>73</v>
      </c>
      <c r="BJ116" t="s">
        <v>73</v>
      </c>
      <c r="BK116" t="s">
        <v>73</v>
      </c>
      <c r="BL116" t="s">
        <v>73</v>
      </c>
      <c r="BM116" t="s">
        <v>73</v>
      </c>
      <c r="BN116" t="s">
        <v>73</v>
      </c>
      <c r="BO116" t="s">
        <v>73</v>
      </c>
      <c r="BP116" t="s">
        <v>73</v>
      </c>
      <c r="BU116" t="s">
        <v>73</v>
      </c>
      <c r="BV116" t="s">
        <v>73</v>
      </c>
      <c r="BW116" t="s">
        <v>73</v>
      </c>
      <c r="BX116" t="s">
        <v>73</v>
      </c>
      <c r="BY116" t="s">
        <v>73</v>
      </c>
      <c r="BZ116" t="s">
        <v>73</v>
      </c>
      <c r="CA116" t="s">
        <v>73</v>
      </c>
      <c r="CB116" t="s">
        <v>73</v>
      </c>
      <c r="CC116" t="s">
        <v>73</v>
      </c>
      <c r="CD116" t="s">
        <v>73</v>
      </c>
      <c r="CI116" t="s">
        <v>73</v>
      </c>
      <c r="CJ116" t="s">
        <v>73</v>
      </c>
      <c r="CK116" t="s">
        <v>73</v>
      </c>
      <c r="CL116" t="s">
        <v>73</v>
      </c>
      <c r="CM116" t="s">
        <v>73</v>
      </c>
      <c r="CN116" t="s">
        <v>73</v>
      </c>
      <c r="CO116" t="s">
        <v>73</v>
      </c>
      <c r="CP116" s="205" t="s">
        <v>73</v>
      </c>
      <c r="CQ116" s="204"/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A116" t="s">
        <v>73</v>
      </c>
      <c r="DB116" t="s">
        <v>73</v>
      </c>
      <c r="DC116" t="s">
        <v>1320</v>
      </c>
      <c r="DD116" t="s">
        <v>1320</v>
      </c>
      <c r="DE116" t="s">
        <v>1320</v>
      </c>
      <c r="DF116" t="s">
        <v>1320</v>
      </c>
      <c r="DI116" t="s">
        <v>1320</v>
      </c>
      <c r="DJ116" t="s">
        <v>1320</v>
      </c>
      <c r="DK116" t="s">
        <v>73</v>
      </c>
      <c r="DL116" t="s">
        <v>73</v>
      </c>
      <c r="DM116" t="s">
        <v>73</v>
      </c>
      <c r="DN116" t="s">
        <v>1320</v>
      </c>
      <c r="DO116" t="s">
        <v>1320</v>
      </c>
      <c r="DP116" t="s">
        <v>1320</v>
      </c>
      <c r="DQ116" t="s">
        <v>1320</v>
      </c>
      <c r="DR116" t="s">
        <v>1320</v>
      </c>
      <c r="DS116" t="s">
        <v>1320</v>
      </c>
      <c r="DT116" t="s">
        <v>1320</v>
      </c>
      <c r="DU116" t="s">
        <v>73</v>
      </c>
      <c r="DV116" t="s">
        <v>73</v>
      </c>
      <c r="DW116" t="s">
        <v>73</v>
      </c>
      <c r="DX116" t="s">
        <v>1348</v>
      </c>
      <c r="DY116" t="s">
        <v>1348</v>
      </c>
      <c r="DZ116" t="s">
        <v>1348</v>
      </c>
      <c r="EA116" t="s">
        <v>1348</v>
      </c>
      <c r="EB116" t="s">
        <v>1348</v>
      </c>
      <c r="EC116" t="s">
        <v>1348</v>
      </c>
      <c r="ED116" t="s">
        <v>1348</v>
      </c>
      <c r="EE116" t="s">
        <v>1348</v>
      </c>
      <c r="EF116" t="s">
        <v>1348</v>
      </c>
      <c r="EG116" t="s">
        <v>1348</v>
      </c>
      <c r="EH116" t="s">
        <v>1348</v>
      </c>
      <c r="EI116" t="s">
        <v>1348</v>
      </c>
      <c r="EJ116" t="s">
        <v>1348</v>
      </c>
      <c r="EK116" t="s">
        <v>1348</v>
      </c>
      <c r="EL116" t="s">
        <v>73</v>
      </c>
      <c r="EM116" t="s">
        <v>73</v>
      </c>
      <c r="EN116" t="s">
        <v>73</v>
      </c>
      <c r="EO116" t="s">
        <v>73</v>
      </c>
      <c r="EP116" t="s">
        <v>73</v>
      </c>
      <c r="EQ116" t="s">
        <v>73</v>
      </c>
      <c r="ER116" t="s">
        <v>73</v>
      </c>
      <c r="ES116" t="s">
        <v>73</v>
      </c>
      <c r="FJ116" t="s">
        <v>1348</v>
      </c>
      <c r="FK116" t="s">
        <v>1348</v>
      </c>
      <c r="FL116" t="s">
        <v>1348</v>
      </c>
      <c r="FM116" t="s">
        <v>1348</v>
      </c>
      <c r="FN116" t="s">
        <v>1348</v>
      </c>
      <c r="FO116" t="s">
        <v>1348</v>
      </c>
      <c r="FP116" t="s">
        <v>1348</v>
      </c>
      <c r="FQ116" t="s">
        <v>1348</v>
      </c>
      <c r="FR116" t="s">
        <v>73</v>
      </c>
      <c r="FS116" t="s">
        <v>73</v>
      </c>
      <c r="FT116" t="s">
        <v>73</v>
      </c>
      <c r="FU116" t="s">
        <v>73</v>
      </c>
      <c r="FV116" t="s">
        <v>73</v>
      </c>
      <c r="FW116" t="s">
        <v>73</v>
      </c>
      <c r="FX116" t="s">
        <v>73</v>
      </c>
      <c r="FY116" s="205" t="s">
        <v>73</v>
      </c>
    </row>
    <row r="117" spans="47:181" ht="9" customHeight="1">
      <c r="AU117" s="204" t="s">
        <v>73</v>
      </c>
      <c r="AV117" t="s">
        <v>73</v>
      </c>
      <c r="AW117" t="s">
        <v>73</v>
      </c>
      <c r="AX117" t="s">
        <v>73</v>
      </c>
      <c r="AY117" t="s">
        <v>73</v>
      </c>
      <c r="AZ117" t="s">
        <v>73</v>
      </c>
      <c r="BH117" t="s">
        <v>73</v>
      </c>
      <c r="BI117" t="s">
        <v>73</v>
      </c>
      <c r="BJ117" t="s">
        <v>73</v>
      </c>
      <c r="BK117" t="s">
        <v>73</v>
      </c>
      <c r="BL117" t="s">
        <v>73</v>
      </c>
      <c r="BM117" t="s">
        <v>73</v>
      </c>
      <c r="BN117" t="s">
        <v>73</v>
      </c>
      <c r="BO117" t="s">
        <v>73</v>
      </c>
      <c r="BP117" t="s">
        <v>73</v>
      </c>
      <c r="BU117" t="s">
        <v>73</v>
      </c>
      <c r="BV117" t="s">
        <v>73</v>
      </c>
      <c r="BW117" t="s">
        <v>73</v>
      </c>
      <c r="BX117" t="s">
        <v>73</v>
      </c>
      <c r="BY117" t="s">
        <v>73</v>
      </c>
      <c r="BZ117" t="s">
        <v>73</v>
      </c>
      <c r="CA117" t="s">
        <v>73</v>
      </c>
      <c r="CB117" t="s">
        <v>73</v>
      </c>
      <c r="CC117" t="s">
        <v>73</v>
      </c>
      <c r="CD117" t="s">
        <v>73</v>
      </c>
      <c r="CI117" t="s">
        <v>73</v>
      </c>
      <c r="CJ117" t="s">
        <v>73</v>
      </c>
      <c r="CK117" t="s">
        <v>73</v>
      </c>
      <c r="CL117" t="s">
        <v>73</v>
      </c>
      <c r="CM117" t="s">
        <v>73</v>
      </c>
      <c r="CN117" t="s">
        <v>73</v>
      </c>
      <c r="CO117" t="s">
        <v>73</v>
      </c>
      <c r="CP117" s="205" t="s">
        <v>73</v>
      </c>
      <c r="CQ117" s="204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A117" t="s">
        <v>73</v>
      </c>
      <c r="DB117" t="s">
        <v>73</v>
      </c>
      <c r="DK117" t="s">
        <v>73</v>
      </c>
      <c r="DL117" t="s">
        <v>73</v>
      </c>
      <c r="DM117" t="s">
        <v>73</v>
      </c>
      <c r="DU117" t="s">
        <v>73</v>
      </c>
      <c r="DV117" t="s">
        <v>73</v>
      </c>
      <c r="DW117" t="s">
        <v>73</v>
      </c>
      <c r="DX117" t="s">
        <v>1348</v>
      </c>
      <c r="DY117" t="s">
        <v>1348</v>
      </c>
      <c r="DZ117" t="s">
        <v>1348</v>
      </c>
      <c r="EA117" t="s">
        <v>1348</v>
      </c>
      <c r="EB117" t="s">
        <v>1348</v>
      </c>
      <c r="EC117" t="s">
        <v>1348</v>
      </c>
      <c r="ED117" t="s">
        <v>1348</v>
      </c>
      <c r="EE117" t="s">
        <v>1348</v>
      </c>
      <c r="EF117" t="s">
        <v>1348</v>
      </c>
      <c r="EG117" t="s">
        <v>1348</v>
      </c>
      <c r="EH117" t="s">
        <v>1348</v>
      </c>
      <c r="EI117" t="s">
        <v>1348</v>
      </c>
      <c r="EJ117" t="s">
        <v>1348</v>
      </c>
      <c r="EK117" t="s">
        <v>1348</v>
      </c>
      <c r="EL117" t="s">
        <v>73</v>
      </c>
      <c r="EM117" t="s">
        <v>73</v>
      </c>
      <c r="EN117" t="s">
        <v>73</v>
      </c>
      <c r="EO117" t="s">
        <v>73</v>
      </c>
      <c r="EP117" t="s">
        <v>73</v>
      </c>
      <c r="EQ117" t="s">
        <v>73</v>
      </c>
      <c r="ER117" t="s">
        <v>73</v>
      </c>
      <c r="ES117" t="s">
        <v>73</v>
      </c>
      <c r="FJ117" t="s">
        <v>1348</v>
      </c>
      <c r="FK117" t="s">
        <v>1348</v>
      </c>
      <c r="FL117" t="s">
        <v>1348</v>
      </c>
      <c r="FM117" t="s">
        <v>1348</v>
      </c>
      <c r="FN117" t="s">
        <v>1348</v>
      </c>
      <c r="FO117" t="s">
        <v>1348</v>
      </c>
      <c r="FP117" t="s">
        <v>1348</v>
      </c>
      <c r="FQ117" t="s">
        <v>1348</v>
      </c>
      <c r="FR117" t="s">
        <v>73</v>
      </c>
      <c r="FS117" t="s">
        <v>73</v>
      </c>
      <c r="FT117" t="s">
        <v>73</v>
      </c>
      <c r="FU117" t="s">
        <v>73</v>
      </c>
      <c r="FV117" t="s">
        <v>73</v>
      </c>
      <c r="FW117" t="s">
        <v>73</v>
      </c>
      <c r="FX117" t="s">
        <v>73</v>
      </c>
      <c r="FY117" s="205" t="s">
        <v>73</v>
      </c>
    </row>
    <row r="118" spans="47:181" ht="9" customHeight="1">
      <c r="AU118" s="204" t="s">
        <v>73</v>
      </c>
      <c r="AV118" t="s">
        <v>73</v>
      </c>
      <c r="AW118" t="s">
        <v>73</v>
      </c>
      <c r="AX118" t="s">
        <v>73</v>
      </c>
      <c r="AY118" t="s">
        <v>73</v>
      </c>
      <c r="AZ118" t="s">
        <v>73</v>
      </c>
      <c r="BH118" t="s">
        <v>73</v>
      </c>
      <c r="BI118" t="s">
        <v>73</v>
      </c>
      <c r="BJ118" t="s">
        <v>73</v>
      </c>
      <c r="BK118" t="s">
        <v>73</v>
      </c>
      <c r="BL118" t="s">
        <v>1323</v>
      </c>
      <c r="BM118" t="s">
        <v>73</v>
      </c>
      <c r="BN118" t="s">
        <v>73</v>
      </c>
      <c r="BO118" t="s">
        <v>73</v>
      </c>
      <c r="BP118" t="s">
        <v>73</v>
      </c>
      <c r="BU118" t="s">
        <v>73</v>
      </c>
      <c r="BV118" t="s">
        <v>73</v>
      </c>
      <c r="BW118" t="s">
        <v>73</v>
      </c>
      <c r="BX118" t="s">
        <v>73</v>
      </c>
      <c r="BY118" t="s">
        <v>73</v>
      </c>
      <c r="BZ118" t="s">
        <v>73</v>
      </c>
      <c r="CA118" t="s">
        <v>73</v>
      </c>
      <c r="CB118" t="s">
        <v>73</v>
      </c>
      <c r="CC118" t="s">
        <v>73</v>
      </c>
      <c r="CD118" t="s">
        <v>73</v>
      </c>
      <c r="CE118" t="s">
        <v>73</v>
      </c>
      <c r="CI118" t="s">
        <v>73</v>
      </c>
      <c r="CJ118" t="s">
        <v>73</v>
      </c>
      <c r="CK118" t="s">
        <v>73</v>
      </c>
      <c r="CL118" t="s">
        <v>73</v>
      </c>
      <c r="CM118" t="s">
        <v>73</v>
      </c>
      <c r="CN118" t="s">
        <v>73</v>
      </c>
      <c r="CO118" t="s">
        <v>73</v>
      </c>
      <c r="CP118" s="205" t="s">
        <v>73</v>
      </c>
      <c r="CQ118" s="204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B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DY118" t="s">
        <v>73</v>
      </c>
      <c r="DZ118" t="s">
        <v>1348</v>
      </c>
      <c r="EA118" t="s">
        <v>1348</v>
      </c>
      <c r="EB118" t="s">
        <v>1348</v>
      </c>
      <c r="EC118" t="s">
        <v>1348</v>
      </c>
      <c r="ED118" t="s">
        <v>1348</v>
      </c>
      <c r="EE118" t="s">
        <v>1348</v>
      </c>
      <c r="EF118" t="s">
        <v>1348</v>
      </c>
      <c r="EG118" t="s">
        <v>1348</v>
      </c>
      <c r="EH118" t="s">
        <v>1348</v>
      </c>
      <c r="EI118" t="s">
        <v>1348</v>
      </c>
      <c r="EJ118" t="s">
        <v>1348</v>
      </c>
      <c r="EK118" t="s">
        <v>1348</v>
      </c>
      <c r="EL118" t="s">
        <v>73</v>
      </c>
      <c r="EM118" t="s">
        <v>73</v>
      </c>
      <c r="EN118" t="s">
        <v>73</v>
      </c>
      <c r="EO118" t="s">
        <v>73</v>
      </c>
      <c r="EP118" t="s">
        <v>73</v>
      </c>
      <c r="EQ118" t="s">
        <v>73</v>
      </c>
      <c r="ER118" t="s">
        <v>73</v>
      </c>
      <c r="ES118" t="s">
        <v>73</v>
      </c>
      <c r="FI118" t="s">
        <v>1348</v>
      </c>
      <c r="FJ118" t="s">
        <v>1348</v>
      </c>
      <c r="FK118" t="s">
        <v>1348</v>
      </c>
      <c r="FL118" t="s">
        <v>1348</v>
      </c>
      <c r="FM118" t="s">
        <v>1348</v>
      </c>
      <c r="FN118" t="s">
        <v>1348</v>
      </c>
      <c r="FO118" t="s">
        <v>1348</v>
      </c>
      <c r="FP118" t="s">
        <v>1348</v>
      </c>
      <c r="FQ118" t="s">
        <v>1348</v>
      </c>
      <c r="FR118" t="s">
        <v>73</v>
      </c>
      <c r="FS118" t="s">
        <v>73</v>
      </c>
      <c r="FT118" t="s">
        <v>73</v>
      </c>
      <c r="FU118" t="s">
        <v>73</v>
      </c>
      <c r="FV118" t="s">
        <v>73</v>
      </c>
      <c r="FW118" t="s">
        <v>73</v>
      </c>
      <c r="FX118" t="s">
        <v>73</v>
      </c>
      <c r="FY118" s="205" t="s">
        <v>73</v>
      </c>
    </row>
    <row r="119" spans="47:181" ht="9" customHeight="1">
      <c r="AU119" s="204" t="s">
        <v>73</v>
      </c>
      <c r="AV119" t="s">
        <v>73</v>
      </c>
      <c r="AW119" t="s">
        <v>73</v>
      </c>
      <c r="AX119" t="s">
        <v>73</v>
      </c>
      <c r="AY119" t="s">
        <v>73</v>
      </c>
      <c r="AZ119" t="s">
        <v>73</v>
      </c>
      <c r="BU119" t="s">
        <v>73</v>
      </c>
      <c r="CE119" t="s">
        <v>73</v>
      </c>
      <c r="CI119" t="s">
        <v>73</v>
      </c>
      <c r="CJ119" t="s">
        <v>73</v>
      </c>
      <c r="CK119" t="s">
        <v>73</v>
      </c>
      <c r="CL119" t="s">
        <v>73</v>
      </c>
      <c r="CM119" t="s">
        <v>73</v>
      </c>
      <c r="CN119" t="s">
        <v>73</v>
      </c>
      <c r="CO119" t="s">
        <v>73</v>
      </c>
      <c r="CP119" s="205" t="s">
        <v>73</v>
      </c>
      <c r="CQ119" s="204" t="s">
        <v>73</v>
      </c>
      <c r="CR119" t="s">
        <v>73</v>
      </c>
      <c r="CS119" t="s">
        <v>73</v>
      </c>
      <c r="CT119" t="s">
        <v>73</v>
      </c>
      <c r="CU119" t="s">
        <v>73</v>
      </c>
      <c r="CV119" t="s">
        <v>73</v>
      </c>
      <c r="CW119" t="s">
        <v>73</v>
      </c>
      <c r="CX119" t="s">
        <v>73</v>
      </c>
      <c r="CY119" t="s">
        <v>73</v>
      </c>
      <c r="CZ119" t="s">
        <v>73</v>
      </c>
      <c r="DA119" t="s">
        <v>73</v>
      </c>
      <c r="DB119" t="s">
        <v>73</v>
      </c>
      <c r="DC119" t="s">
        <v>73</v>
      </c>
      <c r="DD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1348</v>
      </c>
      <c r="EA119" t="s">
        <v>1348</v>
      </c>
      <c r="EB119" t="s">
        <v>1348</v>
      </c>
      <c r="EC119" t="s">
        <v>1348</v>
      </c>
      <c r="ED119" t="s">
        <v>1348</v>
      </c>
      <c r="EE119" t="s">
        <v>1348</v>
      </c>
      <c r="EF119" t="s">
        <v>1348</v>
      </c>
      <c r="EG119" t="s">
        <v>1348</v>
      </c>
      <c r="EH119" t="s">
        <v>1348</v>
      </c>
      <c r="EI119" t="s">
        <v>1348</v>
      </c>
      <c r="EJ119" t="s">
        <v>1348</v>
      </c>
      <c r="EK119" t="s">
        <v>1348</v>
      </c>
      <c r="EL119" t="s">
        <v>73</v>
      </c>
      <c r="EM119" t="s">
        <v>73</v>
      </c>
      <c r="EN119" t="s">
        <v>73</v>
      </c>
      <c r="EO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FI119" t="s">
        <v>1348</v>
      </c>
      <c r="FJ119" t="s">
        <v>1348</v>
      </c>
      <c r="FK119" t="s">
        <v>1348</v>
      </c>
      <c r="FL119" t="s">
        <v>1348</v>
      </c>
      <c r="FM119" t="s">
        <v>1348</v>
      </c>
      <c r="FN119" t="s">
        <v>1348</v>
      </c>
      <c r="FO119" t="s">
        <v>1348</v>
      </c>
      <c r="FP119" t="s">
        <v>1348</v>
      </c>
      <c r="FQ119" t="s">
        <v>1348</v>
      </c>
      <c r="FR119" t="s">
        <v>73</v>
      </c>
      <c r="FS119" t="s">
        <v>73</v>
      </c>
      <c r="FT119" t="s">
        <v>73</v>
      </c>
      <c r="FU119" t="s">
        <v>73</v>
      </c>
      <c r="FV119" t="s">
        <v>73</v>
      </c>
      <c r="FW119" t="s">
        <v>73</v>
      </c>
      <c r="FX119" t="s">
        <v>73</v>
      </c>
      <c r="FY119" s="205" t="s">
        <v>73</v>
      </c>
    </row>
    <row r="120" spans="47:181" ht="9" customHeight="1">
      <c r="AU120" s="204" t="s">
        <v>73</v>
      </c>
      <c r="AV120" t="s">
        <v>73</v>
      </c>
      <c r="AW120" t="s">
        <v>73</v>
      </c>
      <c r="AX120" t="s">
        <v>73</v>
      </c>
      <c r="AY120" t="s">
        <v>73</v>
      </c>
      <c r="AZ120" t="s">
        <v>73</v>
      </c>
      <c r="BU120" t="s">
        <v>73</v>
      </c>
      <c r="CE120" t="s">
        <v>73</v>
      </c>
      <c r="CI120" t="s">
        <v>73</v>
      </c>
      <c r="CJ120" t="s">
        <v>73</v>
      </c>
      <c r="CK120" t="s">
        <v>73</v>
      </c>
      <c r="CL120" t="s">
        <v>73</v>
      </c>
      <c r="CM120" t="s">
        <v>73</v>
      </c>
      <c r="CN120" t="s">
        <v>73</v>
      </c>
      <c r="CO120" t="s">
        <v>73</v>
      </c>
      <c r="CP120" s="205" t="s">
        <v>73</v>
      </c>
      <c r="CQ120" s="204" t="s">
        <v>73</v>
      </c>
      <c r="CR120" t="s">
        <v>73</v>
      </c>
      <c r="CS120" t="s">
        <v>73</v>
      </c>
      <c r="CT120" t="s">
        <v>73</v>
      </c>
      <c r="CU120" t="s">
        <v>73</v>
      </c>
      <c r="CV120" t="s">
        <v>73</v>
      </c>
      <c r="CW120" t="s">
        <v>73</v>
      </c>
      <c r="CX120" t="s">
        <v>73</v>
      </c>
      <c r="CY120" t="s">
        <v>73</v>
      </c>
      <c r="CZ120" t="s">
        <v>73</v>
      </c>
      <c r="DA120" t="s">
        <v>73</v>
      </c>
      <c r="DB120" t="s">
        <v>73</v>
      </c>
      <c r="DC120" t="s">
        <v>73</v>
      </c>
      <c r="DD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t="s">
        <v>73</v>
      </c>
      <c r="DM120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1348</v>
      </c>
      <c r="EE120" t="s">
        <v>1348</v>
      </c>
      <c r="EF120" t="s">
        <v>1348</v>
      </c>
      <c r="EG120" t="s">
        <v>1348</v>
      </c>
      <c r="EH120" t="s">
        <v>1348</v>
      </c>
      <c r="EI120" t="s">
        <v>1348</v>
      </c>
      <c r="EJ120" t="s">
        <v>1348</v>
      </c>
      <c r="EK120" t="s">
        <v>1348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FI120" t="s">
        <v>1348</v>
      </c>
      <c r="FJ120" t="s">
        <v>1348</v>
      </c>
      <c r="FK120" t="s">
        <v>1348</v>
      </c>
      <c r="FL120" t="s">
        <v>1348</v>
      </c>
      <c r="FM120" t="s">
        <v>1348</v>
      </c>
      <c r="FN120" t="s">
        <v>1348</v>
      </c>
      <c r="FO120" t="s">
        <v>73</v>
      </c>
      <c r="FP120" t="s">
        <v>73</v>
      </c>
      <c r="FQ120" t="s">
        <v>73</v>
      </c>
      <c r="FR120" t="s">
        <v>73</v>
      </c>
      <c r="FS120" t="s">
        <v>73</v>
      </c>
      <c r="FT120" t="s">
        <v>73</v>
      </c>
      <c r="FU120" t="s">
        <v>73</v>
      </c>
      <c r="FV120" t="s">
        <v>73</v>
      </c>
      <c r="FW120" t="s">
        <v>73</v>
      </c>
      <c r="FX120" t="s">
        <v>73</v>
      </c>
      <c r="FY120" s="205" t="s">
        <v>73</v>
      </c>
    </row>
    <row r="121" spans="47:181" ht="9" customHeight="1">
      <c r="AU121" s="204" t="s">
        <v>73</v>
      </c>
      <c r="AV121" t="s">
        <v>73</v>
      </c>
      <c r="AW121" t="s">
        <v>73</v>
      </c>
      <c r="AX121" t="s">
        <v>73</v>
      </c>
      <c r="AY121" t="s">
        <v>73</v>
      </c>
      <c r="AZ121" t="s">
        <v>73</v>
      </c>
      <c r="BC121" t="s">
        <v>73</v>
      </c>
      <c r="BD121" t="s">
        <v>73</v>
      </c>
      <c r="BE121" t="s">
        <v>73</v>
      </c>
      <c r="BF121" t="s">
        <v>73</v>
      </c>
      <c r="BG121" t="s">
        <v>73</v>
      </c>
      <c r="BU121" t="s">
        <v>73</v>
      </c>
      <c r="CE121" t="s">
        <v>73</v>
      </c>
      <c r="CI121" t="s">
        <v>73</v>
      </c>
      <c r="CJ121" t="s">
        <v>73</v>
      </c>
      <c r="CK121" t="s">
        <v>73</v>
      </c>
      <c r="CL121" t="s">
        <v>73</v>
      </c>
      <c r="CM121" t="s">
        <v>73</v>
      </c>
      <c r="CN121" t="s">
        <v>73</v>
      </c>
      <c r="CO121" t="s">
        <v>73</v>
      </c>
      <c r="CP121" s="205" t="s">
        <v>73</v>
      </c>
      <c r="CQ121" s="204" t="s">
        <v>73</v>
      </c>
      <c r="CR121" t="s">
        <v>73</v>
      </c>
      <c r="CS121" t="s">
        <v>73</v>
      </c>
      <c r="CT121" t="s">
        <v>73</v>
      </c>
      <c r="CU121" t="s">
        <v>73</v>
      </c>
      <c r="CV121" t="s">
        <v>73</v>
      </c>
      <c r="CW121" t="s">
        <v>73</v>
      </c>
      <c r="CX121" t="s">
        <v>73</v>
      </c>
      <c r="CY121" t="s">
        <v>73</v>
      </c>
      <c r="CZ121" t="s">
        <v>73</v>
      </c>
      <c r="DA121" t="s">
        <v>73</v>
      </c>
      <c r="DB121" t="s">
        <v>73</v>
      </c>
      <c r="DC121" t="s">
        <v>73</v>
      </c>
      <c r="DD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t="s">
        <v>73</v>
      </c>
      <c r="DM121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s="205" t="s">
        <v>73</v>
      </c>
    </row>
    <row r="122" spans="47:181" ht="9" customHeight="1">
      <c r="AU122" s="204" t="s">
        <v>73</v>
      </c>
      <c r="AV122" t="s">
        <v>73</v>
      </c>
      <c r="AW122" t="s">
        <v>73</v>
      </c>
      <c r="AX122" t="s">
        <v>73</v>
      </c>
      <c r="AY122" t="s">
        <v>73</v>
      </c>
      <c r="AZ122" t="s">
        <v>73</v>
      </c>
      <c r="BC122" t="s">
        <v>73</v>
      </c>
      <c r="BD122" t="s">
        <v>73</v>
      </c>
      <c r="BE122" t="s">
        <v>73</v>
      </c>
      <c r="BF122" t="s">
        <v>73</v>
      </c>
      <c r="BG122" t="s">
        <v>73</v>
      </c>
      <c r="BU122" t="s">
        <v>73</v>
      </c>
      <c r="CE122" t="s">
        <v>73</v>
      </c>
      <c r="CI122" t="s">
        <v>73</v>
      </c>
      <c r="CJ122" t="s">
        <v>73</v>
      </c>
      <c r="CK122" t="s">
        <v>73</v>
      </c>
      <c r="CL122" t="s">
        <v>73</v>
      </c>
      <c r="CM122" t="s">
        <v>73</v>
      </c>
      <c r="CN122" t="s">
        <v>73</v>
      </c>
      <c r="CO122" t="s">
        <v>73</v>
      </c>
      <c r="CP122" s="205" t="s">
        <v>73</v>
      </c>
      <c r="CQ122" s="204" t="s">
        <v>73</v>
      </c>
      <c r="CR122" t="s">
        <v>73</v>
      </c>
      <c r="CS122" t="s">
        <v>73</v>
      </c>
      <c r="CT122" t="s">
        <v>73</v>
      </c>
      <c r="CU122" t="s">
        <v>73</v>
      </c>
      <c r="CV122" t="s">
        <v>73</v>
      </c>
      <c r="CW122" t="s">
        <v>73</v>
      </c>
      <c r="CX122" t="s">
        <v>73</v>
      </c>
      <c r="CY122" t="s">
        <v>73</v>
      </c>
      <c r="CZ122" t="s">
        <v>73</v>
      </c>
      <c r="DA122" t="s">
        <v>73</v>
      </c>
      <c r="DB122" t="s">
        <v>73</v>
      </c>
      <c r="DC122" t="s">
        <v>73</v>
      </c>
      <c r="DD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t="s">
        <v>73</v>
      </c>
      <c r="DM122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s="205" t="s">
        <v>73</v>
      </c>
    </row>
    <row r="123" spans="47:181" ht="9" customHeight="1" thickBot="1">
      <c r="AU123" s="204" t="s">
        <v>73</v>
      </c>
      <c r="AV123" t="s">
        <v>73</v>
      </c>
      <c r="AW123" t="s">
        <v>73</v>
      </c>
      <c r="AX123" t="s">
        <v>73</v>
      </c>
      <c r="AY123" t="s">
        <v>73</v>
      </c>
      <c r="AZ123" t="s">
        <v>73</v>
      </c>
      <c r="BC123" t="s">
        <v>73</v>
      </c>
      <c r="BD123" t="s">
        <v>73</v>
      </c>
      <c r="BE123" t="s">
        <v>73</v>
      </c>
      <c r="BF123" t="s">
        <v>73</v>
      </c>
      <c r="BG123" t="s">
        <v>73</v>
      </c>
      <c r="BU123" t="s">
        <v>73</v>
      </c>
      <c r="BV123" t="s">
        <v>1320</v>
      </c>
      <c r="BW123" t="s">
        <v>1320</v>
      </c>
      <c r="BX123" t="s">
        <v>1320</v>
      </c>
      <c r="BY123" t="s">
        <v>1320</v>
      </c>
      <c r="CA123" t="s">
        <v>1320</v>
      </c>
      <c r="CB123" t="s">
        <v>1320</v>
      </c>
      <c r="CC123" t="s">
        <v>1320</v>
      </c>
      <c r="CD123" t="s">
        <v>1320</v>
      </c>
      <c r="CE123" t="s">
        <v>73</v>
      </c>
      <c r="CI123" t="s">
        <v>73</v>
      </c>
      <c r="CJ123" t="s">
        <v>73</v>
      </c>
      <c r="CK123" t="s">
        <v>73</v>
      </c>
      <c r="CL123" t="s">
        <v>73</v>
      </c>
      <c r="CM123" t="s">
        <v>73</v>
      </c>
      <c r="CN123" t="s">
        <v>73</v>
      </c>
      <c r="CO123" t="s">
        <v>73</v>
      </c>
      <c r="CP123" s="205" t="s">
        <v>73</v>
      </c>
      <c r="CQ123" s="206" t="s">
        <v>73</v>
      </c>
      <c r="CR123" s="216" t="s">
        <v>73</v>
      </c>
      <c r="CS123" s="216" t="s">
        <v>73</v>
      </c>
      <c r="CT123" s="216" t="s">
        <v>73</v>
      </c>
      <c r="CU123" s="216" t="s">
        <v>73</v>
      </c>
      <c r="CV123" s="216" t="s">
        <v>73</v>
      </c>
      <c r="CW123" s="216" t="s">
        <v>73</v>
      </c>
      <c r="CX123" s="216" t="s">
        <v>73</v>
      </c>
      <c r="CY123" s="216" t="s">
        <v>73</v>
      </c>
      <c r="CZ123" s="216" t="s">
        <v>73</v>
      </c>
      <c r="DA123" s="216" t="s">
        <v>73</v>
      </c>
      <c r="DB123" s="216" t="s">
        <v>73</v>
      </c>
      <c r="DC123" s="216" t="s">
        <v>73</v>
      </c>
      <c r="DD123" s="216" t="s">
        <v>73</v>
      </c>
      <c r="DE123" s="216" t="s">
        <v>73</v>
      </c>
      <c r="DF123" s="216" t="s">
        <v>73</v>
      </c>
      <c r="DG123" s="216" t="s">
        <v>73</v>
      </c>
      <c r="DH123" s="216" t="s">
        <v>73</v>
      </c>
      <c r="DI123" s="216" t="s">
        <v>73</v>
      </c>
      <c r="DJ123" s="216" t="s">
        <v>73</v>
      </c>
      <c r="DK123" s="216" t="s">
        <v>73</v>
      </c>
      <c r="DL123" s="216" t="s">
        <v>73</v>
      </c>
      <c r="DM123" s="216" t="s">
        <v>73</v>
      </c>
      <c r="DN123" s="216" t="s">
        <v>73</v>
      </c>
      <c r="DO123" s="216" t="s">
        <v>73</v>
      </c>
      <c r="DP123" s="216" t="s">
        <v>73</v>
      </c>
      <c r="DQ123" s="216" t="s">
        <v>73</v>
      </c>
      <c r="DR123" s="216" t="s">
        <v>73</v>
      </c>
      <c r="DS123" s="216" t="s">
        <v>73</v>
      </c>
      <c r="DT123" s="216" t="s">
        <v>73</v>
      </c>
      <c r="DU123" s="216" t="s">
        <v>73</v>
      </c>
      <c r="DV123" s="216" t="s">
        <v>73</v>
      </c>
      <c r="DW123" s="216" t="s">
        <v>73</v>
      </c>
      <c r="DX123" s="216" t="s">
        <v>73</v>
      </c>
      <c r="DY123" s="216" t="s">
        <v>73</v>
      </c>
      <c r="DZ123" s="216" t="s">
        <v>73</v>
      </c>
      <c r="EA123" s="216" t="s">
        <v>73</v>
      </c>
      <c r="EB123" s="216" t="s">
        <v>73</v>
      </c>
      <c r="EC123" s="216" t="s">
        <v>73</v>
      </c>
      <c r="ED123" s="216" t="s">
        <v>73</v>
      </c>
      <c r="EE123" s="216" t="s">
        <v>73</v>
      </c>
      <c r="EF123" s="216" t="s">
        <v>73</v>
      </c>
      <c r="EG123" s="216" t="s">
        <v>73</v>
      </c>
      <c r="EH123" s="216" t="s">
        <v>73</v>
      </c>
      <c r="EI123" s="216" t="s">
        <v>73</v>
      </c>
      <c r="EJ123" s="216" t="s">
        <v>73</v>
      </c>
      <c r="EK123" s="216" t="s">
        <v>73</v>
      </c>
      <c r="EL123" s="216" t="s">
        <v>73</v>
      </c>
      <c r="EM123" s="216" t="s">
        <v>73</v>
      </c>
      <c r="EN123" s="216" t="s">
        <v>73</v>
      </c>
      <c r="EO123" s="216" t="s">
        <v>73</v>
      </c>
      <c r="EP123" s="216" t="s">
        <v>73</v>
      </c>
      <c r="EQ123" s="216" t="s">
        <v>73</v>
      </c>
      <c r="ER123" s="216" t="s">
        <v>73</v>
      </c>
      <c r="ES123" s="216" t="s">
        <v>73</v>
      </c>
      <c r="ET123" s="216" t="s">
        <v>73</v>
      </c>
      <c r="EU123" s="216" t="s">
        <v>73</v>
      </c>
      <c r="EV123" s="216" t="s">
        <v>73</v>
      </c>
      <c r="EW123" s="216" t="s">
        <v>73</v>
      </c>
      <c r="EX123" s="216" t="s">
        <v>73</v>
      </c>
      <c r="EY123" s="216" t="s">
        <v>73</v>
      </c>
      <c r="EZ123" s="216" t="s">
        <v>73</v>
      </c>
      <c r="FA123" s="216" t="s">
        <v>73</v>
      </c>
      <c r="FB123" s="216" t="s">
        <v>73</v>
      </c>
      <c r="FC123" s="216" t="s">
        <v>73</v>
      </c>
      <c r="FD123" s="216" t="s">
        <v>73</v>
      </c>
      <c r="FE123" s="216" t="s">
        <v>73</v>
      </c>
      <c r="FF123" s="216" t="s">
        <v>73</v>
      </c>
      <c r="FG123" s="216" t="s">
        <v>73</v>
      </c>
      <c r="FH123" s="216" t="s">
        <v>73</v>
      </c>
      <c r="FI123" s="216" t="s">
        <v>73</v>
      </c>
      <c r="FJ123" s="216" t="s">
        <v>73</v>
      </c>
      <c r="FK123" s="216" t="s">
        <v>73</v>
      </c>
      <c r="FL123" s="216" t="s">
        <v>73</v>
      </c>
      <c r="FM123" s="216" t="s">
        <v>73</v>
      </c>
      <c r="FN123" s="216" t="s">
        <v>73</v>
      </c>
      <c r="FO123" s="216" t="s">
        <v>73</v>
      </c>
      <c r="FP123" s="216" t="s">
        <v>73</v>
      </c>
      <c r="FQ123" s="216" t="s">
        <v>73</v>
      </c>
      <c r="FR123" s="216" t="s">
        <v>73</v>
      </c>
      <c r="FS123" s="216" t="s">
        <v>73</v>
      </c>
      <c r="FT123" s="216" t="s">
        <v>73</v>
      </c>
      <c r="FU123" s="216" t="s">
        <v>73</v>
      </c>
      <c r="FV123" s="216" t="s">
        <v>73</v>
      </c>
      <c r="FW123" s="216" t="s">
        <v>73</v>
      </c>
      <c r="FX123" s="216" t="s">
        <v>73</v>
      </c>
      <c r="FY123" s="159" t="s">
        <v>73</v>
      </c>
    </row>
    <row r="124" spans="47:181" ht="9" customHeight="1">
      <c r="AU124" s="204" t="s">
        <v>73</v>
      </c>
      <c r="AV124" t="s">
        <v>73</v>
      </c>
      <c r="AW124" t="s">
        <v>73</v>
      </c>
      <c r="AX124" t="s">
        <v>73</v>
      </c>
      <c r="AY124" t="s">
        <v>73</v>
      </c>
      <c r="AZ124" t="s">
        <v>73</v>
      </c>
      <c r="CI124" t="s">
        <v>73</v>
      </c>
      <c r="CJ124" t="s">
        <v>73</v>
      </c>
      <c r="CK124" t="s">
        <v>73</v>
      </c>
      <c r="CL124" t="s">
        <v>73</v>
      </c>
      <c r="CM124" t="s">
        <v>73</v>
      </c>
      <c r="CN124" t="s">
        <v>73</v>
      </c>
      <c r="CO124" t="s">
        <v>73</v>
      </c>
      <c r="CP124" s="205" t="s">
        <v>73</v>
      </c>
    </row>
    <row r="125" spans="47:181" ht="9" customHeight="1">
      <c r="AU125" s="204" t="s">
        <v>73</v>
      </c>
      <c r="AV125" t="s">
        <v>73</v>
      </c>
      <c r="AW125" t="s">
        <v>73</v>
      </c>
      <c r="AX125" t="s">
        <v>73</v>
      </c>
      <c r="AY125" t="s">
        <v>73</v>
      </c>
      <c r="AZ125" t="s">
        <v>73</v>
      </c>
      <c r="CI125" t="s">
        <v>73</v>
      </c>
      <c r="CJ125" t="s">
        <v>73</v>
      </c>
      <c r="CK125" t="s">
        <v>73</v>
      </c>
      <c r="CL125" t="s">
        <v>73</v>
      </c>
      <c r="CM125" t="s">
        <v>73</v>
      </c>
      <c r="CN125" t="s">
        <v>73</v>
      </c>
      <c r="CO125" t="s">
        <v>73</v>
      </c>
      <c r="CP125" s="205" t="s">
        <v>73</v>
      </c>
    </row>
    <row r="126" spans="47:181" ht="9" customHeight="1">
      <c r="AU126" s="204" t="s">
        <v>73</v>
      </c>
      <c r="AV126" t="s">
        <v>73</v>
      </c>
      <c r="AW126" t="s">
        <v>73</v>
      </c>
      <c r="AX126" t="s">
        <v>73</v>
      </c>
      <c r="AY126" t="s">
        <v>73</v>
      </c>
      <c r="AZ126" t="s">
        <v>73</v>
      </c>
      <c r="CI126" t="s">
        <v>73</v>
      </c>
      <c r="CJ126" t="s">
        <v>73</v>
      </c>
      <c r="CK126" t="s">
        <v>73</v>
      </c>
      <c r="CL126" t="s">
        <v>73</v>
      </c>
      <c r="CM126" t="s">
        <v>73</v>
      </c>
      <c r="CN126" t="s">
        <v>73</v>
      </c>
      <c r="CO126" t="s">
        <v>73</v>
      </c>
      <c r="CP126" s="205" t="s">
        <v>73</v>
      </c>
    </row>
    <row r="127" spans="47:181" ht="9" customHeight="1">
      <c r="AU127" s="204" t="s">
        <v>73</v>
      </c>
      <c r="AV127" t="s">
        <v>73</v>
      </c>
      <c r="AW127" t="s">
        <v>73</v>
      </c>
      <c r="AX127" t="s">
        <v>73</v>
      </c>
      <c r="AY127" t="s">
        <v>73</v>
      </c>
      <c r="AZ127" t="s">
        <v>73</v>
      </c>
      <c r="CI127" t="s">
        <v>73</v>
      </c>
      <c r="CJ127" t="s">
        <v>73</v>
      </c>
      <c r="CK127" t="s">
        <v>73</v>
      </c>
      <c r="CL127" t="s">
        <v>73</v>
      </c>
      <c r="CM127" t="s">
        <v>73</v>
      </c>
      <c r="CN127" t="s">
        <v>73</v>
      </c>
      <c r="CO127" t="s">
        <v>73</v>
      </c>
      <c r="CP127" s="205" t="s">
        <v>73</v>
      </c>
    </row>
    <row r="128" spans="47:181" ht="9" customHeight="1">
      <c r="AU128" s="204" t="s">
        <v>73</v>
      </c>
      <c r="AV128" t="s">
        <v>73</v>
      </c>
      <c r="AW128" t="s">
        <v>73</v>
      </c>
      <c r="AX128" t="s">
        <v>73</v>
      </c>
      <c r="AY128" t="s">
        <v>73</v>
      </c>
      <c r="AZ128" t="s">
        <v>73</v>
      </c>
      <c r="BA128" t="s">
        <v>73</v>
      </c>
      <c r="BB128" t="s">
        <v>73</v>
      </c>
      <c r="BC128" t="s">
        <v>73</v>
      </c>
      <c r="BD128" t="s">
        <v>73</v>
      </c>
      <c r="BE128" t="s">
        <v>73</v>
      </c>
      <c r="BF128" t="s">
        <v>73</v>
      </c>
      <c r="BG128" t="s">
        <v>73</v>
      </c>
      <c r="BH128" t="s">
        <v>73</v>
      </c>
      <c r="BI128" t="s">
        <v>73</v>
      </c>
      <c r="BJ128" t="s">
        <v>73</v>
      </c>
      <c r="BK128" t="s">
        <v>73</v>
      </c>
      <c r="BL128" t="s">
        <v>73</v>
      </c>
      <c r="BM128" t="s">
        <v>73</v>
      </c>
      <c r="BN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K128" t="s">
        <v>73</v>
      </c>
      <c r="CL128" t="s">
        <v>73</v>
      </c>
      <c r="CM128" t="s">
        <v>73</v>
      </c>
      <c r="CN128" t="s">
        <v>73</v>
      </c>
      <c r="CO128" t="s">
        <v>73</v>
      </c>
      <c r="CP128" s="205" t="s">
        <v>73</v>
      </c>
    </row>
    <row r="129" spans="47:94" ht="9" customHeight="1">
      <c r="AU129" s="204" t="s">
        <v>73</v>
      </c>
      <c r="AV129" t="s">
        <v>73</v>
      </c>
      <c r="AW129" t="s">
        <v>73</v>
      </c>
      <c r="AX129" t="s">
        <v>73</v>
      </c>
      <c r="AY129" t="s">
        <v>73</v>
      </c>
      <c r="AZ129" t="s">
        <v>73</v>
      </c>
      <c r="BA129" t="s">
        <v>73</v>
      </c>
      <c r="BB129" t="s">
        <v>73</v>
      </c>
      <c r="BC129" t="s">
        <v>73</v>
      </c>
      <c r="BD129" t="s">
        <v>73</v>
      </c>
      <c r="BE129" t="s">
        <v>73</v>
      </c>
      <c r="BF129" t="s">
        <v>73</v>
      </c>
      <c r="BG129" t="s">
        <v>73</v>
      </c>
      <c r="BH129" t="s">
        <v>73</v>
      </c>
      <c r="BI129" t="s">
        <v>73</v>
      </c>
      <c r="BJ129" t="s">
        <v>73</v>
      </c>
      <c r="BK129" t="s">
        <v>73</v>
      </c>
      <c r="BL129" t="s">
        <v>73</v>
      </c>
      <c r="BM129" t="s">
        <v>73</v>
      </c>
      <c r="BN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K129" t="s">
        <v>73</v>
      </c>
      <c r="CL129" t="s">
        <v>73</v>
      </c>
      <c r="CM129" t="s">
        <v>73</v>
      </c>
      <c r="CN129" t="s">
        <v>73</v>
      </c>
      <c r="CO129" t="s">
        <v>73</v>
      </c>
      <c r="CP129" s="205" t="s">
        <v>73</v>
      </c>
    </row>
    <row r="130" spans="47:94" ht="9" customHeight="1">
      <c r="AU130" s="204" t="s">
        <v>73</v>
      </c>
      <c r="AV130" t="s">
        <v>73</v>
      </c>
      <c r="AW130" t="s">
        <v>73</v>
      </c>
      <c r="AX130" t="s">
        <v>73</v>
      </c>
      <c r="AY130" t="s">
        <v>73</v>
      </c>
      <c r="AZ130" t="s">
        <v>73</v>
      </c>
      <c r="BA130" t="s">
        <v>73</v>
      </c>
      <c r="BB130" t="s">
        <v>73</v>
      </c>
      <c r="BC130" t="s">
        <v>73</v>
      </c>
      <c r="BD130" t="s">
        <v>73</v>
      </c>
      <c r="BE130" t="s">
        <v>73</v>
      </c>
      <c r="BF130" t="s">
        <v>73</v>
      </c>
      <c r="BG130" t="s">
        <v>73</v>
      </c>
      <c r="BH130" t="s">
        <v>73</v>
      </c>
      <c r="BI130" t="s">
        <v>73</v>
      </c>
      <c r="BJ130" t="s">
        <v>73</v>
      </c>
      <c r="BK130" t="s">
        <v>73</v>
      </c>
      <c r="BL130" t="s">
        <v>73</v>
      </c>
      <c r="BM130" t="s">
        <v>73</v>
      </c>
      <c r="BN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K130" t="s">
        <v>73</v>
      </c>
      <c r="CL130" t="s">
        <v>73</v>
      </c>
      <c r="CM130" t="s">
        <v>73</v>
      </c>
      <c r="CN130" t="s">
        <v>73</v>
      </c>
      <c r="CO130" t="s">
        <v>73</v>
      </c>
      <c r="CP130" s="205" t="s">
        <v>73</v>
      </c>
    </row>
    <row r="131" spans="47:94" ht="9" customHeight="1">
      <c r="AU131" s="204" t="s">
        <v>73</v>
      </c>
      <c r="AV131" t="s">
        <v>73</v>
      </c>
      <c r="AW131" t="s">
        <v>73</v>
      </c>
      <c r="AX131" t="s">
        <v>73</v>
      </c>
      <c r="AY131" t="s">
        <v>73</v>
      </c>
      <c r="AZ131" t="s">
        <v>73</v>
      </c>
      <c r="BA131" t="s">
        <v>73</v>
      </c>
      <c r="BB131" t="s">
        <v>73</v>
      </c>
      <c r="BC131" t="s">
        <v>73</v>
      </c>
      <c r="BD131" t="s">
        <v>73</v>
      </c>
      <c r="BE131" t="s">
        <v>73</v>
      </c>
      <c r="BF131" t="s">
        <v>73</v>
      </c>
      <c r="BG131" t="s">
        <v>73</v>
      </c>
      <c r="BH131" t="s">
        <v>73</v>
      </c>
      <c r="BI131" t="s">
        <v>73</v>
      </c>
      <c r="BJ131" t="s">
        <v>73</v>
      </c>
      <c r="BK131" t="s">
        <v>73</v>
      </c>
      <c r="BL131" t="s">
        <v>73</v>
      </c>
      <c r="BM131" t="s">
        <v>73</v>
      </c>
      <c r="BN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K131" t="s">
        <v>73</v>
      </c>
      <c r="CL131" t="s">
        <v>73</v>
      </c>
      <c r="CM131" t="s">
        <v>73</v>
      </c>
      <c r="CN131" t="s">
        <v>73</v>
      </c>
      <c r="CO131" t="s">
        <v>73</v>
      </c>
      <c r="CP131" s="205" t="s">
        <v>73</v>
      </c>
    </row>
    <row r="132" spans="47:94" ht="9" customHeight="1" thickBot="1">
      <c r="AU132" s="206" t="s">
        <v>73</v>
      </c>
      <c r="AV132" s="216" t="s">
        <v>73</v>
      </c>
      <c r="AW132" s="216" t="s">
        <v>73</v>
      </c>
      <c r="AX132" s="216" t="s">
        <v>73</v>
      </c>
      <c r="AY132" s="216" t="s">
        <v>73</v>
      </c>
      <c r="AZ132" s="216" t="s">
        <v>73</v>
      </c>
      <c r="BA132" s="216" t="s">
        <v>73</v>
      </c>
      <c r="BB132" s="216" t="s">
        <v>73</v>
      </c>
      <c r="BC132" s="216" t="s">
        <v>73</v>
      </c>
      <c r="BD132" s="216" t="s">
        <v>73</v>
      </c>
      <c r="BE132" s="216" t="s">
        <v>73</v>
      </c>
      <c r="BF132" s="216" t="s">
        <v>73</v>
      </c>
      <c r="BG132" s="216" t="s">
        <v>73</v>
      </c>
      <c r="BH132" s="216" t="s">
        <v>73</v>
      </c>
      <c r="BI132" s="216" t="s">
        <v>73</v>
      </c>
      <c r="BJ132" s="216" t="s">
        <v>73</v>
      </c>
      <c r="BK132" s="216" t="s">
        <v>73</v>
      </c>
      <c r="BL132" s="216" t="s">
        <v>73</v>
      </c>
      <c r="BM132" s="216" t="s">
        <v>73</v>
      </c>
      <c r="BN132" s="216" t="s">
        <v>73</v>
      </c>
      <c r="BO132" s="216"/>
      <c r="BP132" s="216"/>
      <c r="BQ132" s="216"/>
      <c r="BR132" s="216"/>
      <c r="BS132" s="216" t="s">
        <v>73</v>
      </c>
      <c r="BT132" s="216" t="s">
        <v>73</v>
      </c>
      <c r="BU132" s="216" t="s">
        <v>73</v>
      </c>
      <c r="BV132" s="216" t="s">
        <v>73</v>
      </c>
      <c r="BW132" s="216" t="s">
        <v>73</v>
      </c>
      <c r="BX132" s="216" t="s">
        <v>73</v>
      </c>
      <c r="BY132" s="216" t="s">
        <v>73</v>
      </c>
      <c r="BZ132" s="216" t="s">
        <v>73</v>
      </c>
      <c r="CA132" s="216" t="s">
        <v>73</v>
      </c>
      <c r="CB132" s="216" t="s">
        <v>73</v>
      </c>
      <c r="CC132" s="216" t="s">
        <v>73</v>
      </c>
      <c r="CD132" s="216" t="s">
        <v>73</v>
      </c>
      <c r="CE132" s="216" t="s">
        <v>73</v>
      </c>
      <c r="CF132" s="216" t="s">
        <v>73</v>
      </c>
      <c r="CG132" s="216" t="s">
        <v>73</v>
      </c>
      <c r="CH132" s="216" t="s">
        <v>73</v>
      </c>
      <c r="CI132" s="216" t="s">
        <v>73</v>
      </c>
      <c r="CJ132" s="216" t="s">
        <v>73</v>
      </c>
      <c r="CK132" s="216" t="s">
        <v>73</v>
      </c>
      <c r="CL132" s="216" t="s">
        <v>73</v>
      </c>
      <c r="CM132" s="216" t="s">
        <v>73</v>
      </c>
      <c r="CN132" s="216" t="s">
        <v>73</v>
      </c>
      <c r="CO132" s="216" t="s">
        <v>73</v>
      </c>
      <c r="CP132" s="159" t="s">
        <v>73</v>
      </c>
    </row>
    <row r="133" spans="47:94" ht="9" customHeight="1">
      <c r="BG133" s="202" t="s">
        <v>73</v>
      </c>
      <c r="BH133" s="215" t="s">
        <v>73</v>
      </c>
      <c r="BI133" s="215" t="s">
        <v>73</v>
      </c>
      <c r="BJ133" s="215" t="s">
        <v>73</v>
      </c>
      <c r="BK133" s="215" t="s">
        <v>73</v>
      </c>
      <c r="BL133" s="215" t="s">
        <v>73</v>
      </c>
      <c r="BM133" s="215" t="s">
        <v>73</v>
      </c>
      <c r="BN133" s="215" t="s">
        <v>73</v>
      </c>
      <c r="BO133" s="215"/>
      <c r="BP133" s="215"/>
      <c r="BQ133" s="215"/>
      <c r="BR133" s="215"/>
      <c r="BS133" s="215" t="s">
        <v>73</v>
      </c>
      <c r="BT133" s="215" t="s">
        <v>73</v>
      </c>
      <c r="BU133" s="215" t="s">
        <v>73</v>
      </c>
      <c r="BV133" s="215" t="s">
        <v>73</v>
      </c>
      <c r="BW133" s="215" t="s">
        <v>73</v>
      </c>
      <c r="BX133" s="215" t="s">
        <v>73</v>
      </c>
      <c r="BY133" s="215" t="s">
        <v>73</v>
      </c>
      <c r="BZ133" s="215" t="s">
        <v>73</v>
      </c>
      <c r="CA133" s="215" t="s">
        <v>73</v>
      </c>
      <c r="CB133" s="215" t="s">
        <v>73</v>
      </c>
      <c r="CC133" s="215" t="s">
        <v>73</v>
      </c>
      <c r="CD133" s="203" t="s">
        <v>73</v>
      </c>
    </row>
    <row r="134" spans="47:94" ht="9" customHeight="1">
      <c r="BG134" s="204" t="s">
        <v>73</v>
      </c>
      <c r="BH134" t="s">
        <v>73</v>
      </c>
      <c r="BI134" t="s">
        <v>73</v>
      </c>
      <c r="BJ134" t="s">
        <v>73</v>
      </c>
      <c r="BK134" t="s">
        <v>73</v>
      </c>
      <c r="BL134" t="s">
        <v>73</v>
      </c>
      <c r="BM134" t="s">
        <v>73</v>
      </c>
      <c r="BN134" t="s">
        <v>73</v>
      </c>
      <c r="BS134" t="s">
        <v>73</v>
      </c>
      <c r="BT134" t="s">
        <v>73</v>
      </c>
      <c r="BU134" t="s">
        <v>73</v>
      </c>
      <c r="BV134" t="s">
        <v>73</v>
      </c>
      <c r="BW134" t="s">
        <v>73</v>
      </c>
      <c r="BX134" t="s">
        <v>73</v>
      </c>
      <c r="BY134" t="s">
        <v>73</v>
      </c>
      <c r="BZ134" t="s">
        <v>73</v>
      </c>
      <c r="CA134" t="s">
        <v>73</v>
      </c>
      <c r="CB134" t="s">
        <v>73</v>
      </c>
      <c r="CC134" t="s">
        <v>73</v>
      </c>
      <c r="CD134" s="205" t="s">
        <v>73</v>
      </c>
    </row>
    <row r="135" spans="47:94" ht="9" customHeight="1">
      <c r="BG135" s="204" t="s">
        <v>73</v>
      </c>
      <c r="BH135" t="s">
        <v>73</v>
      </c>
      <c r="BI135" t="s">
        <v>1348</v>
      </c>
      <c r="BJ135" t="s">
        <v>1348</v>
      </c>
      <c r="BK135" t="s">
        <v>1348</v>
      </c>
      <c r="BL135" t="s">
        <v>1348</v>
      </c>
      <c r="BM135" t="s">
        <v>1348</v>
      </c>
      <c r="BN135" t="s">
        <v>1348</v>
      </c>
      <c r="BO135" t="s">
        <v>1348</v>
      </c>
      <c r="BS135" t="s">
        <v>73</v>
      </c>
      <c r="BT135" t="s">
        <v>73</v>
      </c>
      <c r="BU135" t="s">
        <v>73</v>
      </c>
      <c r="BV135" t="s">
        <v>73</v>
      </c>
      <c r="BW135" t="s">
        <v>73</v>
      </c>
      <c r="BX135" t="s">
        <v>73</v>
      </c>
      <c r="BY135" t="s">
        <v>73</v>
      </c>
      <c r="BZ135" t="s">
        <v>73</v>
      </c>
      <c r="CA135" t="s">
        <v>73</v>
      </c>
      <c r="CB135" t="s">
        <v>73</v>
      </c>
      <c r="CC135" t="s">
        <v>73</v>
      </c>
      <c r="CD135" s="205" t="s">
        <v>73</v>
      </c>
    </row>
    <row r="136" spans="47:94" ht="9" customHeight="1">
      <c r="BG136" s="204" t="s">
        <v>73</v>
      </c>
      <c r="BH136" t="s">
        <v>73</v>
      </c>
      <c r="BI136" t="s">
        <v>1348</v>
      </c>
      <c r="BJ136" t="s">
        <v>1348</v>
      </c>
      <c r="BK136" t="s">
        <v>1348</v>
      </c>
      <c r="BL136" t="s">
        <v>1348</v>
      </c>
      <c r="BM136" t="s">
        <v>1348</v>
      </c>
      <c r="BN136" t="s">
        <v>1348</v>
      </c>
      <c r="BO136" t="s">
        <v>1348</v>
      </c>
      <c r="BS136" t="s">
        <v>73</v>
      </c>
      <c r="CC136" t="s">
        <v>73</v>
      </c>
      <c r="CD136" s="205" t="s">
        <v>73</v>
      </c>
    </row>
    <row r="137" spans="47:94" ht="9" customHeight="1">
      <c r="BG137" s="204" t="s">
        <v>73</v>
      </c>
      <c r="BH137" t="s">
        <v>73</v>
      </c>
      <c r="BI137" t="s">
        <v>1348</v>
      </c>
      <c r="BJ137" t="s">
        <v>1348</v>
      </c>
      <c r="BK137" t="s">
        <v>1348</v>
      </c>
      <c r="BL137" t="s">
        <v>1348</v>
      </c>
      <c r="BM137" t="s">
        <v>1348</v>
      </c>
      <c r="BN137" t="s">
        <v>1348</v>
      </c>
      <c r="BO137" t="s">
        <v>1348</v>
      </c>
      <c r="BS137" t="s">
        <v>73</v>
      </c>
      <c r="CC137" t="s">
        <v>73</v>
      </c>
      <c r="CD137" s="205" t="s">
        <v>73</v>
      </c>
    </row>
    <row r="138" spans="47:94" ht="9" customHeight="1">
      <c r="BG138" s="204" t="s">
        <v>73</v>
      </c>
      <c r="BH138" t="s">
        <v>73</v>
      </c>
      <c r="BI138" t="s">
        <v>1348</v>
      </c>
      <c r="BJ138" t="s">
        <v>1348</v>
      </c>
      <c r="BK138" t="s">
        <v>1348</v>
      </c>
      <c r="BL138" t="s">
        <v>1348</v>
      </c>
      <c r="BM138" t="s">
        <v>1348</v>
      </c>
      <c r="BN138" t="s">
        <v>1348</v>
      </c>
      <c r="BO138" t="s">
        <v>1348</v>
      </c>
      <c r="BS138" t="s">
        <v>73</v>
      </c>
      <c r="CC138" t="s">
        <v>73</v>
      </c>
      <c r="CD138" s="205" t="s">
        <v>73</v>
      </c>
    </row>
    <row r="139" spans="47:94" ht="9" customHeight="1">
      <c r="BG139" s="204" t="s">
        <v>73</v>
      </c>
      <c r="BH139" t="s">
        <v>73</v>
      </c>
      <c r="BI139" t="s">
        <v>1348</v>
      </c>
      <c r="BJ139" t="s">
        <v>1348</v>
      </c>
      <c r="BK139" t="s">
        <v>1348</v>
      </c>
      <c r="BL139" t="s">
        <v>1348</v>
      </c>
      <c r="BM139" t="s">
        <v>1348</v>
      </c>
      <c r="BN139" t="s">
        <v>1348</v>
      </c>
      <c r="BO139" t="s">
        <v>1348</v>
      </c>
      <c r="BS139" t="s">
        <v>73</v>
      </c>
      <c r="BT139" t="s">
        <v>73</v>
      </c>
      <c r="BU139" t="s">
        <v>73</v>
      </c>
      <c r="BV139" t="s">
        <v>73</v>
      </c>
      <c r="BW139" t="s">
        <v>73</v>
      </c>
      <c r="BX139" t="s">
        <v>73</v>
      </c>
      <c r="BY139" t="s">
        <v>73</v>
      </c>
      <c r="BZ139" t="s">
        <v>73</v>
      </c>
      <c r="CA139" t="s">
        <v>73</v>
      </c>
      <c r="CC139" t="s">
        <v>73</v>
      </c>
      <c r="CD139" s="205" t="s">
        <v>73</v>
      </c>
    </row>
    <row r="140" spans="47:94" ht="9" customHeight="1">
      <c r="BG140" s="204" t="s">
        <v>73</v>
      </c>
      <c r="BH140" t="s">
        <v>73</v>
      </c>
      <c r="BI140" t="s">
        <v>1348</v>
      </c>
      <c r="BJ140" t="s">
        <v>1348</v>
      </c>
      <c r="BK140" t="s">
        <v>1348</v>
      </c>
      <c r="BL140" t="s">
        <v>1348</v>
      </c>
      <c r="BM140" t="s">
        <v>1348</v>
      </c>
      <c r="BN140" t="s">
        <v>1348</v>
      </c>
      <c r="BO140" t="s">
        <v>1348</v>
      </c>
      <c r="BS140" t="s">
        <v>73</v>
      </c>
      <c r="BT140" t="s">
        <v>73</v>
      </c>
      <c r="BU140" t="s">
        <v>73</v>
      </c>
      <c r="BV140" t="s">
        <v>73</v>
      </c>
      <c r="BW140" t="s">
        <v>73</v>
      </c>
      <c r="BX140" t="s">
        <v>73</v>
      </c>
      <c r="BY140" t="s">
        <v>73</v>
      </c>
      <c r="BZ140" t="s">
        <v>73</v>
      </c>
      <c r="CA140" t="s">
        <v>73</v>
      </c>
      <c r="CC140" t="s">
        <v>73</v>
      </c>
      <c r="CD140" s="205" t="s">
        <v>73</v>
      </c>
    </row>
    <row r="141" spans="47:94" ht="9" customHeight="1">
      <c r="BG141" s="204" t="s">
        <v>73</v>
      </c>
      <c r="BH141" t="s">
        <v>73</v>
      </c>
      <c r="BI141" t="s">
        <v>1348</v>
      </c>
      <c r="BJ141" t="s">
        <v>1348</v>
      </c>
      <c r="BK141" t="s">
        <v>1348</v>
      </c>
      <c r="BL141" t="s">
        <v>1348</v>
      </c>
      <c r="BM141" t="s">
        <v>1348</v>
      </c>
      <c r="BN141" t="s">
        <v>1348</v>
      </c>
      <c r="BO141" t="s">
        <v>1348</v>
      </c>
      <c r="BS141" t="s">
        <v>73</v>
      </c>
      <c r="BT141" t="s">
        <v>73</v>
      </c>
      <c r="BU141" t="s">
        <v>73</v>
      </c>
      <c r="BV141" t="s">
        <v>73</v>
      </c>
      <c r="BW141" t="s">
        <v>73</v>
      </c>
      <c r="BX141" t="s">
        <v>73</v>
      </c>
      <c r="BY141" t="s">
        <v>73</v>
      </c>
      <c r="BZ141" t="s">
        <v>73</v>
      </c>
      <c r="CA141" t="s">
        <v>73</v>
      </c>
      <c r="CC141" t="s">
        <v>73</v>
      </c>
      <c r="CD141" s="205" t="s">
        <v>73</v>
      </c>
    </row>
    <row r="142" spans="47:94" ht="9" customHeight="1">
      <c r="BG142" s="204" t="s">
        <v>73</v>
      </c>
      <c r="BH142" t="s">
        <v>73</v>
      </c>
      <c r="BS142" t="s">
        <v>73</v>
      </c>
      <c r="BT142" t="s">
        <v>73</v>
      </c>
      <c r="BU142" t="s">
        <v>73</v>
      </c>
      <c r="BV142" t="s">
        <v>73</v>
      </c>
      <c r="BW142" t="s">
        <v>73</v>
      </c>
      <c r="BX142" t="s">
        <v>73</v>
      </c>
      <c r="BY142" t="s">
        <v>73</v>
      </c>
      <c r="BZ142" t="s">
        <v>73</v>
      </c>
      <c r="CA142" t="s">
        <v>73</v>
      </c>
      <c r="CC142" t="s">
        <v>73</v>
      </c>
      <c r="CD142" s="205" t="s">
        <v>73</v>
      </c>
    </row>
    <row r="143" spans="47:94" ht="9" customHeight="1">
      <c r="BG143" s="204" t="s">
        <v>73</v>
      </c>
      <c r="BH143" t="s">
        <v>73</v>
      </c>
      <c r="BS143" t="s">
        <v>73</v>
      </c>
      <c r="BT143" t="s">
        <v>73</v>
      </c>
      <c r="BU143" t="s">
        <v>73</v>
      </c>
      <c r="BV143" t="s">
        <v>73</v>
      </c>
      <c r="BW143" t="s">
        <v>73</v>
      </c>
      <c r="BX143" t="s">
        <v>73</v>
      </c>
      <c r="BY143" t="s">
        <v>73</v>
      </c>
      <c r="BZ143" t="s">
        <v>73</v>
      </c>
      <c r="CA143" t="s">
        <v>73</v>
      </c>
      <c r="CC143" t="s">
        <v>73</v>
      </c>
      <c r="CD143" s="205" t="s">
        <v>73</v>
      </c>
    </row>
    <row r="144" spans="47:94" ht="9" customHeight="1">
      <c r="BG144" s="204" t="s">
        <v>73</v>
      </c>
      <c r="BH144" t="s">
        <v>73</v>
      </c>
      <c r="BS144" t="s">
        <v>73</v>
      </c>
      <c r="BT144" t="s">
        <v>73</v>
      </c>
      <c r="BU144" t="s">
        <v>73</v>
      </c>
      <c r="BV144" t="s">
        <v>73</v>
      </c>
      <c r="BW144" t="s">
        <v>73</v>
      </c>
      <c r="BX144" t="s">
        <v>1349</v>
      </c>
      <c r="BY144" t="s">
        <v>73</v>
      </c>
      <c r="BZ144" t="s">
        <v>73</v>
      </c>
      <c r="CA144" t="s">
        <v>73</v>
      </c>
      <c r="CC144" t="s">
        <v>73</v>
      </c>
      <c r="CD144" s="205" t="s">
        <v>73</v>
      </c>
    </row>
    <row r="145" spans="59:82" ht="9" customHeight="1">
      <c r="BG145" s="204" t="s">
        <v>73</v>
      </c>
      <c r="BH145" t="s">
        <v>73</v>
      </c>
      <c r="BS145" t="s">
        <v>73</v>
      </c>
      <c r="BU145" t="s">
        <v>73</v>
      </c>
      <c r="CC145" t="s">
        <v>73</v>
      </c>
      <c r="CD145" s="205" t="s">
        <v>73</v>
      </c>
    </row>
    <row r="146" spans="59:82" ht="9" customHeight="1">
      <c r="BG146" s="204" t="s">
        <v>73</v>
      </c>
      <c r="BH146" t="s">
        <v>73</v>
      </c>
      <c r="BI146" t="s">
        <v>73</v>
      </c>
      <c r="BJ146" t="s">
        <v>73</v>
      </c>
      <c r="BO146" t="s">
        <v>73</v>
      </c>
      <c r="BP146" t="s">
        <v>73</v>
      </c>
      <c r="BQ146" t="s">
        <v>73</v>
      </c>
      <c r="BS146" t="s">
        <v>73</v>
      </c>
      <c r="CC146" t="s">
        <v>73</v>
      </c>
      <c r="CD146" s="205" t="s">
        <v>73</v>
      </c>
    </row>
    <row r="147" spans="59:82" ht="9" customHeight="1">
      <c r="BG147" s="204" t="s">
        <v>73</v>
      </c>
      <c r="BH147" t="s">
        <v>73</v>
      </c>
      <c r="BI147" t="s">
        <v>73</v>
      </c>
      <c r="BJ147" t="s">
        <v>73</v>
      </c>
      <c r="BK147" t="s">
        <v>73</v>
      </c>
      <c r="BL147" s="1" t="s">
        <v>1437</v>
      </c>
      <c r="BM147" s="1" t="s">
        <v>1437</v>
      </c>
      <c r="BN147" t="s">
        <v>73</v>
      </c>
      <c r="BO147" t="s">
        <v>73</v>
      </c>
      <c r="BP147" t="s">
        <v>73</v>
      </c>
      <c r="BQ147" t="s">
        <v>73</v>
      </c>
      <c r="CC147" t="s">
        <v>73</v>
      </c>
      <c r="CD147" s="205" t="s">
        <v>73</v>
      </c>
    </row>
    <row r="148" spans="59:82" ht="9" customHeight="1">
      <c r="BG148" s="204" t="s">
        <v>73</v>
      </c>
      <c r="BH148" t="s">
        <v>73</v>
      </c>
      <c r="BI148" t="s">
        <v>73</v>
      </c>
      <c r="BJ148" t="s">
        <v>73</v>
      </c>
      <c r="BK148" t="s">
        <v>73</v>
      </c>
      <c r="BL148" t="s">
        <v>73</v>
      </c>
      <c r="BM148" t="s">
        <v>73</v>
      </c>
      <c r="BN148" t="s">
        <v>73</v>
      </c>
      <c r="BO148" t="s">
        <v>73</v>
      </c>
      <c r="BP148" t="s">
        <v>73</v>
      </c>
      <c r="BQ148" t="s">
        <v>73</v>
      </c>
      <c r="BR148" t="s">
        <v>73</v>
      </c>
      <c r="BS148" t="s">
        <v>73</v>
      </c>
      <c r="BT148" t="s">
        <v>73</v>
      </c>
      <c r="CC148" t="s">
        <v>73</v>
      </c>
      <c r="CD148" s="205" t="s">
        <v>73</v>
      </c>
    </row>
    <row r="149" spans="59:82" ht="9" customHeight="1">
      <c r="BG149" s="204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CC149" t="s">
        <v>73</v>
      </c>
      <c r="CD149" s="205" t="s">
        <v>73</v>
      </c>
    </row>
    <row r="150" spans="59:82" ht="9" customHeight="1">
      <c r="BG150" s="204" t="s">
        <v>73</v>
      </c>
      <c r="BH150" t="s">
        <v>73</v>
      </c>
      <c r="BI150" t="s">
        <v>73</v>
      </c>
      <c r="BJ150" t="s">
        <v>73</v>
      </c>
      <c r="BK150" t="s">
        <v>73</v>
      </c>
      <c r="BL150" t="s">
        <v>73</v>
      </c>
      <c r="BM150" t="s">
        <v>73</v>
      </c>
      <c r="BN150" t="s">
        <v>73</v>
      </c>
      <c r="BO150" t="s">
        <v>73</v>
      </c>
      <c r="BP150" t="s">
        <v>73</v>
      </c>
      <c r="BQ150" t="s">
        <v>73</v>
      </c>
      <c r="BR150" t="s">
        <v>73</v>
      </c>
      <c r="BS150" t="s">
        <v>73</v>
      </c>
      <c r="BT150" t="s">
        <v>73</v>
      </c>
      <c r="CC150" t="s">
        <v>73</v>
      </c>
      <c r="CD150" s="205" t="s">
        <v>73</v>
      </c>
    </row>
    <row r="151" spans="59:82" ht="9" customHeight="1">
      <c r="BG151" s="204" t="s">
        <v>73</v>
      </c>
      <c r="BH151" t="s">
        <v>73</v>
      </c>
      <c r="BI151" t="s">
        <v>73</v>
      </c>
      <c r="BJ151" t="s">
        <v>73</v>
      </c>
      <c r="BK151" t="s">
        <v>73</v>
      </c>
      <c r="BL151" t="s">
        <v>73</v>
      </c>
      <c r="BM151" t="s">
        <v>73</v>
      </c>
      <c r="BN151" t="s">
        <v>73</v>
      </c>
      <c r="BO151" t="s">
        <v>73</v>
      </c>
      <c r="BP151" t="s">
        <v>73</v>
      </c>
      <c r="BQ151" t="s">
        <v>73</v>
      </c>
      <c r="BR151" t="s">
        <v>73</v>
      </c>
      <c r="BS151" t="s">
        <v>73</v>
      </c>
      <c r="BT151" t="s">
        <v>73</v>
      </c>
      <c r="CC151" t="s">
        <v>73</v>
      </c>
      <c r="CD151" s="205" t="s">
        <v>73</v>
      </c>
    </row>
    <row r="152" spans="59:82" ht="9" customHeight="1">
      <c r="BG152" s="204" t="s">
        <v>73</v>
      </c>
      <c r="BH152" t="s">
        <v>73</v>
      </c>
      <c r="BI152" t="s">
        <v>73</v>
      </c>
      <c r="BJ152" t="s">
        <v>73</v>
      </c>
      <c r="BK152" t="s">
        <v>73</v>
      </c>
      <c r="BL152" t="s">
        <v>73</v>
      </c>
      <c r="BM152" t="s">
        <v>73</v>
      </c>
      <c r="BN152" t="s">
        <v>73</v>
      </c>
      <c r="BO152" t="s">
        <v>73</v>
      </c>
      <c r="BP152" t="s">
        <v>73</v>
      </c>
      <c r="BQ152" t="s">
        <v>73</v>
      </c>
      <c r="BR152" t="s">
        <v>73</v>
      </c>
      <c r="BS152" t="s">
        <v>73</v>
      </c>
      <c r="BT152" t="s">
        <v>73</v>
      </c>
      <c r="CC152" t="s">
        <v>73</v>
      </c>
      <c r="CD152" s="205" t="s">
        <v>73</v>
      </c>
    </row>
    <row r="153" spans="59:82" ht="9" customHeight="1">
      <c r="BG153" s="204" t="s">
        <v>73</v>
      </c>
      <c r="BH153" t="s">
        <v>73</v>
      </c>
      <c r="BI153" t="s">
        <v>73</v>
      </c>
      <c r="BJ153" t="s">
        <v>73</v>
      </c>
      <c r="BK153" t="s">
        <v>73</v>
      </c>
      <c r="BL153" t="s">
        <v>73</v>
      </c>
      <c r="BM153" t="s">
        <v>73</v>
      </c>
      <c r="BN153" t="s">
        <v>73</v>
      </c>
      <c r="BO153" t="s">
        <v>73</v>
      </c>
      <c r="BP153" t="s">
        <v>73</v>
      </c>
      <c r="BQ153" t="s">
        <v>73</v>
      </c>
      <c r="BR153" t="s">
        <v>73</v>
      </c>
      <c r="BS153" t="s">
        <v>73</v>
      </c>
      <c r="BT153" t="s">
        <v>73</v>
      </c>
      <c r="BU153" t="s">
        <v>73</v>
      </c>
      <c r="BV153" t="s">
        <v>73</v>
      </c>
      <c r="BW153" t="s">
        <v>73</v>
      </c>
      <c r="BX153" t="s">
        <v>73</v>
      </c>
      <c r="BY153" t="s">
        <v>73</v>
      </c>
      <c r="CC153" t="s">
        <v>73</v>
      </c>
      <c r="CD153" s="205" t="s">
        <v>73</v>
      </c>
    </row>
    <row r="154" spans="59:82" ht="9" customHeight="1">
      <c r="BG154" s="204" t="s">
        <v>73</v>
      </c>
      <c r="BH154" t="s">
        <v>73</v>
      </c>
      <c r="BI154" t="s">
        <v>73</v>
      </c>
      <c r="BJ154" t="s">
        <v>73</v>
      </c>
      <c r="BK154" t="s">
        <v>73</v>
      </c>
      <c r="BL154" t="s">
        <v>73</v>
      </c>
      <c r="BM154" t="s">
        <v>73</v>
      </c>
      <c r="BN154" t="s">
        <v>73</v>
      </c>
      <c r="BO154" t="s">
        <v>73</v>
      </c>
      <c r="BP154" t="s">
        <v>73</v>
      </c>
      <c r="BQ154" t="s">
        <v>73</v>
      </c>
      <c r="BR154" t="s">
        <v>73</v>
      </c>
      <c r="BS154" t="s">
        <v>73</v>
      </c>
      <c r="BT154" t="s">
        <v>73</v>
      </c>
      <c r="BU154" t="s">
        <v>73</v>
      </c>
      <c r="BV154" t="s">
        <v>73</v>
      </c>
      <c r="BW154" t="s">
        <v>73</v>
      </c>
      <c r="BX154" t="s">
        <v>73</v>
      </c>
      <c r="BY154" t="s">
        <v>73</v>
      </c>
      <c r="CC154" t="s">
        <v>73</v>
      </c>
      <c r="CD154" s="205" t="s">
        <v>73</v>
      </c>
    </row>
    <row r="155" spans="59:82" ht="9" customHeight="1">
      <c r="BG155" s="204" t="s">
        <v>73</v>
      </c>
      <c r="BH155" t="s">
        <v>73</v>
      </c>
      <c r="BI155" t="s">
        <v>73</v>
      </c>
      <c r="BJ155" t="s">
        <v>73</v>
      </c>
      <c r="BK155" t="s">
        <v>73</v>
      </c>
      <c r="BL155" t="s">
        <v>73</v>
      </c>
      <c r="BM155" t="s">
        <v>73</v>
      </c>
      <c r="BN155" t="s">
        <v>73</v>
      </c>
      <c r="BO155" t="s">
        <v>73</v>
      </c>
      <c r="BP155" t="s">
        <v>73</v>
      </c>
      <c r="BQ155" t="s">
        <v>73</v>
      </c>
      <c r="BR155" t="s">
        <v>73</v>
      </c>
      <c r="BS155" t="s">
        <v>73</v>
      </c>
      <c r="BT155" t="s">
        <v>73</v>
      </c>
      <c r="BU155" t="s">
        <v>73</v>
      </c>
      <c r="BV155" t="s">
        <v>73</v>
      </c>
      <c r="BW155" t="s">
        <v>73</v>
      </c>
      <c r="BX155" t="s">
        <v>73</v>
      </c>
      <c r="BY155" t="s">
        <v>73</v>
      </c>
      <c r="CC155" t="s">
        <v>73</v>
      </c>
      <c r="CD155" s="205" t="s">
        <v>73</v>
      </c>
    </row>
    <row r="156" spans="59:82" ht="9" customHeight="1">
      <c r="BG156" s="204" t="s">
        <v>73</v>
      </c>
      <c r="BH156" t="s">
        <v>73</v>
      </c>
      <c r="BI156" t="s">
        <v>73</v>
      </c>
      <c r="BJ156" t="s">
        <v>73</v>
      </c>
      <c r="BK156" t="s">
        <v>73</v>
      </c>
      <c r="BL156" t="s">
        <v>73</v>
      </c>
      <c r="BM156" t="s">
        <v>73</v>
      </c>
      <c r="BN156" t="s">
        <v>73</v>
      </c>
      <c r="BO156" t="s">
        <v>73</v>
      </c>
      <c r="BP156" t="s">
        <v>73</v>
      </c>
      <c r="BQ156" t="s">
        <v>73</v>
      </c>
      <c r="BR156" t="s">
        <v>73</v>
      </c>
      <c r="BS156" t="s">
        <v>73</v>
      </c>
      <c r="BT156" t="s">
        <v>73</v>
      </c>
      <c r="BU156" t="s">
        <v>73</v>
      </c>
      <c r="BV156" t="s">
        <v>73</v>
      </c>
      <c r="CC156" t="s">
        <v>73</v>
      </c>
      <c r="CD156" s="205" t="s">
        <v>73</v>
      </c>
    </row>
    <row r="157" spans="59:82" ht="9" customHeight="1">
      <c r="BG157" s="204" t="s">
        <v>73</v>
      </c>
      <c r="BH157" t="s">
        <v>73</v>
      </c>
      <c r="BI157" t="s">
        <v>73</v>
      </c>
      <c r="BJ157" t="s">
        <v>73</v>
      </c>
      <c r="BK157" t="s">
        <v>73</v>
      </c>
      <c r="BL157" t="s">
        <v>73</v>
      </c>
      <c r="BM157" t="s">
        <v>73</v>
      </c>
      <c r="BN157" t="s">
        <v>73</v>
      </c>
      <c r="BO157" t="s">
        <v>73</v>
      </c>
      <c r="BP157" t="s">
        <v>73</v>
      </c>
      <c r="BQ157" t="s">
        <v>73</v>
      </c>
      <c r="BR157" t="s">
        <v>73</v>
      </c>
      <c r="BS157" t="s">
        <v>73</v>
      </c>
      <c r="BT157" t="s">
        <v>73</v>
      </c>
      <c r="BU157" t="s">
        <v>73</v>
      </c>
      <c r="BV157" t="s">
        <v>73</v>
      </c>
      <c r="CC157" t="s">
        <v>73</v>
      </c>
      <c r="CD157" s="205" t="s">
        <v>73</v>
      </c>
    </row>
    <row r="158" spans="59:82" ht="9" customHeight="1">
      <c r="BG158" s="204" t="s">
        <v>73</v>
      </c>
      <c r="BH158" t="s">
        <v>73</v>
      </c>
      <c r="BI158" t="s">
        <v>73</v>
      </c>
      <c r="BJ158" t="s">
        <v>73</v>
      </c>
      <c r="BK158" t="s">
        <v>73</v>
      </c>
      <c r="BL158" t="s">
        <v>73</v>
      </c>
      <c r="BM158" t="s">
        <v>73</v>
      </c>
      <c r="BN158" t="s">
        <v>73</v>
      </c>
      <c r="BO158" t="s">
        <v>73</v>
      </c>
      <c r="BP158" t="s">
        <v>73</v>
      </c>
      <c r="BQ158" t="s">
        <v>73</v>
      </c>
      <c r="BR158" t="s">
        <v>73</v>
      </c>
      <c r="BS158" t="s">
        <v>73</v>
      </c>
      <c r="BT158" t="s">
        <v>73</v>
      </c>
      <c r="BU158" t="s">
        <v>73</v>
      </c>
      <c r="BV158" t="s">
        <v>73</v>
      </c>
      <c r="CC158" t="s">
        <v>73</v>
      </c>
      <c r="CD158" s="205" t="s">
        <v>73</v>
      </c>
    </row>
    <row r="159" spans="59:82" ht="9" customHeight="1">
      <c r="BG159" s="204" t="s">
        <v>73</v>
      </c>
      <c r="BH159" t="s">
        <v>73</v>
      </c>
      <c r="BI159" t="s">
        <v>73</v>
      </c>
      <c r="BJ159" t="s">
        <v>73</v>
      </c>
      <c r="BK159" t="s">
        <v>73</v>
      </c>
      <c r="BL159" t="s">
        <v>73</v>
      </c>
      <c r="BM159" t="s">
        <v>73</v>
      </c>
      <c r="BN159" t="s">
        <v>73</v>
      </c>
      <c r="BO159" t="s">
        <v>73</v>
      </c>
      <c r="BP159" t="s">
        <v>73</v>
      </c>
      <c r="BQ159" t="s">
        <v>73</v>
      </c>
      <c r="BR159" t="s">
        <v>73</v>
      </c>
      <c r="BS159" t="s">
        <v>73</v>
      </c>
      <c r="BT159" t="s">
        <v>73</v>
      </c>
      <c r="BU159" t="s">
        <v>73</v>
      </c>
      <c r="BV159" t="s">
        <v>73</v>
      </c>
      <c r="BW159" t="s">
        <v>73</v>
      </c>
      <c r="BX159" t="s">
        <v>73</v>
      </c>
      <c r="BZ159" t="s">
        <v>73</v>
      </c>
      <c r="CA159" t="s">
        <v>73</v>
      </c>
      <c r="CB159" t="s">
        <v>73</v>
      </c>
      <c r="CC159" t="s">
        <v>73</v>
      </c>
      <c r="CD159" s="205" t="s">
        <v>73</v>
      </c>
    </row>
    <row r="160" spans="59:82" ht="9" customHeight="1">
      <c r="BG160" s="204" t="s">
        <v>73</v>
      </c>
      <c r="BH160" t="s">
        <v>73</v>
      </c>
      <c r="BI160" t="s">
        <v>73</v>
      </c>
      <c r="BJ160" t="s">
        <v>73</v>
      </c>
      <c r="BK160" t="s">
        <v>73</v>
      </c>
      <c r="BL160" t="s">
        <v>73</v>
      </c>
      <c r="BM160" t="s">
        <v>73</v>
      </c>
      <c r="BN160" t="s">
        <v>73</v>
      </c>
      <c r="BO160" t="s">
        <v>73</v>
      </c>
      <c r="BP160" t="s">
        <v>73</v>
      </c>
      <c r="BQ160" t="s">
        <v>73</v>
      </c>
      <c r="BR160" t="s">
        <v>73</v>
      </c>
      <c r="BS160" t="s">
        <v>73</v>
      </c>
      <c r="BT160" t="s">
        <v>73</v>
      </c>
      <c r="BU160" t="s">
        <v>73</v>
      </c>
      <c r="BV160" t="s">
        <v>73</v>
      </c>
      <c r="CC160" t="s">
        <v>73</v>
      </c>
      <c r="CD160" s="205" t="s">
        <v>73</v>
      </c>
    </row>
    <row r="161" spans="59:82" ht="9" customHeight="1">
      <c r="BG161" s="204" t="s">
        <v>73</v>
      </c>
      <c r="BH161" t="s">
        <v>73</v>
      </c>
      <c r="BI161" t="s">
        <v>73</v>
      </c>
      <c r="BJ161" t="s">
        <v>73</v>
      </c>
      <c r="BK161" t="s">
        <v>73</v>
      </c>
      <c r="BL161" t="s">
        <v>73</v>
      </c>
      <c r="BM161" t="s">
        <v>73</v>
      </c>
      <c r="BN161" t="s">
        <v>73</v>
      </c>
      <c r="BO161" t="s">
        <v>73</v>
      </c>
      <c r="BP161" t="s">
        <v>73</v>
      </c>
      <c r="BQ161" t="s">
        <v>73</v>
      </c>
      <c r="BR161" t="s">
        <v>73</v>
      </c>
      <c r="BS161" t="s">
        <v>73</v>
      </c>
      <c r="BT161" t="s">
        <v>73</v>
      </c>
      <c r="BU161" t="s">
        <v>73</v>
      </c>
      <c r="BV161" t="s">
        <v>73</v>
      </c>
      <c r="CC161" t="s">
        <v>73</v>
      </c>
      <c r="CD161" s="205" t="s">
        <v>73</v>
      </c>
    </row>
    <row r="162" spans="59:82" ht="9" customHeight="1">
      <c r="BG162" s="204" t="s">
        <v>73</v>
      </c>
      <c r="BH162" t="s">
        <v>73</v>
      </c>
      <c r="BI162" t="s">
        <v>73</v>
      </c>
      <c r="BJ162" t="s">
        <v>73</v>
      </c>
      <c r="BK162" t="s">
        <v>73</v>
      </c>
      <c r="BL162" t="s">
        <v>73</v>
      </c>
      <c r="BM162" t="s">
        <v>73</v>
      </c>
      <c r="BN162" t="s">
        <v>73</v>
      </c>
      <c r="BO162" t="s">
        <v>73</v>
      </c>
      <c r="BP162" t="s">
        <v>73</v>
      </c>
      <c r="BQ162" t="s">
        <v>73</v>
      </c>
      <c r="BR162" t="s">
        <v>73</v>
      </c>
      <c r="BS162" t="s">
        <v>73</v>
      </c>
      <c r="BT162" t="s">
        <v>73</v>
      </c>
      <c r="BU162" t="s">
        <v>73</v>
      </c>
      <c r="BV162" t="s">
        <v>73</v>
      </c>
      <c r="CC162" t="s">
        <v>73</v>
      </c>
      <c r="CD162" s="205" t="s">
        <v>73</v>
      </c>
    </row>
    <row r="163" spans="59:82" ht="9" customHeight="1">
      <c r="BG163" s="204" t="s">
        <v>73</v>
      </c>
      <c r="BH163" t="s">
        <v>73</v>
      </c>
      <c r="BI163" t="s">
        <v>73</v>
      </c>
      <c r="BJ163" t="s">
        <v>73</v>
      </c>
      <c r="BK163" t="s">
        <v>73</v>
      </c>
      <c r="BL163" t="s">
        <v>73</v>
      </c>
      <c r="BM163" t="s">
        <v>73</v>
      </c>
      <c r="BN163" t="s">
        <v>73</v>
      </c>
      <c r="BO163" t="s">
        <v>73</v>
      </c>
      <c r="BP163" t="s">
        <v>73</v>
      </c>
      <c r="BQ163" t="s">
        <v>73</v>
      </c>
      <c r="BR163" t="s">
        <v>73</v>
      </c>
      <c r="BS163" t="s">
        <v>73</v>
      </c>
      <c r="BT163" t="s">
        <v>73</v>
      </c>
      <c r="BU163" t="s">
        <v>73</v>
      </c>
      <c r="BV163" t="s">
        <v>73</v>
      </c>
      <c r="CC163" t="s">
        <v>73</v>
      </c>
      <c r="CD163" s="205" t="s">
        <v>73</v>
      </c>
    </row>
    <row r="164" spans="59:82" ht="9" customHeight="1">
      <c r="BG164" s="204" t="s">
        <v>73</v>
      </c>
      <c r="BH164" t="s">
        <v>73</v>
      </c>
      <c r="BI164" t="s">
        <v>73</v>
      </c>
      <c r="BJ164" t="s">
        <v>73</v>
      </c>
      <c r="BK164" t="s">
        <v>73</v>
      </c>
      <c r="BL164" t="s">
        <v>73</v>
      </c>
      <c r="BM164" t="s">
        <v>73</v>
      </c>
      <c r="BN164" t="s">
        <v>73</v>
      </c>
      <c r="BO164" t="s">
        <v>73</v>
      </c>
      <c r="BP164" t="s">
        <v>73</v>
      </c>
      <c r="BQ164" t="s">
        <v>73</v>
      </c>
      <c r="BR164" t="s">
        <v>73</v>
      </c>
      <c r="BS164" t="s">
        <v>73</v>
      </c>
      <c r="BT164" t="s">
        <v>73</v>
      </c>
      <c r="BU164" t="s">
        <v>73</v>
      </c>
      <c r="BV164" t="s">
        <v>73</v>
      </c>
      <c r="CC164" t="s">
        <v>73</v>
      </c>
      <c r="CD164" s="205" t="s">
        <v>73</v>
      </c>
    </row>
    <row r="165" spans="59:82" ht="9" customHeight="1">
      <c r="BG165" s="204" t="s">
        <v>73</v>
      </c>
      <c r="BH165" t="s">
        <v>73</v>
      </c>
      <c r="BI165" t="s">
        <v>73</v>
      </c>
      <c r="BJ165" t="s">
        <v>73</v>
      </c>
      <c r="BK165" t="s">
        <v>73</v>
      </c>
      <c r="BL165" t="s">
        <v>73</v>
      </c>
      <c r="BM165" t="s">
        <v>73</v>
      </c>
      <c r="BN165" t="s">
        <v>73</v>
      </c>
      <c r="BO165" t="s">
        <v>73</v>
      </c>
      <c r="BP165" t="s">
        <v>73</v>
      </c>
      <c r="BQ165" t="s">
        <v>73</v>
      </c>
      <c r="BR165" t="s">
        <v>73</v>
      </c>
      <c r="BS165" t="s">
        <v>73</v>
      </c>
      <c r="BT165" t="s">
        <v>73</v>
      </c>
      <c r="BU165" t="s">
        <v>73</v>
      </c>
      <c r="BV165" t="s">
        <v>73</v>
      </c>
      <c r="BW165" t="s">
        <v>1320</v>
      </c>
      <c r="BX165" t="s">
        <v>1320</v>
      </c>
      <c r="BY165" t="s">
        <v>1320</v>
      </c>
      <c r="CA165" t="s">
        <v>1320</v>
      </c>
      <c r="CB165" t="s">
        <v>1320</v>
      </c>
      <c r="CC165" t="s">
        <v>73</v>
      </c>
      <c r="CD165" s="205" t="s">
        <v>73</v>
      </c>
    </row>
    <row r="166" spans="59:82" ht="9" customHeight="1">
      <c r="BG166" s="204" t="s">
        <v>73</v>
      </c>
      <c r="BH166" t="s">
        <v>73</v>
      </c>
      <c r="BI166" t="s">
        <v>73</v>
      </c>
      <c r="BJ166" t="s">
        <v>73</v>
      </c>
      <c r="BK166" t="s">
        <v>73</v>
      </c>
      <c r="BL166" t="s">
        <v>73</v>
      </c>
      <c r="BM166" t="s">
        <v>73</v>
      </c>
      <c r="BN166" t="s">
        <v>73</v>
      </c>
      <c r="BO166" t="s">
        <v>73</v>
      </c>
      <c r="BP166" t="s">
        <v>73</v>
      </c>
      <c r="BQ166" t="s">
        <v>73</v>
      </c>
      <c r="BR166" t="s">
        <v>73</v>
      </c>
      <c r="BS166" t="s">
        <v>73</v>
      </c>
      <c r="BT166" t="s">
        <v>73</v>
      </c>
      <c r="BU166" t="s">
        <v>73</v>
      </c>
      <c r="BV166" t="s">
        <v>73</v>
      </c>
      <c r="CC166" t="s">
        <v>73</v>
      </c>
      <c r="CD166" s="205" t="s">
        <v>73</v>
      </c>
    </row>
    <row r="167" spans="59:82" ht="9" customHeight="1">
      <c r="BG167" s="204" t="s">
        <v>73</v>
      </c>
      <c r="BH167" t="s">
        <v>73</v>
      </c>
      <c r="BI167" t="s">
        <v>73</v>
      </c>
      <c r="BJ167" t="s">
        <v>73</v>
      </c>
      <c r="BK167" t="s">
        <v>73</v>
      </c>
      <c r="BL167" t="s">
        <v>73</v>
      </c>
      <c r="BM167" t="s">
        <v>73</v>
      </c>
      <c r="BN167" t="s">
        <v>73</v>
      </c>
      <c r="BO167" t="s">
        <v>73</v>
      </c>
      <c r="BP167" t="s">
        <v>73</v>
      </c>
      <c r="BQ167" t="s">
        <v>73</v>
      </c>
      <c r="BR167" t="s">
        <v>73</v>
      </c>
      <c r="BS167" t="s">
        <v>73</v>
      </c>
      <c r="BT167" t="s">
        <v>73</v>
      </c>
      <c r="BU167" t="s">
        <v>73</v>
      </c>
      <c r="BV167" t="s">
        <v>73</v>
      </c>
      <c r="CC167" t="s">
        <v>73</v>
      </c>
      <c r="CD167" s="205" t="s">
        <v>73</v>
      </c>
    </row>
    <row r="168" spans="59:82" ht="9" customHeight="1">
      <c r="BG168" s="204" t="s">
        <v>73</v>
      </c>
      <c r="BH168" t="s">
        <v>73</v>
      </c>
      <c r="BI168" t="s">
        <v>73</v>
      </c>
      <c r="BJ168" t="s">
        <v>73</v>
      </c>
      <c r="BK168" t="s">
        <v>73</v>
      </c>
      <c r="BL168" t="s">
        <v>73</v>
      </c>
      <c r="BM168" t="s">
        <v>73</v>
      </c>
      <c r="BN168" t="s">
        <v>73</v>
      </c>
      <c r="BO168" t="s">
        <v>73</v>
      </c>
      <c r="BP168" t="s">
        <v>73</v>
      </c>
      <c r="BQ168" t="s">
        <v>73</v>
      </c>
      <c r="BR168" t="s">
        <v>73</v>
      </c>
      <c r="BS168" t="s">
        <v>73</v>
      </c>
      <c r="BT168" t="s">
        <v>73</v>
      </c>
      <c r="BU168" t="s">
        <v>73</v>
      </c>
      <c r="BV168" t="s">
        <v>73</v>
      </c>
      <c r="CC168" t="s">
        <v>73</v>
      </c>
      <c r="CD168" s="205" t="s">
        <v>73</v>
      </c>
    </row>
    <row r="169" spans="59:82" ht="9" customHeight="1">
      <c r="BG169" s="204" t="s">
        <v>73</v>
      </c>
      <c r="BH169" t="s">
        <v>73</v>
      </c>
      <c r="BI169" t="s">
        <v>73</v>
      </c>
      <c r="BJ169" t="s">
        <v>73</v>
      </c>
      <c r="BK169" t="s">
        <v>73</v>
      </c>
      <c r="BL169" t="s">
        <v>73</v>
      </c>
      <c r="BM169" t="s">
        <v>73</v>
      </c>
      <c r="BN169" t="s">
        <v>73</v>
      </c>
      <c r="BO169" t="s">
        <v>73</v>
      </c>
      <c r="BP169" t="s">
        <v>73</v>
      </c>
      <c r="BQ169" t="s">
        <v>73</v>
      </c>
      <c r="BR169" t="s">
        <v>73</v>
      </c>
      <c r="BS169" t="s">
        <v>73</v>
      </c>
      <c r="BT169" t="s">
        <v>73</v>
      </c>
      <c r="BU169" t="s">
        <v>73</v>
      </c>
      <c r="BV169" t="s">
        <v>73</v>
      </c>
      <c r="CC169" t="s">
        <v>73</v>
      </c>
      <c r="CD169" s="205" t="s">
        <v>73</v>
      </c>
    </row>
    <row r="170" spans="59:82" ht="9" customHeight="1">
      <c r="BG170" s="204" t="s">
        <v>73</v>
      </c>
      <c r="BH170" t="s">
        <v>73</v>
      </c>
      <c r="BI170" t="s">
        <v>73</v>
      </c>
      <c r="BJ170" t="s">
        <v>73</v>
      </c>
      <c r="BK170" t="s">
        <v>73</v>
      </c>
      <c r="BL170" t="s">
        <v>73</v>
      </c>
      <c r="BM170" t="s">
        <v>73</v>
      </c>
      <c r="BN170" t="s">
        <v>73</v>
      </c>
      <c r="BO170" t="s">
        <v>73</v>
      </c>
      <c r="BP170" t="s">
        <v>73</v>
      </c>
      <c r="BQ170" t="s">
        <v>73</v>
      </c>
      <c r="BR170" t="s">
        <v>73</v>
      </c>
      <c r="BS170" t="s">
        <v>73</v>
      </c>
      <c r="BT170" t="s">
        <v>73</v>
      </c>
      <c r="BU170" t="s">
        <v>73</v>
      </c>
      <c r="BV170" t="s">
        <v>73</v>
      </c>
      <c r="BW170" t="s">
        <v>1320</v>
      </c>
      <c r="BX170" t="s">
        <v>1320</v>
      </c>
      <c r="BY170" t="s">
        <v>1320</v>
      </c>
      <c r="CA170" t="s">
        <v>1320</v>
      </c>
      <c r="CB170" t="s">
        <v>1320</v>
      </c>
      <c r="CC170" t="s">
        <v>73</v>
      </c>
      <c r="CD170" s="205" t="s">
        <v>73</v>
      </c>
    </row>
    <row r="171" spans="59:82" ht="9" customHeight="1">
      <c r="BG171" s="204" t="s">
        <v>73</v>
      </c>
      <c r="BH171" t="s">
        <v>73</v>
      </c>
      <c r="BI171" t="s">
        <v>73</v>
      </c>
      <c r="BJ171" t="s">
        <v>73</v>
      </c>
      <c r="BK171" t="s">
        <v>73</v>
      </c>
      <c r="BL171" t="s">
        <v>73</v>
      </c>
      <c r="BM171" t="s">
        <v>73</v>
      </c>
      <c r="BN171" t="s">
        <v>73</v>
      </c>
      <c r="BO171" t="s">
        <v>73</v>
      </c>
      <c r="BP171" t="s">
        <v>73</v>
      </c>
      <c r="BQ171" t="s">
        <v>73</v>
      </c>
      <c r="BR171" t="s">
        <v>73</v>
      </c>
      <c r="BS171" t="s">
        <v>73</v>
      </c>
      <c r="BT171" t="s">
        <v>73</v>
      </c>
      <c r="BU171" t="s">
        <v>73</v>
      </c>
      <c r="BV171" t="s">
        <v>73</v>
      </c>
      <c r="CC171" t="s">
        <v>73</v>
      </c>
      <c r="CD171" s="205" t="s">
        <v>73</v>
      </c>
    </row>
    <row r="172" spans="59:82" ht="9" customHeight="1">
      <c r="BG172" s="204" t="s">
        <v>73</v>
      </c>
      <c r="BH172" t="s">
        <v>73</v>
      </c>
      <c r="BI172" t="s">
        <v>73</v>
      </c>
      <c r="BJ172" t="s">
        <v>73</v>
      </c>
      <c r="BK172" t="s">
        <v>73</v>
      </c>
      <c r="BL172" t="s">
        <v>73</v>
      </c>
      <c r="BM172" t="s">
        <v>73</v>
      </c>
      <c r="BN172" t="s">
        <v>73</v>
      </c>
      <c r="BO172" t="s">
        <v>73</v>
      </c>
      <c r="BP172" t="s">
        <v>73</v>
      </c>
      <c r="BQ172" t="s">
        <v>73</v>
      </c>
      <c r="BR172" t="s">
        <v>73</v>
      </c>
      <c r="BS172" t="s">
        <v>73</v>
      </c>
      <c r="BT172" t="s">
        <v>73</v>
      </c>
      <c r="BU172" t="s">
        <v>73</v>
      </c>
      <c r="BV172" t="s">
        <v>73</v>
      </c>
      <c r="CC172" t="s">
        <v>73</v>
      </c>
      <c r="CD172" s="205" t="s">
        <v>73</v>
      </c>
    </row>
    <row r="173" spans="59:82" ht="9" customHeight="1">
      <c r="BG173" s="204" t="s">
        <v>73</v>
      </c>
      <c r="BH173" t="s">
        <v>73</v>
      </c>
      <c r="BI173" t="s">
        <v>73</v>
      </c>
      <c r="BJ173" t="s">
        <v>73</v>
      </c>
      <c r="BK173" t="s">
        <v>73</v>
      </c>
      <c r="BL173" t="s">
        <v>73</v>
      </c>
      <c r="BM173" t="s">
        <v>73</v>
      </c>
      <c r="BN173" t="s">
        <v>73</v>
      </c>
      <c r="BO173" t="s">
        <v>73</v>
      </c>
      <c r="BP173" t="s">
        <v>73</v>
      </c>
      <c r="BQ173" t="s">
        <v>73</v>
      </c>
      <c r="BR173" t="s">
        <v>73</v>
      </c>
      <c r="BS173" t="s">
        <v>73</v>
      </c>
      <c r="BT173" t="s">
        <v>73</v>
      </c>
      <c r="BU173" t="s">
        <v>73</v>
      </c>
      <c r="BV173" t="s">
        <v>73</v>
      </c>
      <c r="CC173" t="s">
        <v>73</v>
      </c>
      <c r="CD173" s="205" t="s">
        <v>73</v>
      </c>
    </row>
    <row r="174" spans="59:82" ht="9" customHeight="1">
      <c r="BG174" s="204" t="s">
        <v>73</v>
      </c>
      <c r="BH174" t="s">
        <v>73</v>
      </c>
      <c r="BI174" t="s">
        <v>73</v>
      </c>
      <c r="BJ174" t="s">
        <v>73</v>
      </c>
      <c r="BK174" t="s">
        <v>73</v>
      </c>
      <c r="BL174" t="s">
        <v>73</v>
      </c>
      <c r="BM174" t="s">
        <v>73</v>
      </c>
      <c r="BN174" t="s">
        <v>73</v>
      </c>
      <c r="BO174" t="s">
        <v>73</v>
      </c>
      <c r="BP174" t="s">
        <v>73</v>
      </c>
      <c r="BQ174" t="s">
        <v>73</v>
      </c>
      <c r="BR174" t="s">
        <v>73</v>
      </c>
      <c r="BS174" t="s">
        <v>73</v>
      </c>
      <c r="BT174" t="s">
        <v>73</v>
      </c>
      <c r="BU174" t="s">
        <v>73</v>
      </c>
      <c r="BV174" t="s">
        <v>73</v>
      </c>
      <c r="BW174" t="s">
        <v>73</v>
      </c>
      <c r="CB174" t="s">
        <v>73</v>
      </c>
      <c r="CC174" t="s">
        <v>73</v>
      </c>
      <c r="CD174" s="205" t="s">
        <v>73</v>
      </c>
    </row>
    <row r="175" spans="59:82" ht="9" customHeight="1">
      <c r="BG175" s="204" t="s">
        <v>73</v>
      </c>
      <c r="BH175" t="s">
        <v>73</v>
      </c>
      <c r="BI175" t="s">
        <v>73</v>
      </c>
      <c r="BJ175" t="s">
        <v>73</v>
      </c>
      <c r="BK175" t="s">
        <v>73</v>
      </c>
      <c r="BL175" t="s">
        <v>73</v>
      </c>
      <c r="BM175" t="s">
        <v>73</v>
      </c>
      <c r="BN175" t="s">
        <v>73</v>
      </c>
      <c r="BO175" t="s">
        <v>73</v>
      </c>
      <c r="BP175" t="s">
        <v>73</v>
      </c>
      <c r="BQ175" t="s">
        <v>73</v>
      </c>
      <c r="BR175" t="s">
        <v>73</v>
      </c>
      <c r="BS175" t="s">
        <v>73</v>
      </c>
      <c r="BT175" t="s">
        <v>73</v>
      </c>
      <c r="BU175" t="s">
        <v>73</v>
      </c>
      <c r="BV175" t="s">
        <v>73</v>
      </c>
      <c r="BW175" t="s">
        <v>73</v>
      </c>
      <c r="BX175" t="s">
        <v>73</v>
      </c>
      <c r="BY175" t="s">
        <v>1349</v>
      </c>
      <c r="BZ175" t="s">
        <v>1349</v>
      </c>
      <c r="CA175" t="s">
        <v>73</v>
      </c>
      <c r="CB175" t="s">
        <v>73</v>
      </c>
      <c r="CC175" t="s">
        <v>73</v>
      </c>
      <c r="CD175" s="205" t="s">
        <v>73</v>
      </c>
    </row>
    <row r="176" spans="59:82" ht="9" customHeight="1">
      <c r="BG176" s="204" t="s">
        <v>73</v>
      </c>
      <c r="BH176" t="s">
        <v>73</v>
      </c>
      <c r="BI176" t="s">
        <v>73</v>
      </c>
      <c r="BJ176" t="s">
        <v>73</v>
      </c>
      <c r="BK176" t="s">
        <v>73</v>
      </c>
      <c r="BL176" t="s">
        <v>73</v>
      </c>
      <c r="BM176" t="s">
        <v>73</v>
      </c>
      <c r="BN176" t="s">
        <v>73</v>
      </c>
      <c r="BO176" t="s">
        <v>73</v>
      </c>
      <c r="BP176" t="s">
        <v>73</v>
      </c>
      <c r="BQ176" t="s">
        <v>73</v>
      </c>
      <c r="BR176" t="s">
        <v>73</v>
      </c>
      <c r="BS176" t="s">
        <v>73</v>
      </c>
      <c r="BT176" t="s">
        <v>73</v>
      </c>
      <c r="BU176" t="s">
        <v>73</v>
      </c>
      <c r="BV176" t="s">
        <v>73</v>
      </c>
      <c r="BW176" t="s">
        <v>73</v>
      </c>
      <c r="BX176" t="s">
        <v>73</v>
      </c>
      <c r="BY176" t="s">
        <v>73</v>
      </c>
      <c r="BZ176" t="s">
        <v>73</v>
      </c>
      <c r="CA176" t="s">
        <v>73</v>
      </c>
      <c r="CB176" t="s">
        <v>73</v>
      </c>
      <c r="CC176" t="s">
        <v>73</v>
      </c>
      <c r="CD176" s="205" t="s">
        <v>73</v>
      </c>
    </row>
    <row r="177" spans="59:82" ht="9" customHeight="1">
      <c r="BG177" s="204" t="s">
        <v>73</v>
      </c>
      <c r="BH177" t="s">
        <v>73</v>
      </c>
      <c r="BI177" t="s">
        <v>73</v>
      </c>
      <c r="BJ177" t="s">
        <v>73</v>
      </c>
      <c r="BK177" t="s">
        <v>73</v>
      </c>
      <c r="BL177" t="s">
        <v>73</v>
      </c>
      <c r="BM177" t="s">
        <v>73</v>
      </c>
      <c r="BN177" t="s">
        <v>73</v>
      </c>
      <c r="BO177" t="s">
        <v>73</v>
      </c>
      <c r="BP177" t="s">
        <v>73</v>
      </c>
      <c r="BQ177" t="s">
        <v>73</v>
      </c>
      <c r="BR177" t="s">
        <v>73</v>
      </c>
      <c r="BS177" t="s">
        <v>73</v>
      </c>
      <c r="BT177" t="s">
        <v>73</v>
      </c>
      <c r="BU177" t="s">
        <v>73</v>
      </c>
      <c r="BV177" t="s">
        <v>73</v>
      </c>
      <c r="BW177" t="s">
        <v>73</v>
      </c>
      <c r="BX177" t="s">
        <v>73</v>
      </c>
      <c r="BY177" t="s">
        <v>73</v>
      </c>
      <c r="BZ177" t="s">
        <v>73</v>
      </c>
      <c r="CA177" t="s">
        <v>73</v>
      </c>
      <c r="CB177" t="s">
        <v>73</v>
      </c>
      <c r="CC177" t="s">
        <v>73</v>
      </c>
      <c r="CD177" s="205" t="s">
        <v>73</v>
      </c>
    </row>
    <row r="178" spans="59:82" ht="9" customHeight="1">
      <c r="BG178" s="204" t="s">
        <v>73</v>
      </c>
      <c r="BH178" t="s">
        <v>73</v>
      </c>
      <c r="BI178" t="s">
        <v>73</v>
      </c>
      <c r="BJ178" t="s">
        <v>73</v>
      </c>
      <c r="BK178" t="s">
        <v>73</v>
      </c>
      <c r="BL178" t="s">
        <v>73</v>
      </c>
      <c r="BM178" t="s">
        <v>73</v>
      </c>
      <c r="BN178" t="s">
        <v>73</v>
      </c>
      <c r="BO178" t="s">
        <v>73</v>
      </c>
      <c r="BP178" t="s">
        <v>73</v>
      </c>
      <c r="BQ178" t="s">
        <v>73</v>
      </c>
      <c r="BR178" t="s">
        <v>73</v>
      </c>
      <c r="BS178" t="s">
        <v>73</v>
      </c>
      <c r="BT178" t="s">
        <v>73</v>
      </c>
      <c r="BU178" t="s">
        <v>73</v>
      </c>
      <c r="BV178" t="s">
        <v>73</v>
      </c>
      <c r="BW178" t="s">
        <v>73</v>
      </c>
      <c r="BX178" t="s">
        <v>73</v>
      </c>
      <c r="BY178" t="s">
        <v>73</v>
      </c>
      <c r="BZ178" t="s">
        <v>73</v>
      </c>
      <c r="CA178" t="s">
        <v>73</v>
      </c>
      <c r="CB178" t="s">
        <v>73</v>
      </c>
      <c r="CC178" t="s">
        <v>73</v>
      </c>
      <c r="CD178" s="205" t="s">
        <v>73</v>
      </c>
    </row>
    <row r="179" spans="59:82" ht="9" customHeight="1">
      <c r="BG179" s="204" t="s">
        <v>73</v>
      </c>
      <c r="BH179" t="s">
        <v>73</v>
      </c>
      <c r="BI179" t="s">
        <v>73</v>
      </c>
      <c r="BJ179" t="s">
        <v>73</v>
      </c>
      <c r="BK179" t="s">
        <v>73</v>
      </c>
      <c r="BL179" t="s">
        <v>73</v>
      </c>
      <c r="BM179" t="s">
        <v>73</v>
      </c>
      <c r="BN179" t="s">
        <v>73</v>
      </c>
      <c r="BO179" t="s">
        <v>73</v>
      </c>
      <c r="BP179" t="s">
        <v>73</v>
      </c>
      <c r="BQ179" t="s">
        <v>73</v>
      </c>
      <c r="BR179" t="s">
        <v>73</v>
      </c>
      <c r="BS179" t="s">
        <v>73</v>
      </c>
      <c r="BT179" t="s">
        <v>73</v>
      </c>
      <c r="BU179" t="s">
        <v>73</v>
      </c>
      <c r="BV179" t="s">
        <v>73</v>
      </c>
      <c r="BW179" t="s">
        <v>73</v>
      </c>
      <c r="BX179" t="s">
        <v>73</v>
      </c>
      <c r="BY179" t="s">
        <v>1349</v>
      </c>
      <c r="BZ179" t="s">
        <v>1349</v>
      </c>
      <c r="CA179" t="s">
        <v>73</v>
      </c>
      <c r="CB179" t="s">
        <v>73</v>
      </c>
      <c r="CC179" t="s">
        <v>73</v>
      </c>
      <c r="CD179" s="205" t="s">
        <v>73</v>
      </c>
    </row>
    <row r="180" spans="59:82" ht="9" customHeight="1">
      <c r="BG180" s="204" t="s">
        <v>73</v>
      </c>
      <c r="BH180" t="s">
        <v>73</v>
      </c>
      <c r="BI180" t="s">
        <v>73</v>
      </c>
      <c r="BJ180" t="s">
        <v>73</v>
      </c>
      <c r="BK180" t="s">
        <v>73</v>
      </c>
      <c r="BL180" t="s">
        <v>73</v>
      </c>
      <c r="BM180" t="s">
        <v>73</v>
      </c>
      <c r="BN180" t="s">
        <v>73</v>
      </c>
      <c r="BO180" t="s">
        <v>73</v>
      </c>
      <c r="BP180" t="s">
        <v>73</v>
      </c>
      <c r="BQ180" t="s">
        <v>73</v>
      </c>
      <c r="BR180" t="s">
        <v>73</v>
      </c>
      <c r="BS180" t="s">
        <v>73</v>
      </c>
      <c r="BT180" t="s">
        <v>73</v>
      </c>
      <c r="BU180" t="s">
        <v>73</v>
      </c>
      <c r="BV180" t="s">
        <v>73</v>
      </c>
      <c r="BW180" t="s">
        <v>73</v>
      </c>
      <c r="CB180" t="s">
        <v>73</v>
      </c>
      <c r="CC180" t="s">
        <v>73</v>
      </c>
      <c r="CD180" s="205" t="s">
        <v>73</v>
      </c>
    </row>
    <row r="181" spans="59:82" ht="9" customHeight="1">
      <c r="BG181" s="204" t="s">
        <v>73</v>
      </c>
      <c r="BH181" t="s">
        <v>73</v>
      </c>
      <c r="BI181" t="s">
        <v>73</v>
      </c>
      <c r="BJ181" t="s">
        <v>73</v>
      </c>
      <c r="BK181" t="s">
        <v>73</v>
      </c>
      <c r="BL181" t="s">
        <v>73</v>
      </c>
      <c r="BM181" t="s">
        <v>73</v>
      </c>
      <c r="BN181" t="s">
        <v>73</v>
      </c>
      <c r="BO181" t="s">
        <v>73</v>
      </c>
      <c r="BP181" t="s">
        <v>73</v>
      </c>
      <c r="BQ181" t="s">
        <v>73</v>
      </c>
      <c r="BR181" t="s">
        <v>73</v>
      </c>
      <c r="BS181" t="s">
        <v>73</v>
      </c>
      <c r="BT181" t="s">
        <v>73</v>
      </c>
      <c r="BU181" t="s">
        <v>73</v>
      </c>
      <c r="BV181" t="s">
        <v>73</v>
      </c>
      <c r="CC181" t="s">
        <v>73</v>
      </c>
      <c r="CD181" s="205" t="s">
        <v>73</v>
      </c>
    </row>
    <row r="182" spans="59:82" ht="9" customHeight="1">
      <c r="BG182" s="204" t="s">
        <v>73</v>
      </c>
      <c r="BH182" t="s">
        <v>73</v>
      </c>
      <c r="BI182" t="s">
        <v>73</v>
      </c>
      <c r="BJ182" t="s">
        <v>73</v>
      </c>
      <c r="BK182" t="s">
        <v>73</v>
      </c>
      <c r="BL182" t="s">
        <v>73</v>
      </c>
      <c r="BM182" t="s">
        <v>73</v>
      </c>
      <c r="BN182" t="s">
        <v>73</v>
      </c>
      <c r="BO182" t="s">
        <v>73</v>
      </c>
      <c r="BP182" t="s">
        <v>73</v>
      </c>
      <c r="BQ182" t="s">
        <v>73</v>
      </c>
      <c r="BR182" t="s">
        <v>73</v>
      </c>
      <c r="BS182" t="s">
        <v>73</v>
      </c>
      <c r="BT182" t="s">
        <v>73</v>
      </c>
      <c r="BU182" t="s">
        <v>73</v>
      </c>
      <c r="BV182" t="s">
        <v>73</v>
      </c>
      <c r="CC182" t="s">
        <v>73</v>
      </c>
      <c r="CD182" s="205" t="s">
        <v>73</v>
      </c>
    </row>
    <row r="183" spans="59:82" ht="9" customHeight="1">
      <c r="BG183" s="204" t="s">
        <v>73</v>
      </c>
      <c r="BH183" t="s">
        <v>73</v>
      </c>
      <c r="BI183" t="s">
        <v>73</v>
      </c>
      <c r="BJ183" t="s">
        <v>73</v>
      </c>
      <c r="BK183" t="s">
        <v>73</v>
      </c>
      <c r="BL183" t="s">
        <v>73</v>
      </c>
      <c r="BM183" t="s">
        <v>73</v>
      </c>
      <c r="BN183" t="s">
        <v>73</v>
      </c>
      <c r="BO183" t="s">
        <v>73</v>
      </c>
      <c r="BP183" t="s">
        <v>73</v>
      </c>
      <c r="BQ183" t="s">
        <v>73</v>
      </c>
      <c r="BR183" t="s">
        <v>73</v>
      </c>
      <c r="BS183" t="s">
        <v>73</v>
      </c>
      <c r="BT183" t="s">
        <v>73</v>
      </c>
      <c r="BU183" t="s">
        <v>73</v>
      </c>
      <c r="BV183" t="s">
        <v>73</v>
      </c>
      <c r="CC183" t="s">
        <v>73</v>
      </c>
      <c r="CD183" s="205" t="s">
        <v>73</v>
      </c>
    </row>
    <row r="184" spans="59:82" ht="9" customHeight="1">
      <c r="BG184" s="204" t="s">
        <v>73</v>
      </c>
      <c r="BH184" t="s">
        <v>73</v>
      </c>
      <c r="BI184" t="s">
        <v>73</v>
      </c>
      <c r="BJ184" t="s">
        <v>73</v>
      </c>
      <c r="BK184" t="s">
        <v>73</v>
      </c>
      <c r="BL184" t="s">
        <v>1436</v>
      </c>
      <c r="BM184" t="s">
        <v>1436</v>
      </c>
      <c r="BN184" t="s">
        <v>73</v>
      </c>
      <c r="BO184" t="s">
        <v>73</v>
      </c>
      <c r="BP184" t="s">
        <v>73</v>
      </c>
      <c r="BQ184" t="s">
        <v>73</v>
      </c>
      <c r="BR184" t="s">
        <v>73</v>
      </c>
      <c r="BS184" t="s">
        <v>73</v>
      </c>
      <c r="BT184" t="s">
        <v>73</v>
      </c>
      <c r="BU184" t="s">
        <v>73</v>
      </c>
      <c r="BV184" t="s">
        <v>73</v>
      </c>
      <c r="BW184" t="s">
        <v>1320</v>
      </c>
      <c r="BX184" t="s">
        <v>1320</v>
      </c>
      <c r="BY184" t="s">
        <v>1320</v>
      </c>
      <c r="CA184" t="s">
        <v>1320</v>
      </c>
      <c r="CB184" t="s">
        <v>1320</v>
      </c>
      <c r="CC184" t="s">
        <v>73</v>
      </c>
      <c r="CD184" s="205" t="s">
        <v>73</v>
      </c>
    </row>
    <row r="185" spans="59:82" ht="9" customHeight="1">
      <c r="BG185" s="204" t="s">
        <v>73</v>
      </c>
      <c r="BH185" t="s">
        <v>73</v>
      </c>
      <c r="BI185" t="s">
        <v>73</v>
      </c>
      <c r="BJ185" t="s">
        <v>73</v>
      </c>
      <c r="BO185" t="s">
        <v>73</v>
      </c>
      <c r="BP185" t="s">
        <v>73</v>
      </c>
      <c r="BQ185" t="s">
        <v>73</v>
      </c>
      <c r="BR185" t="s">
        <v>73</v>
      </c>
      <c r="BS185" t="s">
        <v>73</v>
      </c>
      <c r="BT185" t="s">
        <v>73</v>
      </c>
      <c r="BU185" t="s">
        <v>73</v>
      </c>
      <c r="BV185" t="s">
        <v>73</v>
      </c>
      <c r="CC185" t="s">
        <v>73</v>
      </c>
      <c r="CD185" s="205" t="s">
        <v>73</v>
      </c>
    </row>
    <row r="186" spans="59:82" ht="9" customHeight="1">
      <c r="BG186" s="204" t="s">
        <v>73</v>
      </c>
      <c r="BH186" t="s">
        <v>73</v>
      </c>
      <c r="BU186" t="s">
        <v>73</v>
      </c>
      <c r="BV186" t="s">
        <v>73</v>
      </c>
      <c r="CC186" t="s">
        <v>73</v>
      </c>
      <c r="CD186" s="205" t="s">
        <v>73</v>
      </c>
    </row>
    <row r="187" spans="59:82" ht="9" customHeight="1">
      <c r="BG187" s="204" t="s">
        <v>73</v>
      </c>
      <c r="BH187" t="s">
        <v>73</v>
      </c>
      <c r="BU187" t="s">
        <v>73</v>
      </c>
      <c r="BV187" t="s">
        <v>73</v>
      </c>
      <c r="CC187" t="s">
        <v>73</v>
      </c>
      <c r="CD187" s="205" t="s">
        <v>73</v>
      </c>
    </row>
    <row r="188" spans="59:82" ht="9" customHeight="1">
      <c r="BG188" s="204" t="s">
        <v>73</v>
      </c>
      <c r="BH188" t="s">
        <v>73</v>
      </c>
      <c r="BI188" t="s">
        <v>1320</v>
      </c>
      <c r="BJ188" t="s">
        <v>1320</v>
      </c>
      <c r="BK188" t="s">
        <v>1320</v>
      </c>
      <c r="BL188" t="s">
        <v>1320</v>
      </c>
      <c r="BM188" t="s">
        <v>1320</v>
      </c>
      <c r="BN188" t="s">
        <v>1320</v>
      </c>
      <c r="BO188" t="s">
        <v>1320</v>
      </c>
      <c r="BP188" t="s">
        <v>1320</v>
      </c>
      <c r="BQ188" t="s">
        <v>1320</v>
      </c>
      <c r="BU188" t="s">
        <v>73</v>
      </c>
      <c r="BV188" t="s">
        <v>73</v>
      </c>
      <c r="CC188" t="s">
        <v>73</v>
      </c>
      <c r="CD188" s="205" t="s">
        <v>73</v>
      </c>
    </row>
    <row r="189" spans="59:82" ht="9" customHeight="1">
      <c r="BG189" s="204" t="s">
        <v>73</v>
      </c>
      <c r="BH189" t="s">
        <v>73</v>
      </c>
      <c r="BM189" t="s">
        <v>1348</v>
      </c>
      <c r="BN189" t="s">
        <v>1348</v>
      </c>
      <c r="BO189" t="s">
        <v>1348</v>
      </c>
      <c r="BP189" t="s">
        <v>1348</v>
      </c>
      <c r="BQ189" t="s">
        <v>1348</v>
      </c>
      <c r="BR189" t="s">
        <v>1348</v>
      </c>
      <c r="BS189" t="s">
        <v>1348</v>
      </c>
      <c r="BU189" t="s">
        <v>73</v>
      </c>
      <c r="BV189" t="s">
        <v>73</v>
      </c>
      <c r="CC189" t="s">
        <v>73</v>
      </c>
      <c r="CD189" s="205" t="s">
        <v>73</v>
      </c>
    </row>
    <row r="190" spans="59:82" ht="9" customHeight="1">
      <c r="BG190" s="204" t="s">
        <v>73</v>
      </c>
      <c r="BH190" t="s">
        <v>73</v>
      </c>
      <c r="BM190" t="s">
        <v>1348</v>
      </c>
      <c r="BN190" t="s">
        <v>1348</v>
      </c>
      <c r="BO190" t="s">
        <v>1348</v>
      </c>
      <c r="BP190" t="s">
        <v>1348</v>
      </c>
      <c r="BQ190" t="s">
        <v>1348</v>
      </c>
      <c r="BR190" t="s">
        <v>1348</v>
      </c>
      <c r="BS190" t="s">
        <v>1348</v>
      </c>
      <c r="BU190" t="s">
        <v>73</v>
      </c>
      <c r="BV190" t="s">
        <v>73</v>
      </c>
      <c r="BW190" t="s">
        <v>1320</v>
      </c>
      <c r="BX190" t="s">
        <v>1320</v>
      </c>
      <c r="BZ190" t="s">
        <v>1320</v>
      </c>
      <c r="CA190" t="s">
        <v>1320</v>
      </c>
      <c r="CB190" t="s">
        <v>1320</v>
      </c>
      <c r="CC190" t="s">
        <v>73</v>
      </c>
      <c r="CD190" s="205" t="s">
        <v>73</v>
      </c>
    </row>
    <row r="191" spans="59:82" ht="9" customHeight="1">
      <c r="BG191" s="204" t="s">
        <v>73</v>
      </c>
      <c r="BH191" t="s">
        <v>73</v>
      </c>
      <c r="BM191" t="s">
        <v>1348</v>
      </c>
      <c r="BN191" t="s">
        <v>1348</v>
      </c>
      <c r="BO191" t="s">
        <v>1348</v>
      </c>
      <c r="BP191" t="s">
        <v>1348</v>
      </c>
      <c r="BQ191" t="s">
        <v>1348</v>
      </c>
      <c r="BR191" t="s">
        <v>1348</v>
      </c>
      <c r="BS191" t="s">
        <v>1348</v>
      </c>
      <c r="BU191" t="s">
        <v>73</v>
      </c>
      <c r="BV191" t="s">
        <v>73</v>
      </c>
      <c r="CC191" t="s">
        <v>73</v>
      </c>
      <c r="CD191" s="205" t="s">
        <v>73</v>
      </c>
    </row>
    <row r="192" spans="59:82" ht="9" customHeight="1">
      <c r="BG192" s="204" t="s">
        <v>73</v>
      </c>
      <c r="BH192" t="s">
        <v>73</v>
      </c>
      <c r="BM192" t="s">
        <v>1348</v>
      </c>
      <c r="BN192" t="s">
        <v>1348</v>
      </c>
      <c r="BO192" t="s">
        <v>1348</v>
      </c>
      <c r="BP192" t="s">
        <v>1348</v>
      </c>
      <c r="BQ192" t="s">
        <v>1348</v>
      </c>
      <c r="BR192" t="s">
        <v>1348</v>
      </c>
      <c r="BS192" t="s">
        <v>1348</v>
      </c>
      <c r="BU192" t="s">
        <v>73</v>
      </c>
      <c r="BV192" t="s">
        <v>73</v>
      </c>
      <c r="CC192" t="s">
        <v>73</v>
      </c>
      <c r="CD192" s="205" t="s">
        <v>73</v>
      </c>
    </row>
    <row r="193" spans="58:82" ht="9" customHeight="1">
      <c r="BF193" t="s">
        <v>1350</v>
      </c>
      <c r="BG193" s="204" t="s">
        <v>73</v>
      </c>
      <c r="BH193" t="s">
        <v>73</v>
      </c>
      <c r="BM193" t="s">
        <v>1348</v>
      </c>
      <c r="BN193" t="s">
        <v>1348</v>
      </c>
      <c r="BO193" t="s">
        <v>1348</v>
      </c>
      <c r="BP193" t="s">
        <v>1348</v>
      </c>
      <c r="BQ193" t="s">
        <v>1348</v>
      </c>
      <c r="BR193" t="s">
        <v>1348</v>
      </c>
      <c r="BS193" t="s">
        <v>1348</v>
      </c>
      <c r="BU193" t="s">
        <v>73</v>
      </c>
      <c r="BV193" t="s">
        <v>73</v>
      </c>
      <c r="CC193" t="s">
        <v>73</v>
      </c>
      <c r="CD193" s="205" t="s">
        <v>73</v>
      </c>
    </row>
    <row r="194" spans="58:82" ht="9" customHeight="1">
      <c r="BG194" s="204" t="s">
        <v>73</v>
      </c>
      <c r="BH194" t="s">
        <v>73</v>
      </c>
      <c r="BU194" t="s">
        <v>73</v>
      </c>
      <c r="BV194" t="s">
        <v>73</v>
      </c>
      <c r="CC194" t="s">
        <v>73</v>
      </c>
      <c r="CD194" s="205" t="s">
        <v>73</v>
      </c>
    </row>
    <row r="195" spans="58:82" ht="9" customHeight="1">
      <c r="BG195" s="204" t="s">
        <v>73</v>
      </c>
      <c r="BH195" t="s">
        <v>73</v>
      </c>
      <c r="CC195" t="s">
        <v>73</v>
      </c>
      <c r="CD195" s="205" t="s">
        <v>73</v>
      </c>
    </row>
    <row r="196" spans="58:82" ht="9" customHeight="1">
      <c r="BG196" s="204" t="s">
        <v>73</v>
      </c>
      <c r="BH196" t="s">
        <v>73</v>
      </c>
      <c r="BM196" t="s">
        <v>73</v>
      </c>
      <c r="BN196" t="s">
        <v>73</v>
      </c>
      <c r="BO196" t="s">
        <v>73</v>
      </c>
      <c r="BP196" t="s">
        <v>73</v>
      </c>
      <c r="BQ196" t="s">
        <v>73</v>
      </c>
      <c r="BR196" t="s">
        <v>73</v>
      </c>
      <c r="BS196" t="s">
        <v>73</v>
      </c>
      <c r="BT196" t="s">
        <v>73</v>
      </c>
      <c r="BU196" t="s">
        <v>73</v>
      </c>
      <c r="BV196" t="s">
        <v>73</v>
      </c>
      <c r="CC196" t="s">
        <v>73</v>
      </c>
      <c r="CD196" s="205" t="s">
        <v>73</v>
      </c>
    </row>
    <row r="197" spans="58:82" ht="9" customHeight="1">
      <c r="BG197" s="204" t="s">
        <v>73</v>
      </c>
      <c r="BH197" t="s">
        <v>73</v>
      </c>
      <c r="BM197" t="s">
        <v>73</v>
      </c>
      <c r="BN197" t="s">
        <v>73</v>
      </c>
      <c r="BO197" t="s">
        <v>73</v>
      </c>
      <c r="BP197" t="s">
        <v>73</v>
      </c>
      <c r="BQ197" t="s">
        <v>73</v>
      </c>
      <c r="BR197" t="s">
        <v>73</v>
      </c>
      <c r="BS197" t="s">
        <v>73</v>
      </c>
      <c r="BT197" t="s">
        <v>73</v>
      </c>
      <c r="BU197" t="s">
        <v>73</v>
      </c>
      <c r="BV197" t="s">
        <v>73</v>
      </c>
      <c r="CC197" t="s">
        <v>73</v>
      </c>
      <c r="CD197" s="205" t="s">
        <v>73</v>
      </c>
    </row>
    <row r="198" spans="58:82" ht="9" customHeight="1">
      <c r="BG198" s="204" t="s">
        <v>73</v>
      </c>
      <c r="BH198" t="s">
        <v>73</v>
      </c>
      <c r="BM198" t="s">
        <v>73</v>
      </c>
      <c r="BN198" t="s">
        <v>73</v>
      </c>
      <c r="BO198" t="s">
        <v>73</v>
      </c>
      <c r="BP198" t="s">
        <v>73</v>
      </c>
      <c r="BQ198" t="s">
        <v>73</v>
      </c>
      <c r="BR198" t="s">
        <v>73</v>
      </c>
      <c r="BS198" t="s">
        <v>73</v>
      </c>
      <c r="BT198" t="s">
        <v>73</v>
      </c>
      <c r="BU198" t="s">
        <v>73</v>
      </c>
      <c r="BV198" t="s">
        <v>73</v>
      </c>
      <c r="CC198" t="s">
        <v>73</v>
      </c>
      <c r="CD198" s="205" t="s">
        <v>73</v>
      </c>
    </row>
    <row r="199" spans="58:82" ht="9" customHeight="1">
      <c r="BG199" s="204" t="s">
        <v>73</v>
      </c>
      <c r="BH199" t="s">
        <v>73</v>
      </c>
      <c r="BM199" t="s">
        <v>73</v>
      </c>
      <c r="BN199" t="s">
        <v>73</v>
      </c>
      <c r="BO199" t="s">
        <v>73</v>
      </c>
      <c r="BP199" t="s">
        <v>73</v>
      </c>
      <c r="BQ199" t="s">
        <v>73</v>
      </c>
      <c r="BR199" t="s">
        <v>73</v>
      </c>
      <c r="BS199" t="s">
        <v>73</v>
      </c>
      <c r="BT199" t="s">
        <v>73</v>
      </c>
      <c r="BU199" t="s">
        <v>73</v>
      </c>
      <c r="BV199" t="s">
        <v>73</v>
      </c>
      <c r="CC199" t="s">
        <v>73</v>
      </c>
      <c r="CD199" s="205" t="s">
        <v>73</v>
      </c>
    </row>
    <row r="200" spans="58:82" ht="9" customHeight="1">
      <c r="BG200" s="204" t="s">
        <v>73</v>
      </c>
      <c r="BH200" t="s">
        <v>73</v>
      </c>
      <c r="BU200" t="s">
        <v>73</v>
      </c>
      <c r="BV200" t="s">
        <v>73</v>
      </c>
      <c r="CC200" t="s">
        <v>73</v>
      </c>
      <c r="CD200" s="205" t="s">
        <v>73</v>
      </c>
    </row>
    <row r="201" spans="58:82" ht="9" customHeight="1">
      <c r="BG201" s="204" t="s">
        <v>73</v>
      </c>
      <c r="BH201" t="s">
        <v>73</v>
      </c>
      <c r="BU201" t="s">
        <v>73</v>
      </c>
      <c r="BV201" t="s">
        <v>73</v>
      </c>
      <c r="CC201" t="s">
        <v>73</v>
      </c>
      <c r="CD201" s="205" t="s">
        <v>73</v>
      </c>
    </row>
    <row r="202" spans="58:82" ht="9" customHeight="1">
      <c r="BG202" s="204" t="s">
        <v>73</v>
      </c>
      <c r="BH202" t="s">
        <v>73</v>
      </c>
      <c r="CC202" t="s">
        <v>73</v>
      </c>
      <c r="CD202" s="205" t="s">
        <v>73</v>
      </c>
    </row>
    <row r="203" spans="58:82" ht="9" customHeight="1">
      <c r="BG203" s="204" t="s">
        <v>73</v>
      </c>
      <c r="BH203" t="s">
        <v>73</v>
      </c>
      <c r="BI203" t="s">
        <v>1320</v>
      </c>
      <c r="BJ203" t="s">
        <v>1320</v>
      </c>
      <c r="BK203" t="s">
        <v>1320</v>
      </c>
      <c r="BL203" t="s">
        <v>1320</v>
      </c>
      <c r="BM203" t="s">
        <v>1320</v>
      </c>
      <c r="BN203" t="s">
        <v>1320</v>
      </c>
      <c r="BO203" t="s">
        <v>1320</v>
      </c>
      <c r="BR203" t="s">
        <v>1320</v>
      </c>
      <c r="BS203" t="s">
        <v>1320</v>
      </c>
      <c r="BT203" t="s">
        <v>1320</v>
      </c>
      <c r="BU203" t="s">
        <v>73</v>
      </c>
      <c r="BV203" t="s">
        <v>73</v>
      </c>
      <c r="BW203" t="s">
        <v>1320</v>
      </c>
      <c r="BX203" t="s">
        <v>1320</v>
      </c>
      <c r="BZ203" t="s">
        <v>1320</v>
      </c>
      <c r="CA203" t="s">
        <v>1320</v>
      </c>
      <c r="CB203" t="s">
        <v>1320</v>
      </c>
      <c r="CC203" t="s">
        <v>73</v>
      </c>
      <c r="CD203" s="205" t="s">
        <v>73</v>
      </c>
    </row>
    <row r="204" spans="58:82" ht="9" customHeight="1">
      <c r="BG204" s="204" t="s">
        <v>73</v>
      </c>
      <c r="BH204" t="s">
        <v>73</v>
      </c>
      <c r="BI204" t="s">
        <v>73</v>
      </c>
      <c r="BJ204" t="s">
        <v>73</v>
      </c>
      <c r="BU204" t="s">
        <v>73</v>
      </c>
      <c r="BV204" t="s">
        <v>73</v>
      </c>
      <c r="CC204" t="s">
        <v>73</v>
      </c>
      <c r="CD204" s="205" t="s">
        <v>73</v>
      </c>
    </row>
    <row r="205" spans="58:82" ht="9" customHeight="1">
      <c r="BG205" s="204" t="s">
        <v>73</v>
      </c>
      <c r="BH205" t="s">
        <v>73</v>
      </c>
      <c r="BI205" t="s">
        <v>73</v>
      </c>
      <c r="BJ205" t="s">
        <v>73</v>
      </c>
      <c r="BU205" t="s">
        <v>73</v>
      </c>
      <c r="BV205" t="s">
        <v>73</v>
      </c>
      <c r="CC205" t="s">
        <v>73</v>
      </c>
      <c r="CD205" s="205" t="s">
        <v>73</v>
      </c>
    </row>
    <row r="206" spans="58:82" ht="9" customHeight="1">
      <c r="BG206" s="204" t="s">
        <v>73</v>
      </c>
      <c r="BH206" t="s">
        <v>73</v>
      </c>
      <c r="BI206" t="s">
        <v>73</v>
      </c>
      <c r="BJ206" t="s">
        <v>73</v>
      </c>
      <c r="BN206" t="s">
        <v>73</v>
      </c>
      <c r="BU206" t="s">
        <v>73</v>
      </c>
      <c r="BV206" t="s">
        <v>73</v>
      </c>
      <c r="CC206" t="s">
        <v>73</v>
      </c>
      <c r="CD206" s="205" t="s">
        <v>73</v>
      </c>
    </row>
    <row r="207" spans="58:82" ht="9" customHeight="1">
      <c r="BG207" s="204" t="s">
        <v>73</v>
      </c>
      <c r="BH207" t="s">
        <v>73</v>
      </c>
      <c r="BI207" t="s">
        <v>73</v>
      </c>
      <c r="BJ207" t="s">
        <v>73</v>
      </c>
      <c r="BU207" t="s">
        <v>73</v>
      </c>
      <c r="BV207" t="s">
        <v>73</v>
      </c>
      <c r="CC207" t="s">
        <v>73</v>
      </c>
      <c r="CD207" s="205" t="s">
        <v>73</v>
      </c>
    </row>
    <row r="208" spans="58:82" ht="9" customHeight="1">
      <c r="BG208" s="204" t="s">
        <v>73</v>
      </c>
      <c r="BH208" t="s">
        <v>73</v>
      </c>
      <c r="BI208" t="s">
        <v>73</v>
      </c>
      <c r="BJ208" t="s">
        <v>73</v>
      </c>
      <c r="BU208" t="s">
        <v>73</v>
      </c>
      <c r="BV208" t="s">
        <v>73</v>
      </c>
      <c r="CC208" t="s">
        <v>73</v>
      </c>
      <c r="CD208" s="205" t="s">
        <v>73</v>
      </c>
    </row>
    <row r="209" spans="47:94" ht="9" customHeight="1">
      <c r="BG209" s="204" t="s">
        <v>73</v>
      </c>
      <c r="BH209" t="s">
        <v>73</v>
      </c>
      <c r="BI209" t="s">
        <v>73</v>
      </c>
      <c r="BJ209" t="s">
        <v>73</v>
      </c>
      <c r="BU209" t="s">
        <v>73</v>
      </c>
      <c r="BV209" t="s">
        <v>73</v>
      </c>
      <c r="CC209" t="s">
        <v>73</v>
      </c>
      <c r="CD209" s="205" t="s">
        <v>73</v>
      </c>
    </row>
    <row r="210" spans="47:94" ht="9" customHeight="1">
      <c r="BG210" s="204" t="s">
        <v>73</v>
      </c>
      <c r="BH210" t="s">
        <v>73</v>
      </c>
      <c r="BI210" t="s">
        <v>73</v>
      </c>
      <c r="BJ210" t="s">
        <v>73</v>
      </c>
      <c r="BK210" t="s">
        <v>73</v>
      </c>
      <c r="BL210" t="s">
        <v>73</v>
      </c>
      <c r="BU210" t="s">
        <v>73</v>
      </c>
      <c r="BV210" t="s">
        <v>73</v>
      </c>
      <c r="BW210" t="s">
        <v>73</v>
      </c>
      <c r="BX210" t="s">
        <v>73</v>
      </c>
      <c r="BY210" t="s">
        <v>73</v>
      </c>
      <c r="BZ210" t="s">
        <v>73</v>
      </c>
      <c r="CA210" t="s">
        <v>73</v>
      </c>
      <c r="CB210" t="s">
        <v>73</v>
      </c>
      <c r="CC210" t="s">
        <v>73</v>
      </c>
      <c r="CD210" s="205" t="s">
        <v>73</v>
      </c>
    </row>
    <row r="211" spans="47:94" ht="9" customHeight="1">
      <c r="BG211" s="204" t="s">
        <v>73</v>
      </c>
      <c r="BH211" t="s">
        <v>73</v>
      </c>
      <c r="BI211" t="s">
        <v>73</v>
      </c>
      <c r="BJ211" t="s">
        <v>73</v>
      </c>
      <c r="BK211" t="s">
        <v>73</v>
      </c>
      <c r="BL211" t="s">
        <v>73</v>
      </c>
      <c r="BM211" t="s">
        <v>73</v>
      </c>
      <c r="BS211" t="s">
        <v>73</v>
      </c>
      <c r="BT211" t="s">
        <v>73</v>
      </c>
      <c r="BU211" t="s">
        <v>73</v>
      </c>
      <c r="BV211" t="s">
        <v>73</v>
      </c>
      <c r="BW211" t="s">
        <v>73</v>
      </c>
      <c r="BX211" t="s">
        <v>73</v>
      </c>
      <c r="BY211" t="s">
        <v>73</v>
      </c>
      <c r="BZ211" t="s">
        <v>73</v>
      </c>
      <c r="CA211" t="s">
        <v>73</v>
      </c>
      <c r="CB211" t="s">
        <v>73</v>
      </c>
      <c r="CC211" t="s">
        <v>73</v>
      </c>
      <c r="CD211" s="205" t="s">
        <v>73</v>
      </c>
    </row>
    <row r="212" spans="47:94" ht="9" customHeight="1" thickBot="1">
      <c r="BG212" s="206" t="s">
        <v>73</v>
      </c>
      <c r="BH212" s="216" t="s">
        <v>73</v>
      </c>
      <c r="BI212" s="216" t="s">
        <v>73</v>
      </c>
      <c r="BJ212" s="216" t="s">
        <v>73</v>
      </c>
      <c r="BK212" s="216" t="s">
        <v>73</v>
      </c>
      <c r="BL212" s="216" t="s">
        <v>73</v>
      </c>
      <c r="BM212" s="216" t="s">
        <v>73</v>
      </c>
      <c r="BN212" s="216"/>
      <c r="BO212" s="216"/>
      <c r="BP212" s="216"/>
      <c r="BQ212" s="216"/>
      <c r="BR212" s="216"/>
      <c r="BS212" s="216" t="s">
        <v>73</v>
      </c>
      <c r="BT212" s="216" t="s">
        <v>73</v>
      </c>
      <c r="BU212" s="216" t="s">
        <v>73</v>
      </c>
      <c r="BV212" s="216" t="s">
        <v>73</v>
      </c>
      <c r="BW212" s="216" t="s">
        <v>73</v>
      </c>
      <c r="BX212" s="216" t="s">
        <v>73</v>
      </c>
      <c r="BY212" s="216" t="s">
        <v>73</v>
      </c>
      <c r="BZ212" s="216" t="s">
        <v>73</v>
      </c>
      <c r="CA212" s="216" t="s">
        <v>73</v>
      </c>
      <c r="CB212" s="216" t="s">
        <v>73</v>
      </c>
      <c r="CC212" s="216" t="s">
        <v>73</v>
      </c>
      <c r="CD212" s="159" t="s">
        <v>73</v>
      </c>
    </row>
    <row r="213" spans="47:94" ht="9" customHeight="1">
      <c r="AU213" s="223" t="s">
        <v>73</v>
      </c>
      <c r="AV213" s="217" t="s">
        <v>73</v>
      </c>
      <c r="AW213" s="217" t="s">
        <v>73</v>
      </c>
      <c r="AX213" s="217" t="s">
        <v>73</v>
      </c>
      <c r="AY213" s="217" t="s">
        <v>73</v>
      </c>
      <c r="AZ213" s="217" t="s">
        <v>73</v>
      </c>
      <c r="BA213" s="217" t="s">
        <v>73</v>
      </c>
      <c r="BB213" s="217" t="s">
        <v>73</v>
      </c>
      <c r="BC213" s="217" t="s">
        <v>73</v>
      </c>
      <c r="BD213" s="217" t="s">
        <v>73</v>
      </c>
      <c r="BE213" s="217" t="s">
        <v>73</v>
      </c>
      <c r="BF213" s="217" t="s">
        <v>73</v>
      </c>
      <c r="BG213" s="217" t="s">
        <v>73</v>
      </c>
      <c r="BH213" s="217" t="s">
        <v>73</v>
      </c>
      <c r="BI213" s="217" t="s">
        <v>73</v>
      </c>
      <c r="BJ213" s="217" t="s">
        <v>73</v>
      </c>
      <c r="BK213" s="217" t="s">
        <v>73</v>
      </c>
      <c r="BL213" s="217" t="s">
        <v>73</v>
      </c>
      <c r="BM213" s="217" t="s">
        <v>73</v>
      </c>
      <c r="BN213" s="217"/>
      <c r="BO213" s="217"/>
      <c r="BP213" s="217"/>
      <c r="BQ213" s="217"/>
      <c r="BR213" s="217"/>
      <c r="BS213" s="217" t="s">
        <v>73</v>
      </c>
      <c r="BT213" s="217" t="s">
        <v>73</v>
      </c>
      <c r="BU213" s="217" t="s">
        <v>73</v>
      </c>
      <c r="BV213" s="217" t="s">
        <v>73</v>
      </c>
      <c r="BW213" s="217" t="s">
        <v>73</v>
      </c>
      <c r="BX213" s="217" t="s">
        <v>73</v>
      </c>
      <c r="BY213" s="217" t="s">
        <v>73</v>
      </c>
      <c r="BZ213" s="217" t="s">
        <v>73</v>
      </c>
      <c r="CA213" s="217" t="s">
        <v>73</v>
      </c>
      <c r="CB213" s="217" t="s">
        <v>73</v>
      </c>
      <c r="CC213" s="217" t="s">
        <v>73</v>
      </c>
      <c r="CD213" s="217" t="s">
        <v>73</v>
      </c>
      <c r="CE213" s="217" t="s">
        <v>73</v>
      </c>
      <c r="CF213" s="217" t="s">
        <v>73</v>
      </c>
      <c r="CG213" s="217" t="s">
        <v>73</v>
      </c>
      <c r="CH213" s="217" t="s">
        <v>73</v>
      </c>
      <c r="CI213" s="217" t="s">
        <v>73</v>
      </c>
      <c r="CJ213" s="217" t="s">
        <v>73</v>
      </c>
      <c r="CK213" s="217" t="s">
        <v>73</v>
      </c>
      <c r="CL213" s="217" t="s">
        <v>73</v>
      </c>
      <c r="CM213" s="217" t="s">
        <v>73</v>
      </c>
      <c r="CN213" s="217" t="s">
        <v>73</v>
      </c>
      <c r="CO213" s="217" t="s">
        <v>73</v>
      </c>
      <c r="CP213" s="218" t="s">
        <v>73</v>
      </c>
    </row>
    <row r="214" spans="47:94" ht="9" customHeight="1">
      <c r="AU214" s="224" t="s">
        <v>73</v>
      </c>
      <c r="AV214" s="219" t="s">
        <v>73</v>
      </c>
      <c r="AW214" s="219" t="s">
        <v>73</v>
      </c>
      <c r="AX214" s="219" t="s">
        <v>73</v>
      </c>
      <c r="AY214" s="219" t="s">
        <v>73</v>
      </c>
      <c r="AZ214" s="219" t="s">
        <v>73</v>
      </c>
      <c r="BA214" s="219" t="s">
        <v>73</v>
      </c>
      <c r="BB214" s="219" t="s">
        <v>73</v>
      </c>
      <c r="BC214" s="219" t="s">
        <v>73</v>
      </c>
      <c r="BD214" s="219" t="s">
        <v>73</v>
      </c>
      <c r="BE214" s="219" t="s">
        <v>73</v>
      </c>
      <c r="BF214" s="219" t="s">
        <v>73</v>
      </c>
      <c r="BG214" s="219" t="s">
        <v>73</v>
      </c>
      <c r="BH214" s="219" t="s">
        <v>73</v>
      </c>
      <c r="BI214" s="219" t="s">
        <v>73</v>
      </c>
      <c r="BJ214" s="219" t="s">
        <v>73</v>
      </c>
      <c r="BK214" s="219" t="s">
        <v>73</v>
      </c>
      <c r="BL214" s="219" t="s">
        <v>73</v>
      </c>
      <c r="BM214" s="219" t="s">
        <v>73</v>
      </c>
      <c r="BN214" s="219"/>
      <c r="BO214" s="219"/>
      <c r="BP214" s="219"/>
      <c r="BQ214" s="219"/>
      <c r="BR214" s="219" t="s">
        <v>73</v>
      </c>
      <c r="BS214" s="219" t="s">
        <v>73</v>
      </c>
      <c r="BT214" s="219" t="s">
        <v>73</v>
      </c>
      <c r="BU214" s="219" t="s">
        <v>73</v>
      </c>
      <c r="BV214" s="219" t="s">
        <v>73</v>
      </c>
      <c r="BW214" s="219" t="s">
        <v>73</v>
      </c>
      <c r="BX214" s="219" t="s">
        <v>73</v>
      </c>
      <c r="BY214" s="219" t="s">
        <v>73</v>
      </c>
      <c r="BZ214" s="219" t="s">
        <v>73</v>
      </c>
      <c r="CA214" s="219" t="s">
        <v>73</v>
      </c>
      <c r="CB214" s="219" t="s">
        <v>73</v>
      </c>
      <c r="CC214" s="219" t="s">
        <v>73</v>
      </c>
      <c r="CD214" s="219" t="s">
        <v>73</v>
      </c>
      <c r="CE214" s="219" t="s">
        <v>73</v>
      </c>
      <c r="CF214" s="219" t="s">
        <v>73</v>
      </c>
      <c r="CG214" s="219" t="s">
        <v>73</v>
      </c>
      <c r="CH214" s="219" t="s">
        <v>73</v>
      </c>
      <c r="CI214" s="219" t="s">
        <v>73</v>
      </c>
      <c r="CJ214" s="219" t="s">
        <v>73</v>
      </c>
      <c r="CK214" s="219" t="s">
        <v>73</v>
      </c>
      <c r="CL214" s="219" t="s">
        <v>73</v>
      </c>
      <c r="CM214" s="219" t="s">
        <v>73</v>
      </c>
      <c r="CN214" s="219" t="s">
        <v>73</v>
      </c>
      <c r="CO214" s="219" t="s">
        <v>73</v>
      </c>
      <c r="CP214" s="220" t="s">
        <v>73</v>
      </c>
    </row>
    <row r="215" spans="47:94" ht="9" customHeight="1">
      <c r="AU215" s="224" t="s">
        <v>73</v>
      </c>
      <c r="AV215" s="219" t="s">
        <v>73</v>
      </c>
      <c r="AW215" s="219" t="s">
        <v>73</v>
      </c>
      <c r="AX215" s="219" t="s">
        <v>73</v>
      </c>
      <c r="AY215" s="219" t="s">
        <v>73</v>
      </c>
      <c r="AZ215" s="219" t="s">
        <v>73</v>
      </c>
      <c r="BA215" s="219" t="s">
        <v>73</v>
      </c>
      <c r="BB215" s="219" t="s">
        <v>73</v>
      </c>
      <c r="BC215" s="219" t="s">
        <v>73</v>
      </c>
      <c r="BD215" s="219" t="s">
        <v>73</v>
      </c>
      <c r="BE215" s="219" t="s">
        <v>73</v>
      </c>
      <c r="BF215" s="219" t="s">
        <v>73</v>
      </c>
      <c r="BG215" s="219" t="s">
        <v>73</v>
      </c>
      <c r="BH215" s="219" t="s">
        <v>73</v>
      </c>
      <c r="BI215" s="219" t="s">
        <v>73</v>
      </c>
      <c r="BJ215" s="219" t="s">
        <v>73</v>
      </c>
      <c r="BK215" s="219" t="s">
        <v>73</v>
      </c>
      <c r="BL215" s="219" t="s">
        <v>73</v>
      </c>
      <c r="BM215" s="219" t="s">
        <v>73</v>
      </c>
      <c r="BN215" s="219"/>
      <c r="BO215" s="219"/>
      <c r="BP215" s="219"/>
      <c r="BQ215" s="219"/>
      <c r="BR215" s="219"/>
      <c r="BS215" s="219" t="s">
        <v>73</v>
      </c>
      <c r="BT215" s="219" t="s">
        <v>73</v>
      </c>
      <c r="BU215" s="219" t="s">
        <v>73</v>
      </c>
      <c r="BV215" s="219" t="s">
        <v>73</v>
      </c>
      <c r="BW215" s="219" t="s">
        <v>73</v>
      </c>
      <c r="BX215" s="219" t="s">
        <v>73</v>
      </c>
      <c r="BY215" s="219" t="s">
        <v>73</v>
      </c>
      <c r="BZ215" s="219" t="s">
        <v>73</v>
      </c>
      <c r="CA215" s="219" t="s">
        <v>73</v>
      </c>
      <c r="CB215" s="219" t="s">
        <v>73</v>
      </c>
      <c r="CC215" s="219" t="s">
        <v>73</v>
      </c>
      <c r="CD215" s="219" t="s">
        <v>73</v>
      </c>
      <c r="CE215" s="219" t="s">
        <v>73</v>
      </c>
      <c r="CF215" s="219" t="s">
        <v>73</v>
      </c>
      <c r="CG215" s="219" t="s">
        <v>73</v>
      </c>
      <c r="CH215" s="219" t="s">
        <v>73</v>
      </c>
      <c r="CI215" s="219" t="s">
        <v>73</v>
      </c>
      <c r="CJ215" s="219" t="s">
        <v>73</v>
      </c>
      <c r="CK215" s="219" t="s">
        <v>73</v>
      </c>
      <c r="CL215" s="219" t="s">
        <v>73</v>
      </c>
      <c r="CM215" s="219" t="s">
        <v>73</v>
      </c>
      <c r="CN215" s="219" t="s">
        <v>73</v>
      </c>
      <c r="CO215" s="219" t="s">
        <v>73</v>
      </c>
      <c r="CP215" s="220" t="s">
        <v>73</v>
      </c>
    </row>
    <row r="216" spans="47:94" ht="9" customHeight="1">
      <c r="AU216" s="224" t="s">
        <v>73</v>
      </c>
      <c r="AV216" s="219" t="s">
        <v>73</v>
      </c>
      <c r="AW216" s="219" t="s">
        <v>73</v>
      </c>
      <c r="AX216" s="219" t="s">
        <v>73</v>
      </c>
      <c r="AY216" s="219" t="s">
        <v>73</v>
      </c>
      <c r="AZ216" s="219" t="s">
        <v>73</v>
      </c>
      <c r="BA216" s="219" t="s">
        <v>73</v>
      </c>
      <c r="BB216" s="219" t="s">
        <v>73</v>
      </c>
      <c r="BC216" s="219" t="s">
        <v>73</v>
      </c>
      <c r="BD216" s="219" t="s">
        <v>73</v>
      </c>
      <c r="BE216" s="219" t="s">
        <v>73</v>
      </c>
      <c r="BF216" s="219" t="s">
        <v>73</v>
      </c>
      <c r="BG216" s="219" t="s">
        <v>73</v>
      </c>
      <c r="BH216" s="219" t="s">
        <v>73</v>
      </c>
      <c r="BI216" s="219" t="s">
        <v>73</v>
      </c>
      <c r="BJ216" s="219" t="s">
        <v>73</v>
      </c>
      <c r="BK216" s="219" t="s">
        <v>73</v>
      </c>
      <c r="BL216" s="219" t="s">
        <v>73</v>
      </c>
      <c r="BM216" s="219" t="s">
        <v>73</v>
      </c>
      <c r="BN216" s="219"/>
      <c r="BO216" s="219"/>
      <c r="BP216" s="219"/>
      <c r="BQ216" s="219"/>
      <c r="BR216" s="219"/>
      <c r="BS216" s="219" t="s">
        <v>73</v>
      </c>
      <c r="BT216" s="219" t="s">
        <v>73</v>
      </c>
      <c r="BU216" s="219" t="s">
        <v>73</v>
      </c>
      <c r="BV216" s="219" t="s">
        <v>73</v>
      </c>
      <c r="BW216" s="219" t="s">
        <v>73</v>
      </c>
      <c r="BX216" s="219" t="s">
        <v>73</v>
      </c>
      <c r="BY216" s="219" t="s">
        <v>73</v>
      </c>
      <c r="BZ216" s="219" t="s">
        <v>73</v>
      </c>
      <c r="CA216" s="219" t="s">
        <v>73</v>
      </c>
      <c r="CB216" s="219" t="s">
        <v>73</v>
      </c>
      <c r="CC216" s="219" t="s">
        <v>73</v>
      </c>
      <c r="CD216" s="219" t="s">
        <v>73</v>
      </c>
      <c r="CE216" s="219" t="s">
        <v>73</v>
      </c>
      <c r="CF216" s="219" t="s">
        <v>73</v>
      </c>
      <c r="CG216" s="219" t="s">
        <v>73</v>
      </c>
      <c r="CH216" s="219" t="s">
        <v>73</v>
      </c>
      <c r="CI216" s="219" t="s">
        <v>73</v>
      </c>
      <c r="CJ216" s="219" t="s">
        <v>73</v>
      </c>
      <c r="CK216" s="219" t="s">
        <v>73</v>
      </c>
      <c r="CL216" s="219" t="s">
        <v>73</v>
      </c>
      <c r="CM216" s="219" t="s">
        <v>73</v>
      </c>
      <c r="CN216" s="219" t="s">
        <v>73</v>
      </c>
      <c r="CO216" s="219" t="s">
        <v>73</v>
      </c>
      <c r="CP216" s="220" t="s">
        <v>73</v>
      </c>
    </row>
    <row r="217" spans="47:94" ht="9" customHeight="1">
      <c r="AU217" s="224" t="s">
        <v>73</v>
      </c>
      <c r="AV217" s="219" t="s">
        <v>73</v>
      </c>
      <c r="AW217" s="219" t="s">
        <v>73</v>
      </c>
      <c r="AX217" s="219" t="s">
        <v>73</v>
      </c>
      <c r="AY217" s="219" t="s">
        <v>73</v>
      </c>
      <c r="AZ217" s="219" t="s">
        <v>73</v>
      </c>
      <c r="BA217" s="219" t="s">
        <v>73</v>
      </c>
      <c r="BB217" s="219" t="s">
        <v>73</v>
      </c>
      <c r="BC217" s="219" t="s">
        <v>73</v>
      </c>
      <c r="BD217" s="219" t="s">
        <v>73</v>
      </c>
      <c r="BE217" s="219" t="s">
        <v>73</v>
      </c>
      <c r="BF217" s="219" t="s">
        <v>73</v>
      </c>
      <c r="BG217" s="219" t="s">
        <v>73</v>
      </c>
      <c r="BH217" s="219" t="s">
        <v>73</v>
      </c>
      <c r="BI217" s="219" t="s">
        <v>73</v>
      </c>
      <c r="BJ217" s="219" t="s">
        <v>73</v>
      </c>
      <c r="BK217" s="219" t="s">
        <v>73</v>
      </c>
      <c r="BL217" s="219" t="s">
        <v>73</v>
      </c>
      <c r="BM217" s="219" t="s">
        <v>73</v>
      </c>
      <c r="BN217" s="219"/>
      <c r="BO217" s="219"/>
      <c r="BP217" s="219"/>
      <c r="BQ217" s="219"/>
      <c r="BR217" s="219"/>
      <c r="BS217" s="219" t="s">
        <v>73</v>
      </c>
      <c r="BT217" s="219" t="s">
        <v>73</v>
      </c>
      <c r="BU217" s="219" t="s">
        <v>73</v>
      </c>
      <c r="BV217" s="219" t="s">
        <v>73</v>
      </c>
      <c r="BW217" s="219"/>
      <c r="BX217" s="219"/>
      <c r="BY217" s="219"/>
      <c r="BZ217" s="219"/>
      <c r="CA217" s="219"/>
      <c r="CB217" s="219"/>
      <c r="CC217" s="219"/>
      <c r="CD217" s="219"/>
      <c r="CE217" s="219"/>
      <c r="CF217" s="219"/>
      <c r="CG217" s="219"/>
      <c r="CH217" s="219"/>
      <c r="CI217" s="219"/>
      <c r="CJ217" s="219"/>
      <c r="CK217" s="219" t="s">
        <v>73</v>
      </c>
      <c r="CL217" s="219" t="s">
        <v>73</v>
      </c>
      <c r="CM217" s="219" t="s">
        <v>73</v>
      </c>
      <c r="CN217" s="219" t="s">
        <v>73</v>
      </c>
      <c r="CO217" s="219" t="s">
        <v>73</v>
      </c>
      <c r="CP217" s="220" t="s">
        <v>73</v>
      </c>
    </row>
    <row r="218" spans="47:94" ht="9" customHeight="1">
      <c r="AU218" s="224" t="s">
        <v>73</v>
      </c>
      <c r="AV218" s="219" t="s">
        <v>73</v>
      </c>
      <c r="AW218" s="219" t="s">
        <v>73</v>
      </c>
      <c r="AX218" s="219" t="s">
        <v>73</v>
      </c>
      <c r="AY218" s="219" t="s">
        <v>73</v>
      </c>
      <c r="AZ218" s="219" t="s">
        <v>73</v>
      </c>
      <c r="BA218" s="219" t="s">
        <v>73</v>
      </c>
      <c r="BB218" s="219" t="s">
        <v>73</v>
      </c>
      <c r="BC218" s="219"/>
      <c r="BD218" s="219"/>
      <c r="BE218" s="219" t="s">
        <v>73</v>
      </c>
      <c r="BF218" s="219" t="s">
        <v>73</v>
      </c>
      <c r="BG218" s="219" t="s">
        <v>73</v>
      </c>
      <c r="BH218" s="219" t="s">
        <v>73</v>
      </c>
      <c r="BI218" s="219" t="s">
        <v>73</v>
      </c>
      <c r="BJ218" s="219" t="s">
        <v>73</v>
      </c>
      <c r="BK218" s="219" t="s">
        <v>73</v>
      </c>
      <c r="BL218" s="219" t="s">
        <v>73</v>
      </c>
      <c r="BM218" s="219"/>
      <c r="BN218" s="219"/>
      <c r="BO218" s="219"/>
      <c r="BP218" s="219"/>
      <c r="BQ218" s="219"/>
      <c r="BR218" s="219"/>
      <c r="BS218" s="219"/>
      <c r="BT218" s="219"/>
      <c r="BU218" s="219"/>
      <c r="BV218" s="219"/>
      <c r="BW218" s="219"/>
      <c r="BX218" s="219"/>
      <c r="BY218" s="219"/>
      <c r="BZ218" s="219"/>
      <c r="CA218" s="219"/>
      <c r="CB218" s="219"/>
      <c r="CC218" s="219"/>
      <c r="CD218" s="219"/>
      <c r="CE218" s="219"/>
      <c r="CF218" s="219"/>
      <c r="CG218" s="219"/>
      <c r="CH218" s="219"/>
      <c r="CI218" s="219"/>
      <c r="CJ218" s="219"/>
      <c r="CK218" s="219" t="s">
        <v>73</v>
      </c>
      <c r="CL218" s="219" t="s">
        <v>73</v>
      </c>
      <c r="CM218" s="219" t="s">
        <v>73</v>
      </c>
      <c r="CN218" s="219" t="s">
        <v>73</v>
      </c>
      <c r="CO218" s="219" t="s">
        <v>73</v>
      </c>
      <c r="CP218" s="220" t="s">
        <v>73</v>
      </c>
    </row>
    <row r="219" spans="47:94" ht="9" customHeight="1">
      <c r="AU219" s="224" t="s">
        <v>73</v>
      </c>
      <c r="AV219" s="219" t="s">
        <v>73</v>
      </c>
      <c r="AW219" s="219" t="s">
        <v>73</v>
      </c>
      <c r="AX219" s="219" t="s">
        <v>73</v>
      </c>
      <c r="AY219" s="219" t="s">
        <v>73</v>
      </c>
      <c r="AZ219" s="219" t="s">
        <v>73</v>
      </c>
      <c r="BA219" s="219" t="s">
        <v>73</v>
      </c>
      <c r="BB219" s="219" t="s">
        <v>73</v>
      </c>
      <c r="BC219" s="219"/>
      <c r="BD219" s="219" t="s">
        <v>73</v>
      </c>
      <c r="BE219" s="219" t="s">
        <v>73</v>
      </c>
      <c r="BF219" s="219" t="s">
        <v>73</v>
      </c>
      <c r="BG219" s="219" t="s">
        <v>73</v>
      </c>
      <c r="BH219" s="219" t="s">
        <v>73</v>
      </c>
      <c r="BI219" s="219" t="s">
        <v>73</v>
      </c>
      <c r="BJ219" s="219" t="s">
        <v>73</v>
      </c>
      <c r="BK219" s="219" t="s">
        <v>73</v>
      </c>
      <c r="BL219" s="219" t="s">
        <v>73</v>
      </c>
      <c r="BM219" s="219" t="s">
        <v>73</v>
      </c>
      <c r="BN219" s="219"/>
      <c r="BO219" s="219"/>
      <c r="BP219" s="219"/>
      <c r="BQ219" s="219"/>
      <c r="BR219" s="219"/>
      <c r="BS219" s="219"/>
      <c r="BT219" s="219"/>
      <c r="BU219" s="219"/>
      <c r="BV219" s="219"/>
      <c r="BW219" s="219"/>
      <c r="BX219" s="219"/>
      <c r="BY219" s="219"/>
      <c r="BZ219" s="219"/>
      <c r="CA219" s="219"/>
      <c r="CB219" s="219" t="s">
        <v>73</v>
      </c>
      <c r="CC219" s="219" t="s">
        <v>73</v>
      </c>
      <c r="CD219" s="219" t="s">
        <v>73</v>
      </c>
      <c r="CE219" s="219" t="s">
        <v>73</v>
      </c>
      <c r="CF219" s="219" t="s">
        <v>73</v>
      </c>
      <c r="CG219" s="219" t="s">
        <v>73</v>
      </c>
      <c r="CH219" s="219"/>
      <c r="CI219" s="219"/>
      <c r="CJ219" s="219"/>
      <c r="CK219" s="219" t="s">
        <v>73</v>
      </c>
      <c r="CL219" s="219" t="s">
        <v>73</v>
      </c>
      <c r="CM219" s="219" t="s">
        <v>73</v>
      </c>
      <c r="CN219" s="219" t="s">
        <v>73</v>
      </c>
      <c r="CO219" s="219" t="s">
        <v>73</v>
      </c>
      <c r="CP219" s="220" t="s">
        <v>73</v>
      </c>
    </row>
    <row r="220" spans="47:94" ht="9" customHeight="1">
      <c r="AU220" s="224" t="s">
        <v>73</v>
      </c>
      <c r="AV220" s="219" t="s">
        <v>73</v>
      </c>
      <c r="AW220" s="219" t="s">
        <v>73</v>
      </c>
      <c r="AX220" s="219" t="s">
        <v>73</v>
      </c>
      <c r="AY220" s="219" t="s">
        <v>73</v>
      </c>
      <c r="AZ220" s="219" t="s">
        <v>73</v>
      </c>
      <c r="BA220" s="219" t="s">
        <v>73</v>
      </c>
      <c r="BB220" s="219" t="s">
        <v>73</v>
      </c>
      <c r="BC220" s="219"/>
      <c r="BD220" s="219" t="s">
        <v>73</v>
      </c>
      <c r="BE220" s="219" t="s">
        <v>73</v>
      </c>
      <c r="BF220" s="219" t="s">
        <v>73</v>
      </c>
      <c r="BG220" s="219" t="s">
        <v>73</v>
      </c>
      <c r="BH220" s="219" t="s">
        <v>73</v>
      </c>
      <c r="BI220" s="219" t="s">
        <v>73</v>
      </c>
      <c r="BJ220" s="219" t="s">
        <v>73</v>
      </c>
      <c r="BK220" s="219" t="s">
        <v>73</v>
      </c>
      <c r="BL220" s="219" t="s">
        <v>73</v>
      </c>
      <c r="BM220" s="219" t="s">
        <v>73</v>
      </c>
      <c r="BN220" s="219" t="s">
        <v>73</v>
      </c>
      <c r="BO220" s="219"/>
      <c r="BP220" s="219"/>
      <c r="BQ220" s="219"/>
      <c r="BR220" s="219"/>
      <c r="BS220" s="219"/>
      <c r="BT220" s="219"/>
      <c r="BU220" s="219"/>
      <c r="BV220" s="219"/>
      <c r="BW220" s="219"/>
      <c r="BX220" s="219"/>
      <c r="BY220" s="219"/>
      <c r="BZ220" s="219"/>
      <c r="CA220" s="219"/>
      <c r="CB220" s="219" t="s">
        <v>73</v>
      </c>
      <c r="CC220" s="219" t="s">
        <v>73</v>
      </c>
      <c r="CD220" s="219" t="s">
        <v>73</v>
      </c>
      <c r="CE220" s="219" t="s">
        <v>73</v>
      </c>
      <c r="CF220" s="219" t="s">
        <v>73</v>
      </c>
      <c r="CG220" s="219" t="s">
        <v>73</v>
      </c>
      <c r="CH220" s="219"/>
      <c r="CI220" s="219"/>
      <c r="CJ220" s="219"/>
      <c r="CK220" s="219" t="s">
        <v>73</v>
      </c>
      <c r="CL220" s="219" t="s">
        <v>73</v>
      </c>
      <c r="CM220" s="219" t="s">
        <v>73</v>
      </c>
      <c r="CN220" s="219" t="s">
        <v>73</v>
      </c>
      <c r="CO220" s="219" t="s">
        <v>73</v>
      </c>
      <c r="CP220" s="220" t="s">
        <v>73</v>
      </c>
    </row>
    <row r="221" spans="47:94" ht="9" customHeight="1">
      <c r="AU221" s="224" t="s">
        <v>73</v>
      </c>
      <c r="AV221" s="219" t="s">
        <v>73</v>
      </c>
      <c r="AW221" s="219" t="s">
        <v>73</v>
      </c>
      <c r="AX221" s="219" t="s">
        <v>73</v>
      </c>
      <c r="AY221" s="219" t="s">
        <v>73</v>
      </c>
      <c r="AZ221" s="219" t="s">
        <v>73</v>
      </c>
      <c r="BA221" s="219" t="s">
        <v>73</v>
      </c>
      <c r="BB221" s="219" t="s">
        <v>73</v>
      </c>
      <c r="BC221" s="219"/>
      <c r="BD221" s="219" t="s">
        <v>73</v>
      </c>
      <c r="BE221" s="219" t="s">
        <v>73</v>
      </c>
      <c r="BF221" s="219" t="s">
        <v>73</v>
      </c>
      <c r="BG221" s="219" t="s">
        <v>73</v>
      </c>
      <c r="BH221" s="219" t="s">
        <v>73</v>
      </c>
      <c r="BI221" s="219" t="s">
        <v>73</v>
      </c>
      <c r="BJ221" s="219" t="s">
        <v>73</v>
      </c>
      <c r="BK221" s="219" t="s">
        <v>73</v>
      </c>
      <c r="BL221" s="219" t="s">
        <v>73</v>
      </c>
      <c r="BM221" s="219" t="s">
        <v>73</v>
      </c>
      <c r="BN221" s="219"/>
      <c r="BO221" s="219"/>
      <c r="BP221" s="219"/>
      <c r="BQ221" s="219"/>
      <c r="BR221" s="219"/>
      <c r="BS221" s="219" t="s">
        <v>73</v>
      </c>
      <c r="BT221" s="219" t="s">
        <v>73</v>
      </c>
      <c r="BU221" s="219" t="s">
        <v>73</v>
      </c>
      <c r="BV221" s="219" t="s">
        <v>73</v>
      </c>
      <c r="BW221" s="219" t="s">
        <v>73</v>
      </c>
      <c r="BX221" s="219"/>
      <c r="BY221" s="219"/>
      <c r="BZ221" s="219"/>
      <c r="CA221" s="219"/>
      <c r="CB221" s="219" t="s">
        <v>73</v>
      </c>
      <c r="CC221" s="219" t="s">
        <v>73</v>
      </c>
      <c r="CD221" s="219" t="s">
        <v>73</v>
      </c>
      <c r="CE221" s="219" t="s">
        <v>73</v>
      </c>
      <c r="CF221" s="219" t="s">
        <v>73</v>
      </c>
      <c r="CG221" s="219" t="s">
        <v>73</v>
      </c>
      <c r="CH221" s="219"/>
      <c r="CI221" s="219"/>
      <c r="CJ221" s="219"/>
      <c r="CK221" s="219" t="s">
        <v>73</v>
      </c>
      <c r="CL221" s="219" t="s">
        <v>73</v>
      </c>
      <c r="CM221" s="219" t="s">
        <v>73</v>
      </c>
      <c r="CN221" s="219" t="s">
        <v>73</v>
      </c>
      <c r="CO221" s="219" t="s">
        <v>73</v>
      </c>
      <c r="CP221" s="220" t="s">
        <v>73</v>
      </c>
    </row>
    <row r="222" spans="47:94" ht="9" customHeight="1">
      <c r="AU222" s="224" t="s">
        <v>73</v>
      </c>
      <c r="AV222" s="219" t="s">
        <v>73</v>
      </c>
      <c r="AW222" s="219" t="s">
        <v>73</v>
      </c>
      <c r="AX222" s="219" t="s">
        <v>73</v>
      </c>
      <c r="AY222" s="219" t="s">
        <v>73</v>
      </c>
      <c r="AZ222" s="219" t="s">
        <v>73</v>
      </c>
      <c r="BA222" s="219" t="s">
        <v>73</v>
      </c>
      <c r="BB222" s="219" t="s">
        <v>73</v>
      </c>
      <c r="BC222" s="219"/>
      <c r="BD222" s="219" t="s">
        <v>73</v>
      </c>
      <c r="BE222" s="219" t="s">
        <v>73</v>
      </c>
      <c r="BF222" s="219" t="s">
        <v>73</v>
      </c>
      <c r="BG222" s="219" t="s">
        <v>73</v>
      </c>
      <c r="BH222" s="219" t="s">
        <v>73</v>
      </c>
      <c r="BI222" s="219" t="s">
        <v>73</v>
      </c>
      <c r="BJ222" s="219" t="s">
        <v>73</v>
      </c>
      <c r="BK222" s="219" t="s">
        <v>73</v>
      </c>
      <c r="BL222" s="219" t="s">
        <v>73</v>
      </c>
      <c r="BM222" s="219" t="s">
        <v>73</v>
      </c>
      <c r="BN222" s="219" t="s">
        <v>73</v>
      </c>
      <c r="BO222" s="219"/>
      <c r="BP222" s="219"/>
      <c r="BQ222" s="219"/>
      <c r="BR222" s="219" t="s">
        <v>73</v>
      </c>
      <c r="BS222" s="219" t="s">
        <v>73</v>
      </c>
      <c r="BT222" s="219" t="s">
        <v>73</v>
      </c>
      <c r="BU222" s="219" t="s">
        <v>73</v>
      </c>
      <c r="BV222" s="219" t="s">
        <v>73</v>
      </c>
      <c r="BW222" s="219" t="s">
        <v>73</v>
      </c>
      <c r="BX222" s="219"/>
      <c r="BY222" s="219"/>
      <c r="BZ222" s="219"/>
      <c r="CA222" s="219" t="s">
        <v>73</v>
      </c>
      <c r="CB222" s="219" t="s">
        <v>73</v>
      </c>
      <c r="CC222" s="219" t="s">
        <v>73</v>
      </c>
      <c r="CD222" s="219" t="s">
        <v>73</v>
      </c>
      <c r="CE222" s="219" t="s">
        <v>73</v>
      </c>
      <c r="CF222" s="219" t="s">
        <v>73</v>
      </c>
      <c r="CG222" s="219" t="s">
        <v>73</v>
      </c>
      <c r="CH222" s="219"/>
      <c r="CI222" s="219"/>
      <c r="CJ222" s="219"/>
      <c r="CK222" s="219" t="s">
        <v>73</v>
      </c>
      <c r="CL222" s="219" t="s">
        <v>73</v>
      </c>
      <c r="CM222" s="219" t="s">
        <v>73</v>
      </c>
      <c r="CN222" s="219" t="s">
        <v>73</v>
      </c>
      <c r="CO222" s="219" t="s">
        <v>73</v>
      </c>
      <c r="CP222" s="220" t="s">
        <v>73</v>
      </c>
    </row>
    <row r="223" spans="47:94" ht="9" customHeight="1">
      <c r="AU223" s="224" t="s">
        <v>73</v>
      </c>
      <c r="AV223" s="219" t="s">
        <v>73</v>
      </c>
      <c r="AW223" s="219" t="s">
        <v>73</v>
      </c>
      <c r="AX223" s="219" t="s">
        <v>73</v>
      </c>
      <c r="AY223" s="219" t="s">
        <v>73</v>
      </c>
      <c r="AZ223" s="219" t="s">
        <v>73</v>
      </c>
      <c r="BA223" s="219" t="s">
        <v>73</v>
      </c>
      <c r="BB223" s="219" t="s">
        <v>73</v>
      </c>
      <c r="BC223" s="219"/>
      <c r="BD223" s="219" t="s">
        <v>73</v>
      </c>
      <c r="BE223" s="219" t="s">
        <v>73</v>
      </c>
      <c r="BF223" s="219" t="s">
        <v>73</v>
      </c>
      <c r="BG223" s="219" t="s">
        <v>73</v>
      </c>
      <c r="BH223" s="219" t="s">
        <v>73</v>
      </c>
      <c r="BI223" s="219" t="s">
        <v>73</v>
      </c>
      <c r="BJ223" s="219" t="s">
        <v>73</v>
      </c>
      <c r="BK223" s="219" t="s">
        <v>73</v>
      </c>
      <c r="BL223" s="219" t="s">
        <v>73</v>
      </c>
      <c r="BM223" s="219" t="s">
        <v>73</v>
      </c>
      <c r="BN223" s="219"/>
      <c r="BO223" s="219"/>
      <c r="BP223" s="219"/>
      <c r="BQ223" s="219"/>
      <c r="BR223" s="219"/>
      <c r="BS223" s="219" t="s">
        <v>73</v>
      </c>
      <c r="BT223" s="219" t="s">
        <v>73</v>
      </c>
      <c r="BU223" s="219" t="s">
        <v>73</v>
      </c>
      <c r="BV223" s="219" t="s">
        <v>73</v>
      </c>
      <c r="BW223" s="219" t="s">
        <v>73</v>
      </c>
      <c r="BX223" s="219"/>
      <c r="BY223" s="219"/>
      <c r="BZ223" s="219"/>
      <c r="CA223" s="219" t="s">
        <v>73</v>
      </c>
      <c r="CB223" s="219"/>
      <c r="CC223" s="219"/>
      <c r="CD223" s="219" t="s">
        <v>73</v>
      </c>
      <c r="CE223" s="219" t="s">
        <v>1321</v>
      </c>
      <c r="CF223" s="219" t="s">
        <v>73</v>
      </c>
      <c r="CG223" s="219"/>
      <c r="CH223" s="219"/>
      <c r="CI223" s="219"/>
      <c r="CJ223" s="219"/>
      <c r="CK223" s="219" t="s">
        <v>73</v>
      </c>
      <c r="CL223" s="219" t="s">
        <v>73</v>
      </c>
      <c r="CM223" s="219" t="s">
        <v>73</v>
      </c>
      <c r="CN223" s="219" t="s">
        <v>73</v>
      </c>
      <c r="CO223" s="219" t="s">
        <v>73</v>
      </c>
      <c r="CP223" s="220" t="s">
        <v>73</v>
      </c>
    </row>
    <row r="224" spans="47:94" ht="9" customHeight="1">
      <c r="AU224" s="224" t="s">
        <v>73</v>
      </c>
      <c r="AV224" s="219" t="s">
        <v>73</v>
      </c>
      <c r="AW224" s="219" t="s">
        <v>73</v>
      </c>
      <c r="AX224" s="219" t="s">
        <v>73</v>
      </c>
      <c r="AY224" s="219" t="s">
        <v>73</v>
      </c>
      <c r="AZ224" s="219" t="s">
        <v>73</v>
      </c>
      <c r="BA224" s="219" t="s">
        <v>73</v>
      </c>
      <c r="BB224" s="219" t="s">
        <v>73</v>
      </c>
      <c r="BC224" s="219"/>
      <c r="BD224" s="219" t="s">
        <v>73</v>
      </c>
      <c r="BE224" s="219" t="s">
        <v>73</v>
      </c>
      <c r="BF224" s="219" t="s">
        <v>73</v>
      </c>
      <c r="BG224" s="219" t="s">
        <v>73</v>
      </c>
      <c r="BH224" s="219" t="s">
        <v>73</v>
      </c>
      <c r="BI224" s="219" t="s">
        <v>73</v>
      </c>
      <c r="BJ224" s="219" t="s">
        <v>73</v>
      </c>
      <c r="BK224" s="219" t="s">
        <v>73</v>
      </c>
      <c r="BL224" s="219" t="s">
        <v>73</v>
      </c>
      <c r="BM224" s="219" t="s">
        <v>73</v>
      </c>
      <c r="BN224" s="219" t="s">
        <v>73</v>
      </c>
      <c r="BO224" s="219"/>
      <c r="BP224" s="219"/>
      <c r="BQ224" s="219"/>
      <c r="BR224" s="219" t="s">
        <v>73</v>
      </c>
      <c r="BS224" s="219" t="s">
        <v>73</v>
      </c>
      <c r="BT224" s="219" t="s">
        <v>73</v>
      </c>
      <c r="BU224" s="219" t="s">
        <v>73</v>
      </c>
      <c r="BV224" s="219" t="s">
        <v>73</v>
      </c>
      <c r="BW224" s="219" t="s">
        <v>73</v>
      </c>
      <c r="BX224" s="219"/>
      <c r="BY224" s="219"/>
      <c r="BZ224" s="219"/>
      <c r="CA224" s="219"/>
      <c r="CB224" s="219"/>
      <c r="CC224" s="219"/>
      <c r="CD224" s="219"/>
      <c r="CE224" s="219"/>
      <c r="CF224" s="219"/>
      <c r="CG224" s="219"/>
      <c r="CH224" s="219"/>
      <c r="CI224" s="219"/>
      <c r="CJ224" s="219"/>
      <c r="CK224" s="219" t="s">
        <v>73</v>
      </c>
      <c r="CL224" s="219" t="s">
        <v>73</v>
      </c>
      <c r="CM224" s="219" t="s">
        <v>73</v>
      </c>
      <c r="CN224" s="219" t="s">
        <v>73</v>
      </c>
      <c r="CO224" s="219" t="s">
        <v>73</v>
      </c>
      <c r="CP224" s="220" t="s">
        <v>73</v>
      </c>
    </row>
    <row r="225" spans="47:94" ht="9" customHeight="1">
      <c r="AU225" s="224" t="s">
        <v>73</v>
      </c>
      <c r="AV225" s="219" t="s">
        <v>73</v>
      </c>
      <c r="AW225" s="219" t="s">
        <v>73</v>
      </c>
      <c r="AX225" s="219" t="s">
        <v>73</v>
      </c>
      <c r="AY225" s="219" t="s">
        <v>73</v>
      </c>
      <c r="AZ225" s="219" t="s">
        <v>73</v>
      </c>
      <c r="BA225" s="219" t="s">
        <v>73</v>
      </c>
      <c r="BB225" s="219" t="s">
        <v>73</v>
      </c>
      <c r="BC225" s="219"/>
      <c r="BD225" s="219" t="s">
        <v>73</v>
      </c>
      <c r="BE225" s="219" t="s">
        <v>73</v>
      </c>
      <c r="BF225" s="219" t="s">
        <v>73</v>
      </c>
      <c r="BG225" s="219" t="s">
        <v>73</v>
      </c>
      <c r="BH225" s="219" t="s">
        <v>73</v>
      </c>
      <c r="BI225" s="219" t="s">
        <v>73</v>
      </c>
      <c r="BJ225" s="219" t="s">
        <v>73</v>
      </c>
      <c r="BK225" s="219" t="s">
        <v>73</v>
      </c>
      <c r="BL225" s="219" t="s">
        <v>73</v>
      </c>
      <c r="BM225" s="219" t="s">
        <v>73</v>
      </c>
      <c r="BN225" s="219"/>
      <c r="BO225" s="219"/>
      <c r="BP225" s="219"/>
      <c r="BQ225" s="219"/>
      <c r="BR225" s="219"/>
      <c r="BS225" s="219"/>
      <c r="BT225" s="219"/>
      <c r="BU225" s="219"/>
      <c r="BV225" s="219" t="s">
        <v>73</v>
      </c>
      <c r="BW225" s="219" t="s">
        <v>73</v>
      </c>
      <c r="BX225" s="219" t="s">
        <v>1320</v>
      </c>
      <c r="BY225" s="219" t="s">
        <v>1320</v>
      </c>
      <c r="BZ225" s="219" t="s">
        <v>1320</v>
      </c>
      <c r="CA225" s="219" t="s">
        <v>1320</v>
      </c>
      <c r="CB225" s="219" t="s">
        <v>1320</v>
      </c>
      <c r="CC225" s="219" t="s">
        <v>1320</v>
      </c>
      <c r="CD225" s="219" t="s">
        <v>1320</v>
      </c>
      <c r="CE225" s="219" t="s">
        <v>1320</v>
      </c>
      <c r="CF225" s="219" t="s">
        <v>1320</v>
      </c>
      <c r="CG225" s="219" t="s">
        <v>1320</v>
      </c>
      <c r="CH225" s="219" t="s">
        <v>1320</v>
      </c>
      <c r="CI225" s="219" t="s">
        <v>1320</v>
      </c>
      <c r="CJ225" s="219" t="s">
        <v>1320</v>
      </c>
      <c r="CK225" s="219" t="s">
        <v>73</v>
      </c>
      <c r="CL225" s="219" t="s">
        <v>73</v>
      </c>
      <c r="CM225" s="219" t="s">
        <v>73</v>
      </c>
      <c r="CN225" s="219" t="s">
        <v>73</v>
      </c>
      <c r="CO225" s="219" t="s">
        <v>73</v>
      </c>
      <c r="CP225" s="220" t="s">
        <v>73</v>
      </c>
    </row>
    <row r="226" spans="47:94" ht="9" customHeight="1">
      <c r="AU226" s="224" t="s">
        <v>73</v>
      </c>
      <c r="AV226" s="219" t="s">
        <v>73</v>
      </c>
      <c r="AW226" s="219" t="s">
        <v>73</v>
      </c>
      <c r="AX226" s="219" t="s">
        <v>73</v>
      </c>
      <c r="AY226" s="219" t="s">
        <v>73</v>
      </c>
      <c r="AZ226" s="219" t="s">
        <v>73</v>
      </c>
      <c r="BA226" s="219" t="s">
        <v>73</v>
      </c>
      <c r="BB226" s="219" t="s">
        <v>73</v>
      </c>
      <c r="BC226" s="219"/>
      <c r="BD226" s="219" t="s">
        <v>73</v>
      </c>
      <c r="BE226" s="219" t="s">
        <v>73</v>
      </c>
      <c r="BF226" s="219" t="s">
        <v>73</v>
      </c>
      <c r="BG226" s="219" t="s">
        <v>73</v>
      </c>
      <c r="BH226" s="219" t="s">
        <v>73</v>
      </c>
      <c r="BI226" s="219" t="s">
        <v>73</v>
      </c>
      <c r="BJ226" s="219" t="s">
        <v>73</v>
      </c>
      <c r="BK226" s="219" t="s">
        <v>73</v>
      </c>
      <c r="BL226" s="219" t="s">
        <v>73</v>
      </c>
      <c r="BM226" s="219" t="s">
        <v>73</v>
      </c>
      <c r="BN226" s="219" t="s">
        <v>73</v>
      </c>
      <c r="BO226" s="219"/>
      <c r="BP226" s="219"/>
      <c r="BQ226" s="219"/>
      <c r="BR226" s="219"/>
      <c r="BS226" s="219"/>
      <c r="BT226" s="219"/>
      <c r="BU226" s="219"/>
      <c r="BV226" s="219"/>
      <c r="BW226" s="219"/>
      <c r="BX226" s="219"/>
      <c r="BY226" s="219"/>
      <c r="BZ226" s="219"/>
      <c r="CA226" s="219"/>
      <c r="CB226" s="219"/>
      <c r="CC226" s="219"/>
      <c r="CD226" s="219"/>
      <c r="CE226" s="219"/>
      <c r="CF226" s="219"/>
      <c r="CG226" s="219"/>
      <c r="CH226" s="219"/>
      <c r="CI226" s="219"/>
      <c r="CJ226" s="219"/>
      <c r="CK226" s="219" t="s">
        <v>73</v>
      </c>
      <c r="CL226" s="219" t="s">
        <v>73</v>
      </c>
      <c r="CM226" s="219" t="s">
        <v>73</v>
      </c>
      <c r="CN226" s="219" t="s">
        <v>73</v>
      </c>
      <c r="CO226" s="219" t="s">
        <v>73</v>
      </c>
      <c r="CP226" s="220" t="s">
        <v>73</v>
      </c>
    </row>
    <row r="227" spans="47:94" ht="9" customHeight="1">
      <c r="AU227" s="224" t="s">
        <v>73</v>
      </c>
      <c r="AV227" s="219" t="s">
        <v>73</v>
      </c>
      <c r="AW227" s="219" t="s">
        <v>73</v>
      </c>
      <c r="AX227" s="219" t="s">
        <v>73</v>
      </c>
      <c r="AY227" s="219" t="s">
        <v>73</v>
      </c>
      <c r="AZ227" s="219" t="s">
        <v>73</v>
      </c>
      <c r="BA227" s="219" t="s">
        <v>73</v>
      </c>
      <c r="BB227" s="219" t="s">
        <v>73</v>
      </c>
      <c r="BC227" s="219"/>
      <c r="BD227" s="219" t="s">
        <v>73</v>
      </c>
      <c r="BE227" s="219" t="s">
        <v>73</v>
      </c>
      <c r="BF227" s="219" t="s">
        <v>73</v>
      </c>
      <c r="BG227" s="219" t="s">
        <v>73</v>
      </c>
      <c r="BH227" s="219" t="s">
        <v>73</v>
      </c>
      <c r="BI227" s="219" t="s">
        <v>73</v>
      </c>
      <c r="BJ227" s="219" t="s">
        <v>73</v>
      </c>
      <c r="BK227" s="219" t="s">
        <v>73</v>
      </c>
      <c r="BL227" s="219" t="s">
        <v>73</v>
      </c>
      <c r="BM227" s="219" t="s">
        <v>73</v>
      </c>
      <c r="BN227" s="219"/>
      <c r="BO227" s="219"/>
      <c r="BP227" s="219"/>
      <c r="BQ227" s="219"/>
      <c r="BR227" s="219"/>
      <c r="BS227" s="219"/>
      <c r="BT227" s="219"/>
      <c r="BU227" s="219"/>
      <c r="BV227" s="219"/>
      <c r="BW227" s="219"/>
      <c r="BX227" s="219"/>
      <c r="BY227" s="219"/>
      <c r="BZ227" s="219"/>
      <c r="CA227" s="219"/>
      <c r="CB227" s="219"/>
      <c r="CC227" s="219"/>
      <c r="CD227" s="219"/>
      <c r="CE227" s="219"/>
      <c r="CF227" s="219"/>
      <c r="CG227" s="219"/>
      <c r="CH227" s="219"/>
      <c r="CI227" s="219"/>
      <c r="CJ227" s="219"/>
      <c r="CK227" s="219" t="s">
        <v>73</v>
      </c>
      <c r="CL227" s="219" t="s">
        <v>73</v>
      </c>
      <c r="CM227" s="219" t="s">
        <v>73</v>
      </c>
      <c r="CN227" s="219" t="s">
        <v>73</v>
      </c>
      <c r="CO227" s="219" t="s">
        <v>73</v>
      </c>
      <c r="CP227" s="220" t="s">
        <v>73</v>
      </c>
    </row>
    <row r="228" spans="47:94" ht="9" customHeight="1">
      <c r="AU228" s="224" t="s">
        <v>73</v>
      </c>
      <c r="AV228" s="219" t="s">
        <v>73</v>
      </c>
      <c r="AW228" s="219" t="s">
        <v>73</v>
      </c>
      <c r="AX228" s="219" t="s">
        <v>73</v>
      </c>
      <c r="AY228" s="219" t="s">
        <v>73</v>
      </c>
      <c r="AZ228" s="219" t="s">
        <v>73</v>
      </c>
      <c r="BA228" s="219" t="s">
        <v>73</v>
      </c>
      <c r="BB228" s="219" t="s">
        <v>73</v>
      </c>
      <c r="BC228" s="219"/>
      <c r="BD228" s="219" t="s">
        <v>73</v>
      </c>
      <c r="BE228" s="219" t="s">
        <v>73</v>
      </c>
      <c r="BF228" s="219" t="s">
        <v>73</v>
      </c>
      <c r="BG228" s="219" t="s">
        <v>73</v>
      </c>
      <c r="BH228" s="219" t="s">
        <v>73</v>
      </c>
      <c r="BI228" s="219" t="s">
        <v>73</v>
      </c>
      <c r="BJ228" s="219" t="s">
        <v>73</v>
      </c>
      <c r="BK228" s="219" t="s">
        <v>73</v>
      </c>
      <c r="BL228" s="219" t="s">
        <v>73</v>
      </c>
      <c r="BM228" s="219" t="s">
        <v>73</v>
      </c>
      <c r="BN228" s="219" t="s">
        <v>73</v>
      </c>
      <c r="BO228" s="219"/>
      <c r="BP228" s="219"/>
      <c r="BQ228" s="219"/>
      <c r="BR228" s="219"/>
      <c r="BS228" s="219" t="s">
        <v>73</v>
      </c>
      <c r="BT228" s="219" t="s">
        <v>73</v>
      </c>
      <c r="BU228" s="219" t="s">
        <v>73</v>
      </c>
      <c r="BV228" s="219" t="s">
        <v>73</v>
      </c>
      <c r="BW228" s="219" t="s">
        <v>73</v>
      </c>
      <c r="BX228" s="219" t="s">
        <v>73</v>
      </c>
      <c r="BY228" s="219" t="s">
        <v>73</v>
      </c>
      <c r="BZ228" s="219" t="s">
        <v>73</v>
      </c>
      <c r="CA228" s="219" t="s">
        <v>73</v>
      </c>
      <c r="CB228" s="219" t="s">
        <v>73</v>
      </c>
      <c r="CC228" s="219" t="s">
        <v>73</v>
      </c>
      <c r="CD228" s="219" t="s">
        <v>73</v>
      </c>
      <c r="CE228" s="219" t="s">
        <v>73</v>
      </c>
      <c r="CF228" s="219" t="s">
        <v>73</v>
      </c>
      <c r="CG228" s="219" t="s">
        <v>73</v>
      </c>
      <c r="CH228" s="219" t="s">
        <v>73</v>
      </c>
      <c r="CI228" s="219" t="s">
        <v>73</v>
      </c>
      <c r="CJ228" s="219" t="s">
        <v>73</v>
      </c>
      <c r="CK228" s="219" t="s">
        <v>73</v>
      </c>
      <c r="CL228" s="219" t="s">
        <v>73</v>
      </c>
      <c r="CM228" s="219" t="s">
        <v>73</v>
      </c>
      <c r="CN228" s="219" t="s">
        <v>73</v>
      </c>
      <c r="CO228" s="219" t="s">
        <v>73</v>
      </c>
      <c r="CP228" s="220" t="s">
        <v>73</v>
      </c>
    </row>
    <row r="229" spans="47:94" ht="9" customHeight="1">
      <c r="AU229" s="224"/>
      <c r="AV229" s="219"/>
      <c r="AW229" s="219"/>
      <c r="AX229" s="219"/>
      <c r="AY229" s="219"/>
      <c r="AZ229" s="219"/>
      <c r="BA229" s="219"/>
      <c r="BB229" s="219"/>
      <c r="BC229" s="219"/>
      <c r="BD229" s="219" t="s">
        <v>73</v>
      </c>
      <c r="BE229" s="219" t="s">
        <v>73</v>
      </c>
      <c r="BF229" s="219" t="s">
        <v>73</v>
      </c>
      <c r="BG229" s="219" t="s">
        <v>73</v>
      </c>
      <c r="BH229" s="219" t="s">
        <v>73</v>
      </c>
      <c r="BI229" s="219" t="s">
        <v>73</v>
      </c>
      <c r="BJ229" s="219" t="s">
        <v>73</v>
      </c>
      <c r="BK229" s="219" t="s">
        <v>73</v>
      </c>
      <c r="BL229" s="219" t="s">
        <v>73</v>
      </c>
      <c r="BM229" s="219" t="s">
        <v>73</v>
      </c>
      <c r="BN229" s="219"/>
      <c r="BO229" s="219" t="s">
        <v>73</v>
      </c>
      <c r="BP229" s="219"/>
      <c r="BQ229" s="219"/>
      <c r="BR229" s="219" t="s">
        <v>73</v>
      </c>
      <c r="BS229" s="219" t="s">
        <v>73</v>
      </c>
      <c r="BT229" s="219" t="s">
        <v>73</v>
      </c>
      <c r="BU229" s="219" t="s">
        <v>73</v>
      </c>
      <c r="BV229" s="219" t="s">
        <v>73</v>
      </c>
      <c r="BW229" s="219"/>
      <c r="BX229" s="219"/>
      <c r="BY229" s="219"/>
      <c r="BZ229" s="219"/>
      <c r="CA229" s="219"/>
      <c r="CB229" s="219"/>
      <c r="CC229" s="219" t="s">
        <v>73</v>
      </c>
      <c r="CD229" s="219" t="s">
        <v>73</v>
      </c>
      <c r="CE229" s="219" t="s">
        <v>73</v>
      </c>
      <c r="CF229" s="219" t="s">
        <v>73</v>
      </c>
      <c r="CG229" s="219"/>
      <c r="CH229" s="219"/>
      <c r="CI229" s="219"/>
      <c r="CJ229" s="219"/>
      <c r="CK229" s="219" t="s">
        <v>73</v>
      </c>
      <c r="CL229" s="219" t="s">
        <v>73</v>
      </c>
      <c r="CM229" s="219" t="s">
        <v>73</v>
      </c>
      <c r="CN229" s="219" t="s">
        <v>73</v>
      </c>
      <c r="CO229" s="219" t="s">
        <v>73</v>
      </c>
      <c r="CP229" s="220" t="s">
        <v>73</v>
      </c>
    </row>
    <row r="230" spans="47:94" ht="9" customHeight="1">
      <c r="AU230" s="224"/>
      <c r="AV230" s="219"/>
      <c r="AW230" s="219"/>
      <c r="AX230" s="219"/>
      <c r="AY230" s="219"/>
      <c r="AZ230" s="219"/>
      <c r="BA230" s="219"/>
      <c r="BB230" s="219"/>
      <c r="BC230" s="219"/>
      <c r="BD230" s="219"/>
      <c r="BE230" s="219"/>
      <c r="BF230" s="219"/>
      <c r="BG230" s="219"/>
      <c r="BH230" s="219"/>
      <c r="BI230" s="219"/>
      <c r="BJ230" s="219"/>
      <c r="BK230" s="219"/>
      <c r="BL230" s="219"/>
      <c r="BM230" s="219"/>
      <c r="BN230" s="219"/>
      <c r="BO230" s="219"/>
      <c r="BP230" s="219"/>
      <c r="BQ230" s="219"/>
      <c r="BR230" s="219"/>
      <c r="BS230" s="219" t="s">
        <v>73</v>
      </c>
      <c r="BT230" s="219" t="s">
        <v>73</v>
      </c>
      <c r="BU230" s="219" t="s">
        <v>73</v>
      </c>
      <c r="BV230" s="219" t="s">
        <v>73</v>
      </c>
      <c r="BW230" s="219"/>
      <c r="BX230" s="219"/>
      <c r="BY230" s="219"/>
      <c r="BZ230" s="219"/>
      <c r="CA230" s="219"/>
      <c r="CB230" s="219"/>
      <c r="CC230" s="219" t="s">
        <v>73</v>
      </c>
      <c r="CD230" s="219" t="s">
        <v>73</v>
      </c>
      <c r="CE230" s="219" t="s">
        <v>73</v>
      </c>
      <c r="CF230" s="219" t="s">
        <v>73</v>
      </c>
      <c r="CG230" s="219"/>
      <c r="CH230" s="219"/>
      <c r="CI230" s="219"/>
      <c r="CJ230" s="219"/>
      <c r="CK230" s="219" t="s">
        <v>73</v>
      </c>
      <c r="CL230" s="219" t="s">
        <v>73</v>
      </c>
      <c r="CM230" s="219" t="s">
        <v>73</v>
      </c>
      <c r="CN230" s="219" t="s">
        <v>73</v>
      </c>
      <c r="CO230" s="219" t="s">
        <v>73</v>
      </c>
      <c r="CP230" s="220" t="s">
        <v>73</v>
      </c>
    </row>
    <row r="231" spans="47:94" ht="9" customHeight="1">
      <c r="AU231" s="224"/>
      <c r="AV231" s="219"/>
      <c r="AW231" s="219"/>
      <c r="AX231" s="219"/>
      <c r="AY231" s="219"/>
      <c r="AZ231" s="219"/>
      <c r="BA231" s="219"/>
      <c r="BB231" s="219"/>
      <c r="BC231" s="219"/>
      <c r="BD231" s="219"/>
      <c r="BE231" s="219"/>
      <c r="BF231" s="219"/>
      <c r="BG231" s="219"/>
      <c r="BH231" s="219"/>
      <c r="BI231" s="219"/>
      <c r="BJ231" s="219"/>
      <c r="BK231" s="219"/>
      <c r="BL231" s="219"/>
      <c r="BM231" s="219"/>
      <c r="BN231" s="219"/>
      <c r="BO231" s="219"/>
      <c r="BP231" s="219"/>
      <c r="BQ231" s="219"/>
      <c r="BR231" s="219" t="s">
        <v>73</v>
      </c>
      <c r="BS231" s="219" t="s">
        <v>73</v>
      </c>
      <c r="BT231" s="219" t="s">
        <v>73</v>
      </c>
      <c r="BU231" s="219" t="s">
        <v>73</v>
      </c>
      <c r="BV231" s="219" t="s">
        <v>73</v>
      </c>
      <c r="BW231" s="219"/>
      <c r="BX231" s="219"/>
      <c r="BY231" s="219"/>
      <c r="BZ231" s="219"/>
      <c r="CA231" s="219"/>
      <c r="CB231" s="219"/>
      <c r="CC231" s="219" t="s">
        <v>73</v>
      </c>
      <c r="CD231" s="219" t="s">
        <v>73</v>
      </c>
      <c r="CE231" s="219" t="s">
        <v>73</v>
      </c>
      <c r="CF231" s="219" t="s">
        <v>73</v>
      </c>
      <c r="CG231" s="219"/>
      <c r="CH231" s="219"/>
      <c r="CI231" s="219"/>
      <c r="CJ231" s="219"/>
      <c r="CK231" s="219" t="s">
        <v>73</v>
      </c>
      <c r="CL231" s="219" t="s">
        <v>73</v>
      </c>
      <c r="CM231" s="219" t="s">
        <v>73</v>
      </c>
      <c r="CN231" s="219" t="s">
        <v>73</v>
      </c>
      <c r="CO231" s="219" t="s">
        <v>73</v>
      </c>
      <c r="CP231" s="220" t="s">
        <v>73</v>
      </c>
    </row>
    <row r="232" spans="47:94" ht="9" customHeight="1">
      <c r="AU232" s="224"/>
      <c r="AV232" s="219"/>
      <c r="AW232" s="219"/>
      <c r="AX232" s="219"/>
      <c r="AY232" s="219"/>
      <c r="AZ232" s="219"/>
      <c r="BA232" s="219"/>
      <c r="BB232" s="219"/>
      <c r="BC232" s="219"/>
      <c r="BD232" s="219"/>
      <c r="BE232" s="219"/>
      <c r="BF232" s="219"/>
      <c r="BG232" s="219"/>
      <c r="BH232" s="219"/>
      <c r="BI232" s="219"/>
      <c r="BJ232" s="219"/>
      <c r="BK232" s="219"/>
      <c r="BL232" s="219"/>
      <c r="BM232" s="219"/>
      <c r="BN232" s="219"/>
      <c r="BO232" s="219"/>
      <c r="BP232" s="219"/>
      <c r="BQ232" s="219"/>
      <c r="BR232" s="219"/>
      <c r="BS232" s="219"/>
      <c r="BT232" s="219"/>
      <c r="BU232" s="219"/>
      <c r="BV232" s="219"/>
      <c r="BW232" s="219"/>
      <c r="BX232" s="219"/>
      <c r="BY232" s="219"/>
      <c r="BZ232" s="219"/>
      <c r="CA232" s="219"/>
      <c r="CB232" s="219"/>
      <c r="CC232" s="219" t="s">
        <v>73</v>
      </c>
      <c r="CD232" s="219" t="s">
        <v>73</v>
      </c>
      <c r="CE232" s="219" t="s">
        <v>1322</v>
      </c>
      <c r="CF232" s="219" t="s">
        <v>73</v>
      </c>
      <c r="CG232" s="219"/>
      <c r="CH232" s="219"/>
      <c r="CI232" s="219"/>
      <c r="CJ232" s="219"/>
      <c r="CK232" s="219" t="s">
        <v>73</v>
      </c>
      <c r="CL232" s="219" t="s">
        <v>73</v>
      </c>
      <c r="CM232" s="219" t="s">
        <v>73</v>
      </c>
      <c r="CN232" s="219" t="s">
        <v>73</v>
      </c>
      <c r="CO232" s="219" t="s">
        <v>73</v>
      </c>
      <c r="CP232" s="220" t="s">
        <v>73</v>
      </c>
    </row>
    <row r="233" spans="47:94" ht="9" customHeight="1">
      <c r="AU233" s="224" t="s">
        <v>73</v>
      </c>
      <c r="AV233" s="219" t="s">
        <v>73</v>
      </c>
      <c r="AW233" s="219" t="s">
        <v>73</v>
      </c>
      <c r="AX233" s="219" t="s">
        <v>73</v>
      </c>
      <c r="AY233" s="219" t="s">
        <v>73</v>
      </c>
      <c r="AZ233" s="219" t="s">
        <v>73</v>
      </c>
      <c r="BA233" s="219" t="s">
        <v>73</v>
      </c>
      <c r="BB233" s="219"/>
      <c r="BC233" s="219"/>
      <c r="BD233" s="219"/>
      <c r="BE233" s="219"/>
      <c r="BF233" s="219"/>
      <c r="BG233" s="219"/>
      <c r="BH233" s="219"/>
      <c r="BI233" s="219"/>
      <c r="BJ233" s="219"/>
      <c r="BK233" s="219"/>
      <c r="BL233" s="219"/>
      <c r="BM233" s="219"/>
      <c r="BN233" s="219"/>
      <c r="BO233" s="219"/>
      <c r="BP233" s="219"/>
      <c r="BQ233" s="219"/>
      <c r="BR233" s="219"/>
      <c r="BS233" s="219"/>
      <c r="BT233" s="219"/>
      <c r="BU233" s="219"/>
      <c r="BV233" s="219"/>
      <c r="BW233" s="219"/>
      <c r="BX233" s="219"/>
      <c r="BY233" s="219"/>
      <c r="BZ233" s="219"/>
      <c r="CA233" s="219"/>
      <c r="CB233" s="219"/>
      <c r="CC233" s="219"/>
      <c r="CD233" s="219"/>
      <c r="CE233" s="219"/>
      <c r="CF233" s="219"/>
      <c r="CG233" s="219"/>
      <c r="CH233" s="219"/>
      <c r="CI233" s="219"/>
      <c r="CJ233" s="219"/>
      <c r="CK233" s="219" t="s">
        <v>73</v>
      </c>
      <c r="CL233" s="219" t="s">
        <v>73</v>
      </c>
      <c r="CM233" s="219" t="s">
        <v>73</v>
      </c>
      <c r="CN233" s="219" t="s">
        <v>73</v>
      </c>
      <c r="CO233" s="219" t="s">
        <v>73</v>
      </c>
      <c r="CP233" s="220" t="s">
        <v>73</v>
      </c>
    </row>
    <row r="234" spans="47:94" ht="9" customHeight="1">
      <c r="AU234" s="224" t="s">
        <v>73</v>
      </c>
      <c r="AV234" s="219" t="s">
        <v>73</v>
      </c>
      <c r="AW234" s="219" t="s">
        <v>73</v>
      </c>
      <c r="AX234" s="219" t="s">
        <v>73</v>
      </c>
      <c r="AY234" s="219" t="s">
        <v>73</v>
      </c>
      <c r="AZ234" s="219" t="s">
        <v>73</v>
      </c>
      <c r="BA234" s="219" t="s">
        <v>73</v>
      </c>
      <c r="BB234" s="219"/>
      <c r="BC234" s="219"/>
      <c r="BD234" s="219"/>
      <c r="BE234" s="219"/>
      <c r="BF234" s="219"/>
      <c r="BG234" s="219"/>
      <c r="BH234" s="219"/>
      <c r="BI234" s="219"/>
      <c r="BJ234" s="219"/>
      <c r="BK234" s="219"/>
      <c r="BL234" s="219"/>
      <c r="BM234" s="219"/>
      <c r="BN234" s="219"/>
      <c r="BO234" s="219"/>
      <c r="BP234" s="219"/>
      <c r="BQ234" s="219"/>
      <c r="BR234" s="219"/>
      <c r="BS234" s="219"/>
      <c r="BT234" s="219"/>
      <c r="BU234" s="219"/>
      <c r="BV234" s="219"/>
      <c r="BW234" s="219"/>
      <c r="BX234" s="219"/>
      <c r="BY234" s="219"/>
      <c r="BZ234" s="219"/>
      <c r="CA234" s="219"/>
      <c r="CB234" s="219"/>
      <c r="CC234" s="219"/>
      <c r="CD234" s="219"/>
      <c r="CE234" s="219"/>
      <c r="CF234" s="219"/>
      <c r="CG234" s="219"/>
      <c r="CH234" s="219"/>
      <c r="CI234" s="219"/>
      <c r="CJ234" s="219"/>
      <c r="CK234" s="219" t="s">
        <v>73</v>
      </c>
      <c r="CL234" s="219" t="s">
        <v>73</v>
      </c>
      <c r="CM234" s="219" t="s">
        <v>73</v>
      </c>
      <c r="CN234" s="219" t="s">
        <v>73</v>
      </c>
      <c r="CO234" s="219" t="s">
        <v>73</v>
      </c>
      <c r="CP234" s="220" t="s">
        <v>73</v>
      </c>
    </row>
    <row r="235" spans="47:94" ht="9" customHeight="1">
      <c r="AU235" s="224" t="s">
        <v>73</v>
      </c>
      <c r="AV235" s="219" t="s">
        <v>73</v>
      </c>
      <c r="AW235" s="219" t="s">
        <v>73</v>
      </c>
      <c r="AX235" s="219" t="s">
        <v>73</v>
      </c>
      <c r="AY235" s="219" t="s">
        <v>73</v>
      </c>
      <c r="AZ235" s="219" t="s">
        <v>73</v>
      </c>
      <c r="BA235" s="219" t="s">
        <v>73</v>
      </c>
      <c r="BB235" s="219" t="s">
        <v>73</v>
      </c>
      <c r="BC235" s="219" t="s">
        <v>73</v>
      </c>
      <c r="BD235" s="219" t="s">
        <v>73</v>
      </c>
      <c r="BE235" s="219" t="s">
        <v>73</v>
      </c>
      <c r="BF235" s="219"/>
      <c r="BG235" s="219"/>
      <c r="BH235" s="219"/>
      <c r="BI235" s="219"/>
      <c r="BJ235" s="219"/>
      <c r="BK235" s="219"/>
      <c r="BL235" s="219"/>
      <c r="BM235" s="219"/>
      <c r="BN235" s="219"/>
      <c r="BO235" s="219"/>
      <c r="BP235" s="219"/>
      <c r="BQ235" s="219"/>
      <c r="BR235" s="219"/>
      <c r="BS235" s="219" t="s">
        <v>73</v>
      </c>
      <c r="BT235" s="219" t="s">
        <v>73</v>
      </c>
      <c r="BU235" s="219" t="s">
        <v>73</v>
      </c>
      <c r="BV235" s="219" t="s">
        <v>73</v>
      </c>
      <c r="BW235" s="219" t="s">
        <v>73</v>
      </c>
      <c r="BX235" s="219"/>
      <c r="BY235" s="219"/>
      <c r="BZ235" s="219"/>
      <c r="CA235" s="219"/>
      <c r="CB235" s="219"/>
      <c r="CC235" s="219"/>
      <c r="CD235" s="219"/>
      <c r="CE235" s="219"/>
      <c r="CF235" s="219"/>
      <c r="CG235" s="219"/>
      <c r="CH235" s="219"/>
      <c r="CI235" s="219"/>
      <c r="CJ235" s="219"/>
      <c r="CK235" s="219" t="s">
        <v>73</v>
      </c>
      <c r="CL235" s="219" t="s">
        <v>73</v>
      </c>
      <c r="CM235" s="219" t="s">
        <v>73</v>
      </c>
      <c r="CN235" s="219" t="s">
        <v>73</v>
      </c>
      <c r="CO235" s="219" t="s">
        <v>73</v>
      </c>
      <c r="CP235" s="220" t="s">
        <v>73</v>
      </c>
    </row>
    <row r="236" spans="47:94" ht="9" customHeight="1">
      <c r="AU236" s="224" t="s">
        <v>73</v>
      </c>
      <c r="AV236" s="219" t="s">
        <v>73</v>
      </c>
      <c r="AW236" s="219" t="s">
        <v>73</v>
      </c>
      <c r="AX236" s="219" t="s">
        <v>73</v>
      </c>
      <c r="AY236" s="219" t="s">
        <v>73</v>
      </c>
      <c r="AZ236" s="219" t="s">
        <v>73</v>
      </c>
      <c r="BA236" s="219" t="s">
        <v>73</v>
      </c>
      <c r="BB236" s="219" t="s">
        <v>73</v>
      </c>
      <c r="BC236" s="219" t="s">
        <v>73</v>
      </c>
      <c r="BD236" s="219" t="s">
        <v>73</v>
      </c>
      <c r="BE236" s="219" t="s">
        <v>73</v>
      </c>
      <c r="BF236" s="219"/>
      <c r="BG236" s="219" t="s">
        <v>73</v>
      </c>
      <c r="BH236" s="219" t="s">
        <v>73</v>
      </c>
      <c r="BI236" s="219"/>
      <c r="BJ236" s="219"/>
      <c r="BK236" s="219"/>
      <c r="BL236" s="219"/>
      <c r="BM236" s="219"/>
      <c r="BN236" s="219"/>
      <c r="BO236" s="219"/>
      <c r="BP236" s="219"/>
      <c r="BQ236" s="219"/>
      <c r="BR236" s="219"/>
      <c r="BS236" s="219" t="s">
        <v>73</v>
      </c>
      <c r="BT236" s="219" t="s">
        <v>73</v>
      </c>
      <c r="BU236" s="219" t="s">
        <v>73</v>
      </c>
      <c r="BV236" s="219" t="s">
        <v>73</v>
      </c>
      <c r="BW236" s="219" t="s">
        <v>73</v>
      </c>
      <c r="BX236" s="219"/>
      <c r="BY236" s="219"/>
      <c r="BZ236" s="219"/>
      <c r="CA236" s="219"/>
      <c r="CB236" s="219"/>
      <c r="CC236" s="219"/>
      <c r="CD236" s="219"/>
      <c r="CE236" s="219"/>
      <c r="CF236" s="219"/>
      <c r="CG236" s="219"/>
      <c r="CH236" s="219"/>
      <c r="CI236" s="219"/>
      <c r="CJ236" s="219"/>
      <c r="CK236" s="219" t="s">
        <v>73</v>
      </c>
      <c r="CL236" s="219" t="s">
        <v>73</v>
      </c>
      <c r="CM236" s="219" t="s">
        <v>73</v>
      </c>
      <c r="CN236" s="219" t="s">
        <v>73</v>
      </c>
      <c r="CO236" s="219" t="s">
        <v>73</v>
      </c>
      <c r="CP236" s="220" t="s">
        <v>73</v>
      </c>
    </row>
    <row r="237" spans="47:94" ht="9" customHeight="1">
      <c r="AU237" s="224" t="s">
        <v>73</v>
      </c>
      <c r="AV237" s="219" t="s">
        <v>73</v>
      </c>
      <c r="AW237" s="219" t="s">
        <v>73</v>
      </c>
      <c r="AX237" s="219" t="s">
        <v>73</v>
      </c>
      <c r="AY237" s="219" t="s">
        <v>73</v>
      </c>
      <c r="AZ237" s="219" t="s">
        <v>73</v>
      </c>
      <c r="BA237" s="219" t="s">
        <v>73</v>
      </c>
      <c r="BB237" s="219" t="s">
        <v>73</v>
      </c>
      <c r="BC237" s="219" t="s">
        <v>73</v>
      </c>
      <c r="BD237" s="219" t="s">
        <v>73</v>
      </c>
      <c r="BE237" s="219" t="s">
        <v>73</v>
      </c>
      <c r="BF237" s="219"/>
      <c r="BG237" s="219" t="s">
        <v>73</v>
      </c>
      <c r="BH237" s="219" t="s">
        <v>73</v>
      </c>
      <c r="BI237" s="219"/>
      <c r="BJ237" s="219"/>
      <c r="BK237" s="219"/>
      <c r="BL237" s="219"/>
      <c r="BM237" s="219"/>
      <c r="BN237" s="219"/>
      <c r="BO237" s="219"/>
      <c r="BP237" s="219"/>
      <c r="BQ237" s="219"/>
      <c r="BR237" s="219"/>
      <c r="BS237" s="219" t="s">
        <v>73</v>
      </c>
      <c r="BT237" s="219" t="s">
        <v>73</v>
      </c>
      <c r="BU237" s="219" t="s">
        <v>73</v>
      </c>
      <c r="BV237" s="219" t="s">
        <v>73</v>
      </c>
      <c r="BW237" s="219" t="s">
        <v>73</v>
      </c>
      <c r="BX237" s="219"/>
      <c r="BY237" s="219"/>
      <c r="BZ237" s="219"/>
      <c r="CA237" s="219"/>
      <c r="CB237" s="219"/>
      <c r="CC237" s="219"/>
      <c r="CD237" s="219"/>
      <c r="CE237" s="219"/>
      <c r="CF237" s="219"/>
      <c r="CG237" s="219"/>
      <c r="CH237" s="219"/>
      <c r="CI237" s="219"/>
      <c r="CJ237" s="219"/>
      <c r="CK237" s="219" t="s">
        <v>73</v>
      </c>
      <c r="CL237" s="219" t="s">
        <v>73</v>
      </c>
      <c r="CM237" s="219" t="s">
        <v>73</v>
      </c>
      <c r="CN237" s="219" t="s">
        <v>73</v>
      </c>
      <c r="CO237" s="219" t="s">
        <v>73</v>
      </c>
      <c r="CP237" s="220" t="s">
        <v>73</v>
      </c>
    </row>
    <row r="238" spans="47:94" ht="9" customHeight="1">
      <c r="AU238" s="224" t="s">
        <v>73</v>
      </c>
      <c r="AV238" s="219" t="s">
        <v>73</v>
      </c>
      <c r="AW238" s="219" t="s">
        <v>73</v>
      </c>
      <c r="AX238" s="219" t="s">
        <v>73</v>
      </c>
      <c r="AY238" s="219" t="s">
        <v>73</v>
      </c>
      <c r="AZ238" s="219" t="s">
        <v>73</v>
      </c>
      <c r="BA238" s="219" t="s">
        <v>73</v>
      </c>
      <c r="BB238" s="219"/>
      <c r="BC238" s="219"/>
      <c r="BD238" s="219"/>
      <c r="BE238" s="219"/>
      <c r="BF238" s="219"/>
      <c r="BG238" s="219" t="s">
        <v>73</v>
      </c>
      <c r="BH238" s="219" t="s">
        <v>73</v>
      </c>
      <c r="BI238" s="219"/>
      <c r="BJ238" s="219"/>
      <c r="BK238" s="219"/>
      <c r="BL238" s="219"/>
      <c r="BM238" s="219"/>
      <c r="BN238" s="219"/>
      <c r="BO238" s="219"/>
      <c r="BP238" s="219"/>
      <c r="BQ238" s="219"/>
      <c r="BR238" s="219"/>
      <c r="BS238" s="219" t="s">
        <v>73</v>
      </c>
      <c r="BT238" s="219" t="s">
        <v>73</v>
      </c>
      <c r="BU238" s="219" t="s">
        <v>73</v>
      </c>
      <c r="BV238" s="219" t="s">
        <v>73</v>
      </c>
      <c r="BW238" s="219" t="s">
        <v>73</v>
      </c>
      <c r="BX238" s="219"/>
      <c r="BY238" s="219"/>
      <c r="BZ238" s="219"/>
      <c r="CA238" s="219"/>
      <c r="CB238" s="219"/>
      <c r="CC238" s="219"/>
      <c r="CD238" s="219"/>
      <c r="CE238" s="219"/>
      <c r="CF238" s="219"/>
      <c r="CG238" s="219"/>
      <c r="CH238" s="219"/>
      <c r="CI238" s="219"/>
      <c r="CJ238" s="219"/>
      <c r="CK238" s="219" t="s">
        <v>73</v>
      </c>
      <c r="CL238" s="219" t="s">
        <v>73</v>
      </c>
      <c r="CM238" s="219" t="s">
        <v>73</v>
      </c>
      <c r="CN238" s="219" t="s">
        <v>73</v>
      </c>
      <c r="CO238" s="219" t="s">
        <v>73</v>
      </c>
      <c r="CP238" s="220" t="s">
        <v>73</v>
      </c>
    </row>
    <row r="239" spans="47:94" ht="9" customHeight="1">
      <c r="AU239" s="224" t="s">
        <v>73</v>
      </c>
      <c r="AV239" s="219" t="s">
        <v>73</v>
      </c>
      <c r="AW239" s="219" t="s">
        <v>73</v>
      </c>
      <c r="AX239" s="219" t="s">
        <v>73</v>
      </c>
      <c r="AY239" s="219" t="s">
        <v>73</v>
      </c>
      <c r="AZ239" s="219" t="s">
        <v>73</v>
      </c>
      <c r="BA239" s="219" t="s">
        <v>73</v>
      </c>
      <c r="BB239" s="219"/>
      <c r="BC239" s="219"/>
      <c r="BD239" s="219"/>
      <c r="BE239" s="219"/>
      <c r="BF239" s="219" t="s">
        <v>1311</v>
      </c>
      <c r="BG239" s="219" t="s">
        <v>1311</v>
      </c>
      <c r="BH239" s="219" t="s">
        <v>1311</v>
      </c>
      <c r="BI239" s="219" t="s">
        <v>1311</v>
      </c>
      <c r="BJ239" s="219" t="s">
        <v>1311</v>
      </c>
      <c r="BK239" s="219" t="s">
        <v>1311</v>
      </c>
      <c r="BL239" s="219"/>
      <c r="BM239" s="219"/>
      <c r="BN239" s="219"/>
      <c r="BO239" s="219"/>
      <c r="BP239" s="219"/>
      <c r="BQ239" s="219"/>
      <c r="BR239" s="219"/>
      <c r="BS239" s="219" t="s">
        <v>73</v>
      </c>
      <c r="BT239" s="219" t="s">
        <v>73</v>
      </c>
      <c r="BU239" s="219" t="s">
        <v>1323</v>
      </c>
      <c r="BV239" s="219" t="s">
        <v>73</v>
      </c>
      <c r="BW239" s="219" t="s">
        <v>73</v>
      </c>
      <c r="BX239" s="219"/>
      <c r="BY239" s="219"/>
      <c r="BZ239" s="219"/>
      <c r="CA239" s="219"/>
      <c r="CB239" s="219"/>
      <c r="CC239" s="219"/>
      <c r="CD239" s="219"/>
      <c r="CE239" s="219"/>
      <c r="CF239" s="219"/>
      <c r="CG239" s="219"/>
      <c r="CH239" s="219"/>
      <c r="CI239" s="219"/>
      <c r="CJ239" s="219"/>
      <c r="CK239" s="219" t="s">
        <v>73</v>
      </c>
      <c r="CL239" s="219" t="s">
        <v>73</v>
      </c>
      <c r="CM239" s="219" t="s">
        <v>73</v>
      </c>
      <c r="CN239" s="219" t="s">
        <v>73</v>
      </c>
      <c r="CO239" s="219" t="s">
        <v>73</v>
      </c>
      <c r="CP239" s="220" t="s">
        <v>73</v>
      </c>
    </row>
    <row r="240" spans="47:94" ht="9" customHeight="1">
      <c r="AU240" s="224" t="s">
        <v>73</v>
      </c>
      <c r="AV240" s="219" t="s">
        <v>73</v>
      </c>
      <c r="AW240" s="219" t="s">
        <v>73</v>
      </c>
      <c r="AX240" s="219" t="s">
        <v>73</v>
      </c>
      <c r="AY240" s="219" t="s">
        <v>73</v>
      </c>
      <c r="AZ240" s="219" t="s">
        <v>73</v>
      </c>
      <c r="BA240" s="219" t="s">
        <v>73</v>
      </c>
      <c r="BB240" s="219"/>
      <c r="BC240" s="219"/>
      <c r="BD240" s="219"/>
      <c r="BE240" s="219"/>
      <c r="BF240" s="219" t="s">
        <v>1311</v>
      </c>
      <c r="BG240" s="219" t="s">
        <v>1311</v>
      </c>
      <c r="BH240" s="219" t="s">
        <v>1311</v>
      </c>
      <c r="BI240" s="219" t="s">
        <v>1311</v>
      </c>
      <c r="BJ240" s="219" t="s">
        <v>1311</v>
      </c>
      <c r="BK240" s="219" t="s">
        <v>1311</v>
      </c>
      <c r="BL240" s="219"/>
      <c r="BM240" s="219"/>
      <c r="BN240" s="219"/>
      <c r="BO240" s="219"/>
      <c r="BP240" s="219"/>
      <c r="BQ240" s="219"/>
      <c r="BR240" s="219"/>
      <c r="BS240" s="219"/>
      <c r="BT240" s="219"/>
      <c r="BU240" s="219"/>
      <c r="BV240" s="219"/>
      <c r="BW240" s="219"/>
      <c r="BX240" s="219"/>
      <c r="BY240" s="219"/>
      <c r="BZ240" s="219"/>
      <c r="CA240" s="219"/>
      <c r="CB240" s="219"/>
      <c r="CC240" s="219"/>
      <c r="CD240" s="219"/>
      <c r="CE240" s="219"/>
      <c r="CF240" s="219"/>
      <c r="CG240" s="219"/>
      <c r="CH240" s="219"/>
      <c r="CI240" s="219"/>
      <c r="CJ240" s="219"/>
      <c r="CK240" s="219" t="s">
        <v>73</v>
      </c>
      <c r="CL240" s="219" t="s">
        <v>73</v>
      </c>
      <c r="CM240" s="219" t="s">
        <v>73</v>
      </c>
      <c r="CN240" s="219" t="s">
        <v>73</v>
      </c>
      <c r="CO240" s="219" t="s">
        <v>73</v>
      </c>
      <c r="CP240" s="220" t="s">
        <v>73</v>
      </c>
    </row>
    <row r="241" spans="47:94" ht="9" customHeight="1">
      <c r="AU241" s="224" t="s">
        <v>73</v>
      </c>
      <c r="AV241" s="219" t="s">
        <v>73</v>
      </c>
      <c r="AW241" s="219" t="s">
        <v>73</v>
      </c>
      <c r="AX241" s="219" t="s">
        <v>73</v>
      </c>
      <c r="AY241" s="219" t="s">
        <v>73</v>
      </c>
      <c r="AZ241" s="219" t="s">
        <v>73</v>
      </c>
      <c r="BA241" s="219" t="s">
        <v>73</v>
      </c>
      <c r="BB241" s="219"/>
      <c r="BC241" s="219"/>
      <c r="BD241" s="219"/>
      <c r="BE241" s="219"/>
      <c r="BF241" s="219" t="s">
        <v>1311</v>
      </c>
      <c r="BG241" s="219" t="s">
        <v>1311</v>
      </c>
      <c r="BH241" s="219" t="s">
        <v>1311</v>
      </c>
      <c r="BI241" s="219" t="s">
        <v>1311</v>
      </c>
      <c r="BJ241" s="219" t="s">
        <v>1311</v>
      </c>
      <c r="BK241" s="219" t="s">
        <v>1311</v>
      </c>
      <c r="BL241" s="219"/>
      <c r="BM241" s="219"/>
      <c r="BN241" s="219"/>
      <c r="BO241" s="219"/>
      <c r="BP241" s="219"/>
      <c r="BQ241" s="219"/>
      <c r="BR241" s="219"/>
      <c r="BS241" s="219"/>
      <c r="BT241" s="219"/>
      <c r="BU241" s="219"/>
      <c r="BV241" s="219"/>
      <c r="BW241" s="219"/>
      <c r="BX241" s="219"/>
      <c r="BY241" s="219"/>
      <c r="BZ241" s="219"/>
      <c r="CA241" s="219"/>
      <c r="CB241" s="219"/>
      <c r="CC241" s="219"/>
      <c r="CD241" s="219"/>
      <c r="CE241" s="219"/>
      <c r="CF241" s="219"/>
      <c r="CG241" s="219"/>
      <c r="CH241" s="219"/>
      <c r="CI241" s="219"/>
      <c r="CJ241" s="219"/>
      <c r="CK241" s="219" t="s">
        <v>73</v>
      </c>
      <c r="CL241" s="219" t="s">
        <v>73</v>
      </c>
      <c r="CM241" s="219" t="s">
        <v>73</v>
      </c>
      <c r="CN241" s="219" t="s">
        <v>73</v>
      </c>
      <c r="CO241" s="219" t="s">
        <v>73</v>
      </c>
      <c r="CP241" s="220" t="s">
        <v>73</v>
      </c>
    </row>
    <row r="242" spans="47:94" ht="9" customHeight="1">
      <c r="AU242" s="224" t="s">
        <v>73</v>
      </c>
      <c r="AV242" s="219" t="s">
        <v>73</v>
      </c>
      <c r="AW242" s="219" t="s">
        <v>73</v>
      </c>
      <c r="AX242" s="219" t="s">
        <v>73</v>
      </c>
      <c r="AY242" s="219" t="s">
        <v>73</v>
      </c>
      <c r="AZ242" s="219" t="s">
        <v>73</v>
      </c>
      <c r="BA242" s="219" t="s">
        <v>73</v>
      </c>
      <c r="BB242" s="219"/>
      <c r="BC242" s="219"/>
      <c r="BD242" s="219"/>
      <c r="BE242" s="219"/>
      <c r="BF242" s="219" t="s">
        <v>1311</v>
      </c>
      <c r="BG242" s="219" t="s">
        <v>1311</v>
      </c>
      <c r="BH242" s="219" t="s">
        <v>1311</v>
      </c>
      <c r="BI242" s="219" t="s">
        <v>1311</v>
      </c>
      <c r="BJ242" s="219" t="s">
        <v>1311</v>
      </c>
      <c r="BK242" s="219" t="s">
        <v>1311</v>
      </c>
      <c r="BL242" s="219"/>
      <c r="BM242" s="219"/>
      <c r="BN242" s="219"/>
      <c r="BO242" s="219"/>
      <c r="BP242" s="219"/>
      <c r="BQ242" s="219"/>
      <c r="BR242" s="219"/>
      <c r="BS242" s="219"/>
      <c r="BT242" s="219"/>
      <c r="BU242" s="219"/>
      <c r="BV242" s="219"/>
      <c r="BW242" s="219"/>
      <c r="BX242" s="219"/>
      <c r="BY242" s="219"/>
      <c r="BZ242" s="219"/>
      <c r="CA242" s="219"/>
      <c r="CB242" s="219"/>
      <c r="CC242" s="219"/>
      <c r="CD242" s="219"/>
      <c r="CE242" s="219"/>
      <c r="CF242" s="219"/>
      <c r="CG242" s="219"/>
      <c r="CH242" s="219"/>
      <c r="CI242" s="219"/>
      <c r="CJ242" s="219"/>
      <c r="CK242" s="219" t="s">
        <v>73</v>
      </c>
      <c r="CL242" s="219" t="s">
        <v>73</v>
      </c>
      <c r="CM242" s="219" t="s">
        <v>73</v>
      </c>
      <c r="CN242" s="219" t="s">
        <v>73</v>
      </c>
      <c r="CO242" s="219" t="s">
        <v>73</v>
      </c>
      <c r="CP242" s="220" t="s">
        <v>73</v>
      </c>
    </row>
    <row r="243" spans="47:94" ht="9" customHeight="1">
      <c r="AU243" s="224" t="s">
        <v>73</v>
      </c>
      <c r="AV243" s="219" t="s">
        <v>73</v>
      </c>
      <c r="AW243" s="219" t="s">
        <v>73</v>
      </c>
      <c r="AX243" s="219" t="s">
        <v>73</v>
      </c>
      <c r="AY243" s="219" t="s">
        <v>73</v>
      </c>
      <c r="AZ243" s="219" t="s">
        <v>73</v>
      </c>
      <c r="BA243" s="219" t="s">
        <v>73</v>
      </c>
      <c r="BB243" s="219" t="s">
        <v>1320</v>
      </c>
      <c r="BC243" s="219" t="s">
        <v>1320</v>
      </c>
      <c r="BD243" s="219" t="s">
        <v>1320</v>
      </c>
      <c r="BE243" s="219" t="s">
        <v>1320</v>
      </c>
      <c r="BF243" s="219" t="s">
        <v>1311</v>
      </c>
      <c r="BG243" s="219" t="s">
        <v>1311</v>
      </c>
      <c r="BH243" s="219" t="s">
        <v>1311</v>
      </c>
      <c r="BI243" s="219" t="s">
        <v>1311</v>
      </c>
      <c r="BJ243" s="219" t="s">
        <v>1311</v>
      </c>
      <c r="BK243" s="219" t="s">
        <v>1311</v>
      </c>
      <c r="BL243" s="219" t="s">
        <v>1320</v>
      </c>
      <c r="BM243" s="219" t="s">
        <v>1320</v>
      </c>
      <c r="BN243" s="219" t="s">
        <v>1320</v>
      </c>
      <c r="BO243" s="219"/>
      <c r="BP243" s="219"/>
      <c r="BQ243" s="219"/>
      <c r="BR243" s="219" t="s">
        <v>1320</v>
      </c>
      <c r="BS243" s="219" t="s">
        <v>1320</v>
      </c>
      <c r="BT243" s="219" t="s">
        <v>1320</v>
      </c>
      <c r="BU243" s="219" t="s">
        <v>1320</v>
      </c>
      <c r="BV243" s="219" t="s">
        <v>1320</v>
      </c>
      <c r="BW243" s="219" t="s">
        <v>1320</v>
      </c>
      <c r="BX243" s="219" t="s">
        <v>1320</v>
      </c>
      <c r="BY243" s="219" t="s">
        <v>1320</v>
      </c>
      <c r="BZ243" s="219" t="s">
        <v>1320</v>
      </c>
      <c r="CA243" s="219" t="s">
        <v>1320</v>
      </c>
      <c r="CB243" s="219" t="s">
        <v>1320</v>
      </c>
      <c r="CC243" s="219" t="s">
        <v>1320</v>
      </c>
      <c r="CD243" s="219" t="s">
        <v>1320</v>
      </c>
      <c r="CE243" s="219" t="s">
        <v>1320</v>
      </c>
      <c r="CF243" s="219" t="s">
        <v>1320</v>
      </c>
      <c r="CG243" s="219" t="s">
        <v>1320</v>
      </c>
      <c r="CH243" s="219" t="s">
        <v>1320</v>
      </c>
      <c r="CI243" s="219" t="s">
        <v>1320</v>
      </c>
      <c r="CJ243" s="219" t="s">
        <v>1320</v>
      </c>
      <c r="CK243" s="219" t="s">
        <v>73</v>
      </c>
      <c r="CL243" s="219" t="s">
        <v>73</v>
      </c>
      <c r="CM243" s="219" t="s">
        <v>73</v>
      </c>
      <c r="CN243" s="219" t="s">
        <v>73</v>
      </c>
      <c r="CO243" s="219" t="s">
        <v>73</v>
      </c>
      <c r="CP243" s="220" t="s">
        <v>73</v>
      </c>
    </row>
    <row r="244" spans="47:94" ht="9" customHeight="1">
      <c r="AU244" s="224" t="s">
        <v>73</v>
      </c>
      <c r="AV244" s="219" t="s">
        <v>73</v>
      </c>
      <c r="AW244" s="219" t="s">
        <v>73</v>
      </c>
      <c r="AX244" s="219" t="s">
        <v>73</v>
      </c>
      <c r="AY244" s="219" t="s">
        <v>73</v>
      </c>
      <c r="AZ244" s="219" t="s">
        <v>73</v>
      </c>
      <c r="BA244" s="219" t="s">
        <v>73</v>
      </c>
      <c r="BB244" s="219"/>
      <c r="BC244" s="219"/>
      <c r="BD244" s="219"/>
      <c r="BE244" s="219"/>
      <c r="BF244" s="219"/>
      <c r="BG244" s="219"/>
      <c r="BH244" s="219"/>
      <c r="BI244" s="219"/>
      <c r="BJ244" s="219"/>
      <c r="BK244" s="219"/>
      <c r="BL244" s="219"/>
      <c r="BM244" s="219"/>
      <c r="BN244" s="219"/>
      <c r="BO244" s="219" t="s">
        <v>73</v>
      </c>
      <c r="BP244" s="219"/>
      <c r="BQ244" s="219"/>
      <c r="BR244" s="219"/>
      <c r="BS244" s="219"/>
      <c r="BT244" s="219"/>
      <c r="BU244" s="219"/>
      <c r="BV244" s="219"/>
      <c r="BW244" s="219"/>
      <c r="BX244" s="219"/>
      <c r="BY244" s="219"/>
      <c r="BZ244" s="219"/>
      <c r="CA244" s="219"/>
      <c r="CB244" s="219"/>
      <c r="CC244" s="219"/>
      <c r="CD244" s="219"/>
      <c r="CE244" s="219"/>
      <c r="CF244" s="219"/>
      <c r="CG244" s="219"/>
      <c r="CH244" s="219"/>
      <c r="CI244" s="219"/>
      <c r="CJ244" s="219"/>
      <c r="CK244" s="219" t="s">
        <v>73</v>
      </c>
      <c r="CL244" s="219" t="s">
        <v>73</v>
      </c>
      <c r="CM244" s="219" t="s">
        <v>73</v>
      </c>
      <c r="CN244" s="219" t="s">
        <v>73</v>
      </c>
      <c r="CO244" s="219" t="s">
        <v>73</v>
      </c>
      <c r="CP244" s="220" t="s">
        <v>73</v>
      </c>
    </row>
    <row r="245" spans="47:94" ht="9" customHeight="1">
      <c r="AU245" s="224" t="s">
        <v>73</v>
      </c>
      <c r="AV245" s="219" t="s">
        <v>73</v>
      </c>
      <c r="AW245" s="219" t="s">
        <v>73</v>
      </c>
      <c r="AX245" s="219" t="s">
        <v>73</v>
      </c>
      <c r="AY245" s="219" t="s">
        <v>73</v>
      </c>
      <c r="AZ245" s="219" t="s">
        <v>73</v>
      </c>
      <c r="BA245" s="219" t="s">
        <v>73</v>
      </c>
      <c r="BB245" s="219"/>
      <c r="BC245" s="219"/>
      <c r="BD245" s="219"/>
      <c r="BE245" s="219"/>
      <c r="BF245" s="219"/>
      <c r="BG245" s="219"/>
      <c r="BH245" s="219"/>
      <c r="BI245" s="219"/>
      <c r="BJ245" s="219"/>
      <c r="BK245" s="219"/>
      <c r="BL245" s="219"/>
      <c r="BM245" s="219"/>
      <c r="BN245" s="219"/>
      <c r="BO245" s="219"/>
      <c r="BP245" s="219"/>
      <c r="BQ245" s="219"/>
      <c r="BR245" s="219"/>
      <c r="BS245" s="219"/>
      <c r="BT245" s="219"/>
      <c r="BU245" s="219"/>
      <c r="BV245" s="219"/>
      <c r="BW245" s="219"/>
      <c r="BX245" s="219"/>
      <c r="BY245" s="219"/>
      <c r="BZ245" s="219"/>
      <c r="CA245" s="219"/>
      <c r="CB245" s="219"/>
      <c r="CC245" s="219"/>
      <c r="CD245" s="219"/>
      <c r="CE245" s="219"/>
      <c r="CF245" s="219"/>
      <c r="CG245" s="219"/>
      <c r="CH245" s="219"/>
      <c r="CI245" s="219"/>
      <c r="CJ245" s="219"/>
      <c r="CK245" s="219" t="s">
        <v>73</v>
      </c>
      <c r="CL245" s="219" t="s">
        <v>73</v>
      </c>
      <c r="CM245" s="219" t="s">
        <v>73</v>
      </c>
      <c r="CN245" s="219" t="s">
        <v>73</v>
      </c>
      <c r="CO245" s="219" t="s">
        <v>73</v>
      </c>
      <c r="CP245" s="220" t="s">
        <v>73</v>
      </c>
    </row>
    <row r="246" spans="47:94" ht="9" customHeight="1">
      <c r="AU246" s="224" t="s">
        <v>73</v>
      </c>
      <c r="AV246" s="219" t="s">
        <v>73</v>
      </c>
      <c r="AW246" s="219" t="s">
        <v>73</v>
      </c>
      <c r="AX246" s="219" t="s">
        <v>73</v>
      </c>
      <c r="AY246" s="219" t="s">
        <v>73</v>
      </c>
      <c r="AZ246" s="219" t="s">
        <v>73</v>
      </c>
      <c r="BA246" s="219" t="s">
        <v>73</v>
      </c>
      <c r="BB246" s="219" t="s">
        <v>73</v>
      </c>
      <c r="BC246" s="219" t="s">
        <v>73</v>
      </c>
      <c r="BD246" s="219" t="s">
        <v>73</v>
      </c>
      <c r="BE246" s="219" t="s">
        <v>73</v>
      </c>
      <c r="BF246" s="219" t="s">
        <v>73</v>
      </c>
      <c r="BG246" s="219" t="s">
        <v>73</v>
      </c>
      <c r="BH246" s="219" t="s">
        <v>73</v>
      </c>
      <c r="BI246" s="219"/>
      <c r="BJ246" s="219"/>
      <c r="BK246" s="219"/>
      <c r="BL246" s="219"/>
      <c r="BM246" s="219"/>
      <c r="BN246" s="219"/>
      <c r="BO246" s="219"/>
      <c r="BP246" s="219"/>
      <c r="BQ246" s="219"/>
      <c r="BR246" s="219"/>
      <c r="BS246" s="219"/>
      <c r="BT246" s="219"/>
      <c r="BU246" s="219"/>
      <c r="BV246" s="219"/>
      <c r="BW246" s="219"/>
      <c r="BX246" s="219"/>
      <c r="BY246" s="219"/>
      <c r="BZ246" s="219"/>
      <c r="CA246" s="219"/>
      <c r="CB246" s="219"/>
      <c r="CC246" s="219"/>
      <c r="CD246" s="219"/>
      <c r="CE246" s="219"/>
      <c r="CF246" s="219"/>
      <c r="CG246" s="219"/>
      <c r="CH246" s="219"/>
      <c r="CI246" s="219"/>
      <c r="CJ246" s="219"/>
      <c r="CK246" s="219" t="s">
        <v>73</v>
      </c>
      <c r="CL246" s="219" t="s">
        <v>73</v>
      </c>
      <c r="CM246" s="219" t="s">
        <v>73</v>
      </c>
      <c r="CN246" s="219" t="s">
        <v>73</v>
      </c>
      <c r="CO246" s="219" t="s">
        <v>73</v>
      </c>
      <c r="CP246" s="220" t="s">
        <v>73</v>
      </c>
    </row>
    <row r="247" spans="47:94" ht="9" customHeight="1">
      <c r="AU247" s="224" t="s">
        <v>73</v>
      </c>
      <c r="AV247" s="219" t="s">
        <v>73</v>
      </c>
      <c r="AW247" s="219" t="s">
        <v>73</v>
      </c>
      <c r="AX247" s="219" t="s">
        <v>73</v>
      </c>
      <c r="AY247" s="219" t="s">
        <v>73</v>
      </c>
      <c r="AZ247" s="219" t="s">
        <v>73</v>
      </c>
      <c r="BA247" s="219" t="s">
        <v>73</v>
      </c>
      <c r="BB247" s="219" t="s">
        <v>73</v>
      </c>
      <c r="BC247" s="219" t="s">
        <v>73</v>
      </c>
      <c r="BD247" s="219" t="s">
        <v>73</v>
      </c>
      <c r="BE247" s="219" t="s">
        <v>73</v>
      </c>
      <c r="BF247" s="219" t="s">
        <v>73</v>
      </c>
      <c r="BG247" s="219" t="s">
        <v>73</v>
      </c>
      <c r="BH247" s="219" t="s">
        <v>73</v>
      </c>
      <c r="BI247" s="219"/>
      <c r="BJ247" s="219"/>
      <c r="BK247" s="219"/>
      <c r="BL247" s="219"/>
      <c r="BM247" s="219"/>
      <c r="BN247" s="219"/>
      <c r="BO247" s="219"/>
      <c r="BP247" s="219"/>
      <c r="BQ247" s="219"/>
      <c r="BR247" s="219"/>
      <c r="BS247" s="219"/>
      <c r="BT247" s="219"/>
      <c r="BU247" s="219"/>
      <c r="BV247" s="219"/>
      <c r="BW247" s="219"/>
      <c r="BX247" s="219"/>
      <c r="BY247" s="219"/>
      <c r="BZ247" s="219"/>
      <c r="CA247" s="219"/>
      <c r="CB247" s="219"/>
      <c r="CC247" s="219"/>
      <c r="CD247" s="219"/>
      <c r="CE247" s="219"/>
      <c r="CF247" s="219"/>
      <c r="CG247" s="219"/>
      <c r="CH247" s="219"/>
      <c r="CI247" s="219"/>
      <c r="CJ247" s="219"/>
      <c r="CK247" s="219" t="s">
        <v>73</v>
      </c>
      <c r="CL247" s="219" t="s">
        <v>73</v>
      </c>
      <c r="CM247" s="219" t="s">
        <v>73</v>
      </c>
      <c r="CN247" s="219" t="s">
        <v>73</v>
      </c>
      <c r="CO247" s="219" t="s">
        <v>73</v>
      </c>
      <c r="CP247" s="220" t="s">
        <v>73</v>
      </c>
    </row>
    <row r="248" spans="47:94" ht="9" customHeight="1">
      <c r="AU248" s="224" t="s">
        <v>73</v>
      </c>
      <c r="AV248" s="219" t="s">
        <v>73</v>
      </c>
      <c r="AW248" s="219" t="s">
        <v>73</v>
      </c>
      <c r="AX248" s="219" t="s">
        <v>73</v>
      </c>
      <c r="AY248" s="219" t="s">
        <v>73</v>
      </c>
      <c r="AZ248" s="219" t="s">
        <v>73</v>
      </c>
      <c r="BA248" s="219" t="s">
        <v>73</v>
      </c>
      <c r="BB248" s="219" t="s">
        <v>73</v>
      </c>
      <c r="BC248" s="219" t="s">
        <v>73</v>
      </c>
      <c r="BD248" s="219" t="s">
        <v>73</v>
      </c>
      <c r="BE248" s="219" t="s">
        <v>73</v>
      </c>
      <c r="BF248" s="219" t="s">
        <v>73</v>
      </c>
      <c r="BG248" s="219" t="s">
        <v>73</v>
      </c>
      <c r="BH248" s="219" t="s">
        <v>73</v>
      </c>
      <c r="BI248" s="219" t="s">
        <v>73</v>
      </c>
      <c r="BJ248" s="219" t="s">
        <v>73</v>
      </c>
      <c r="BK248" s="219" t="s">
        <v>73</v>
      </c>
      <c r="BL248" s="219" t="s">
        <v>73</v>
      </c>
      <c r="BM248" s="219" t="s">
        <v>73</v>
      </c>
      <c r="BN248" s="219" t="s">
        <v>73</v>
      </c>
      <c r="BO248" s="219" t="s">
        <v>73</v>
      </c>
      <c r="BP248" s="219" t="s">
        <v>73</v>
      </c>
      <c r="BQ248" s="219"/>
      <c r="BR248" s="219"/>
      <c r="BS248" s="219"/>
      <c r="BT248" s="219"/>
      <c r="BU248" s="219" t="s">
        <v>73</v>
      </c>
      <c r="BV248" s="219" t="s">
        <v>73</v>
      </c>
      <c r="BW248" s="219" t="s">
        <v>73</v>
      </c>
      <c r="BX248" s="219" t="s">
        <v>73</v>
      </c>
      <c r="BY248" s="219" t="s">
        <v>73</v>
      </c>
      <c r="BZ248" s="219" t="s">
        <v>73</v>
      </c>
      <c r="CA248" s="219" t="s">
        <v>73</v>
      </c>
      <c r="CB248" s="219" t="s">
        <v>73</v>
      </c>
      <c r="CC248" s="219" t="s">
        <v>73</v>
      </c>
      <c r="CD248" s="219" t="s">
        <v>73</v>
      </c>
      <c r="CE248" s="219" t="s">
        <v>73</v>
      </c>
      <c r="CF248" s="219" t="s">
        <v>73</v>
      </c>
      <c r="CG248" s="219" t="s">
        <v>73</v>
      </c>
      <c r="CH248" s="219" t="s">
        <v>73</v>
      </c>
      <c r="CI248" s="219" t="s">
        <v>73</v>
      </c>
      <c r="CJ248" s="219" t="s">
        <v>73</v>
      </c>
      <c r="CK248" s="219" t="s">
        <v>73</v>
      </c>
      <c r="CL248" s="219" t="s">
        <v>73</v>
      </c>
      <c r="CM248" s="219" t="s">
        <v>73</v>
      </c>
      <c r="CN248" s="219" t="s">
        <v>73</v>
      </c>
      <c r="CO248" s="219" t="s">
        <v>73</v>
      </c>
      <c r="CP248" s="220" t="s">
        <v>73</v>
      </c>
    </row>
    <row r="249" spans="47:94" ht="9" customHeight="1">
      <c r="AU249" s="224" t="s">
        <v>73</v>
      </c>
      <c r="AV249" s="219" t="s">
        <v>73</v>
      </c>
      <c r="AW249" s="219" t="s">
        <v>73</v>
      </c>
      <c r="AX249" s="219" t="s">
        <v>73</v>
      </c>
      <c r="AY249" s="219" t="s">
        <v>73</v>
      </c>
      <c r="AZ249" s="219" t="s">
        <v>73</v>
      </c>
      <c r="BA249" s="219" t="s">
        <v>73</v>
      </c>
      <c r="BB249" s="219" t="s">
        <v>73</v>
      </c>
      <c r="BC249" s="219" t="s">
        <v>73</v>
      </c>
      <c r="BD249" s="219" t="s">
        <v>73</v>
      </c>
      <c r="BE249" s="219" t="s">
        <v>73</v>
      </c>
      <c r="BF249" s="219" t="s">
        <v>73</v>
      </c>
      <c r="BG249" s="219" t="s">
        <v>73</v>
      </c>
      <c r="BH249" s="219" t="s">
        <v>73</v>
      </c>
      <c r="BI249" s="219" t="s">
        <v>73</v>
      </c>
      <c r="BJ249" s="219" t="s">
        <v>73</v>
      </c>
      <c r="BK249" s="219" t="s">
        <v>73</v>
      </c>
      <c r="BL249" s="219" t="s">
        <v>73</v>
      </c>
      <c r="BM249" s="219" t="s">
        <v>73</v>
      </c>
      <c r="BN249" s="219" t="s">
        <v>73</v>
      </c>
      <c r="BO249" s="219" t="s">
        <v>73</v>
      </c>
      <c r="BP249" s="219" t="s">
        <v>73</v>
      </c>
      <c r="BQ249" s="219"/>
      <c r="BR249" s="219"/>
      <c r="BS249" s="219"/>
      <c r="BT249" s="219"/>
      <c r="BU249" s="219" t="s">
        <v>73</v>
      </c>
      <c r="BV249" s="219" t="s">
        <v>73</v>
      </c>
      <c r="BW249" s="219" t="s">
        <v>73</v>
      </c>
      <c r="BX249" s="219" t="s">
        <v>73</v>
      </c>
      <c r="BY249" s="219" t="s">
        <v>73</v>
      </c>
      <c r="BZ249" s="219" t="s">
        <v>73</v>
      </c>
      <c r="CA249" s="219" t="s">
        <v>73</v>
      </c>
      <c r="CB249" s="219" t="s">
        <v>73</v>
      </c>
      <c r="CC249" s="219" t="s">
        <v>73</v>
      </c>
      <c r="CD249" s="219" t="s">
        <v>73</v>
      </c>
      <c r="CE249" s="219" t="s">
        <v>73</v>
      </c>
      <c r="CF249" s="219" t="s">
        <v>73</v>
      </c>
      <c r="CG249" s="219" t="s">
        <v>73</v>
      </c>
      <c r="CH249" s="219" t="s">
        <v>73</v>
      </c>
      <c r="CI249" s="219" t="s">
        <v>73</v>
      </c>
      <c r="CJ249" s="219" t="s">
        <v>73</v>
      </c>
      <c r="CK249" s="219" t="s">
        <v>73</v>
      </c>
      <c r="CL249" s="219" t="s">
        <v>73</v>
      </c>
      <c r="CM249" s="219" t="s">
        <v>73</v>
      </c>
      <c r="CN249" s="219" t="s">
        <v>73</v>
      </c>
      <c r="CO249" s="219" t="s">
        <v>73</v>
      </c>
      <c r="CP249" s="220" t="s">
        <v>73</v>
      </c>
    </row>
    <row r="250" spans="47:94" ht="9" customHeight="1">
      <c r="AU250" s="224" t="s">
        <v>73</v>
      </c>
      <c r="AV250" s="219" t="s">
        <v>73</v>
      </c>
      <c r="AW250" s="219" t="s">
        <v>73</v>
      </c>
      <c r="AX250" s="219" t="s">
        <v>73</v>
      </c>
      <c r="AY250" s="219" t="s">
        <v>73</v>
      </c>
      <c r="AZ250" s="219" t="s">
        <v>73</v>
      </c>
      <c r="BA250" s="219" t="s">
        <v>73</v>
      </c>
      <c r="BB250" s="219" t="s">
        <v>73</v>
      </c>
      <c r="BC250" s="219" t="s">
        <v>73</v>
      </c>
      <c r="BD250" s="219" t="s">
        <v>73</v>
      </c>
      <c r="BE250" s="219" t="s">
        <v>73</v>
      </c>
      <c r="BF250" s="219" t="s">
        <v>73</v>
      </c>
      <c r="BG250" s="219" t="s">
        <v>73</v>
      </c>
      <c r="BH250" s="219" t="s">
        <v>73</v>
      </c>
      <c r="BI250" s="219" t="s">
        <v>73</v>
      </c>
      <c r="BJ250" s="219" t="s">
        <v>73</v>
      </c>
      <c r="BK250" s="219" t="s">
        <v>73</v>
      </c>
      <c r="BL250" s="219" t="s">
        <v>73</v>
      </c>
      <c r="BM250" s="219" t="s">
        <v>73</v>
      </c>
      <c r="BN250" s="219" t="s">
        <v>73</v>
      </c>
      <c r="BO250" s="219" t="s">
        <v>73</v>
      </c>
      <c r="BP250" s="219" t="s">
        <v>73</v>
      </c>
      <c r="BQ250" s="219"/>
      <c r="BR250" s="219"/>
      <c r="BS250" s="219"/>
      <c r="BT250" s="219"/>
      <c r="BU250" s="219" t="s">
        <v>73</v>
      </c>
      <c r="BV250" s="219" t="s">
        <v>73</v>
      </c>
      <c r="BW250" s="219" t="s">
        <v>73</v>
      </c>
      <c r="BX250" s="219" t="s">
        <v>73</v>
      </c>
      <c r="BY250" s="219" t="s">
        <v>73</v>
      </c>
      <c r="BZ250" s="219" t="s">
        <v>73</v>
      </c>
      <c r="CA250" s="219" t="s">
        <v>73</v>
      </c>
      <c r="CB250" s="219" t="s">
        <v>73</v>
      </c>
      <c r="CC250" s="219" t="s">
        <v>73</v>
      </c>
      <c r="CD250" s="219" t="s">
        <v>73</v>
      </c>
      <c r="CE250" s="219" t="s">
        <v>73</v>
      </c>
      <c r="CF250" s="219" t="s">
        <v>73</v>
      </c>
      <c r="CG250" s="219" t="s">
        <v>73</v>
      </c>
      <c r="CH250" s="219" t="s">
        <v>73</v>
      </c>
      <c r="CI250" s="219" t="s">
        <v>73</v>
      </c>
      <c r="CJ250" s="219" t="s">
        <v>73</v>
      </c>
      <c r="CK250" s="219" t="s">
        <v>73</v>
      </c>
      <c r="CL250" s="219" t="s">
        <v>73</v>
      </c>
      <c r="CM250" s="219" t="s">
        <v>73</v>
      </c>
      <c r="CN250" s="219" t="s">
        <v>73</v>
      </c>
      <c r="CO250" s="219" t="s">
        <v>73</v>
      </c>
      <c r="CP250" s="220" t="s">
        <v>73</v>
      </c>
    </row>
    <row r="251" spans="47:94" ht="9" customHeight="1">
      <c r="AU251" s="224" t="s">
        <v>73</v>
      </c>
      <c r="AV251" s="219" t="s">
        <v>73</v>
      </c>
      <c r="AW251" s="219" t="s">
        <v>73</v>
      </c>
      <c r="AX251" s="219" t="s">
        <v>73</v>
      </c>
      <c r="AY251" s="219" t="s">
        <v>73</v>
      </c>
      <c r="AZ251" s="219" t="s">
        <v>73</v>
      </c>
      <c r="BA251" s="219" t="s">
        <v>73</v>
      </c>
      <c r="BB251" s="219" t="s">
        <v>73</v>
      </c>
      <c r="BC251" s="219" t="s">
        <v>73</v>
      </c>
      <c r="BD251" s="219" t="s">
        <v>73</v>
      </c>
      <c r="BE251" s="219" t="s">
        <v>73</v>
      </c>
      <c r="BF251" s="219" t="s">
        <v>73</v>
      </c>
      <c r="BG251" s="219" t="s">
        <v>73</v>
      </c>
      <c r="BH251" s="219" t="s">
        <v>73</v>
      </c>
      <c r="BI251" s="219" t="s">
        <v>73</v>
      </c>
      <c r="BJ251" s="219" t="s">
        <v>73</v>
      </c>
      <c r="BK251" s="219" t="s">
        <v>73</v>
      </c>
      <c r="BL251" s="219" t="s">
        <v>73</v>
      </c>
      <c r="BM251" s="219" t="s">
        <v>73</v>
      </c>
      <c r="BN251" s="219" t="s">
        <v>73</v>
      </c>
      <c r="BO251" s="219" t="s">
        <v>73</v>
      </c>
      <c r="BP251" s="219" t="s">
        <v>73</v>
      </c>
      <c r="BQ251" s="219"/>
      <c r="BR251" s="219"/>
      <c r="BS251" s="219"/>
      <c r="BT251" s="219"/>
      <c r="BU251" s="219" t="s">
        <v>73</v>
      </c>
      <c r="BV251" s="219" t="s">
        <v>73</v>
      </c>
      <c r="BW251" s="219" t="s">
        <v>73</v>
      </c>
      <c r="BX251" s="219" t="s">
        <v>73</v>
      </c>
      <c r="BY251" s="219" t="s">
        <v>73</v>
      </c>
      <c r="BZ251" s="219" t="s">
        <v>73</v>
      </c>
      <c r="CA251" s="219" t="s">
        <v>73</v>
      </c>
      <c r="CB251" s="219" t="s">
        <v>73</v>
      </c>
      <c r="CC251" s="219" t="s">
        <v>73</v>
      </c>
      <c r="CD251" s="219" t="s">
        <v>73</v>
      </c>
      <c r="CE251" s="219" t="s">
        <v>73</v>
      </c>
      <c r="CF251" s="219" t="s">
        <v>73</v>
      </c>
      <c r="CG251" s="219" t="s">
        <v>73</v>
      </c>
      <c r="CH251" s="219" t="s">
        <v>73</v>
      </c>
      <c r="CI251" s="219" t="s">
        <v>73</v>
      </c>
      <c r="CJ251" s="219" t="s">
        <v>73</v>
      </c>
      <c r="CK251" s="219" t="s">
        <v>73</v>
      </c>
      <c r="CL251" s="219" t="s">
        <v>73</v>
      </c>
      <c r="CM251" s="219" t="s">
        <v>73</v>
      </c>
      <c r="CN251" s="219" t="s">
        <v>73</v>
      </c>
      <c r="CO251" s="219" t="s">
        <v>73</v>
      </c>
      <c r="CP251" s="220" t="s">
        <v>73</v>
      </c>
    </row>
    <row r="252" spans="47:94" ht="9" customHeight="1" thickBot="1">
      <c r="AU252" s="225" t="s">
        <v>73</v>
      </c>
      <c r="AV252" s="221" t="s">
        <v>73</v>
      </c>
      <c r="AW252" s="221" t="s">
        <v>73</v>
      </c>
      <c r="AX252" s="221" t="s">
        <v>73</v>
      </c>
      <c r="AY252" s="221" t="s">
        <v>73</v>
      </c>
      <c r="AZ252" s="221" t="s">
        <v>73</v>
      </c>
      <c r="BA252" s="221" t="s">
        <v>73</v>
      </c>
      <c r="BB252" s="221" t="s">
        <v>73</v>
      </c>
      <c r="BC252" s="221" t="s">
        <v>73</v>
      </c>
      <c r="BD252" s="221" t="s">
        <v>73</v>
      </c>
      <c r="BE252" s="221" t="s">
        <v>73</v>
      </c>
      <c r="BF252" s="221" t="s">
        <v>73</v>
      </c>
      <c r="BG252" s="221" t="s">
        <v>73</v>
      </c>
      <c r="BH252" s="221" t="s">
        <v>73</v>
      </c>
      <c r="BI252" s="221" t="s">
        <v>73</v>
      </c>
      <c r="BJ252" s="221" t="s">
        <v>73</v>
      </c>
      <c r="BK252" s="221" t="s">
        <v>73</v>
      </c>
      <c r="BL252" s="221" t="s">
        <v>73</v>
      </c>
      <c r="BM252" s="221" t="s">
        <v>73</v>
      </c>
      <c r="BN252" s="221" t="s">
        <v>73</v>
      </c>
      <c r="BO252" s="221" t="s">
        <v>73</v>
      </c>
      <c r="BP252" s="221" t="s">
        <v>73</v>
      </c>
      <c r="BQ252" s="221"/>
      <c r="BR252" s="221"/>
      <c r="BS252" s="221"/>
      <c r="BT252" s="221"/>
      <c r="BU252" s="221" t="s">
        <v>73</v>
      </c>
      <c r="BV252" s="221" t="s">
        <v>73</v>
      </c>
      <c r="BW252" s="221" t="s">
        <v>73</v>
      </c>
      <c r="BX252" s="221" t="s">
        <v>73</v>
      </c>
      <c r="BY252" s="221" t="s">
        <v>73</v>
      </c>
      <c r="BZ252" s="221" t="s">
        <v>73</v>
      </c>
      <c r="CA252" s="221" t="s">
        <v>73</v>
      </c>
      <c r="CB252" s="221" t="s">
        <v>73</v>
      </c>
      <c r="CC252" s="221" t="s">
        <v>73</v>
      </c>
      <c r="CD252" s="221" t="s">
        <v>73</v>
      </c>
      <c r="CE252" s="221" t="s">
        <v>73</v>
      </c>
      <c r="CF252" s="221" t="s">
        <v>73</v>
      </c>
      <c r="CG252" s="221" t="s">
        <v>73</v>
      </c>
      <c r="CH252" s="221" t="s">
        <v>73</v>
      </c>
      <c r="CI252" s="221" t="s">
        <v>73</v>
      </c>
      <c r="CJ252" s="221" t="s">
        <v>73</v>
      </c>
      <c r="CK252" s="221" t="s">
        <v>73</v>
      </c>
      <c r="CL252" s="221" t="s">
        <v>73</v>
      </c>
      <c r="CM252" s="221" t="s">
        <v>73</v>
      </c>
      <c r="CN252" s="221" t="s">
        <v>73</v>
      </c>
      <c r="CO252" s="221" t="s">
        <v>73</v>
      </c>
      <c r="CP252" s="222" t="s">
        <v>73</v>
      </c>
    </row>
    <row r="253" spans="47:94" ht="9" customHeight="1">
      <c r="BG253" s="223" t="s">
        <v>73</v>
      </c>
      <c r="BH253" s="217" t="s">
        <v>73</v>
      </c>
      <c r="BI253" s="217" t="s">
        <v>73</v>
      </c>
      <c r="BJ253" s="217" t="s">
        <v>73</v>
      </c>
      <c r="BK253" s="217" t="s">
        <v>73</v>
      </c>
      <c r="BL253" s="217" t="s">
        <v>73</v>
      </c>
      <c r="BM253" s="217" t="s">
        <v>73</v>
      </c>
      <c r="BN253" s="217" t="s">
        <v>73</v>
      </c>
      <c r="BO253" s="217" t="s">
        <v>73</v>
      </c>
      <c r="BP253" s="217" t="s">
        <v>73</v>
      </c>
      <c r="BQ253" s="217"/>
      <c r="BR253" s="217"/>
      <c r="BS253" s="217"/>
      <c r="BT253" s="217"/>
      <c r="BU253" s="217" t="s">
        <v>73</v>
      </c>
      <c r="BV253" s="217" t="s">
        <v>73</v>
      </c>
      <c r="BW253" s="217" t="s">
        <v>73</v>
      </c>
      <c r="BX253" s="217" t="s">
        <v>73</v>
      </c>
      <c r="BY253" s="217" t="s">
        <v>73</v>
      </c>
      <c r="BZ253" s="217" t="s">
        <v>73</v>
      </c>
      <c r="CA253" s="217" t="s">
        <v>73</v>
      </c>
      <c r="CB253" s="217" t="s">
        <v>73</v>
      </c>
      <c r="CC253" s="217" t="s">
        <v>73</v>
      </c>
      <c r="CD253" s="218" t="s">
        <v>73</v>
      </c>
    </row>
    <row r="254" spans="47:94" ht="9" customHeight="1">
      <c r="BG254" s="224" t="s">
        <v>73</v>
      </c>
      <c r="BH254" s="219" t="s">
        <v>73</v>
      </c>
      <c r="BI254" s="219" t="s">
        <v>73</v>
      </c>
      <c r="BJ254" s="219" t="s">
        <v>73</v>
      </c>
      <c r="BK254" s="219" t="s">
        <v>73</v>
      </c>
      <c r="BL254" s="219" t="s">
        <v>73</v>
      </c>
      <c r="BM254" s="219" t="s">
        <v>73</v>
      </c>
      <c r="BN254" s="219" t="s">
        <v>73</v>
      </c>
      <c r="BO254" s="219" t="s">
        <v>73</v>
      </c>
      <c r="BP254" s="219" t="s">
        <v>73</v>
      </c>
      <c r="BQ254" s="219"/>
      <c r="BR254" s="219"/>
      <c r="BS254" s="219"/>
      <c r="BT254" s="219"/>
      <c r="BU254" s="219" t="s">
        <v>73</v>
      </c>
      <c r="BV254" s="219" t="s">
        <v>73</v>
      </c>
      <c r="BW254" s="219" t="s">
        <v>73</v>
      </c>
      <c r="BX254" s="219" t="s">
        <v>73</v>
      </c>
      <c r="BY254" s="219" t="s">
        <v>73</v>
      </c>
      <c r="BZ254" s="219" t="s">
        <v>73</v>
      </c>
      <c r="CA254" s="219" t="s">
        <v>73</v>
      </c>
      <c r="CB254" s="219" t="s">
        <v>73</v>
      </c>
      <c r="CC254" s="219" t="s">
        <v>73</v>
      </c>
      <c r="CD254" s="220" t="s">
        <v>73</v>
      </c>
    </row>
    <row r="255" spans="47:94" ht="9" customHeight="1">
      <c r="BG255" s="224" t="s">
        <v>73</v>
      </c>
      <c r="BH255" s="219" t="s">
        <v>73</v>
      </c>
      <c r="BI255" s="219"/>
      <c r="BJ255" s="219"/>
      <c r="BK255" s="219"/>
      <c r="BL255" s="219"/>
      <c r="BM255" s="219"/>
      <c r="BN255" s="219"/>
      <c r="BO255" s="219"/>
      <c r="BP255" s="219"/>
      <c r="BQ255" s="219"/>
      <c r="BR255" s="219"/>
      <c r="BS255" s="219"/>
      <c r="BT255" s="219"/>
      <c r="BU255" s="219"/>
      <c r="BV255" s="219"/>
      <c r="BW255" s="219"/>
      <c r="BX255" s="219"/>
      <c r="BY255" s="219"/>
      <c r="BZ255" s="219"/>
      <c r="CA255" s="219"/>
      <c r="CB255" s="219"/>
      <c r="CC255" s="219" t="s">
        <v>73</v>
      </c>
      <c r="CD255" s="220" t="s">
        <v>73</v>
      </c>
    </row>
    <row r="256" spans="47:94" ht="9" customHeight="1">
      <c r="BG256" s="224" t="s">
        <v>73</v>
      </c>
      <c r="BH256" s="219" t="s">
        <v>73</v>
      </c>
      <c r="BI256" s="219"/>
      <c r="BJ256" s="219"/>
      <c r="BK256" s="219"/>
      <c r="BL256" s="219"/>
      <c r="BM256" s="219"/>
      <c r="BN256" s="219"/>
      <c r="BO256" s="219" t="s">
        <v>73</v>
      </c>
      <c r="BP256" s="219" t="s">
        <v>73</v>
      </c>
      <c r="BQ256" s="219"/>
      <c r="BR256" s="219"/>
      <c r="BS256" s="219"/>
      <c r="BT256" s="219"/>
      <c r="BU256" s="219"/>
      <c r="BV256" s="219"/>
      <c r="BW256" s="219"/>
      <c r="BX256" s="219"/>
      <c r="BY256" s="219"/>
      <c r="BZ256" s="219"/>
      <c r="CA256" s="219"/>
      <c r="CB256" s="219"/>
      <c r="CC256" s="219" t="s">
        <v>73</v>
      </c>
      <c r="CD256" s="220" t="s">
        <v>73</v>
      </c>
    </row>
    <row r="257" spans="59:82" ht="9" customHeight="1">
      <c r="BG257" s="224" t="s">
        <v>73</v>
      </c>
      <c r="BH257" s="219" t="s">
        <v>73</v>
      </c>
      <c r="BI257" s="219"/>
      <c r="BJ257" s="219"/>
      <c r="BK257" s="219"/>
      <c r="BL257" s="219"/>
      <c r="BM257" s="219"/>
      <c r="BN257" s="219"/>
      <c r="BO257" s="219" t="s">
        <v>73</v>
      </c>
      <c r="BP257" s="219" t="s">
        <v>73</v>
      </c>
      <c r="BQ257" s="219"/>
      <c r="BR257" s="219"/>
      <c r="BS257" s="219"/>
      <c r="BT257" s="219"/>
      <c r="BU257" s="219"/>
      <c r="BV257" s="219"/>
      <c r="BW257" s="219"/>
      <c r="BX257" s="219"/>
      <c r="BY257" s="219"/>
      <c r="BZ257" s="219"/>
      <c r="CA257" s="219"/>
      <c r="CB257" s="219"/>
      <c r="CC257" s="219" t="s">
        <v>73</v>
      </c>
      <c r="CD257" s="220" t="s">
        <v>73</v>
      </c>
    </row>
    <row r="258" spans="59:82" ht="9" customHeight="1">
      <c r="BG258" s="224" t="s">
        <v>73</v>
      </c>
      <c r="BH258" s="219" t="s">
        <v>73</v>
      </c>
      <c r="BI258" s="219" t="s">
        <v>1320</v>
      </c>
      <c r="BJ258" s="219" t="s">
        <v>1320</v>
      </c>
      <c r="BK258" s="219" t="s">
        <v>1320</v>
      </c>
      <c r="BL258" s="219" t="s">
        <v>1320</v>
      </c>
      <c r="BM258" s="219" t="s">
        <v>1320</v>
      </c>
      <c r="BN258" s="219" t="s">
        <v>1320</v>
      </c>
      <c r="BO258" s="219" t="s">
        <v>73</v>
      </c>
      <c r="BP258" s="219" t="s">
        <v>73</v>
      </c>
      <c r="BQ258" s="219" t="s">
        <v>1320</v>
      </c>
      <c r="BR258" s="219" t="s">
        <v>1320</v>
      </c>
      <c r="BS258" s="219" t="s">
        <v>1320</v>
      </c>
      <c r="BT258" s="219" t="s">
        <v>1320</v>
      </c>
      <c r="BU258" s="219" t="s">
        <v>1320</v>
      </c>
      <c r="BV258" s="219" t="s">
        <v>1320</v>
      </c>
      <c r="BW258" s="219"/>
      <c r="BX258" s="219"/>
      <c r="BY258" s="219"/>
      <c r="BZ258" s="219"/>
      <c r="CA258" s="219"/>
      <c r="CB258" s="219"/>
      <c r="CC258" s="219" t="s">
        <v>73</v>
      </c>
      <c r="CD258" s="220" t="s">
        <v>73</v>
      </c>
    </row>
    <row r="259" spans="59:82" ht="9" customHeight="1">
      <c r="BG259" s="224" t="s">
        <v>73</v>
      </c>
      <c r="BH259" s="219" t="s">
        <v>73</v>
      </c>
      <c r="BI259" s="219"/>
      <c r="BJ259" s="219"/>
      <c r="BK259" s="219"/>
      <c r="BL259" s="219"/>
      <c r="BM259" s="219"/>
      <c r="BN259" s="219"/>
      <c r="BO259" s="219" t="s">
        <v>73</v>
      </c>
      <c r="BP259" s="219" t="s">
        <v>73</v>
      </c>
      <c r="BQ259" s="219" t="s">
        <v>1348</v>
      </c>
      <c r="BR259" s="219" t="s">
        <v>1348</v>
      </c>
      <c r="BS259" s="219" t="s">
        <v>1348</v>
      </c>
      <c r="BT259" s="219" t="s">
        <v>1348</v>
      </c>
      <c r="BU259" s="219" t="s">
        <v>1348</v>
      </c>
      <c r="BV259" s="219" t="s">
        <v>1348</v>
      </c>
      <c r="BW259" s="219" t="s">
        <v>1348</v>
      </c>
      <c r="BX259" s="219" t="s">
        <v>1348</v>
      </c>
      <c r="BY259" s="219" t="s">
        <v>1348</v>
      </c>
      <c r="BZ259" s="219" t="s">
        <v>1348</v>
      </c>
      <c r="CA259" s="219" t="s">
        <v>1348</v>
      </c>
      <c r="CB259" s="219" t="s">
        <v>1348</v>
      </c>
      <c r="CC259" s="219" t="s">
        <v>73</v>
      </c>
      <c r="CD259" s="220" t="s">
        <v>73</v>
      </c>
    </row>
    <row r="260" spans="59:82" ht="9" customHeight="1">
      <c r="BG260" s="224" t="s">
        <v>73</v>
      </c>
      <c r="BH260" s="219" t="s">
        <v>73</v>
      </c>
      <c r="BI260" s="219"/>
      <c r="BJ260" s="219"/>
      <c r="BK260" s="219"/>
      <c r="BL260" s="219"/>
      <c r="BM260" s="219"/>
      <c r="BN260" s="219"/>
      <c r="BO260" s="219" t="s">
        <v>73</v>
      </c>
      <c r="BP260" s="219" t="s">
        <v>73</v>
      </c>
      <c r="BQ260" s="219" t="s">
        <v>1348</v>
      </c>
      <c r="BR260" s="219" t="s">
        <v>1348</v>
      </c>
      <c r="BS260" s="219" t="s">
        <v>1348</v>
      </c>
      <c r="BT260" s="219" t="s">
        <v>1348</v>
      </c>
      <c r="BU260" s="219" t="s">
        <v>1348</v>
      </c>
      <c r="BV260" s="219" t="s">
        <v>1348</v>
      </c>
      <c r="BW260" s="219" t="s">
        <v>1348</v>
      </c>
      <c r="BX260" s="219" t="s">
        <v>1348</v>
      </c>
      <c r="BY260" s="219" t="s">
        <v>1348</v>
      </c>
      <c r="BZ260" s="219" t="s">
        <v>1348</v>
      </c>
      <c r="CA260" s="219" t="s">
        <v>1348</v>
      </c>
      <c r="CB260" s="219" t="s">
        <v>1348</v>
      </c>
      <c r="CC260" s="219" t="s">
        <v>73</v>
      </c>
      <c r="CD260" s="220" t="s">
        <v>73</v>
      </c>
    </row>
    <row r="261" spans="59:82" ht="9" customHeight="1">
      <c r="BG261" s="224" t="s">
        <v>73</v>
      </c>
      <c r="BH261" s="219" t="s">
        <v>73</v>
      </c>
      <c r="BI261" s="219"/>
      <c r="BJ261" s="219"/>
      <c r="BK261" s="219"/>
      <c r="BL261" s="219"/>
      <c r="BM261" s="219"/>
      <c r="BN261" s="219"/>
      <c r="BO261" s="219" t="s">
        <v>73</v>
      </c>
      <c r="BP261" s="219" t="s">
        <v>73</v>
      </c>
      <c r="BQ261" s="219" t="s">
        <v>1348</v>
      </c>
      <c r="BR261" s="219" t="s">
        <v>1348</v>
      </c>
      <c r="BS261" s="219" t="s">
        <v>1348</v>
      </c>
      <c r="BT261" s="219" t="s">
        <v>1348</v>
      </c>
      <c r="BU261" s="219" t="s">
        <v>1348</v>
      </c>
      <c r="BV261" s="219" t="s">
        <v>1348</v>
      </c>
      <c r="BW261" s="219" t="s">
        <v>1348</v>
      </c>
      <c r="BX261" s="219" t="s">
        <v>1348</v>
      </c>
      <c r="BY261" s="219" t="s">
        <v>1348</v>
      </c>
      <c r="BZ261" s="219" t="s">
        <v>1348</v>
      </c>
      <c r="CA261" s="219" t="s">
        <v>1348</v>
      </c>
      <c r="CB261" s="219" t="s">
        <v>1348</v>
      </c>
      <c r="CC261" s="219" t="s">
        <v>73</v>
      </c>
      <c r="CD261" s="220" t="s">
        <v>73</v>
      </c>
    </row>
    <row r="262" spans="59:82" ht="9" customHeight="1">
      <c r="BG262" s="224" t="s">
        <v>73</v>
      </c>
      <c r="BH262" s="219" t="s">
        <v>73</v>
      </c>
      <c r="BI262" s="219"/>
      <c r="BJ262" s="219"/>
      <c r="BK262" s="219"/>
      <c r="BL262" s="219"/>
      <c r="BM262" s="219"/>
      <c r="BN262" s="219"/>
      <c r="BO262" s="219" t="s">
        <v>73</v>
      </c>
      <c r="BP262" s="219" t="s">
        <v>73</v>
      </c>
      <c r="BQ262" s="219" t="s">
        <v>1348</v>
      </c>
      <c r="BR262" s="219" t="s">
        <v>1348</v>
      </c>
      <c r="BS262" s="219" t="s">
        <v>1348</v>
      </c>
      <c r="BT262" s="219" t="s">
        <v>1348</v>
      </c>
      <c r="BU262" s="219" t="s">
        <v>1348</v>
      </c>
      <c r="BV262" s="219" t="s">
        <v>1348</v>
      </c>
      <c r="BW262" s="219" t="s">
        <v>1348</v>
      </c>
      <c r="BX262" s="219" t="s">
        <v>1348</v>
      </c>
      <c r="BY262" s="219" t="s">
        <v>1348</v>
      </c>
      <c r="BZ262" s="219" t="s">
        <v>1348</v>
      </c>
      <c r="CA262" s="219" t="s">
        <v>1348</v>
      </c>
      <c r="CB262" s="219" t="s">
        <v>1348</v>
      </c>
      <c r="CC262" s="219" t="s">
        <v>73</v>
      </c>
      <c r="CD262" s="220" t="s">
        <v>73</v>
      </c>
    </row>
    <row r="263" spans="59:82" ht="9" customHeight="1">
      <c r="BG263" s="224" t="s">
        <v>73</v>
      </c>
      <c r="BH263" s="219" t="s">
        <v>73</v>
      </c>
      <c r="BI263" s="219" t="s">
        <v>1320</v>
      </c>
      <c r="BJ263" s="219" t="s">
        <v>1320</v>
      </c>
      <c r="BK263" s="219" t="s">
        <v>1320</v>
      </c>
      <c r="BL263" s="219" t="s">
        <v>1320</v>
      </c>
      <c r="BM263" s="219" t="s">
        <v>1320</v>
      </c>
      <c r="BN263" s="219" t="s">
        <v>1320</v>
      </c>
      <c r="BO263" s="219" t="s">
        <v>73</v>
      </c>
      <c r="BP263" s="219" t="s">
        <v>73</v>
      </c>
      <c r="BQ263" s="219" t="s">
        <v>1348</v>
      </c>
      <c r="BR263" s="219" t="s">
        <v>1348</v>
      </c>
      <c r="BS263" s="219" t="s">
        <v>1348</v>
      </c>
      <c r="BT263" s="219" t="s">
        <v>1348</v>
      </c>
      <c r="BU263" s="219" t="s">
        <v>1348</v>
      </c>
      <c r="BV263" s="219" t="s">
        <v>1348</v>
      </c>
      <c r="BW263" s="219" t="s">
        <v>1348</v>
      </c>
      <c r="BX263" s="219" t="s">
        <v>1348</v>
      </c>
      <c r="BY263" s="219" t="s">
        <v>1348</v>
      </c>
      <c r="BZ263" s="219" t="s">
        <v>1348</v>
      </c>
      <c r="CA263" s="219" t="s">
        <v>1348</v>
      </c>
      <c r="CB263" s="219" t="s">
        <v>1348</v>
      </c>
      <c r="CC263" s="219" t="s">
        <v>73</v>
      </c>
      <c r="CD263" s="220" t="s">
        <v>73</v>
      </c>
    </row>
    <row r="264" spans="59:82" ht="9" customHeight="1">
      <c r="BG264" s="224" t="s">
        <v>73</v>
      </c>
      <c r="BH264" s="219" t="s">
        <v>73</v>
      </c>
      <c r="BI264" s="219"/>
      <c r="BJ264" s="219"/>
      <c r="BK264" s="219"/>
      <c r="BL264" s="219"/>
      <c r="BM264" s="219"/>
      <c r="BN264" s="219"/>
      <c r="BO264" s="219" t="s">
        <v>73</v>
      </c>
      <c r="BP264" s="219" t="s">
        <v>73</v>
      </c>
      <c r="BQ264" s="219"/>
      <c r="BR264" s="219"/>
      <c r="BS264" s="219"/>
      <c r="BT264" s="219"/>
      <c r="BU264" s="219"/>
      <c r="BV264" s="219"/>
      <c r="BW264" s="219"/>
      <c r="BX264" s="219"/>
      <c r="BY264" s="219"/>
      <c r="BZ264" s="219"/>
      <c r="CA264" s="219"/>
      <c r="CB264" s="219"/>
      <c r="CC264" s="219" t="s">
        <v>73</v>
      </c>
      <c r="CD264" s="220" t="s">
        <v>73</v>
      </c>
    </row>
    <row r="265" spans="59:82" ht="9" customHeight="1">
      <c r="BG265" s="224" t="s">
        <v>73</v>
      </c>
      <c r="BH265" s="219" t="s">
        <v>73</v>
      </c>
      <c r="BI265" s="219"/>
      <c r="BJ265" s="219"/>
      <c r="BK265" s="219"/>
      <c r="BL265" s="219"/>
      <c r="BM265" s="219"/>
      <c r="BN265" s="219"/>
      <c r="BO265" s="219"/>
      <c r="BP265" s="219"/>
      <c r="BQ265" s="219"/>
      <c r="BR265" s="219"/>
      <c r="BS265" s="219"/>
      <c r="BT265" s="219"/>
      <c r="BU265" s="219"/>
      <c r="BV265" s="219"/>
      <c r="BW265" s="219"/>
      <c r="BX265" s="219"/>
      <c r="BY265" s="219"/>
      <c r="BZ265" s="219"/>
      <c r="CA265" s="219"/>
      <c r="CB265" s="219"/>
      <c r="CC265" s="219" t="s">
        <v>73</v>
      </c>
      <c r="CD265" s="220" t="s">
        <v>73</v>
      </c>
    </row>
    <row r="266" spans="59:82" ht="9" customHeight="1">
      <c r="BG266" s="224" t="s">
        <v>73</v>
      </c>
      <c r="BH266" s="219" t="s">
        <v>73</v>
      </c>
      <c r="BI266" s="219"/>
      <c r="BJ266" s="219"/>
      <c r="BK266" s="219"/>
      <c r="BL266" s="219"/>
      <c r="BM266" s="219"/>
      <c r="BN266" s="219"/>
      <c r="BO266" s="219"/>
      <c r="BP266" s="219"/>
      <c r="BQ266" s="219"/>
      <c r="BR266" s="219"/>
      <c r="BS266" s="219"/>
      <c r="BT266" s="219"/>
      <c r="BU266" s="219"/>
      <c r="BV266" s="219"/>
      <c r="BW266" s="219" t="s">
        <v>1348</v>
      </c>
      <c r="BX266" s="219" t="s">
        <v>1348</v>
      </c>
      <c r="BY266" s="219" t="s">
        <v>1348</v>
      </c>
      <c r="BZ266" s="219" t="s">
        <v>1348</v>
      </c>
      <c r="CA266" s="219" t="s">
        <v>1348</v>
      </c>
      <c r="CB266" s="219" t="s">
        <v>1348</v>
      </c>
      <c r="CC266" s="219" t="s">
        <v>73</v>
      </c>
      <c r="CD266" s="220" t="s">
        <v>73</v>
      </c>
    </row>
    <row r="267" spans="59:82" ht="9" customHeight="1">
      <c r="BG267" s="224" t="s">
        <v>73</v>
      </c>
      <c r="BH267" s="219" t="s">
        <v>73</v>
      </c>
      <c r="BI267" s="219" t="s">
        <v>73</v>
      </c>
      <c r="BJ267" s="219" t="s">
        <v>73</v>
      </c>
      <c r="BK267" s="219"/>
      <c r="BL267" s="219"/>
      <c r="BM267" s="219"/>
      <c r="BN267" s="219"/>
      <c r="BO267" s="219"/>
      <c r="BP267" s="219"/>
      <c r="BQ267" s="219" t="s">
        <v>73</v>
      </c>
      <c r="BR267" s="219" t="s">
        <v>73</v>
      </c>
      <c r="BS267" s="219" t="s">
        <v>73</v>
      </c>
      <c r="BT267" s="219" t="s">
        <v>73</v>
      </c>
      <c r="BU267" s="219" t="s">
        <v>73</v>
      </c>
      <c r="BV267" s="219" t="s">
        <v>73</v>
      </c>
      <c r="BW267" s="219" t="s">
        <v>1348</v>
      </c>
      <c r="BX267" s="219" t="s">
        <v>1348</v>
      </c>
      <c r="BY267" s="219" t="s">
        <v>1348</v>
      </c>
      <c r="BZ267" s="219" t="s">
        <v>1348</v>
      </c>
      <c r="CA267" s="219" t="s">
        <v>1348</v>
      </c>
      <c r="CB267" s="219" t="s">
        <v>1348</v>
      </c>
      <c r="CC267" s="219" t="s">
        <v>73</v>
      </c>
      <c r="CD267" s="220" t="s">
        <v>73</v>
      </c>
    </row>
    <row r="268" spans="59:82" ht="9" customHeight="1">
      <c r="BG268" s="224" t="s">
        <v>73</v>
      </c>
      <c r="BH268" s="219" t="s">
        <v>73</v>
      </c>
      <c r="BI268" s="219" t="s">
        <v>73</v>
      </c>
      <c r="BJ268" s="219" t="s">
        <v>73</v>
      </c>
      <c r="BK268" s="219" t="s">
        <v>1320</v>
      </c>
      <c r="BL268" s="219" t="s">
        <v>1320</v>
      </c>
      <c r="BM268" s="219" t="s">
        <v>1320</v>
      </c>
      <c r="BN268" s="219" t="s">
        <v>1320</v>
      </c>
      <c r="BO268" s="219" t="s">
        <v>1320</v>
      </c>
      <c r="BP268" s="219" t="s">
        <v>1320</v>
      </c>
      <c r="BQ268" s="219" t="s">
        <v>73</v>
      </c>
      <c r="BR268" s="219" t="s">
        <v>73</v>
      </c>
      <c r="BS268" s="219" t="s">
        <v>73</v>
      </c>
      <c r="BT268" s="219" t="s">
        <v>73</v>
      </c>
      <c r="BU268" s="219" t="s">
        <v>73</v>
      </c>
      <c r="BV268" s="219" t="s">
        <v>73</v>
      </c>
      <c r="BW268" s="219" t="s">
        <v>1348</v>
      </c>
      <c r="BX268" s="219" t="s">
        <v>1348</v>
      </c>
      <c r="BY268" s="219" t="s">
        <v>1348</v>
      </c>
      <c r="BZ268" s="219" t="s">
        <v>1348</v>
      </c>
      <c r="CA268" s="219" t="s">
        <v>1348</v>
      </c>
      <c r="CB268" s="219" t="s">
        <v>1348</v>
      </c>
      <c r="CC268" s="219" t="s">
        <v>73</v>
      </c>
      <c r="CD268" s="220" t="s">
        <v>73</v>
      </c>
    </row>
    <row r="269" spans="59:82" ht="9" customHeight="1">
      <c r="BG269" s="224" t="s">
        <v>73</v>
      </c>
      <c r="BH269" s="219" t="s">
        <v>73</v>
      </c>
      <c r="BI269" s="219" t="s">
        <v>73</v>
      </c>
      <c r="BJ269" s="219" t="s">
        <v>73</v>
      </c>
      <c r="BK269" s="219"/>
      <c r="BL269" s="219"/>
      <c r="BM269" s="219"/>
      <c r="BN269" s="219"/>
      <c r="BO269" s="219"/>
      <c r="BP269" s="219"/>
      <c r="BQ269" s="219" t="s">
        <v>73</v>
      </c>
      <c r="BR269" s="219" t="s">
        <v>73</v>
      </c>
      <c r="BS269" s="219" t="s">
        <v>73</v>
      </c>
      <c r="BT269" s="219" t="s">
        <v>73</v>
      </c>
      <c r="BU269" s="219" t="s">
        <v>73</v>
      </c>
      <c r="BV269" s="219" t="s">
        <v>73</v>
      </c>
      <c r="BW269" s="219" t="s">
        <v>1348</v>
      </c>
      <c r="BX269" s="219" t="s">
        <v>1348</v>
      </c>
      <c r="BY269" s="219" t="s">
        <v>1348</v>
      </c>
      <c r="BZ269" s="219" t="s">
        <v>1348</v>
      </c>
      <c r="CA269" s="219" t="s">
        <v>1348</v>
      </c>
      <c r="CB269" s="219" t="s">
        <v>1348</v>
      </c>
      <c r="CC269" s="219" t="s">
        <v>73</v>
      </c>
      <c r="CD269" s="220" t="s">
        <v>73</v>
      </c>
    </row>
    <row r="270" spans="59:82" ht="9" customHeight="1">
      <c r="BG270" s="224" t="s">
        <v>73</v>
      </c>
      <c r="BH270" s="219" t="s">
        <v>73</v>
      </c>
      <c r="BI270" s="219"/>
      <c r="BJ270" s="219"/>
      <c r="BK270" s="219"/>
      <c r="BL270" s="219"/>
      <c r="BM270" s="219"/>
      <c r="BN270" s="219"/>
      <c r="BO270" s="219"/>
      <c r="BP270" s="219"/>
      <c r="BQ270" s="219"/>
      <c r="BR270" s="219"/>
      <c r="BS270" s="219"/>
      <c r="BT270" s="219"/>
      <c r="BU270" s="219"/>
      <c r="BV270" s="219"/>
      <c r="BW270" s="219" t="s">
        <v>1348</v>
      </c>
      <c r="BX270" s="219" t="s">
        <v>1348</v>
      </c>
      <c r="BY270" s="219" t="s">
        <v>1348</v>
      </c>
      <c r="BZ270" s="219" t="s">
        <v>1348</v>
      </c>
      <c r="CA270" s="219" t="s">
        <v>1348</v>
      </c>
      <c r="CB270" s="219" t="s">
        <v>1348</v>
      </c>
      <c r="CC270" s="219" t="s">
        <v>73</v>
      </c>
      <c r="CD270" s="220" t="s">
        <v>73</v>
      </c>
    </row>
    <row r="271" spans="59:82" ht="9" customHeight="1">
      <c r="BG271" s="224" t="s">
        <v>73</v>
      </c>
      <c r="BH271" s="219" t="s">
        <v>73</v>
      </c>
      <c r="BI271" s="219"/>
      <c r="BJ271" s="219"/>
      <c r="BK271" s="219"/>
      <c r="BL271" s="219"/>
      <c r="BM271" s="219"/>
      <c r="BN271" s="219"/>
      <c r="BO271" s="219"/>
      <c r="BP271" s="219"/>
      <c r="BQ271" s="219"/>
      <c r="BR271" s="219"/>
      <c r="BS271" s="219"/>
      <c r="BT271" s="219"/>
      <c r="BU271" s="219"/>
      <c r="BV271" s="219"/>
      <c r="BW271" s="219"/>
      <c r="BX271" s="219"/>
      <c r="BY271" s="219"/>
      <c r="BZ271" s="219"/>
      <c r="CA271" s="219"/>
      <c r="CB271" s="219"/>
      <c r="CC271" s="219" t="s">
        <v>73</v>
      </c>
      <c r="CD271" s="220" t="s">
        <v>73</v>
      </c>
    </row>
    <row r="272" spans="59:82" ht="9" customHeight="1">
      <c r="BG272" s="224" t="s">
        <v>73</v>
      </c>
      <c r="BH272" s="219" t="s">
        <v>73</v>
      </c>
      <c r="BI272" s="219"/>
      <c r="BJ272" s="219"/>
      <c r="BK272" s="219"/>
      <c r="BL272" s="219"/>
      <c r="BM272" s="219"/>
      <c r="BN272" s="219"/>
      <c r="BO272" s="219"/>
      <c r="BP272" s="219"/>
      <c r="BQ272" s="219"/>
      <c r="BR272" s="219"/>
      <c r="BS272" s="219"/>
      <c r="BT272" s="219"/>
      <c r="BU272" s="219"/>
      <c r="BV272" s="219"/>
      <c r="BW272" s="219"/>
      <c r="BX272" s="219"/>
      <c r="BY272" s="219"/>
      <c r="BZ272" s="219"/>
      <c r="CA272" s="219"/>
      <c r="CB272" s="219"/>
      <c r="CC272" s="219" t="s">
        <v>73</v>
      </c>
      <c r="CD272" s="220" t="s">
        <v>73</v>
      </c>
    </row>
    <row r="273" spans="59:82" ht="9" customHeight="1">
      <c r="BG273" s="224" t="s">
        <v>73</v>
      </c>
      <c r="BH273" s="219" t="s">
        <v>73</v>
      </c>
      <c r="BI273" s="219" t="s">
        <v>1320</v>
      </c>
      <c r="BJ273" s="219" t="s">
        <v>1320</v>
      </c>
      <c r="BK273" s="219"/>
      <c r="BL273" s="219" t="s">
        <v>1320</v>
      </c>
      <c r="BM273" s="219" t="s">
        <v>1320</v>
      </c>
      <c r="BN273" s="219" t="s">
        <v>1320</v>
      </c>
      <c r="BO273" s="219" t="s">
        <v>1320</v>
      </c>
      <c r="BP273" s="219"/>
      <c r="BQ273" s="219"/>
      <c r="BR273" s="219" t="s">
        <v>1320</v>
      </c>
      <c r="BS273" s="219" t="s">
        <v>1320</v>
      </c>
      <c r="BT273" s="219" t="s">
        <v>1320</v>
      </c>
      <c r="BU273" s="219" t="s">
        <v>1320</v>
      </c>
      <c r="BV273" s="219" t="s">
        <v>1320</v>
      </c>
      <c r="BW273" s="219" t="s">
        <v>1320</v>
      </c>
      <c r="BX273" s="219" t="s">
        <v>1320</v>
      </c>
      <c r="BY273" s="219" t="s">
        <v>1320</v>
      </c>
      <c r="BZ273" s="219" t="s">
        <v>1320</v>
      </c>
      <c r="CA273" s="219" t="s">
        <v>1320</v>
      </c>
      <c r="CB273" s="219" t="s">
        <v>1320</v>
      </c>
      <c r="CC273" s="219" t="s">
        <v>73</v>
      </c>
      <c r="CD273" s="220" t="s">
        <v>73</v>
      </c>
    </row>
    <row r="274" spans="59:82" ht="9" customHeight="1">
      <c r="BG274" s="224" t="s">
        <v>73</v>
      </c>
      <c r="BH274" s="219" t="s">
        <v>73</v>
      </c>
      <c r="BI274" s="219"/>
      <c r="BJ274" s="219"/>
      <c r="BK274" s="219"/>
      <c r="BL274" s="219"/>
      <c r="BM274" s="219"/>
      <c r="BN274" s="219"/>
      <c r="BO274" s="219"/>
      <c r="BP274" s="219"/>
      <c r="BQ274" s="219"/>
      <c r="BR274" s="219"/>
      <c r="BS274" s="219"/>
      <c r="BT274" s="219"/>
      <c r="BU274" s="219"/>
      <c r="BV274" s="219"/>
      <c r="BW274" s="219"/>
      <c r="BX274" s="219"/>
      <c r="BY274" s="219"/>
      <c r="BZ274" s="219"/>
      <c r="CA274" s="219"/>
      <c r="CB274" s="219"/>
      <c r="CC274" s="219" t="s">
        <v>73</v>
      </c>
      <c r="CD274" s="220" t="s">
        <v>73</v>
      </c>
    </row>
    <row r="275" spans="59:82" ht="9" customHeight="1">
      <c r="BG275" s="224" t="s">
        <v>73</v>
      </c>
      <c r="BH275" s="219" t="s">
        <v>73</v>
      </c>
      <c r="BI275" s="219"/>
      <c r="BJ275" s="219"/>
      <c r="BK275" s="219"/>
      <c r="BL275" s="219"/>
      <c r="BM275" s="219"/>
      <c r="BN275" s="219"/>
      <c r="BO275" s="219"/>
      <c r="BP275" s="219"/>
      <c r="BQ275" s="219"/>
      <c r="BR275" s="219"/>
      <c r="BS275" s="219"/>
      <c r="BT275" s="219"/>
      <c r="BU275" s="219"/>
      <c r="BV275" s="219"/>
      <c r="BW275" s="219"/>
      <c r="BX275" s="219"/>
      <c r="BY275" s="219"/>
      <c r="BZ275" s="219"/>
      <c r="CA275" s="219"/>
      <c r="CB275" s="219"/>
      <c r="CC275" s="219" t="s">
        <v>73</v>
      </c>
      <c r="CD275" s="220" t="s">
        <v>73</v>
      </c>
    </row>
    <row r="276" spans="59:82" ht="9" customHeight="1">
      <c r="BG276" s="224" t="s">
        <v>73</v>
      </c>
      <c r="BH276" s="219" t="s">
        <v>73</v>
      </c>
      <c r="BI276" s="219"/>
      <c r="BJ276" s="219"/>
      <c r="BK276" s="219"/>
      <c r="BL276" s="219"/>
      <c r="BM276" s="219"/>
      <c r="BN276" s="219"/>
      <c r="BO276" s="219"/>
      <c r="BP276" s="219"/>
      <c r="BQ276" s="219"/>
      <c r="BR276" s="219"/>
      <c r="BS276" s="219"/>
      <c r="BT276" s="219"/>
      <c r="BU276" s="219"/>
      <c r="BV276" s="219"/>
      <c r="BW276" s="219"/>
      <c r="BX276" s="219"/>
      <c r="BY276" s="219"/>
      <c r="BZ276" s="219"/>
      <c r="CA276" s="219"/>
      <c r="CB276" s="219"/>
      <c r="CC276" s="219" t="s">
        <v>73</v>
      </c>
      <c r="CD276" s="220" t="s">
        <v>73</v>
      </c>
    </row>
    <row r="277" spans="59:82" ht="9" customHeight="1">
      <c r="BG277" s="224" t="s">
        <v>73</v>
      </c>
      <c r="BH277" s="219" t="s">
        <v>73</v>
      </c>
      <c r="BI277" s="219" t="s">
        <v>73</v>
      </c>
      <c r="BJ277" s="219" t="s">
        <v>73</v>
      </c>
      <c r="BK277" s="219" t="s">
        <v>73</v>
      </c>
      <c r="BL277" s="219" t="s">
        <v>73</v>
      </c>
      <c r="BM277" s="219" t="s">
        <v>73</v>
      </c>
      <c r="BN277" s="219" t="s">
        <v>73</v>
      </c>
      <c r="BO277" s="219" t="s">
        <v>73</v>
      </c>
      <c r="BP277" s="219" t="s">
        <v>73</v>
      </c>
      <c r="BQ277" s="219" t="s">
        <v>73</v>
      </c>
      <c r="BR277" s="219" t="s">
        <v>73</v>
      </c>
      <c r="BS277" s="219" t="s">
        <v>1348</v>
      </c>
      <c r="BT277" s="219" t="s">
        <v>1348</v>
      </c>
      <c r="BU277" s="219" t="s">
        <v>1348</v>
      </c>
      <c r="BV277" s="219" t="s">
        <v>1348</v>
      </c>
      <c r="BW277" s="219" t="s">
        <v>1348</v>
      </c>
      <c r="BX277" s="219" t="s">
        <v>1348</v>
      </c>
      <c r="BY277" s="219"/>
      <c r="BZ277" s="219"/>
      <c r="CA277" s="219"/>
      <c r="CB277" s="219"/>
      <c r="CC277" s="219" t="s">
        <v>73</v>
      </c>
      <c r="CD277" s="220" t="s">
        <v>73</v>
      </c>
    </row>
    <row r="278" spans="59:82" ht="9" customHeight="1">
      <c r="BG278" s="224" t="s">
        <v>73</v>
      </c>
      <c r="BH278" s="219" t="s">
        <v>73</v>
      </c>
      <c r="BI278" s="219" t="s">
        <v>73</v>
      </c>
      <c r="BJ278" s="219" t="s">
        <v>73</v>
      </c>
      <c r="BK278" s="219" t="s">
        <v>73</v>
      </c>
      <c r="BL278" s="219" t="s">
        <v>73</v>
      </c>
      <c r="BM278" s="219" t="s">
        <v>73</v>
      </c>
      <c r="BN278" s="219" t="s">
        <v>73</v>
      </c>
      <c r="BO278" s="219" t="s">
        <v>73</v>
      </c>
      <c r="BP278" s="219" t="s">
        <v>73</v>
      </c>
      <c r="BQ278" s="219" t="s">
        <v>73</v>
      </c>
      <c r="BR278" s="219" t="s">
        <v>73</v>
      </c>
      <c r="BS278" s="219" t="s">
        <v>1348</v>
      </c>
      <c r="BT278" s="219" t="s">
        <v>1348</v>
      </c>
      <c r="BU278" s="219" t="s">
        <v>1348</v>
      </c>
      <c r="BV278" s="219" t="s">
        <v>1348</v>
      </c>
      <c r="BW278" s="219" t="s">
        <v>1348</v>
      </c>
      <c r="BX278" s="219" t="s">
        <v>1348</v>
      </c>
      <c r="BY278" s="219"/>
      <c r="BZ278" s="219"/>
      <c r="CA278" s="219"/>
      <c r="CB278" s="219"/>
      <c r="CC278" s="219" t="s">
        <v>73</v>
      </c>
      <c r="CD278" s="220" t="s">
        <v>73</v>
      </c>
    </row>
    <row r="279" spans="59:82" ht="9" customHeight="1">
      <c r="BG279" s="224" t="s">
        <v>73</v>
      </c>
      <c r="BH279" s="219" t="s">
        <v>73</v>
      </c>
      <c r="BI279" s="219" t="s">
        <v>73</v>
      </c>
      <c r="BJ279" s="219" t="s">
        <v>73</v>
      </c>
      <c r="BK279" s="219" t="s">
        <v>73</v>
      </c>
      <c r="BL279" s="219" t="s">
        <v>73</v>
      </c>
      <c r="BM279" s="219" t="s">
        <v>73</v>
      </c>
      <c r="BN279" s="219" t="s">
        <v>73</v>
      </c>
      <c r="BO279" s="219" t="s">
        <v>73</v>
      </c>
      <c r="BP279" s="219" t="s">
        <v>73</v>
      </c>
      <c r="BQ279" s="219" t="s">
        <v>73</v>
      </c>
      <c r="BR279" s="219" t="s">
        <v>73</v>
      </c>
      <c r="BS279" s="219" t="s">
        <v>1348</v>
      </c>
      <c r="BT279" s="219" t="s">
        <v>1348</v>
      </c>
      <c r="BU279" s="219" t="s">
        <v>1348</v>
      </c>
      <c r="BV279" s="219" t="s">
        <v>1348</v>
      </c>
      <c r="BW279" s="219" t="s">
        <v>1348</v>
      </c>
      <c r="BX279" s="219" t="s">
        <v>1348</v>
      </c>
      <c r="BY279" s="219" t="s">
        <v>1320</v>
      </c>
      <c r="BZ279" s="219" t="s">
        <v>1320</v>
      </c>
      <c r="CA279" s="219" t="s">
        <v>1320</v>
      </c>
      <c r="CB279" s="219" t="s">
        <v>1320</v>
      </c>
      <c r="CC279" s="219" t="s">
        <v>73</v>
      </c>
      <c r="CD279" s="220" t="s">
        <v>73</v>
      </c>
    </row>
    <row r="280" spans="59:82" ht="9" customHeight="1">
      <c r="BG280" s="224" t="s">
        <v>73</v>
      </c>
      <c r="BH280" s="219" t="s">
        <v>73</v>
      </c>
      <c r="BI280" s="219"/>
      <c r="BJ280" s="219"/>
      <c r="BK280" s="219"/>
      <c r="BL280" s="219"/>
      <c r="BM280" s="219"/>
      <c r="BN280" s="219"/>
      <c r="BO280" s="219"/>
      <c r="BP280" s="219"/>
      <c r="BQ280" s="219"/>
      <c r="BR280" s="219"/>
      <c r="BS280" s="219" t="s">
        <v>1348</v>
      </c>
      <c r="BT280" s="219" t="s">
        <v>1348</v>
      </c>
      <c r="BU280" s="219" t="s">
        <v>1348</v>
      </c>
      <c r="BV280" s="219" t="s">
        <v>1348</v>
      </c>
      <c r="BW280" s="219" t="s">
        <v>1348</v>
      </c>
      <c r="BX280" s="219" t="s">
        <v>1348</v>
      </c>
      <c r="BY280" s="219"/>
      <c r="BZ280" s="219"/>
      <c r="CA280" s="219"/>
      <c r="CB280" s="219"/>
      <c r="CC280" s="219" t="s">
        <v>73</v>
      </c>
      <c r="CD280" s="220" t="s">
        <v>73</v>
      </c>
    </row>
    <row r="281" spans="59:82" ht="9" customHeight="1">
      <c r="BG281" s="224" t="s">
        <v>73</v>
      </c>
      <c r="BH281" s="219" t="s">
        <v>73</v>
      </c>
      <c r="BI281" s="219"/>
      <c r="BJ281" s="219"/>
      <c r="BK281" s="219"/>
      <c r="BL281" s="219"/>
      <c r="BM281" s="219"/>
      <c r="BN281" s="219"/>
      <c r="BO281" s="219"/>
      <c r="BP281" s="219"/>
      <c r="BQ281" s="219"/>
      <c r="BR281" s="219"/>
      <c r="BS281" s="219" t="s">
        <v>1348</v>
      </c>
      <c r="BT281" s="219" t="s">
        <v>1348</v>
      </c>
      <c r="BU281" s="219" t="s">
        <v>1348</v>
      </c>
      <c r="BV281" s="219" t="s">
        <v>1348</v>
      </c>
      <c r="BW281" s="219" t="s">
        <v>1348</v>
      </c>
      <c r="BX281" s="219" t="s">
        <v>1348</v>
      </c>
      <c r="BY281" s="219"/>
      <c r="BZ281" s="219"/>
      <c r="CA281" s="219"/>
      <c r="CB281" s="219"/>
      <c r="CC281" s="219" t="s">
        <v>73</v>
      </c>
      <c r="CD281" s="220" t="s">
        <v>73</v>
      </c>
    </row>
    <row r="282" spans="59:82" ht="9" customHeight="1">
      <c r="BG282" s="224" t="s">
        <v>73</v>
      </c>
      <c r="BH282" s="219" t="s">
        <v>73</v>
      </c>
      <c r="BI282" s="219"/>
      <c r="BJ282" s="219"/>
      <c r="BK282" s="219"/>
      <c r="BL282" s="219"/>
      <c r="BM282" s="219"/>
      <c r="BN282" s="219"/>
      <c r="BO282" s="219"/>
      <c r="BP282" s="219"/>
      <c r="BQ282" s="219"/>
      <c r="BR282" s="219"/>
      <c r="BS282" s="219"/>
      <c r="BT282" s="219"/>
      <c r="BU282" s="219"/>
      <c r="BV282" s="219"/>
      <c r="BW282" s="219"/>
      <c r="BX282" s="219"/>
      <c r="BY282" s="219"/>
      <c r="BZ282" s="219"/>
      <c r="CA282" s="219"/>
      <c r="CB282" s="219"/>
      <c r="CC282" s="219" t="s">
        <v>73</v>
      </c>
      <c r="CD282" s="220" t="s">
        <v>73</v>
      </c>
    </row>
    <row r="283" spans="59:82" ht="9" customHeight="1">
      <c r="BG283" s="224" t="s">
        <v>73</v>
      </c>
      <c r="BH283" s="219" t="s">
        <v>73</v>
      </c>
      <c r="BI283" s="219"/>
      <c r="BJ283" s="219"/>
      <c r="BK283" s="219"/>
      <c r="BL283" s="219"/>
      <c r="BM283" s="219"/>
      <c r="BN283" s="219"/>
      <c r="BO283" s="219"/>
      <c r="BP283" s="219"/>
      <c r="BQ283" s="219"/>
      <c r="BR283" s="219"/>
      <c r="BS283" s="219"/>
      <c r="BT283" s="219"/>
      <c r="BU283" s="219"/>
      <c r="BV283" s="219"/>
      <c r="BW283" s="219"/>
      <c r="BX283" s="219"/>
      <c r="BY283" s="219"/>
      <c r="BZ283" s="219"/>
      <c r="CA283" s="219"/>
      <c r="CB283" s="219"/>
      <c r="CC283" s="219" t="s">
        <v>73</v>
      </c>
      <c r="CD283" s="220" t="s">
        <v>73</v>
      </c>
    </row>
    <row r="284" spans="59:82" ht="9" customHeight="1">
      <c r="BG284" s="224" t="s">
        <v>73</v>
      </c>
      <c r="BH284" s="219" t="s">
        <v>73</v>
      </c>
      <c r="BI284" s="219" t="s">
        <v>1320</v>
      </c>
      <c r="BJ284" s="219" t="s">
        <v>1320</v>
      </c>
      <c r="BK284" s="219" t="s">
        <v>1320</v>
      </c>
      <c r="BL284" s="219" t="s">
        <v>1320</v>
      </c>
      <c r="BM284" s="219"/>
      <c r="BN284" s="219"/>
      <c r="BO284" s="219"/>
      <c r="BP284" s="219" t="s">
        <v>73</v>
      </c>
      <c r="BQ284" s="219" t="s">
        <v>1320</v>
      </c>
      <c r="BR284" s="219" t="s">
        <v>1320</v>
      </c>
      <c r="BS284" s="219" t="s">
        <v>1320</v>
      </c>
      <c r="BT284" s="219" t="s">
        <v>1320</v>
      </c>
      <c r="BU284" s="219" t="s">
        <v>1320</v>
      </c>
      <c r="BV284" s="219" t="s">
        <v>1320</v>
      </c>
      <c r="BW284" s="219" t="s">
        <v>1320</v>
      </c>
      <c r="BX284" s="219" t="s">
        <v>1320</v>
      </c>
      <c r="BY284" s="219" t="s">
        <v>1320</v>
      </c>
      <c r="BZ284" s="219" t="s">
        <v>1320</v>
      </c>
      <c r="CA284" s="219" t="s">
        <v>1320</v>
      </c>
      <c r="CB284" s="219" t="s">
        <v>1320</v>
      </c>
      <c r="CC284" s="219" t="s">
        <v>73</v>
      </c>
      <c r="CD284" s="220" t="s">
        <v>73</v>
      </c>
    </row>
    <row r="285" spans="59:82" ht="9" customHeight="1">
      <c r="BG285" s="224" t="s">
        <v>73</v>
      </c>
      <c r="BH285" s="219" t="s">
        <v>73</v>
      </c>
      <c r="BI285" s="219"/>
      <c r="BJ285" s="219"/>
      <c r="BK285" s="219" t="s">
        <v>1348</v>
      </c>
      <c r="BL285" s="219" t="s">
        <v>1348</v>
      </c>
      <c r="BM285" s="219" t="s">
        <v>1348</v>
      </c>
      <c r="BN285" s="219" t="s">
        <v>1348</v>
      </c>
      <c r="BO285" s="219" t="s">
        <v>1348</v>
      </c>
      <c r="BP285" s="219" t="s">
        <v>1348</v>
      </c>
      <c r="BQ285" s="219" t="s">
        <v>1348</v>
      </c>
      <c r="BR285" s="219"/>
      <c r="BS285" s="219"/>
      <c r="BT285" s="219"/>
      <c r="BU285" s="219"/>
      <c r="BV285" s="219"/>
      <c r="BW285" s="219"/>
      <c r="BX285" s="219" t="s">
        <v>1348</v>
      </c>
      <c r="BY285" s="219" t="s">
        <v>1348</v>
      </c>
      <c r="BZ285" s="219" t="s">
        <v>1348</v>
      </c>
      <c r="CA285" s="219" t="s">
        <v>1348</v>
      </c>
      <c r="CB285" s="219" t="s">
        <v>1348</v>
      </c>
      <c r="CC285" s="219" t="s">
        <v>73</v>
      </c>
      <c r="CD285" s="220" t="s">
        <v>73</v>
      </c>
    </row>
    <row r="286" spans="59:82" ht="9" customHeight="1">
      <c r="BG286" s="224" t="s">
        <v>73</v>
      </c>
      <c r="BH286" s="219" t="s">
        <v>73</v>
      </c>
      <c r="BI286" s="219"/>
      <c r="BJ286" s="219"/>
      <c r="BK286" s="219" t="s">
        <v>1348</v>
      </c>
      <c r="BL286" s="219" t="s">
        <v>1348</v>
      </c>
      <c r="BM286" s="219" t="s">
        <v>1348</v>
      </c>
      <c r="BN286" s="219" t="s">
        <v>1348</v>
      </c>
      <c r="BO286" s="219" t="s">
        <v>1348</v>
      </c>
      <c r="BP286" s="219" t="s">
        <v>1348</v>
      </c>
      <c r="BQ286" s="219" t="s">
        <v>1348</v>
      </c>
      <c r="BR286" s="219"/>
      <c r="BS286" s="219"/>
      <c r="BT286" s="219"/>
      <c r="BU286" s="219"/>
      <c r="BV286" s="219"/>
      <c r="BW286" s="219"/>
      <c r="BX286" s="219" t="s">
        <v>1348</v>
      </c>
      <c r="BY286" s="219" t="s">
        <v>1348</v>
      </c>
      <c r="BZ286" s="219" t="s">
        <v>1348</v>
      </c>
      <c r="CA286" s="219" t="s">
        <v>1348</v>
      </c>
      <c r="CB286" s="219" t="s">
        <v>1348</v>
      </c>
      <c r="CC286" s="219" t="s">
        <v>73</v>
      </c>
      <c r="CD286" s="220" t="s">
        <v>73</v>
      </c>
    </row>
    <row r="287" spans="59:82" ht="9" customHeight="1">
      <c r="BG287" s="224" t="s">
        <v>73</v>
      </c>
      <c r="BH287" s="219" t="s">
        <v>73</v>
      </c>
      <c r="BI287" s="219" t="s">
        <v>1348</v>
      </c>
      <c r="BJ287" s="219" t="s">
        <v>1348</v>
      </c>
      <c r="BK287" s="219" t="s">
        <v>1348</v>
      </c>
      <c r="BL287" s="219" t="s">
        <v>1348</v>
      </c>
      <c r="BM287" s="219" t="s">
        <v>1348</v>
      </c>
      <c r="BN287" s="219" t="s">
        <v>1348</v>
      </c>
      <c r="BO287" s="219" t="s">
        <v>1348</v>
      </c>
      <c r="BP287" s="219"/>
      <c r="BQ287" s="219"/>
      <c r="BR287" s="219"/>
      <c r="BS287" s="219"/>
      <c r="BT287" s="219"/>
      <c r="BU287" s="219"/>
      <c r="BV287" s="219" t="s">
        <v>1348</v>
      </c>
      <c r="BW287" s="219" t="s">
        <v>1348</v>
      </c>
      <c r="BX287" s="219" t="s">
        <v>1348</v>
      </c>
      <c r="BY287" s="219" t="s">
        <v>1348</v>
      </c>
      <c r="BZ287" s="219" t="s">
        <v>1348</v>
      </c>
      <c r="CA287" s="219"/>
      <c r="CB287" s="219"/>
      <c r="CC287" s="219" t="s">
        <v>73</v>
      </c>
      <c r="CD287" s="220" t="s">
        <v>73</v>
      </c>
    </row>
    <row r="288" spans="59:82" ht="9" customHeight="1">
      <c r="BG288" s="224" t="s">
        <v>73</v>
      </c>
      <c r="BH288" s="219" t="s">
        <v>73</v>
      </c>
      <c r="BI288" s="219" t="s">
        <v>1348</v>
      </c>
      <c r="BJ288" s="219" t="s">
        <v>1348</v>
      </c>
      <c r="BK288" s="219" t="s">
        <v>1348</v>
      </c>
      <c r="BL288" s="219" t="s">
        <v>1348</v>
      </c>
      <c r="BM288" s="219" t="s">
        <v>1348</v>
      </c>
      <c r="BN288" s="219" t="s">
        <v>1348</v>
      </c>
      <c r="BO288" s="219" t="s">
        <v>1348</v>
      </c>
      <c r="BP288" s="219"/>
      <c r="BQ288" s="219"/>
      <c r="BR288" s="219"/>
      <c r="BS288" s="219" t="s">
        <v>1348</v>
      </c>
      <c r="BT288" s="219" t="s">
        <v>1348</v>
      </c>
      <c r="BU288" s="219"/>
      <c r="BV288" s="219" t="s">
        <v>1348</v>
      </c>
      <c r="BW288" s="219" t="s">
        <v>1348</v>
      </c>
      <c r="BX288" s="219" t="s">
        <v>1348</v>
      </c>
      <c r="BY288" s="219" t="s">
        <v>1348</v>
      </c>
      <c r="BZ288" s="219" t="s">
        <v>1348</v>
      </c>
      <c r="CA288" s="219"/>
      <c r="CB288" s="219"/>
      <c r="CC288" s="219" t="s">
        <v>73</v>
      </c>
      <c r="CD288" s="220" t="s">
        <v>73</v>
      </c>
    </row>
    <row r="289" spans="59:82" ht="9" customHeight="1">
      <c r="BG289" s="224" t="s">
        <v>73</v>
      </c>
      <c r="BH289" s="219" t="s">
        <v>73</v>
      </c>
      <c r="BI289" s="219" t="s">
        <v>73</v>
      </c>
      <c r="BJ289" s="219" t="s">
        <v>73</v>
      </c>
      <c r="BK289" s="219" t="s">
        <v>73</v>
      </c>
      <c r="BL289" s="219" t="s">
        <v>73</v>
      </c>
      <c r="BM289" s="219" t="s">
        <v>73</v>
      </c>
      <c r="BN289" s="219" t="s">
        <v>73</v>
      </c>
      <c r="BO289" s="219" t="s">
        <v>73</v>
      </c>
      <c r="BP289" s="219" t="s">
        <v>73</v>
      </c>
      <c r="BQ289" s="219" t="s">
        <v>73</v>
      </c>
      <c r="BR289" s="219" t="s">
        <v>73</v>
      </c>
      <c r="BS289" s="219" t="s">
        <v>1348</v>
      </c>
      <c r="BT289" s="219" t="s">
        <v>1348</v>
      </c>
      <c r="BU289" s="219" t="s">
        <v>73</v>
      </c>
      <c r="BV289" s="219" t="s">
        <v>73</v>
      </c>
      <c r="BW289" s="219" t="s">
        <v>73</v>
      </c>
      <c r="BX289" s="219" t="s">
        <v>73</v>
      </c>
      <c r="BY289" s="219" t="s">
        <v>73</v>
      </c>
      <c r="BZ289" s="219" t="s">
        <v>73</v>
      </c>
      <c r="CA289" s="219" t="s">
        <v>73</v>
      </c>
      <c r="CB289" s="219" t="s">
        <v>73</v>
      </c>
      <c r="CC289" s="219" t="s">
        <v>73</v>
      </c>
      <c r="CD289" s="220" t="s">
        <v>73</v>
      </c>
    </row>
    <row r="290" spans="59:82" ht="9" customHeight="1">
      <c r="BG290" s="224" t="s">
        <v>73</v>
      </c>
      <c r="BH290" s="219" t="s">
        <v>73</v>
      </c>
      <c r="BI290" s="219" t="s">
        <v>73</v>
      </c>
      <c r="BJ290" s="219" t="s">
        <v>73</v>
      </c>
      <c r="BK290" s="219" t="s">
        <v>73</v>
      </c>
      <c r="BL290" s="219" t="s">
        <v>73</v>
      </c>
      <c r="BM290" s="219" t="s">
        <v>73</v>
      </c>
      <c r="BN290" s="219" t="s">
        <v>73</v>
      </c>
      <c r="BO290" s="219" t="s">
        <v>73</v>
      </c>
      <c r="BP290" s="219" t="s">
        <v>73</v>
      </c>
      <c r="BQ290" s="219" t="s">
        <v>73</v>
      </c>
      <c r="BR290" s="219" t="s">
        <v>73</v>
      </c>
      <c r="BS290" s="219" t="s">
        <v>1348</v>
      </c>
      <c r="BT290" s="219" t="s">
        <v>1348</v>
      </c>
      <c r="BU290" s="219" t="s">
        <v>73</v>
      </c>
      <c r="BV290" s="219" t="s">
        <v>73</v>
      </c>
      <c r="BW290" s="219" t="s">
        <v>73</v>
      </c>
      <c r="BX290" s="219" t="s">
        <v>73</v>
      </c>
      <c r="BY290" s="219" t="s">
        <v>73</v>
      </c>
      <c r="BZ290" s="219" t="s">
        <v>73</v>
      </c>
      <c r="CA290" s="219" t="s">
        <v>73</v>
      </c>
      <c r="CB290" s="219" t="s">
        <v>73</v>
      </c>
      <c r="CC290" s="219" t="s">
        <v>73</v>
      </c>
      <c r="CD290" s="220" t="s">
        <v>73</v>
      </c>
    </row>
    <row r="291" spans="59:82" ht="9" customHeight="1">
      <c r="BG291" s="224" t="s">
        <v>73</v>
      </c>
      <c r="BH291" s="219" t="s">
        <v>73</v>
      </c>
      <c r="BI291" s="219" t="s">
        <v>73</v>
      </c>
      <c r="BJ291" s="219" t="s">
        <v>73</v>
      </c>
      <c r="BK291" s="219" t="s">
        <v>73</v>
      </c>
      <c r="BL291" s="219" t="s">
        <v>73</v>
      </c>
      <c r="BM291" s="219" t="s">
        <v>73</v>
      </c>
      <c r="BN291" s="219" t="s">
        <v>73</v>
      </c>
      <c r="BO291" s="219" t="s">
        <v>73</v>
      </c>
      <c r="BP291" s="219" t="s">
        <v>73</v>
      </c>
      <c r="BQ291" s="219" t="s">
        <v>73</v>
      </c>
      <c r="BR291" s="219" t="s">
        <v>73</v>
      </c>
      <c r="BS291" s="219" t="s">
        <v>1348</v>
      </c>
      <c r="BT291" s="219" t="s">
        <v>1348</v>
      </c>
      <c r="BU291" s="219" t="s">
        <v>73</v>
      </c>
      <c r="BV291" s="219" t="s">
        <v>73</v>
      </c>
      <c r="BW291" s="219" t="s">
        <v>73</v>
      </c>
      <c r="BX291" s="219" t="s">
        <v>73</v>
      </c>
      <c r="BY291" s="219" t="s">
        <v>73</v>
      </c>
      <c r="BZ291" s="219" t="s">
        <v>73</v>
      </c>
      <c r="CA291" s="219" t="s">
        <v>73</v>
      </c>
      <c r="CB291" s="219" t="s">
        <v>73</v>
      </c>
      <c r="CC291" s="219" t="s">
        <v>73</v>
      </c>
      <c r="CD291" s="220" t="s">
        <v>73</v>
      </c>
    </row>
    <row r="292" spans="59:82" ht="9" customHeight="1" thickBot="1">
      <c r="BG292" s="225" t="s">
        <v>73</v>
      </c>
      <c r="BH292" s="221" t="s">
        <v>73</v>
      </c>
      <c r="BI292" s="221" t="s">
        <v>73</v>
      </c>
      <c r="BJ292" s="221" t="s">
        <v>73</v>
      </c>
      <c r="BK292" s="221" t="s">
        <v>73</v>
      </c>
      <c r="BL292" s="221" t="s">
        <v>73</v>
      </c>
      <c r="BM292" s="221" t="s">
        <v>73</v>
      </c>
      <c r="BN292" s="221" t="s">
        <v>73</v>
      </c>
      <c r="BO292" s="221" t="s">
        <v>73</v>
      </c>
      <c r="BP292" s="221" t="s">
        <v>73</v>
      </c>
      <c r="BQ292" s="221" t="s">
        <v>73</v>
      </c>
      <c r="BR292" s="221" t="s">
        <v>73</v>
      </c>
      <c r="BS292" s="221" t="s">
        <v>1348</v>
      </c>
      <c r="BT292" s="221" t="s">
        <v>1348</v>
      </c>
      <c r="BU292" s="221" t="s">
        <v>73</v>
      </c>
      <c r="BV292" s="221" t="s">
        <v>73</v>
      </c>
      <c r="BW292" s="221" t="s">
        <v>73</v>
      </c>
      <c r="BX292" s="221" t="s">
        <v>73</v>
      </c>
      <c r="BY292" s="221" t="s">
        <v>73</v>
      </c>
      <c r="BZ292" s="221" t="s">
        <v>73</v>
      </c>
      <c r="CA292" s="221" t="s">
        <v>73</v>
      </c>
      <c r="CB292" s="221" t="s">
        <v>73</v>
      </c>
      <c r="CC292" s="221" t="s">
        <v>73</v>
      </c>
      <c r="CD292" s="222" t="s">
        <v>73</v>
      </c>
    </row>
    <row r="293" spans="59:82" ht="9" customHeight="1">
      <c r="BG293" s="223" t="s">
        <v>73</v>
      </c>
      <c r="BH293" s="217" t="s">
        <v>73</v>
      </c>
      <c r="BI293" s="217" t="s">
        <v>73</v>
      </c>
      <c r="BJ293" s="217" t="s">
        <v>73</v>
      </c>
      <c r="BK293" s="217" t="s">
        <v>73</v>
      </c>
      <c r="BL293" s="217" t="s">
        <v>73</v>
      </c>
      <c r="BM293" s="217" t="s">
        <v>73</v>
      </c>
      <c r="BN293" s="217" t="s">
        <v>73</v>
      </c>
      <c r="BO293" s="217" t="s">
        <v>73</v>
      </c>
      <c r="BP293" s="217" t="s">
        <v>73</v>
      </c>
      <c r="BQ293" s="217" t="s">
        <v>73</v>
      </c>
      <c r="BR293" s="217" t="s">
        <v>73</v>
      </c>
      <c r="BS293" s="217"/>
      <c r="BT293" s="217"/>
      <c r="BU293" s="217" t="s">
        <v>73</v>
      </c>
      <c r="BV293" s="217" t="s">
        <v>73</v>
      </c>
      <c r="BW293" s="217" t="s">
        <v>73</v>
      </c>
      <c r="BX293" s="217" t="s">
        <v>73</v>
      </c>
      <c r="BY293" s="217" t="s">
        <v>73</v>
      </c>
      <c r="BZ293" s="217" t="s">
        <v>73</v>
      </c>
      <c r="CA293" s="217" t="s">
        <v>73</v>
      </c>
      <c r="CB293" s="217" t="s">
        <v>73</v>
      </c>
      <c r="CC293" s="217" t="s">
        <v>73</v>
      </c>
      <c r="CD293" s="218" t="s">
        <v>73</v>
      </c>
    </row>
    <row r="294" spans="59:82" ht="9" customHeight="1">
      <c r="BG294" s="224" t="s">
        <v>73</v>
      </c>
      <c r="BH294" s="219" t="s">
        <v>73</v>
      </c>
      <c r="BI294" s="219" t="s">
        <v>73</v>
      </c>
      <c r="BJ294" s="219" t="s">
        <v>73</v>
      </c>
      <c r="BK294" s="219" t="s">
        <v>73</v>
      </c>
      <c r="BL294" s="219" t="s">
        <v>73</v>
      </c>
      <c r="BM294" s="219" t="s">
        <v>73</v>
      </c>
      <c r="BN294" s="219" t="s">
        <v>73</v>
      </c>
      <c r="BO294" s="219" t="s">
        <v>73</v>
      </c>
      <c r="BP294" s="219" t="s">
        <v>73</v>
      </c>
      <c r="BQ294" s="219" t="s">
        <v>73</v>
      </c>
      <c r="BR294" s="219" t="s">
        <v>73</v>
      </c>
      <c r="BS294" s="219"/>
      <c r="BT294" s="219"/>
      <c r="BU294" s="219" t="s">
        <v>73</v>
      </c>
      <c r="BV294" s="219" t="s">
        <v>73</v>
      </c>
      <c r="BW294" s="219" t="s">
        <v>73</v>
      </c>
      <c r="BX294" s="219" t="s">
        <v>73</v>
      </c>
      <c r="BY294" s="219" t="s">
        <v>73</v>
      </c>
      <c r="BZ294" s="219" t="s">
        <v>73</v>
      </c>
      <c r="CA294" s="219" t="s">
        <v>73</v>
      </c>
      <c r="CB294" s="219" t="s">
        <v>73</v>
      </c>
      <c r="CC294" s="219" t="s">
        <v>73</v>
      </c>
      <c r="CD294" s="220" t="s">
        <v>73</v>
      </c>
    </row>
    <row r="295" spans="59:82" ht="9" customHeight="1">
      <c r="BG295" s="224" t="s">
        <v>73</v>
      </c>
      <c r="BH295" s="219" t="s">
        <v>73</v>
      </c>
      <c r="BI295" s="219"/>
      <c r="BJ295" s="219"/>
      <c r="BK295" s="219"/>
      <c r="BL295" s="219"/>
      <c r="BM295" s="219"/>
      <c r="BN295" s="219"/>
      <c r="BO295" s="219"/>
      <c r="BP295" s="219"/>
      <c r="BQ295" s="219"/>
      <c r="BR295" s="219"/>
      <c r="BS295" s="219"/>
      <c r="BT295" s="219"/>
      <c r="BU295" s="219"/>
      <c r="BV295" s="219"/>
      <c r="BW295" s="219"/>
      <c r="BX295" s="219"/>
      <c r="BY295" s="219"/>
      <c r="BZ295" s="219"/>
      <c r="CA295" s="219"/>
      <c r="CB295" s="219"/>
      <c r="CC295" s="219" t="s">
        <v>73</v>
      </c>
      <c r="CD295" s="220" t="s">
        <v>73</v>
      </c>
    </row>
    <row r="296" spans="59:82" ht="9" customHeight="1">
      <c r="BG296" s="224" t="s">
        <v>73</v>
      </c>
      <c r="BH296" s="219" t="s">
        <v>73</v>
      </c>
      <c r="BI296" s="219"/>
      <c r="BJ296" s="219"/>
      <c r="BK296" s="219"/>
      <c r="BL296" s="219" t="s">
        <v>73</v>
      </c>
      <c r="BM296" s="219" t="s">
        <v>73</v>
      </c>
      <c r="BN296" s="219" t="s">
        <v>73</v>
      </c>
      <c r="BO296" s="219" t="s">
        <v>73</v>
      </c>
      <c r="BP296" s="219" t="s">
        <v>73</v>
      </c>
      <c r="BQ296" s="219"/>
      <c r="BR296" s="219"/>
      <c r="BS296" s="219"/>
      <c r="BT296" s="219"/>
      <c r="BU296" s="219" t="s">
        <v>73</v>
      </c>
      <c r="BV296" s="219" t="s">
        <v>73</v>
      </c>
      <c r="BW296" s="219" t="s">
        <v>73</v>
      </c>
      <c r="BX296" s="219" t="s">
        <v>73</v>
      </c>
      <c r="BY296" s="219" t="s">
        <v>73</v>
      </c>
      <c r="BZ296" s="219"/>
      <c r="CA296" s="219"/>
      <c r="CB296" s="219"/>
      <c r="CC296" s="219" t="s">
        <v>73</v>
      </c>
      <c r="CD296" s="220" t="s">
        <v>73</v>
      </c>
    </row>
    <row r="297" spans="59:82" ht="9" customHeight="1">
      <c r="BG297" s="224" t="s">
        <v>73</v>
      </c>
      <c r="BH297" s="219" t="s">
        <v>73</v>
      </c>
      <c r="BI297" s="219"/>
      <c r="BJ297" s="219"/>
      <c r="BK297" s="219"/>
      <c r="BL297" s="219" t="s">
        <v>73</v>
      </c>
      <c r="BM297" s="219" t="s">
        <v>73</v>
      </c>
      <c r="BN297" s="219" t="s">
        <v>73</v>
      </c>
      <c r="BO297" s="219" t="s">
        <v>73</v>
      </c>
      <c r="BP297" s="219" t="s">
        <v>73</v>
      </c>
      <c r="BQ297" s="219"/>
      <c r="BR297" s="219"/>
      <c r="BS297" s="219"/>
      <c r="BT297" s="219"/>
      <c r="BU297" s="219" t="s">
        <v>73</v>
      </c>
      <c r="BV297" s="219" t="s">
        <v>73</v>
      </c>
      <c r="BW297" s="219" t="s">
        <v>73</v>
      </c>
      <c r="BX297" s="219" t="s">
        <v>73</v>
      </c>
      <c r="BY297" s="219" t="s">
        <v>73</v>
      </c>
      <c r="BZ297" s="219"/>
      <c r="CA297" s="219"/>
      <c r="CB297" s="219"/>
      <c r="CC297" s="219" t="s">
        <v>73</v>
      </c>
      <c r="CD297" s="220" t="s">
        <v>73</v>
      </c>
    </row>
    <row r="298" spans="59:82" ht="9" customHeight="1">
      <c r="BG298" s="224" t="s">
        <v>73</v>
      </c>
      <c r="BH298" s="219" t="s">
        <v>73</v>
      </c>
      <c r="BI298" s="219"/>
      <c r="BJ298" s="219"/>
      <c r="BK298" s="219"/>
      <c r="BL298" s="219" t="s">
        <v>73</v>
      </c>
      <c r="BM298" s="219" t="s">
        <v>73</v>
      </c>
      <c r="BN298" s="219" t="s">
        <v>73</v>
      </c>
      <c r="BO298" s="219" t="s">
        <v>73</v>
      </c>
      <c r="BP298" s="219" t="s">
        <v>73</v>
      </c>
      <c r="BQ298" s="219"/>
      <c r="BR298" s="219"/>
      <c r="BS298" s="219"/>
      <c r="BT298" s="219"/>
      <c r="BU298" s="219" t="s">
        <v>73</v>
      </c>
      <c r="BV298" s="219" t="s">
        <v>73</v>
      </c>
      <c r="BW298" s="219" t="s">
        <v>73</v>
      </c>
      <c r="BX298" s="219" t="s">
        <v>73</v>
      </c>
      <c r="BY298" s="219" t="s">
        <v>73</v>
      </c>
      <c r="BZ298" s="219"/>
      <c r="CA298" s="219"/>
      <c r="CB298" s="219"/>
      <c r="CC298" s="219" t="s">
        <v>73</v>
      </c>
      <c r="CD298" s="220" t="s">
        <v>73</v>
      </c>
    </row>
    <row r="299" spans="59:82" ht="9" customHeight="1">
      <c r="BG299" s="224" t="s">
        <v>73</v>
      </c>
      <c r="BH299" s="219" t="s">
        <v>73</v>
      </c>
      <c r="BI299" s="219"/>
      <c r="BJ299" s="219"/>
      <c r="BK299" s="219" t="s">
        <v>73</v>
      </c>
      <c r="BL299" s="219" t="s">
        <v>73</v>
      </c>
      <c r="BM299" s="219" t="s">
        <v>73</v>
      </c>
      <c r="BN299" s="219" t="s">
        <v>73</v>
      </c>
      <c r="BO299" s="219" t="s">
        <v>73</v>
      </c>
      <c r="BP299" s="219" t="s">
        <v>73</v>
      </c>
      <c r="BQ299" s="219"/>
      <c r="BR299" s="219"/>
      <c r="BS299" s="219"/>
      <c r="BT299" s="219" t="s">
        <v>73</v>
      </c>
      <c r="BU299" s="219" t="s">
        <v>73</v>
      </c>
      <c r="BV299" s="219" t="s">
        <v>73</v>
      </c>
      <c r="BW299" s="219" t="s">
        <v>73</v>
      </c>
      <c r="BX299" s="219" t="s">
        <v>73</v>
      </c>
      <c r="BY299" s="219" t="s">
        <v>73</v>
      </c>
      <c r="BZ299" s="219"/>
      <c r="CA299" s="219"/>
      <c r="CB299" s="219"/>
      <c r="CC299" s="219" t="s">
        <v>73</v>
      </c>
      <c r="CD299" s="220" t="s">
        <v>73</v>
      </c>
    </row>
    <row r="300" spans="59:82" ht="9" customHeight="1">
      <c r="BG300" s="224" t="s">
        <v>73</v>
      </c>
      <c r="BH300" s="219" t="s">
        <v>73</v>
      </c>
      <c r="BI300" s="219"/>
      <c r="BJ300" s="219"/>
      <c r="BK300" s="219" t="s">
        <v>73</v>
      </c>
      <c r="BL300" s="219" t="s">
        <v>73</v>
      </c>
      <c r="BM300" s="219" t="s">
        <v>73</v>
      </c>
      <c r="BN300" s="219" t="s">
        <v>73</v>
      </c>
      <c r="BO300" s="219" t="s">
        <v>73</v>
      </c>
      <c r="BP300" s="219" t="s">
        <v>73</v>
      </c>
      <c r="BQ300" s="219"/>
      <c r="BR300" s="219"/>
      <c r="BS300" s="219"/>
      <c r="BT300" s="219" t="s">
        <v>73</v>
      </c>
      <c r="BU300" s="219" t="s">
        <v>73</v>
      </c>
      <c r="BV300" s="219" t="s">
        <v>73</v>
      </c>
      <c r="BW300" s="219" t="s">
        <v>73</v>
      </c>
      <c r="BX300" s="219" t="s">
        <v>73</v>
      </c>
      <c r="BY300" s="219" t="s">
        <v>73</v>
      </c>
      <c r="BZ300" s="219"/>
      <c r="CA300" s="219"/>
      <c r="CB300" s="219"/>
      <c r="CC300" s="219" t="s">
        <v>73</v>
      </c>
      <c r="CD300" s="220" t="s">
        <v>73</v>
      </c>
    </row>
    <row r="301" spans="59:82" ht="9" customHeight="1">
      <c r="BG301" s="224" t="s">
        <v>73</v>
      </c>
      <c r="BH301" s="219" t="s">
        <v>73</v>
      </c>
      <c r="BI301" s="219"/>
      <c r="BJ301" s="219"/>
      <c r="BK301" s="219"/>
      <c r="BL301" s="219"/>
      <c r="BM301" s="219"/>
      <c r="BN301" s="219"/>
      <c r="BO301" s="219"/>
      <c r="BP301" s="219"/>
      <c r="BQ301" s="219"/>
      <c r="BR301" s="219"/>
      <c r="BS301" s="219"/>
      <c r="BT301" s="219"/>
      <c r="BU301" s="219"/>
      <c r="BV301" s="219"/>
      <c r="BW301" s="219"/>
      <c r="BX301" s="219"/>
      <c r="BY301" s="219"/>
      <c r="BZ301" s="219"/>
      <c r="CA301" s="219"/>
      <c r="CB301" s="219"/>
      <c r="CC301" s="219" t="s">
        <v>73</v>
      </c>
      <c r="CD301" s="220" t="s">
        <v>73</v>
      </c>
    </row>
    <row r="302" spans="59:82" ht="9" customHeight="1">
      <c r="BG302" s="224" t="s">
        <v>73</v>
      </c>
      <c r="BH302" s="219" t="s">
        <v>73</v>
      </c>
      <c r="BI302" s="219"/>
      <c r="BJ302" s="219"/>
      <c r="BK302" s="219"/>
      <c r="BL302" s="219"/>
      <c r="BM302" s="219"/>
      <c r="BN302" s="219"/>
      <c r="BO302" s="219"/>
      <c r="BP302" s="219"/>
      <c r="BQ302" s="219"/>
      <c r="BR302" s="219"/>
      <c r="BS302" s="219"/>
      <c r="BT302" s="219" t="s">
        <v>73</v>
      </c>
      <c r="BU302" s="219" t="s">
        <v>73</v>
      </c>
      <c r="BV302" s="219" t="s">
        <v>73</v>
      </c>
      <c r="BW302" s="219" t="s">
        <v>73</v>
      </c>
      <c r="BX302" s="219" t="s">
        <v>73</v>
      </c>
      <c r="BY302" s="219" t="s">
        <v>73</v>
      </c>
      <c r="BZ302" s="219" t="s">
        <v>73</v>
      </c>
      <c r="CA302" s="219"/>
      <c r="CB302" s="219"/>
      <c r="CC302" s="219" t="s">
        <v>73</v>
      </c>
      <c r="CD302" s="220" t="s">
        <v>73</v>
      </c>
    </row>
    <row r="303" spans="59:82" ht="9" customHeight="1">
      <c r="BG303" s="224" t="s">
        <v>73</v>
      </c>
      <c r="BH303" s="219" t="s">
        <v>73</v>
      </c>
      <c r="BI303" s="219"/>
      <c r="BJ303" s="219"/>
      <c r="BK303" s="219"/>
      <c r="BL303" s="219"/>
      <c r="BM303" s="219"/>
      <c r="BN303" s="219"/>
      <c r="BO303" s="219"/>
      <c r="BP303" s="219"/>
      <c r="BQ303" s="219"/>
      <c r="BR303" s="219"/>
      <c r="BS303" s="219"/>
      <c r="BT303" s="219" t="s">
        <v>73</v>
      </c>
      <c r="BU303" s="219" t="s">
        <v>73</v>
      </c>
      <c r="BV303" s="219" t="s">
        <v>73</v>
      </c>
      <c r="BW303" s="219" t="s">
        <v>73</v>
      </c>
      <c r="BX303" s="219" t="s">
        <v>73</v>
      </c>
      <c r="BY303" s="219" t="s">
        <v>73</v>
      </c>
      <c r="BZ303" s="219" t="s">
        <v>73</v>
      </c>
      <c r="CA303" s="219"/>
      <c r="CB303" s="219"/>
      <c r="CC303" s="219" t="s">
        <v>73</v>
      </c>
      <c r="CD303" s="220" t="s">
        <v>73</v>
      </c>
    </row>
    <row r="304" spans="59:82" ht="9" customHeight="1">
      <c r="BG304" s="224" t="s">
        <v>73</v>
      </c>
      <c r="BH304" s="219" t="s">
        <v>73</v>
      </c>
      <c r="BI304" s="219"/>
      <c r="BJ304" s="219"/>
      <c r="BK304" s="219"/>
      <c r="BL304" s="219" t="s">
        <v>73</v>
      </c>
      <c r="BM304" s="219" t="s">
        <v>73</v>
      </c>
      <c r="BN304" s="219" t="s">
        <v>73</v>
      </c>
      <c r="BO304" s="219" t="s">
        <v>73</v>
      </c>
      <c r="BP304" s="219" t="s">
        <v>73</v>
      </c>
      <c r="BQ304" s="219"/>
      <c r="BR304" s="219"/>
      <c r="BS304" s="219"/>
      <c r="BT304" s="219" t="s">
        <v>73</v>
      </c>
      <c r="BU304" s="219" t="s">
        <v>73</v>
      </c>
      <c r="BV304" s="219" t="s">
        <v>73</v>
      </c>
      <c r="BW304" s="219" t="s">
        <v>73</v>
      </c>
      <c r="BX304" s="219" t="s">
        <v>73</v>
      </c>
      <c r="BY304" s="219" t="s">
        <v>73</v>
      </c>
      <c r="BZ304" s="219" t="s">
        <v>73</v>
      </c>
      <c r="CA304" s="219"/>
      <c r="CB304" s="219"/>
      <c r="CC304" s="219" t="s">
        <v>73</v>
      </c>
      <c r="CD304" s="220" t="s">
        <v>73</v>
      </c>
    </row>
    <row r="305" spans="59:82" ht="9" customHeight="1">
      <c r="BG305" s="224" t="s">
        <v>73</v>
      </c>
      <c r="BH305" s="219" t="s">
        <v>73</v>
      </c>
      <c r="BI305" s="219"/>
      <c r="BJ305" s="219"/>
      <c r="BK305" s="219"/>
      <c r="BL305" s="219"/>
      <c r="BM305" s="219"/>
      <c r="BN305" s="219"/>
      <c r="BO305" s="219"/>
      <c r="BP305" s="219"/>
      <c r="BQ305" s="219"/>
      <c r="BR305" s="219"/>
      <c r="BS305" s="219"/>
      <c r="BT305" s="219" t="s">
        <v>73</v>
      </c>
      <c r="BU305" s="219" t="s">
        <v>73</v>
      </c>
      <c r="BV305" s="219" t="s">
        <v>73</v>
      </c>
      <c r="BW305" s="219" t="s">
        <v>73</v>
      </c>
      <c r="BX305" s="219" t="s">
        <v>73</v>
      </c>
      <c r="BY305" s="219" t="s">
        <v>73</v>
      </c>
      <c r="BZ305" s="219" t="s">
        <v>73</v>
      </c>
      <c r="CA305" s="219"/>
      <c r="CB305" s="219"/>
      <c r="CC305" s="219" t="s">
        <v>73</v>
      </c>
      <c r="CD305" s="220" t="s">
        <v>73</v>
      </c>
    </row>
    <row r="306" spans="59:82" ht="9" customHeight="1">
      <c r="BG306" s="224" t="s">
        <v>73</v>
      </c>
      <c r="BH306" s="219" t="s">
        <v>73</v>
      </c>
      <c r="BI306" s="219"/>
      <c r="BJ306" s="219"/>
      <c r="BK306" s="219"/>
      <c r="BL306" s="219"/>
      <c r="BM306" s="219"/>
      <c r="BN306" s="219"/>
      <c r="BO306" s="219"/>
      <c r="BP306" s="219"/>
      <c r="BQ306" s="219"/>
      <c r="BR306" s="219"/>
      <c r="BS306" s="219"/>
      <c r="BT306" s="219" t="s">
        <v>73</v>
      </c>
      <c r="BU306" s="219" t="s">
        <v>73</v>
      </c>
      <c r="BV306" s="219" t="s">
        <v>73</v>
      </c>
      <c r="BW306" s="236" t="s">
        <v>1428</v>
      </c>
      <c r="BX306" s="219" t="s">
        <v>73</v>
      </c>
      <c r="BY306" s="219" t="s">
        <v>73</v>
      </c>
      <c r="BZ306" s="219" t="s">
        <v>73</v>
      </c>
      <c r="CA306" s="219"/>
      <c r="CB306" s="219"/>
      <c r="CC306" s="219" t="s">
        <v>73</v>
      </c>
      <c r="CD306" s="220" t="s">
        <v>73</v>
      </c>
    </row>
    <row r="307" spans="59:82" ht="9" customHeight="1">
      <c r="BG307" s="224" t="s">
        <v>73</v>
      </c>
      <c r="BH307" s="219" t="s">
        <v>73</v>
      </c>
      <c r="BI307" s="219"/>
      <c r="BJ307" s="219"/>
      <c r="BK307" s="219"/>
      <c r="BL307" s="219" t="s">
        <v>73</v>
      </c>
      <c r="BM307" s="219"/>
      <c r="BN307" s="219"/>
      <c r="BO307" s="219"/>
      <c r="BP307" s="219"/>
      <c r="BQ307" s="219"/>
      <c r="BR307" s="219"/>
      <c r="BS307" s="219"/>
      <c r="BT307" s="219"/>
      <c r="BU307" s="219"/>
      <c r="BV307" s="219"/>
      <c r="BW307" s="219"/>
      <c r="BX307" s="219"/>
      <c r="BY307" s="219"/>
      <c r="BZ307" s="219"/>
      <c r="CA307" s="219"/>
      <c r="CB307" s="219"/>
      <c r="CC307" s="219" t="s">
        <v>73</v>
      </c>
      <c r="CD307" s="220" t="s">
        <v>73</v>
      </c>
    </row>
    <row r="308" spans="59:82" ht="9" customHeight="1">
      <c r="BG308" s="224" t="s">
        <v>73</v>
      </c>
      <c r="BH308" s="219" t="s">
        <v>73</v>
      </c>
      <c r="BI308" s="219"/>
      <c r="BJ308" s="219"/>
      <c r="BK308" s="219"/>
      <c r="BL308" s="219"/>
      <c r="BM308" s="219"/>
      <c r="BN308" s="219"/>
      <c r="BO308" s="219"/>
      <c r="BP308" s="219"/>
      <c r="BQ308" s="219"/>
      <c r="BR308" s="219"/>
      <c r="BS308" s="219"/>
      <c r="BT308" s="219"/>
      <c r="BU308" s="219"/>
      <c r="BV308" s="219"/>
      <c r="BW308" s="219"/>
      <c r="BX308" s="219"/>
      <c r="BY308" s="219"/>
      <c r="BZ308" s="219"/>
      <c r="CA308" s="219"/>
      <c r="CB308" s="219"/>
      <c r="CC308" s="219" t="s">
        <v>73</v>
      </c>
      <c r="CD308" s="220" t="s">
        <v>73</v>
      </c>
    </row>
    <row r="309" spans="59:82" ht="9" customHeight="1">
      <c r="BG309" s="224" t="s">
        <v>73</v>
      </c>
      <c r="BH309" s="219" t="s">
        <v>73</v>
      </c>
      <c r="BI309" s="219"/>
      <c r="BJ309" s="219"/>
      <c r="BK309" s="219"/>
      <c r="BL309" s="219"/>
      <c r="BM309" s="219"/>
      <c r="BN309" s="219"/>
      <c r="BO309" s="219"/>
      <c r="BP309" s="219"/>
      <c r="BQ309" s="219"/>
      <c r="BR309" s="219"/>
      <c r="BS309" s="219"/>
      <c r="BT309" s="219" t="s">
        <v>73</v>
      </c>
      <c r="BU309" s="219" t="s">
        <v>73</v>
      </c>
      <c r="BV309" s="219" t="s">
        <v>73</v>
      </c>
      <c r="BW309" s="219" t="s">
        <v>73</v>
      </c>
      <c r="BX309" s="219" t="s">
        <v>73</v>
      </c>
      <c r="BY309" s="219" t="s">
        <v>73</v>
      </c>
      <c r="BZ309" s="219"/>
      <c r="CA309" s="219"/>
      <c r="CB309" s="219"/>
      <c r="CC309" s="219" t="s">
        <v>73</v>
      </c>
      <c r="CD309" s="220" t="s">
        <v>73</v>
      </c>
    </row>
    <row r="310" spans="59:82" ht="9" customHeight="1">
      <c r="BG310" s="224" t="s">
        <v>73</v>
      </c>
      <c r="BH310" s="219" t="s">
        <v>73</v>
      </c>
      <c r="BI310" s="219"/>
      <c r="BJ310" s="219"/>
      <c r="BK310" s="219"/>
      <c r="BL310" s="219"/>
      <c r="BM310" s="219"/>
      <c r="BN310" s="219" t="s">
        <v>1311</v>
      </c>
      <c r="BO310" s="219" t="s">
        <v>1311</v>
      </c>
      <c r="BP310" s="219" t="s">
        <v>1311</v>
      </c>
      <c r="BQ310" s="219" t="s">
        <v>1311</v>
      </c>
      <c r="BR310" s="219"/>
      <c r="BS310" s="219"/>
      <c r="BT310" s="219"/>
      <c r="BU310" s="219"/>
      <c r="BV310" s="219"/>
      <c r="BW310" s="219"/>
      <c r="BX310" s="219"/>
      <c r="BY310" s="219"/>
      <c r="BZ310" s="219"/>
      <c r="CA310" s="219"/>
      <c r="CB310" s="219"/>
      <c r="CC310" s="219" t="s">
        <v>73</v>
      </c>
      <c r="CD310" s="220" t="s">
        <v>73</v>
      </c>
    </row>
    <row r="311" spans="59:82" ht="9" customHeight="1">
      <c r="BG311" s="224" t="s">
        <v>73</v>
      </c>
      <c r="BH311" s="219" t="s">
        <v>73</v>
      </c>
      <c r="BI311" s="219"/>
      <c r="BJ311" s="219"/>
      <c r="BK311" s="219"/>
      <c r="BL311" s="219"/>
      <c r="BM311" s="219"/>
      <c r="BN311" s="219" t="s">
        <v>1311</v>
      </c>
      <c r="BO311" s="219" t="s">
        <v>1311</v>
      </c>
      <c r="BP311" s="219" t="s">
        <v>1311</v>
      </c>
      <c r="BQ311" s="219" t="s">
        <v>1311</v>
      </c>
      <c r="BR311" s="219"/>
      <c r="BS311" s="219"/>
      <c r="BT311" s="219"/>
      <c r="BU311" s="219"/>
      <c r="BV311" s="219"/>
      <c r="BW311" s="219"/>
      <c r="BX311" s="219"/>
      <c r="BY311" s="219"/>
      <c r="BZ311" s="219"/>
      <c r="CA311" s="219"/>
      <c r="CB311" s="219"/>
      <c r="CC311" s="219" t="s">
        <v>73</v>
      </c>
      <c r="CD311" s="220" t="s">
        <v>73</v>
      </c>
    </row>
    <row r="312" spans="59:82" ht="9" customHeight="1" thickBot="1">
      <c r="BG312" s="225" t="s">
        <v>73</v>
      </c>
      <c r="BH312" s="221" t="s">
        <v>73</v>
      </c>
      <c r="BI312" s="221" t="s">
        <v>73</v>
      </c>
      <c r="BJ312" s="221" t="s">
        <v>73</v>
      </c>
      <c r="BK312" s="221" t="s">
        <v>73</v>
      </c>
      <c r="BL312" s="221" t="s">
        <v>73</v>
      </c>
      <c r="BM312" s="221"/>
      <c r="BN312" s="221" t="s">
        <v>1311</v>
      </c>
      <c r="BO312" s="221" t="s">
        <v>1311</v>
      </c>
      <c r="BP312" s="221" t="s">
        <v>1311</v>
      </c>
      <c r="BQ312" s="221" t="s">
        <v>1311</v>
      </c>
      <c r="BR312" s="221"/>
      <c r="BS312" s="221"/>
      <c r="BT312" s="221"/>
      <c r="BU312" s="221"/>
      <c r="BV312" s="221"/>
      <c r="BW312" s="221"/>
      <c r="BX312" s="221"/>
      <c r="BY312" s="221" t="s">
        <v>73</v>
      </c>
      <c r="BZ312" s="221" t="s">
        <v>73</v>
      </c>
      <c r="CA312" s="221" t="s">
        <v>73</v>
      </c>
      <c r="CB312" s="221" t="s">
        <v>73</v>
      </c>
      <c r="CC312" s="221" t="s">
        <v>73</v>
      </c>
      <c r="CD312" s="222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34</vt:i4>
      </vt:variant>
    </vt:vector>
  </HeadingPairs>
  <TitlesOfParts>
    <vt:vector size="51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Pause</vt:lpstr>
      <vt:lpstr>TODO LIST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t_r02P_NO</vt:lpstr>
      <vt:lpstr>t_r02P_SO</vt:lpstr>
      <vt:lpstr>'Data Pokemon (2)'!Tab_BDD_Sprite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2023-06-04T20:14:33Z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