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763885C7-900D-4356-A96F-D038852EEE9E}" xr6:coauthVersionLast="47" xr6:coauthVersionMax="47" xr10:uidLastSave="{00000000-0000-0000-0000-000000000000}"/>
  <bookViews>
    <workbookView xWindow="-108" yWindow="-108" windowWidth="23256" windowHeight="12456" tabRatio="748" firstSheet="5" activeTab="11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Create Sprite" sheetId="9" r:id="rId6"/>
    <sheet name="Dimension Sprite" sheetId="20" r:id="rId7"/>
    <sheet name="Listes_Sprites" sheetId="17" state="hidden" r:id="rId8"/>
    <sheet name="Listes_Sprite Sheet" sheetId="21" r:id="rId9"/>
    <sheet name="Original Sprites" sheetId="23" state="hidden" r:id="rId10"/>
    <sheet name="Testing KeyState" sheetId="25" r:id="rId11"/>
    <sheet name="Bourg Palette" sheetId="22" r:id="rId12"/>
    <sheet name="Data" sheetId="29" r:id="rId13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Data!$B$3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2" l="1"/>
  <c r="F2" i="25"/>
  <c r="F2" i="25" a="1"/>
  <c r="C19" i="21"/>
  <c r="D14" i="21"/>
  <c r="C14" i="21"/>
  <c r="D13" i="21"/>
  <c r="C13" i="21"/>
  <c r="D12" i="21"/>
  <c r="C38" i="20"/>
  <c r="D34" i="20"/>
  <c r="C34" i="20"/>
  <c r="C18" i="20"/>
  <c r="D13" i="20"/>
  <c r="C13" i="20"/>
  <c r="D12" i="20"/>
  <c r="C12" i="20"/>
  <c r="D11" i="20"/>
  <c r="G4" i="9"/>
  <c r="G4" i="9" a="1"/>
  <c r="H3" i="9"/>
  <c r="H3" i="9" a="1"/>
  <c r="F3" i="1" a="1"/>
  <c r="C10" i="21" a="1"/>
  <c r="C11" i="21" a="1"/>
  <c r="C10" i="20" a="1"/>
  <c r="G20" i="1" a="1"/>
  <c r="C9" i="20" a="1"/>
  <c r="C32" i="20" a="1"/>
  <c r="C33" i="20" a="1"/>
  <c r="F3" i="1" l="1"/>
  <c r="C9" i="20"/>
  <c r="C10" i="20"/>
  <c r="C11" i="21"/>
  <c r="C32" i="20"/>
  <c r="C10" i="21"/>
  <c r="G20" i="1"/>
  <c r="C3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<sst xmlns="http://schemas.openxmlformats.org/spreadsheetml/2006/main" count="4392" uniqueCount="87">
  <si>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</si>
  <si>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</si>
  <si>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</si>
  <si>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</si>
  <si>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</si>
  <si>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</si>
  <si>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</si>
  <si>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</si>
  <si>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</si>
  <si>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</si>
  <si>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</si>
  <si>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</si>
  <si>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</si>
  <si>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</si>
  <si>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</si>
  <si>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</si>
  <si>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</si>
  <si>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</si>
  <si>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</si>
  <si>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</si>
  <si>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</si>
  <si>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</si>
  <si>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</si>
  <si>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</si>
  <si>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</si>
  <si>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</si>
  <si>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</si>
  <si>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</si>
  <si>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</si>
  <si>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</si>
  <si>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</si>
  <si>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</si>
  <si>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</si>
  <si>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</si>
  <si>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</si>
  <si>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</si>
  <si>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</si>
  <si>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</si>
  <si>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</si>
  <si>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</si>
  <si>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</si>
  <si>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</si>
  <si>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</si>
  <si>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</si>
  <si>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</si>
  <si>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</si>
  <si>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</si>
  <si>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</si>
  <si>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</si>
  <si>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</si>
  <si>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</si>
  <si>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</si>
  <si>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</si>
  <si>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</si>
  <si>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</si>
  <si>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</si>
  <si>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</si>
  <si>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</si>
  <si>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</si>
  <si>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</si>
  <si>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</si>
  <si>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</si>
  <si>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</si>
  <si>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</si>
  <si>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</si>
  <si>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</si>
  <si>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</si>
  <si>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</si>
  <si>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</si>
  <si>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A1:WB997</t>
  </si>
  <si>
    <t>vbKeyLButton</t>
  </si>
  <si>
    <t>vbKeyRButton</t>
  </si>
  <si>
    <t>vbKeyRight</t>
  </si>
  <si>
    <t>vbKeyLeft</t>
  </si>
  <si>
    <t>vbKeyDown</t>
  </si>
  <si>
    <t>vbKeyUp</t>
  </si>
  <si>
    <t>End</t>
  </si>
  <si>
    <t>Bourg Palette</t>
  </si>
  <si>
    <t>Is Looping</t>
  </si>
  <si>
    <t>a</t>
  </si>
  <si>
    <t>A</t>
  </si>
  <si>
    <t>params</t>
  </si>
  <si>
    <t>spf</t>
  </si>
  <si>
    <t>shape</t>
  </si>
  <si>
    <t>scroll$</t>
  </si>
  <si>
    <t>etc</t>
  </si>
  <si>
    <t>dddddddddddddddddffedfdmjsfmdlksvdddd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</si>
</sst>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</fonts>
  <fills count="7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7A7A7A"/>
        <bgColor indexed="64"/>
      </patternFill>
    </fill>
  </fills>
  <borders count="6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1" borderId="52" applyNumberFormat="0" applyAlignment="0" applyProtection="0"/>
  </cellStyleXfs>
  <cellXfs count="189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33" borderId="5" xfId="0" applyFill="1" applyBorder="1"/>
    <xf numFmtId="0" fontId="0" fillId="0" borderId="12" xfId="0" applyBorder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10" fontId="0" fillId="0" borderId="0" xfId="0" applyNumberFormat="1"/>
    <xf numFmtId="0" fontId="19" fillId="71" borderId="53" xfId="15" applyBorder="1" applyAlignment="1">
      <alignment horizontal="center"/>
    </xf>
    <xf numFmtId="0" fontId="19" fillId="71" borderId="54" xfId="15" applyBorder="1" applyAlignment="1">
      <alignment horizontal="center"/>
    </xf>
    <xf numFmtId="0" fontId="19" fillId="71" borderId="56" xfId="15" applyBorder="1" applyAlignment="1">
      <alignment horizontal="center"/>
    </xf>
    <xf numFmtId="0" fontId="19" fillId="71" borderId="57" xfId="15" applyBorder="1" applyAlignment="1">
      <alignment horizontal="center"/>
    </xf>
    <xf numFmtId="0" fontId="19" fillId="71" borderId="58" xfId="15" applyBorder="1" applyAlignment="1">
      <alignment horizontal="center"/>
    </xf>
    <xf numFmtId="0" fontId="19" fillId="71" borderId="59" xfId="15" applyBorder="1" applyAlignment="1">
      <alignment horizontal="center"/>
    </xf>
    <xf numFmtId="0" fontId="19" fillId="71" borderId="60" xfId="15" applyBorder="1" applyAlignment="1">
      <alignment horizontal="center"/>
    </xf>
    <xf numFmtId="0" fontId="19" fillId="71" borderId="61" xfId="15" applyBorder="1" applyAlignment="1">
      <alignment horizontal="center"/>
    </xf>
    <xf numFmtId="22" fontId="19" fillId="71" borderId="55" xfId="15" applyNumberFormat="1" applyBorder="1" applyAlignment="1">
      <alignment horizontal="center"/>
    </xf>
    <xf numFmtId="0" fontId="0" fillId="72" borderId="0" xfId="0" applyFill="1"/>
    <xf numFmtId="0" fontId="20" fillId="23" borderId="40" xfId="3" applyFont="1" applyFill="1" applyBorder="1" applyAlignment="1">
      <alignment horizontal="center" vertical="center"/>
    </xf>
    <xf numFmtId="0" fontId="20" fillId="23" borderId="42" xfId="3" applyFont="1" applyFill="1" applyBorder="1" applyAlignment="1">
      <alignment horizontal="center" vertical="center"/>
    </xf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0" fontId="20" fillId="23" borderId="37" xfId="3" applyFont="1" applyFill="1" applyBorder="1" applyAlignment="1">
      <alignment horizontal="center" vertical="center"/>
    </xf>
    <xf numFmtId="0" fontId="20" fillId="23" borderId="62" xfId="3" applyFont="1" applyFill="1" applyBorder="1" applyAlignment="1">
      <alignment horizontal="center" vertical="center"/>
    </xf>
    <xf numFmtId="0" fontId="20" fillId="23" borderId="1" xfId="3" applyFont="1" applyFill="1" applyBorder="1" applyAlignment="1">
      <alignment horizontal="center" vertical="center"/>
    </xf>
    <xf numFmtId="0" fontId="0" fillId="73" borderId="0" xfId="0" applyFill="1"/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21">
    <dxf>
      <font>
        <color rgb="FFC00000"/>
      </font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D$23" max="300" min="1" page="10" val="3"/>
</file>

<file path=xl/ctrlProps/ctrlProp4.xml><?xml version="1.0" encoding="utf-8"?>
<formControlPr xmlns="http://schemas.microsoft.com/office/spreadsheetml/2009/9/main" objectType="CheckBox" checked="Checked" fmlaLink="$E$26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Data!$B$3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5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5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5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5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5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5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5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5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5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265043</xdr:colOff>
      <xdr:row>2</xdr:row>
      <xdr:rowOff>13252</xdr:rowOff>
    </xdr:from>
    <xdr:to>
      <xdr:col>11</xdr:col>
      <xdr:colOff>293159</xdr:colOff>
      <xdr:row>19</xdr:row>
      <xdr:rowOff>44123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6763" y="394252"/>
          <a:ext cx="2405556" cy="317793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417004</xdr:colOff>
      <xdr:row>4</xdr:row>
      <xdr:rowOff>6626</xdr:rowOff>
    </xdr:from>
    <xdr:to>
      <xdr:col>5</xdr:col>
      <xdr:colOff>226092</xdr:colOff>
      <xdr:row>7</xdr:row>
      <xdr:rowOff>178990</xdr:rowOff>
    </xdr:to>
    <xdr:pic>
      <xdr:nvPicPr>
        <xdr:cNvPr id="11" name="Hero_Marche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62" t="77296" r="70830" b="-46"/>
        <a:stretch/>
      </xdr:blipFill>
      <xdr:spPr>
        <a:xfrm>
          <a:off x="3398743" y="762000"/>
          <a:ext cx="604219" cy="7289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602343</xdr:colOff>
      <xdr:row>1</xdr:row>
      <xdr:rowOff>159027</xdr:rowOff>
    </xdr:from>
    <xdr:to>
      <xdr:col>8</xdr:col>
      <xdr:colOff>631177</xdr:colOff>
      <xdr:row>18</xdr:row>
      <xdr:rowOff>184220</xdr:rowOff>
    </xdr:to>
    <xdr:pic>
      <xdr:nvPicPr>
        <xdr:cNvPr id="2" name="Hero_Marche_Originel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9213" y="344557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364435</xdr:colOff>
      <xdr:row>14</xdr:row>
      <xdr:rowOff>86139</xdr:rowOff>
    </xdr:from>
    <xdr:to>
      <xdr:col>5</xdr:col>
      <xdr:colOff>293837</xdr:colOff>
      <xdr:row>19</xdr:row>
      <xdr:rowOff>18377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346174" y="2716696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523461</xdr:colOff>
      <xdr:row>2</xdr:row>
      <xdr:rowOff>92764</xdr:rowOff>
    </xdr:from>
    <xdr:to>
      <xdr:col>20</xdr:col>
      <xdr:colOff>459540</xdr:colOff>
      <xdr:row>22</xdr:row>
      <xdr:rowOff>167971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5983" y="470451"/>
          <a:ext cx="7887383" cy="3825572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36785</xdr:colOff>
      <xdr:row>18</xdr:row>
      <xdr:rowOff>110007</xdr:rowOff>
    </xdr:to>
    <xdr:pic>
      <xdr:nvPicPr>
        <xdr:cNvPr id="2" name="Hero_Marche_Original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tretch/>
      </xdr:blipFill>
      <xdr:spPr>
        <a:xfrm>
          <a:off x="792480" y="182880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148641</xdr:colOff>
      <xdr:row>0</xdr:row>
      <xdr:rowOff>0</xdr:rowOff>
    </xdr:from>
    <xdr:to>
      <xdr:col>49</xdr:col>
      <xdr:colOff>2711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4641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B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144780</xdr:rowOff>
        </xdr:from>
        <xdr:to>
          <xdr:col>9</xdr:col>
          <xdr:colOff>15240</xdr:colOff>
          <xdr:row>20</xdr:row>
          <xdr:rowOff>53340</xdr:rowOff>
        </xdr:to>
        <xdr:sp macro="" textlink="">
          <xdr:nvSpPr>
            <xdr:cNvPr id="23572" name="Button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9</xdr:col>
          <xdr:colOff>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82</xdr:col>
      <xdr:colOff>2376</xdr:colOff>
      <xdr:row>8</xdr:row>
      <xdr:rowOff>6479</xdr:rowOff>
    </xdr:from>
    <xdr:to>
      <xdr:col>91</xdr:col>
      <xdr:colOff>38757</xdr:colOff>
      <xdr:row>16</xdr:row>
      <xdr:rowOff>142177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>
          <a:grpSpLocks noChangeAspect="1"/>
        </xdr:cNvGrpSpPr>
      </xdr:nvGrpSpPr>
      <xdr:grpSpPr>
        <a:xfrm>
          <a:off x="12499176" y="1225679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B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B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B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B00-0000195C0000}"/>
                  </a:ext>
                </a:extLst>
              </xdr:cNvPr>
              <xdr:cNvSpPr/>
            </xdr:nvSpPr>
            <xdr:spPr bwMode="auto">
              <a:xfrm>
                <a:off x="9210676" y="655320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17</xdr:col>
      <xdr:colOff>0</xdr:colOff>
      <xdr:row>8</xdr:row>
      <xdr:rowOff>0</xdr:rowOff>
    </xdr:from>
    <xdr:to>
      <xdr:col>21</xdr:col>
      <xdr:colOff>76544</xdr:colOff>
      <xdr:row>12</xdr:row>
      <xdr:rowOff>102756</xdr:rowOff>
    </xdr:to>
    <xdr:pic>
      <xdr:nvPicPr>
        <xdr:cNvPr id="11" name="Hero_Marche">
          <a:extLst>
            <a:ext uri="{FF2B5EF4-FFF2-40B4-BE49-F238E27FC236}">
              <a16:creationId xmlns:a16="http://schemas.microsoft.com/office/drawing/2014/main" id="{F7798B33-343B-4B69-ADCE-FDAE73A430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62" r="68502" b="25690"/>
        <a:stretch/>
      </xdr:blipFill>
      <xdr:spPr>
        <a:xfrm>
          <a:off x="2590800" y="1219200"/>
          <a:ext cx="686144" cy="71235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20" dataDxfId="18" headerRowBorderDxfId="19" tableBorderDxfId="17">
  <autoFilter ref="B2:H7" xr:uid="{C414A4D2-C5F5-497D-A639-4A8EE161BF63}"/>
  <tableColumns count="7">
    <tableColumn id="1" xr3:uid="{5C8CCE40-5324-422D-B4E2-BC0EEB2637A4}" name="Feuille" dataDxfId="16"/>
    <tableColumn id="2" xr3:uid="{61C62033-3951-47B9-990B-4D95CF52FB3A}" name="Nom" dataDxfId="15"/>
    <tableColumn id="8" xr3:uid="{9AF53E84-20C5-47E1-BE53-91DA8C60394E}" name="Range" dataDxfId="14">
      <calculatedColumnFormula>"Sp_"&amp;Tab_BBD_Sprite[[#This Row],[Nom]]</calculatedColumnFormula>
    </tableColumn>
    <tableColumn id="3" xr3:uid="{2DD65BEA-6105-4F6A-99A3-90A40F660094}" name="L_Cases" dataDxfId="13"/>
    <tableColumn id="4" xr3:uid="{B69F256D-D223-4894-8098-673D3FEEBACD}" name="C_Cases" dataDxfId="12"/>
    <tableColumn id="5" xr3:uid="{14C26A1E-B632-4793-A1C4-D941E44B8850}" name="L_Pixel" dataDxfId="11"/>
    <tableColumn id="6" xr3:uid="{94869BFF-BBFC-4D2C-8ABE-1B6F9DFF9BC6}" name="C_Pixel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5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4" sqref="J4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20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5">TRANSPOSE(GetSheetsName())</f>
        <v>Mascotte</v>
      </c>
      <c r="I3" s="6" t="s">
        <v>25</v>
      </c>
      <c r="J3" s="7">
        <v>20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77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 t="s">
        <v>69</v>
      </c>
    </row>
    <row r="8" spans="2:12" x14ac:dyDescent="0.3">
      <c r="B8" s="1">
        <v>5</v>
      </c>
      <c r="C8" s="1">
        <v>0.31</v>
      </c>
      <c r="D8" s="1">
        <v>3</v>
      </c>
      <c r="F8" s="1" t="str">
        <v>Create Sprite</v>
      </c>
    </row>
    <row r="9" spans="2:12" x14ac:dyDescent="0.3">
      <c r="B9" s="1">
        <v>6</v>
      </c>
      <c r="C9" s="1">
        <v>0.38</v>
      </c>
      <c r="D9" s="1">
        <v>3.6</v>
      </c>
      <c r="F9" s="1" t="str">
        <v>Dimension Sprite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Listes_Sprites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Listes_Sprite Sheet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Original 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Testing KeyState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Bourg Palette</v>
      </c>
    </row>
    <row r="15" spans="2:12" x14ac:dyDescent="0.3">
      <c r="B15" s="1">
        <v>12</v>
      </c>
      <c r="C15" s="1">
        <v>0.75</v>
      </c>
      <c r="D15" s="1">
        <v>7.2</v>
      </c>
      <c r="F15" s="1" t="str">
        <v>Data</v>
      </c>
    </row>
    <row r="16" spans="2:12" x14ac:dyDescent="0.3">
      <c r="B16" s="1">
        <v>13</v>
      </c>
      <c r="C16" s="1">
        <v>0.81</v>
      </c>
      <c r="D16" s="1">
        <v>7.8</v>
      </c>
      <c r="F16" s="1"/>
    </row>
    <row r="17" spans="2:7" x14ac:dyDescent="0.3">
      <c r="B17" s="1">
        <v>14</v>
      </c>
      <c r="C17" s="1">
        <v>0.88</v>
      </c>
      <c r="D17" s="1">
        <v>8.4</v>
      </c>
      <c r="F17" s="1"/>
    </row>
    <row r="18" spans="2:7" x14ac:dyDescent="0.3">
      <c r="B18" s="1">
        <v>15</v>
      </c>
      <c r="C18" s="1">
        <v>0.94</v>
      </c>
      <c r="D18" s="1">
        <v>9</v>
      </c>
      <c r="F18" s="1"/>
    </row>
    <row r="19" spans="2:7" x14ac:dyDescent="0.3">
      <c r="B19" s="1">
        <v>16</v>
      </c>
      <c r="C19" s="1">
        <v>1</v>
      </c>
      <c r="D19" s="1">
        <v>9.6</v>
      </c>
      <c r="F19" s="1"/>
    </row>
    <row r="20" spans="2:7" x14ac:dyDescent="0.3">
      <c r="B20" s="1">
        <v>17</v>
      </c>
      <c r="C20" s="1">
        <v>1.1100000000000001</v>
      </c>
      <c r="D20" s="1">
        <v>10.199999999999999</v>
      </c>
      <c r="F20" s="1"/>
      <c r="G20" cm="1">
        <f t="array" ref="G20">cm_to_pt(2)</f>
        <v>56.69291338582677</v>
      </c>
    </row>
    <row r="21" spans="2:7" x14ac:dyDescent="0.3">
      <c r="B21" s="1">
        <v>18</v>
      </c>
      <c r="C21" s="1">
        <v>1.22</v>
      </c>
      <c r="D21" s="1">
        <v>10.8</v>
      </c>
      <c r="F21" s="1"/>
    </row>
    <row r="22" spans="2:7" x14ac:dyDescent="0.3">
      <c r="B22" s="1">
        <v>19</v>
      </c>
      <c r="C22" s="1">
        <v>1.33</v>
      </c>
      <c r="D22" s="1">
        <v>11.4</v>
      </c>
      <c r="F22" s="1"/>
    </row>
    <row r="23" spans="2:7" x14ac:dyDescent="0.3">
      <c r="B23" s="1">
        <v>20</v>
      </c>
      <c r="C23" s="1">
        <v>1.44</v>
      </c>
      <c r="D23" s="1">
        <v>12</v>
      </c>
      <c r="F23" s="1"/>
    </row>
    <row r="24" spans="2:7" x14ac:dyDescent="0.3">
      <c r="B24" s="1">
        <v>21</v>
      </c>
      <c r="C24" s="1">
        <v>1.56</v>
      </c>
      <c r="D24" s="1">
        <v>12.6</v>
      </c>
      <c r="F24" s="1"/>
    </row>
    <row r="25" spans="2:7" x14ac:dyDescent="0.3">
      <c r="B25" s="1">
        <v>22</v>
      </c>
      <c r="C25" s="1">
        <v>1.67</v>
      </c>
      <c r="D25" s="1">
        <v>13.2</v>
      </c>
      <c r="F25" s="1"/>
    </row>
    <row r="26" spans="2:7" x14ac:dyDescent="0.3">
      <c r="B26" s="1">
        <v>23</v>
      </c>
      <c r="C26" s="1">
        <v>1.78</v>
      </c>
      <c r="D26" s="1">
        <v>13.8</v>
      </c>
      <c r="F26" s="1"/>
    </row>
    <row r="27" spans="2:7" x14ac:dyDescent="0.3">
      <c r="B27" s="1">
        <v>24</v>
      </c>
      <c r="C27" s="1">
        <v>1.89</v>
      </c>
      <c r="D27" s="1">
        <v>14.4</v>
      </c>
      <c r="F27" s="1"/>
    </row>
    <row r="28" spans="2:7" x14ac:dyDescent="0.3">
      <c r="B28" s="1">
        <v>25</v>
      </c>
      <c r="C28" s="1">
        <v>2</v>
      </c>
      <c r="D28" s="1">
        <v>15</v>
      </c>
      <c r="F28" s="1"/>
    </row>
    <row r="29" spans="2:7" x14ac:dyDescent="0.3">
      <c r="B29" s="1">
        <v>26</v>
      </c>
      <c r="C29" s="1">
        <v>2.11</v>
      </c>
      <c r="D29" s="1">
        <v>15.6</v>
      </c>
      <c r="F29" s="1"/>
    </row>
    <row r="30" spans="2:7" x14ac:dyDescent="0.3">
      <c r="B30" s="1">
        <v>27</v>
      </c>
      <c r="C30" s="1">
        <v>2.2200000000000002</v>
      </c>
      <c r="D30" s="1">
        <v>16.2</v>
      </c>
      <c r="F30" s="1"/>
    </row>
    <row r="31" spans="2:7" x14ac:dyDescent="0.3">
      <c r="B31" s="1">
        <v>28</v>
      </c>
      <c r="C31" s="1">
        <v>2.33</v>
      </c>
      <c r="D31" s="1">
        <v>16.8</v>
      </c>
      <c r="F31" s="1"/>
    </row>
    <row r="32" spans="2:7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77" zoomScaleNormal="55" zoomScalePageLayoutView="70" workbookViewId="0">
      <selection activeCell="D26" sqref="D26:E26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9" t="s">
        <v>29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</row>
    <row r="2" spans="1:300" ht="19.2" customHeight="1" thickBot="1" x14ac:dyDescent="0.35">
      <c r="A2" s="110"/>
      <c r="B2" s="110"/>
      <c r="C2" s="110"/>
      <c r="D2" s="110"/>
      <c r="E2" s="110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0"/>
      <c r="HL2" s="110"/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0"/>
      <c r="IJ2" s="110"/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0"/>
      <c r="JH2" s="110"/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0"/>
      <c r="KF2" s="110"/>
      <c r="KG2" s="110"/>
      <c r="KH2" s="110"/>
      <c r="KI2" s="110"/>
      <c r="KJ2" s="110"/>
      <c r="KK2" s="110"/>
      <c r="KL2" s="110"/>
      <c r="KM2" s="110"/>
      <c r="KN2" s="110"/>
    </row>
    <row r="3" spans="1:300" ht="9.6" customHeight="1" thickBot="1" x14ac:dyDescent="0.35">
      <c r="A3" s="110"/>
      <c r="B3" s="110"/>
      <c r="C3" s="110"/>
      <c r="D3" s="29" t="s">
        <v>4</v>
      </c>
      <c r="E3" s="29" t="s">
        <v>5</v>
      </c>
      <c r="F3" s="42" t="s">
        <v>0</v>
      </c>
      <c r="G3" s="111"/>
      <c r="H3" s="112" cm="1">
        <f t="array" ref="H3:CY3">_xlfn.SEQUENCE(1,CS_CC)</f>
        <v>1</v>
      </c>
      <c r="I3" s="112">
        <v>2</v>
      </c>
      <c r="J3" s="112">
        <v>3</v>
      </c>
      <c r="K3" s="112">
        <v>4</v>
      </c>
      <c r="L3" s="112">
        <v>5</v>
      </c>
      <c r="M3" s="112">
        <v>6</v>
      </c>
      <c r="N3" s="112">
        <v>7</v>
      </c>
      <c r="O3" s="112">
        <v>8</v>
      </c>
      <c r="P3" s="112">
        <v>9</v>
      </c>
      <c r="Q3" s="112">
        <v>10</v>
      </c>
      <c r="R3" s="112">
        <v>11</v>
      </c>
      <c r="S3" s="112">
        <v>12</v>
      </c>
      <c r="T3" s="112">
        <v>13</v>
      </c>
      <c r="U3" s="112">
        <v>14</v>
      </c>
      <c r="V3" s="112">
        <v>15</v>
      </c>
      <c r="W3" s="112">
        <v>16</v>
      </c>
      <c r="X3" s="112">
        <v>17</v>
      </c>
      <c r="Y3" s="112">
        <v>18</v>
      </c>
      <c r="Z3" s="112">
        <v>19</v>
      </c>
      <c r="AA3" s="112">
        <v>20</v>
      </c>
      <c r="AB3" s="112">
        <v>21</v>
      </c>
      <c r="AC3" s="112">
        <v>22</v>
      </c>
      <c r="AD3" s="112">
        <v>23</v>
      </c>
      <c r="AE3" s="112">
        <v>24</v>
      </c>
      <c r="AF3" s="112">
        <v>25</v>
      </c>
      <c r="AG3" s="112">
        <v>26</v>
      </c>
      <c r="AH3" s="112">
        <v>27</v>
      </c>
      <c r="AI3" s="112">
        <v>28</v>
      </c>
      <c r="AJ3" s="112">
        <v>29</v>
      </c>
      <c r="AK3" s="112">
        <v>30</v>
      </c>
      <c r="AL3" s="112">
        <v>31</v>
      </c>
      <c r="AM3" s="112">
        <v>32</v>
      </c>
      <c r="AN3" s="113">
        <v>33</v>
      </c>
      <c r="AO3" s="113">
        <v>34</v>
      </c>
      <c r="AP3" s="113">
        <v>35</v>
      </c>
      <c r="AQ3" s="113">
        <v>36</v>
      </c>
      <c r="AR3" s="113">
        <v>37</v>
      </c>
      <c r="AS3" s="113">
        <v>38</v>
      </c>
      <c r="AT3" s="113">
        <v>39</v>
      </c>
      <c r="AU3" s="113">
        <v>40</v>
      </c>
      <c r="AV3" s="113">
        <v>41</v>
      </c>
      <c r="AW3" s="113">
        <v>42</v>
      </c>
      <c r="AX3" s="113">
        <v>43</v>
      </c>
      <c r="AY3" s="113">
        <v>44</v>
      </c>
      <c r="AZ3" s="113">
        <v>45</v>
      </c>
      <c r="BA3" s="113">
        <v>46</v>
      </c>
      <c r="BB3" s="113">
        <v>47</v>
      </c>
      <c r="BC3" s="113">
        <v>48</v>
      </c>
      <c r="BD3" s="113">
        <v>49</v>
      </c>
      <c r="BE3" s="113">
        <v>50</v>
      </c>
      <c r="BF3" s="113">
        <v>51</v>
      </c>
      <c r="BG3" s="113">
        <v>52</v>
      </c>
      <c r="BH3" s="113">
        <v>53</v>
      </c>
      <c r="BI3" s="113">
        <v>54</v>
      </c>
      <c r="BJ3" s="113">
        <v>55</v>
      </c>
      <c r="BK3" s="113">
        <v>56</v>
      </c>
      <c r="BL3" s="113">
        <v>57</v>
      </c>
      <c r="BM3" s="113">
        <v>58</v>
      </c>
      <c r="BN3" s="113">
        <v>59</v>
      </c>
      <c r="BO3" s="113">
        <v>60</v>
      </c>
      <c r="BP3" s="113">
        <v>61</v>
      </c>
      <c r="BQ3" s="113">
        <v>62</v>
      </c>
      <c r="BR3" s="113">
        <v>63</v>
      </c>
      <c r="BS3" s="113">
        <v>64</v>
      </c>
      <c r="BT3" s="113">
        <v>65</v>
      </c>
      <c r="BU3" s="113">
        <v>66</v>
      </c>
      <c r="BV3" s="113">
        <v>67</v>
      </c>
      <c r="BW3" s="113">
        <v>68</v>
      </c>
      <c r="BX3" s="113">
        <v>69</v>
      </c>
      <c r="BY3" s="113">
        <v>70</v>
      </c>
      <c r="BZ3" s="113">
        <v>71</v>
      </c>
      <c r="CA3" s="113">
        <v>72</v>
      </c>
      <c r="CB3" s="113">
        <v>73</v>
      </c>
      <c r="CC3" s="113">
        <v>74</v>
      </c>
      <c r="CD3" s="113">
        <v>75</v>
      </c>
      <c r="CE3" s="113">
        <v>76</v>
      </c>
      <c r="CF3" s="113">
        <v>77</v>
      </c>
      <c r="CG3" s="113">
        <v>78</v>
      </c>
      <c r="CH3" s="113">
        <v>79</v>
      </c>
      <c r="CI3" s="113">
        <v>80</v>
      </c>
      <c r="CJ3" s="113">
        <v>81</v>
      </c>
      <c r="CK3" s="113">
        <v>82</v>
      </c>
      <c r="CL3" s="113">
        <v>83</v>
      </c>
      <c r="CM3" s="113">
        <v>84</v>
      </c>
      <c r="CN3" s="113">
        <v>85</v>
      </c>
      <c r="CO3" s="113">
        <v>86</v>
      </c>
      <c r="CP3" s="113">
        <v>87</v>
      </c>
      <c r="CQ3" s="113">
        <v>88</v>
      </c>
      <c r="CR3" s="113">
        <v>89</v>
      </c>
      <c r="CS3" s="113">
        <v>90</v>
      </c>
      <c r="CT3" s="113">
        <v>91</v>
      </c>
      <c r="CU3" s="113">
        <v>92</v>
      </c>
      <c r="CV3" s="113">
        <v>93</v>
      </c>
      <c r="CW3" s="113">
        <v>94</v>
      </c>
      <c r="CX3" s="113">
        <v>95</v>
      </c>
      <c r="CY3" s="113">
        <v>96</v>
      </c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4"/>
      <c r="FK3" s="114"/>
      <c r="FL3" s="114"/>
      <c r="FM3" s="114"/>
      <c r="FN3" s="114"/>
      <c r="FO3" s="114"/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14"/>
      <c r="GP3" s="114"/>
      <c r="GQ3" s="114"/>
      <c r="GR3" s="114"/>
      <c r="GS3" s="114"/>
      <c r="GT3" s="114"/>
      <c r="GU3" s="114"/>
      <c r="GV3" s="114"/>
      <c r="GW3" s="114"/>
      <c r="GX3" s="114"/>
      <c r="GY3" s="114"/>
      <c r="GZ3" s="114"/>
      <c r="HA3" s="114"/>
      <c r="HB3" s="110"/>
      <c r="HC3" s="110"/>
      <c r="HD3" s="110"/>
      <c r="HE3" s="110"/>
      <c r="HF3" s="110"/>
      <c r="HG3" s="110"/>
      <c r="HH3" s="110"/>
      <c r="HI3" s="110"/>
      <c r="HJ3" s="110"/>
      <c r="HK3" s="110"/>
      <c r="HL3" s="110"/>
      <c r="HM3" s="110"/>
      <c r="HN3" s="110"/>
      <c r="HO3" s="110"/>
      <c r="HP3" s="110"/>
      <c r="HQ3" s="110"/>
      <c r="HR3" s="110"/>
      <c r="HS3" s="110"/>
      <c r="HT3" s="110"/>
      <c r="HU3" s="110"/>
      <c r="HV3" s="110"/>
      <c r="HW3" s="110"/>
      <c r="HX3" s="110"/>
      <c r="HY3" s="110"/>
      <c r="HZ3" s="110"/>
      <c r="IA3" s="110"/>
      <c r="IB3" s="110"/>
      <c r="IC3" s="110"/>
      <c r="ID3" s="110"/>
      <c r="IE3" s="110"/>
      <c r="IF3" s="110"/>
      <c r="IG3" s="110"/>
      <c r="IH3" s="110"/>
      <c r="II3" s="110"/>
      <c r="IJ3" s="110"/>
      <c r="IK3" s="110"/>
      <c r="IL3" s="110"/>
      <c r="IM3" s="110"/>
      <c r="IN3" s="110"/>
      <c r="IO3" s="110"/>
      <c r="IP3" s="110"/>
      <c r="IQ3" s="110"/>
      <c r="IR3" s="110"/>
      <c r="IS3" s="110"/>
      <c r="IT3" s="110"/>
      <c r="IU3" s="110"/>
      <c r="IV3" s="110"/>
      <c r="IW3" s="110"/>
      <c r="IX3" s="110"/>
      <c r="IY3" s="110"/>
      <c r="IZ3" s="110"/>
      <c r="JA3" s="110"/>
      <c r="JB3" s="110"/>
      <c r="JC3" s="110"/>
      <c r="JD3" s="110"/>
      <c r="JE3" s="110"/>
      <c r="JF3" s="110"/>
      <c r="JG3" s="110"/>
      <c r="JH3" s="110"/>
      <c r="JI3" s="110"/>
      <c r="JJ3" s="110"/>
      <c r="JK3" s="110"/>
      <c r="JL3" s="110"/>
      <c r="JM3" s="110"/>
      <c r="JN3" s="110"/>
      <c r="JO3" s="110"/>
      <c r="JP3" s="110"/>
      <c r="JQ3" s="110"/>
      <c r="JR3" s="110"/>
      <c r="JS3" s="110"/>
      <c r="JT3" s="110"/>
      <c r="JU3" s="110"/>
      <c r="JV3" s="110"/>
      <c r="JW3" s="110"/>
      <c r="JX3" s="110"/>
      <c r="JY3" s="110"/>
      <c r="JZ3" s="110"/>
      <c r="KA3" s="110"/>
      <c r="KB3" s="110"/>
      <c r="KC3" s="110"/>
      <c r="KD3" s="110"/>
      <c r="KE3" s="110"/>
      <c r="KF3" s="110"/>
      <c r="KG3" s="110"/>
      <c r="KH3" s="110"/>
      <c r="KI3" s="110"/>
      <c r="KJ3" s="110"/>
      <c r="KK3" s="110"/>
      <c r="KL3" s="110"/>
      <c r="KM3" s="110"/>
      <c r="KN3" s="110"/>
    </row>
    <row r="4" spans="1:300" ht="19.2" customHeight="1" thickBot="1" x14ac:dyDescent="0.35">
      <c r="A4" s="110"/>
      <c r="B4" s="110"/>
      <c r="C4" s="30" t="s">
        <v>6</v>
      </c>
      <c r="D4" s="25">
        <v>128</v>
      </c>
      <c r="E4" s="25">
        <v>32</v>
      </c>
      <c r="F4" s="42" t="s">
        <v>0</v>
      </c>
      <c r="G4" s="112" t="str" cm="1">
        <f t="array" ref="G4:G131">_xlfn.SEQUENCE(CS_LC,1)&amp;" "</f>
        <v xml:space="preserve">1 </v>
      </c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0"/>
      <c r="GW4" s="110"/>
      <c r="GX4" s="110"/>
      <c r="GY4" s="110"/>
      <c r="GZ4" s="110"/>
      <c r="HA4" s="110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0"/>
      <c r="HT4" s="110"/>
      <c r="HU4" s="110"/>
      <c r="HV4" s="110"/>
      <c r="HW4" s="110"/>
      <c r="HX4" s="110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0"/>
      <c r="IQ4" s="110"/>
      <c r="IR4" s="110"/>
      <c r="IS4" s="110"/>
      <c r="IT4" s="110"/>
      <c r="IU4" s="110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0"/>
      <c r="JN4" s="110"/>
      <c r="JO4" s="110"/>
      <c r="JP4" s="110"/>
      <c r="JQ4" s="110"/>
      <c r="JR4" s="110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0"/>
      <c r="KK4" s="110"/>
      <c r="KL4" s="110"/>
      <c r="KM4" s="110"/>
      <c r="KN4" s="110"/>
    </row>
    <row r="5" spans="1:300" ht="19.2" customHeight="1" thickTop="1" thickBot="1" x14ac:dyDescent="0.35">
      <c r="A5" s="110"/>
      <c r="B5" s="110"/>
      <c r="C5" s="31" t="s">
        <v>7</v>
      </c>
      <c r="D5" s="26">
        <v>96</v>
      </c>
      <c r="E5" s="26">
        <v>32</v>
      </c>
      <c r="F5" s="42" t="s">
        <v>0</v>
      </c>
      <c r="G5" s="112" t="str">
        <v xml:space="preserve">2 </v>
      </c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0"/>
      <c r="GW5" s="110"/>
      <c r="GX5" s="110"/>
      <c r="GY5" s="110"/>
      <c r="GZ5" s="110"/>
      <c r="HA5" s="110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0"/>
      <c r="HT5" s="110"/>
      <c r="HU5" s="110"/>
      <c r="HV5" s="110"/>
      <c r="HW5" s="110"/>
      <c r="HX5" s="110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0"/>
      <c r="IQ5" s="110"/>
      <c r="IR5" s="110"/>
      <c r="IS5" s="110"/>
      <c r="IT5" s="110"/>
      <c r="IU5" s="110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0"/>
      <c r="JN5" s="110"/>
      <c r="JO5" s="110"/>
      <c r="JP5" s="110"/>
      <c r="JQ5" s="110"/>
      <c r="JR5" s="110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0"/>
      <c r="KK5" s="110"/>
      <c r="KL5" s="110"/>
      <c r="KM5" s="110"/>
      <c r="KN5" s="110"/>
    </row>
    <row r="6" spans="1:300" ht="19.2" customHeight="1" thickBot="1" x14ac:dyDescent="0.35">
      <c r="A6" s="110"/>
      <c r="B6" s="110"/>
      <c r="C6" s="110"/>
      <c r="D6" s="115"/>
      <c r="E6" s="115"/>
      <c r="F6" s="42" t="s">
        <v>0</v>
      </c>
      <c r="G6" s="112" t="str">
        <v xml:space="preserve">3 </v>
      </c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0"/>
      <c r="GW6" s="110"/>
      <c r="GX6" s="110"/>
      <c r="GY6" s="110"/>
      <c r="GZ6" s="110"/>
      <c r="HA6" s="110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0"/>
      <c r="HT6" s="110"/>
      <c r="HU6" s="110"/>
      <c r="HV6" s="110"/>
      <c r="HW6" s="110"/>
      <c r="HX6" s="110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0"/>
      <c r="IQ6" s="110"/>
      <c r="IR6" s="110"/>
      <c r="IS6" s="110"/>
      <c r="IT6" s="110"/>
      <c r="IU6" s="110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0"/>
      <c r="JN6" s="110"/>
      <c r="JO6" s="110"/>
      <c r="JP6" s="110"/>
      <c r="JQ6" s="110"/>
      <c r="JR6" s="110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0"/>
      <c r="KK6" s="110"/>
      <c r="KL6" s="110"/>
      <c r="KM6" s="110"/>
      <c r="KN6" s="110"/>
    </row>
    <row r="7" spans="1:300" ht="19.2" customHeight="1" x14ac:dyDescent="0.3">
      <c r="A7" s="110"/>
      <c r="B7" s="110"/>
      <c r="C7" s="110"/>
      <c r="D7" s="32" t="s">
        <v>8</v>
      </c>
      <c r="E7" s="33" t="s">
        <v>9</v>
      </c>
      <c r="F7" s="42"/>
      <c r="G7" s="112" t="str">
        <v xml:space="preserve">4 </v>
      </c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0"/>
      <c r="GV7" s="110"/>
      <c r="GW7" s="110"/>
      <c r="GX7" s="110"/>
      <c r="GY7" s="110"/>
      <c r="GZ7" s="11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10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1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10"/>
      <c r="IM7" s="11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10"/>
      <c r="IZ7" s="110"/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110"/>
      <c r="JO7" s="110"/>
      <c r="JP7" s="110"/>
      <c r="JQ7" s="110"/>
      <c r="JR7" s="110"/>
      <c r="JS7" s="110"/>
      <c r="JT7" s="110"/>
      <c r="JU7" s="110"/>
      <c r="JV7" s="110"/>
      <c r="JW7" s="110"/>
      <c r="JX7" s="110"/>
      <c r="JY7" s="110"/>
      <c r="JZ7" s="110"/>
      <c r="KA7" s="110"/>
      <c r="KB7" s="110"/>
      <c r="KC7" s="110"/>
      <c r="KD7" s="110"/>
      <c r="KE7" s="110"/>
      <c r="KF7" s="110"/>
      <c r="KG7" s="110"/>
      <c r="KH7" s="110"/>
      <c r="KI7" s="110"/>
      <c r="KJ7" s="110"/>
      <c r="KK7" s="110"/>
      <c r="KL7" s="110"/>
      <c r="KM7" s="110"/>
      <c r="KN7" s="110"/>
    </row>
    <row r="8" spans="1:300" ht="19.2" customHeight="1" thickBot="1" x14ac:dyDescent="0.35">
      <c r="A8" s="110"/>
      <c r="B8" s="110"/>
      <c r="C8" s="110"/>
      <c r="D8" s="91"/>
      <c r="E8" s="90"/>
      <c r="F8" s="42"/>
      <c r="G8" s="112" t="str">
        <v xml:space="preserve">5 </v>
      </c>
      <c r="BA8" s="92"/>
      <c r="BB8" s="92"/>
      <c r="BC8" s="92"/>
      <c r="BD8" s="92"/>
      <c r="BE8" s="92"/>
      <c r="BF8" s="92"/>
      <c r="CG8" s="92"/>
      <c r="CH8" s="92"/>
      <c r="CI8" s="92"/>
      <c r="CJ8" s="92"/>
      <c r="CK8" s="92"/>
      <c r="CL8" s="92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  <c r="GG8" s="110"/>
      <c r="GH8" s="110"/>
      <c r="GI8" s="110"/>
      <c r="GJ8" s="110"/>
      <c r="GK8" s="110"/>
      <c r="GL8" s="110"/>
      <c r="GM8" s="110"/>
      <c r="GN8" s="110"/>
      <c r="GO8" s="110"/>
      <c r="GP8" s="110"/>
      <c r="GQ8" s="110"/>
      <c r="GR8" s="110"/>
      <c r="GS8" s="110"/>
      <c r="GT8" s="110"/>
      <c r="GU8" s="110"/>
      <c r="GV8" s="110"/>
      <c r="GW8" s="110"/>
      <c r="GX8" s="110"/>
      <c r="GY8" s="110"/>
      <c r="GZ8" s="110"/>
      <c r="HA8" s="110"/>
      <c r="HB8" s="110"/>
      <c r="HC8" s="110"/>
      <c r="HD8" s="110"/>
      <c r="HE8" s="110"/>
      <c r="HF8" s="110"/>
      <c r="HG8" s="110"/>
      <c r="HH8" s="110"/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10"/>
      <c r="HX8" s="110"/>
      <c r="HY8" s="110"/>
      <c r="HZ8" s="110"/>
      <c r="IA8" s="110"/>
      <c r="IB8" s="110"/>
      <c r="IC8" s="110"/>
      <c r="ID8" s="110"/>
      <c r="IE8" s="110"/>
      <c r="IF8" s="110"/>
      <c r="IG8" s="110"/>
      <c r="IH8" s="110"/>
      <c r="II8" s="110"/>
      <c r="IJ8" s="110"/>
      <c r="IK8" s="110"/>
      <c r="IL8" s="110"/>
      <c r="IM8" s="110"/>
      <c r="IN8" s="110"/>
      <c r="IO8" s="110"/>
      <c r="IP8" s="110"/>
      <c r="IQ8" s="110"/>
      <c r="IR8" s="110"/>
      <c r="IS8" s="110"/>
      <c r="IT8" s="110"/>
      <c r="IU8" s="110"/>
      <c r="IV8" s="110"/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0"/>
      <c r="JI8" s="110"/>
      <c r="JJ8" s="110"/>
      <c r="JK8" s="110"/>
      <c r="JL8" s="110"/>
      <c r="JM8" s="110"/>
      <c r="JN8" s="110"/>
      <c r="JO8" s="110"/>
      <c r="JP8" s="110"/>
      <c r="JQ8" s="110"/>
      <c r="JR8" s="110"/>
      <c r="JS8" s="110"/>
      <c r="JT8" s="110"/>
      <c r="JU8" s="110"/>
      <c r="JV8" s="110"/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0"/>
      <c r="KI8" s="110"/>
      <c r="KJ8" s="110"/>
      <c r="KK8" s="110"/>
      <c r="KL8" s="110"/>
      <c r="KM8" s="110"/>
      <c r="KN8" s="110"/>
    </row>
    <row r="9" spans="1:300" ht="19.2" customHeight="1" thickBot="1" x14ac:dyDescent="0.35">
      <c r="A9" s="110"/>
      <c r="B9" s="110"/>
      <c r="C9" s="110"/>
      <c r="D9" s="110"/>
      <c r="E9" s="110"/>
      <c r="F9" s="42"/>
      <c r="G9" s="112" t="str">
        <v xml:space="preserve">6 </v>
      </c>
      <c r="U9" s="92"/>
      <c r="V9" s="92"/>
      <c r="W9" s="92"/>
      <c r="X9" s="92"/>
      <c r="Y9" s="92"/>
      <c r="Z9" s="92"/>
      <c r="AY9" s="92"/>
      <c r="AZ9" s="92"/>
      <c r="BA9" s="93"/>
      <c r="BB9" s="93"/>
      <c r="BC9" s="93"/>
      <c r="BD9" s="93"/>
      <c r="BE9" s="93"/>
      <c r="BF9" s="93"/>
      <c r="BG9" s="92"/>
      <c r="BH9" s="92"/>
      <c r="CE9" s="92"/>
      <c r="CF9" s="92"/>
      <c r="CG9" s="93"/>
      <c r="CH9" s="93"/>
      <c r="CI9" s="93"/>
      <c r="CJ9" s="93"/>
      <c r="CK9" s="93"/>
      <c r="CL9" s="93"/>
      <c r="CM9" s="92"/>
      <c r="CN9" s="92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0"/>
      <c r="GV9" s="110"/>
      <c r="GW9" s="110"/>
      <c r="GX9" s="110"/>
      <c r="GY9" s="110"/>
      <c r="GZ9" s="110"/>
      <c r="HA9" s="110"/>
      <c r="HB9" s="110"/>
      <c r="HC9" s="110"/>
      <c r="HD9" s="110"/>
      <c r="HE9" s="110"/>
      <c r="HF9" s="110"/>
      <c r="HG9" s="110"/>
      <c r="HH9" s="110"/>
      <c r="HI9" s="110"/>
      <c r="HJ9" s="110"/>
      <c r="HK9" s="110"/>
      <c r="HL9" s="110"/>
      <c r="HM9" s="110"/>
      <c r="HN9" s="110"/>
      <c r="HO9" s="110"/>
      <c r="HP9" s="110"/>
      <c r="HQ9" s="110"/>
      <c r="HR9" s="110"/>
      <c r="HS9" s="110"/>
      <c r="HT9" s="110"/>
      <c r="HU9" s="110"/>
      <c r="HV9" s="110"/>
      <c r="HW9" s="110"/>
      <c r="HX9" s="110"/>
      <c r="HY9" s="110"/>
      <c r="HZ9" s="110"/>
      <c r="IA9" s="110"/>
      <c r="IB9" s="110"/>
      <c r="IC9" s="110"/>
      <c r="ID9" s="110"/>
      <c r="IE9" s="110"/>
      <c r="IF9" s="110"/>
      <c r="IG9" s="110"/>
      <c r="IH9" s="110"/>
      <c r="II9" s="110"/>
      <c r="IJ9" s="110"/>
      <c r="IK9" s="110"/>
      <c r="IL9" s="110"/>
      <c r="IM9" s="110"/>
      <c r="IN9" s="110"/>
      <c r="IO9" s="110"/>
      <c r="IP9" s="110"/>
      <c r="IQ9" s="110"/>
      <c r="IR9" s="110"/>
      <c r="IS9" s="110"/>
      <c r="IT9" s="110"/>
      <c r="IU9" s="110"/>
      <c r="IV9" s="110"/>
      <c r="IW9" s="110"/>
      <c r="IX9" s="110"/>
      <c r="IY9" s="110"/>
      <c r="IZ9" s="110"/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110"/>
      <c r="JO9" s="110"/>
      <c r="JP9" s="110"/>
      <c r="JQ9" s="110"/>
      <c r="JR9" s="110"/>
      <c r="JS9" s="110"/>
      <c r="JT9" s="110"/>
      <c r="JU9" s="110"/>
      <c r="JV9" s="110"/>
      <c r="JW9" s="110"/>
      <c r="JX9" s="110"/>
      <c r="JY9" s="110"/>
      <c r="JZ9" s="110"/>
      <c r="KA9" s="110"/>
      <c r="KB9" s="110"/>
      <c r="KC9" s="110"/>
      <c r="KD9" s="110"/>
      <c r="KE9" s="110"/>
      <c r="KF9" s="110"/>
      <c r="KG9" s="110"/>
      <c r="KH9" s="110"/>
      <c r="KI9" s="110"/>
      <c r="KJ9" s="110"/>
      <c r="KK9" s="110"/>
      <c r="KL9" s="110"/>
      <c r="KM9" s="110"/>
      <c r="KN9" s="110"/>
    </row>
    <row r="10" spans="1:300" ht="19.2" customHeight="1" x14ac:dyDescent="0.3">
      <c r="A10" s="110"/>
      <c r="B10" s="110"/>
      <c r="C10" s="110"/>
      <c r="D10" s="32" t="s">
        <v>10</v>
      </c>
      <c r="E10" s="33" t="s">
        <v>11</v>
      </c>
      <c r="F10" s="42"/>
      <c r="G10" s="112" t="str">
        <v xml:space="preserve">7 </v>
      </c>
      <c r="S10" s="92"/>
      <c r="T10" s="92"/>
      <c r="U10" s="93"/>
      <c r="V10" s="93"/>
      <c r="W10" s="93"/>
      <c r="X10" s="93"/>
      <c r="Y10" s="93"/>
      <c r="Z10" s="93"/>
      <c r="AA10" s="92"/>
      <c r="AB10" s="92"/>
      <c r="AX10" s="92"/>
      <c r="AY10" s="94"/>
      <c r="AZ10" s="93"/>
      <c r="BA10" s="93"/>
      <c r="BB10" s="93"/>
      <c r="BC10" s="95"/>
      <c r="BD10" s="95"/>
      <c r="BE10" s="93"/>
      <c r="BF10" s="93"/>
      <c r="BG10" s="93"/>
      <c r="BH10" s="94"/>
      <c r="BI10" s="92"/>
      <c r="CD10" s="92"/>
      <c r="CE10" s="94"/>
      <c r="CF10" s="93"/>
      <c r="CG10" s="93"/>
      <c r="CH10" s="93"/>
      <c r="CI10" s="95"/>
      <c r="CJ10" s="95"/>
      <c r="CK10" s="93"/>
      <c r="CL10" s="93"/>
      <c r="CM10" s="93"/>
      <c r="CN10" s="94"/>
      <c r="CO10" s="92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</row>
    <row r="11" spans="1:300" ht="19.2" customHeight="1" thickBot="1" x14ac:dyDescent="0.35">
      <c r="A11" s="110"/>
      <c r="B11" s="110"/>
      <c r="C11" s="110"/>
      <c r="D11" s="91"/>
      <c r="E11" s="108"/>
      <c r="F11" s="42"/>
      <c r="G11" s="112" t="str">
        <v xml:space="preserve">8 </v>
      </c>
      <c r="R11" s="92"/>
      <c r="S11" s="94"/>
      <c r="T11" s="93"/>
      <c r="U11" s="93"/>
      <c r="V11" s="93"/>
      <c r="W11" s="95"/>
      <c r="X11" s="95"/>
      <c r="Y11" s="93"/>
      <c r="Z11" s="93"/>
      <c r="AA11" s="93"/>
      <c r="AB11" s="94"/>
      <c r="AC11" s="92"/>
      <c r="AW11" s="96"/>
      <c r="AX11" s="94"/>
      <c r="AY11" s="97"/>
      <c r="AZ11" s="98"/>
      <c r="BA11" s="98"/>
      <c r="BB11" s="98"/>
      <c r="BC11" s="95"/>
      <c r="BD11" s="95"/>
      <c r="BE11" s="98"/>
      <c r="BF11" s="98"/>
      <c r="BG11" s="98"/>
      <c r="BH11" s="97"/>
      <c r="BI11" s="94"/>
      <c r="BJ11" s="96"/>
      <c r="CC11" s="96"/>
      <c r="CD11" s="94"/>
      <c r="CE11" s="97"/>
      <c r="CF11" s="98"/>
      <c r="CG11" s="98"/>
      <c r="CH11" s="98"/>
      <c r="CI11" s="95"/>
      <c r="CJ11" s="95"/>
      <c r="CK11" s="98"/>
      <c r="CL11" s="98"/>
      <c r="CM11" s="98"/>
      <c r="CN11" s="97"/>
      <c r="CO11" s="94"/>
      <c r="CP11" s="96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</row>
    <row r="12" spans="1:300" ht="19.2" customHeight="1" thickBot="1" x14ac:dyDescent="0.35">
      <c r="A12" s="110"/>
      <c r="B12" s="110"/>
      <c r="C12" s="110"/>
      <c r="D12" s="110"/>
      <c r="E12" s="110"/>
      <c r="F12" s="42"/>
      <c r="G12" s="112" t="str">
        <v xml:space="preserve">9 </v>
      </c>
      <c r="Q12" s="96"/>
      <c r="R12" s="94"/>
      <c r="S12" s="97"/>
      <c r="T12" s="98"/>
      <c r="U12" s="98"/>
      <c r="V12" s="98"/>
      <c r="W12" s="95"/>
      <c r="X12" s="95"/>
      <c r="Y12" s="98"/>
      <c r="Z12" s="98"/>
      <c r="AA12" s="98"/>
      <c r="AB12" s="97"/>
      <c r="AC12" s="94"/>
      <c r="AD12" s="96"/>
      <c r="AW12" s="96"/>
      <c r="AX12" s="99"/>
      <c r="AY12" s="97"/>
      <c r="AZ12" s="98"/>
      <c r="BA12" s="98"/>
      <c r="BB12" s="98"/>
      <c r="BC12" s="98"/>
      <c r="BD12" s="98"/>
      <c r="BE12" s="98"/>
      <c r="BF12" s="98"/>
      <c r="BG12" s="98"/>
      <c r="BH12" s="97"/>
      <c r="BI12" s="99"/>
      <c r="BJ12" s="96"/>
      <c r="CC12" s="96"/>
      <c r="CD12" s="99"/>
      <c r="CE12" s="97"/>
      <c r="CF12" s="98"/>
      <c r="CG12" s="98"/>
      <c r="CH12" s="98"/>
      <c r="CI12" s="98"/>
      <c r="CJ12" s="98"/>
      <c r="CK12" s="98"/>
      <c r="CL12" s="98"/>
      <c r="CM12" s="98"/>
      <c r="CN12" s="97"/>
      <c r="CO12" s="99"/>
      <c r="CP12" s="96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110"/>
      <c r="GX12" s="110"/>
      <c r="GY12" s="110"/>
      <c r="GZ12" s="110"/>
      <c r="HA12" s="110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110"/>
      <c r="HS12" s="110"/>
      <c r="HT12" s="110"/>
      <c r="HU12" s="110"/>
      <c r="HV12" s="110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110"/>
      <c r="IN12" s="110"/>
      <c r="IO12" s="110"/>
      <c r="IP12" s="110"/>
      <c r="IQ12" s="110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110"/>
      <c r="JI12" s="110"/>
      <c r="JJ12" s="110"/>
      <c r="JK12" s="110"/>
      <c r="JL12" s="110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110"/>
      <c r="KD12" s="110"/>
      <c r="KE12" s="110"/>
      <c r="KF12" s="110"/>
      <c r="KG12" s="110"/>
      <c r="KH12" s="110"/>
      <c r="KI12" s="110"/>
      <c r="KJ12" s="110"/>
      <c r="KK12" s="110"/>
      <c r="KL12" s="110"/>
      <c r="KM12" s="110"/>
      <c r="KN12" s="110"/>
    </row>
    <row r="13" spans="1:300" ht="19.2" customHeight="1" thickBot="1" x14ac:dyDescent="0.35">
      <c r="A13" s="110"/>
      <c r="B13" s="110"/>
      <c r="C13" s="110"/>
      <c r="D13" s="177" t="s">
        <v>12</v>
      </c>
      <c r="E13" s="178"/>
      <c r="F13" s="42"/>
      <c r="G13" s="112" t="str">
        <v xml:space="preserve">10 </v>
      </c>
      <c r="Q13" s="96"/>
      <c r="R13" s="99"/>
      <c r="S13" s="97"/>
      <c r="T13" s="98"/>
      <c r="U13" s="98"/>
      <c r="V13" s="98"/>
      <c r="W13" s="98"/>
      <c r="X13" s="98"/>
      <c r="Y13" s="98"/>
      <c r="Z13" s="98"/>
      <c r="AA13" s="98"/>
      <c r="AB13" s="97"/>
      <c r="AC13" s="99"/>
      <c r="AD13" s="96"/>
      <c r="AV13" s="96"/>
      <c r="AW13" s="99"/>
      <c r="AX13" s="99"/>
      <c r="AY13" s="99"/>
      <c r="AZ13" s="97"/>
      <c r="BA13" s="98"/>
      <c r="BB13" s="98"/>
      <c r="BC13" s="98"/>
      <c r="BD13" s="98"/>
      <c r="BE13" s="98"/>
      <c r="BF13" s="98"/>
      <c r="BG13" s="97"/>
      <c r="BH13" s="99"/>
      <c r="BI13" s="99"/>
      <c r="BJ13" s="99"/>
      <c r="BK13" s="96"/>
      <c r="CB13" s="96"/>
      <c r="CC13" s="99"/>
      <c r="CD13" s="99"/>
      <c r="CE13" s="99"/>
      <c r="CF13" s="97"/>
      <c r="CG13" s="98"/>
      <c r="CH13" s="98"/>
      <c r="CI13" s="98"/>
      <c r="CJ13" s="98"/>
      <c r="CK13" s="98"/>
      <c r="CL13" s="98"/>
      <c r="CM13" s="97"/>
      <c r="CN13" s="99"/>
      <c r="CO13" s="99"/>
      <c r="CP13" s="99"/>
      <c r="CQ13" s="96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0"/>
      <c r="GV13" s="110"/>
      <c r="GW13" s="110"/>
      <c r="GX13" s="110"/>
      <c r="GY13" s="110"/>
      <c r="GZ13" s="110"/>
      <c r="HA13" s="110"/>
      <c r="HB13" s="110"/>
      <c r="HC13" s="110"/>
      <c r="HD13" s="110"/>
      <c r="HE13" s="110"/>
      <c r="HF13" s="110"/>
      <c r="HG13" s="110"/>
      <c r="HH13" s="110"/>
      <c r="HI13" s="110"/>
      <c r="HJ13" s="110"/>
      <c r="HK13" s="110"/>
      <c r="HL13" s="110"/>
      <c r="HM13" s="110"/>
      <c r="HN13" s="110"/>
      <c r="HO13" s="110"/>
      <c r="HP13" s="110"/>
      <c r="HQ13" s="110"/>
      <c r="HR13" s="110"/>
      <c r="HS13" s="110"/>
      <c r="HT13" s="110"/>
      <c r="HU13" s="110"/>
      <c r="HV13" s="110"/>
      <c r="HW13" s="110"/>
      <c r="HX13" s="110"/>
      <c r="HY13" s="110"/>
      <c r="HZ13" s="110"/>
      <c r="IA13" s="110"/>
      <c r="IB13" s="110"/>
      <c r="IC13" s="110"/>
      <c r="ID13" s="110"/>
      <c r="IE13" s="110"/>
      <c r="IF13" s="110"/>
      <c r="IG13" s="110"/>
      <c r="IH13" s="110"/>
      <c r="II13" s="110"/>
      <c r="IJ13" s="110"/>
      <c r="IK13" s="110"/>
      <c r="IL13" s="110"/>
      <c r="IM13" s="110"/>
      <c r="IN13" s="110"/>
      <c r="IO13" s="110"/>
      <c r="IP13" s="110"/>
      <c r="IQ13" s="110"/>
      <c r="IR13" s="110"/>
      <c r="IS13" s="110"/>
      <c r="IT13" s="110"/>
      <c r="IU13" s="110"/>
      <c r="IV13" s="110"/>
      <c r="IW13" s="110"/>
      <c r="IX13" s="110"/>
      <c r="IY13" s="110"/>
      <c r="IZ13" s="110"/>
      <c r="JA13" s="110"/>
      <c r="JB13" s="110"/>
      <c r="JC13" s="110"/>
      <c r="JD13" s="110"/>
      <c r="JE13" s="110"/>
      <c r="JF13" s="110"/>
      <c r="JG13" s="110"/>
      <c r="JH13" s="110"/>
      <c r="JI13" s="110"/>
      <c r="JJ13" s="110"/>
      <c r="JK13" s="110"/>
      <c r="JL13" s="110"/>
      <c r="JM13" s="110"/>
      <c r="JN13" s="110"/>
      <c r="JO13" s="110"/>
      <c r="JP13" s="110"/>
      <c r="JQ13" s="110"/>
      <c r="JR13" s="110"/>
      <c r="JS13" s="110"/>
      <c r="JT13" s="110"/>
      <c r="JU13" s="110"/>
      <c r="JV13" s="110"/>
      <c r="JW13" s="110"/>
      <c r="JX13" s="110"/>
      <c r="JY13" s="110"/>
      <c r="JZ13" s="110"/>
      <c r="KA13" s="110"/>
      <c r="KB13" s="110"/>
      <c r="KC13" s="110"/>
      <c r="KD13" s="110"/>
      <c r="KE13" s="110"/>
      <c r="KF13" s="110"/>
      <c r="KG13" s="110"/>
      <c r="KH13" s="110"/>
      <c r="KI13" s="110"/>
      <c r="KJ13" s="110"/>
      <c r="KK13" s="110"/>
      <c r="KL13" s="110"/>
      <c r="KM13" s="110"/>
      <c r="KN13" s="110"/>
    </row>
    <row r="14" spans="1:300" ht="19.2" customHeight="1" x14ac:dyDescent="0.3">
      <c r="A14" s="110"/>
      <c r="B14" s="110"/>
      <c r="C14" s="110"/>
      <c r="D14" s="67"/>
      <c r="E14" s="68"/>
      <c r="F14" s="42"/>
      <c r="G14" s="112" t="str">
        <v xml:space="preserve">11 </v>
      </c>
      <c r="P14" s="96"/>
      <c r="Q14" s="99"/>
      <c r="R14" s="99"/>
      <c r="S14" s="99"/>
      <c r="T14" s="97"/>
      <c r="U14" s="98"/>
      <c r="V14" s="98"/>
      <c r="W14" s="98"/>
      <c r="X14" s="98"/>
      <c r="Y14" s="98"/>
      <c r="Z14" s="98"/>
      <c r="AA14" s="97"/>
      <c r="AB14" s="99"/>
      <c r="AC14" s="99"/>
      <c r="AD14" s="99"/>
      <c r="AE14" s="96"/>
      <c r="AV14" s="96"/>
      <c r="AW14" s="99"/>
      <c r="AX14" s="99"/>
      <c r="AY14" s="99"/>
      <c r="AZ14" s="99"/>
      <c r="BA14" s="97"/>
      <c r="BB14" s="97"/>
      <c r="BC14" s="97"/>
      <c r="BD14" s="97"/>
      <c r="BE14" s="97"/>
      <c r="BF14" s="97"/>
      <c r="BG14" s="99"/>
      <c r="BH14" s="99"/>
      <c r="BI14" s="99"/>
      <c r="BJ14" s="99"/>
      <c r="BK14" s="96"/>
      <c r="CB14" s="96"/>
      <c r="CC14" s="99"/>
      <c r="CD14" s="99"/>
      <c r="CE14" s="99"/>
      <c r="CF14" s="99"/>
      <c r="CG14" s="97"/>
      <c r="CH14" s="97"/>
      <c r="CI14" s="97"/>
      <c r="CJ14" s="97"/>
      <c r="CK14" s="97"/>
      <c r="CL14" s="97"/>
      <c r="CM14" s="99"/>
      <c r="CN14" s="99"/>
      <c r="CO14" s="99"/>
      <c r="CP14" s="99"/>
      <c r="CQ14" s="96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110"/>
      <c r="GX14" s="110"/>
      <c r="GY14" s="110"/>
      <c r="GZ14" s="110"/>
      <c r="HA14" s="110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110"/>
      <c r="HS14" s="110"/>
      <c r="HT14" s="110"/>
      <c r="HU14" s="110"/>
      <c r="HV14" s="110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110"/>
      <c r="IN14" s="110"/>
      <c r="IO14" s="110"/>
      <c r="IP14" s="110"/>
      <c r="IQ14" s="110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110"/>
      <c r="JI14" s="110"/>
      <c r="JJ14" s="110"/>
      <c r="JK14" s="110"/>
      <c r="JL14" s="110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110"/>
      <c r="KD14" s="110"/>
      <c r="KE14" s="110"/>
      <c r="KF14" s="110"/>
      <c r="KG14" s="110"/>
      <c r="KH14" s="110"/>
      <c r="KI14" s="110"/>
      <c r="KJ14" s="110"/>
      <c r="KK14" s="110"/>
      <c r="KL14" s="110"/>
      <c r="KM14" s="110"/>
      <c r="KN14" s="110"/>
    </row>
    <row r="15" spans="1:300" ht="19.2" customHeight="1" x14ac:dyDescent="0.3">
      <c r="A15" s="110"/>
      <c r="B15" s="110"/>
      <c r="C15" s="110"/>
      <c r="D15" s="69"/>
      <c r="E15" s="70"/>
      <c r="F15" s="42"/>
      <c r="G15" s="112" t="str">
        <v xml:space="preserve">12 </v>
      </c>
      <c r="P15" s="96"/>
      <c r="Q15" s="99"/>
      <c r="R15" s="99"/>
      <c r="S15" s="99"/>
      <c r="T15" s="99"/>
      <c r="U15" s="97"/>
      <c r="V15" s="97"/>
      <c r="W15" s="97"/>
      <c r="X15" s="97"/>
      <c r="Y15" s="97"/>
      <c r="Z15" s="97"/>
      <c r="AA15" s="99"/>
      <c r="AB15" s="99"/>
      <c r="AC15" s="99"/>
      <c r="AD15" s="99"/>
      <c r="AE15" s="96"/>
      <c r="AV15" s="96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6"/>
      <c r="CB15" s="96"/>
      <c r="CC15" s="99"/>
      <c r="CD15" s="99"/>
      <c r="CE15" s="99"/>
      <c r="CF15" s="99"/>
      <c r="CG15" s="99"/>
      <c r="CH15" s="99"/>
      <c r="CI15" s="99"/>
      <c r="CJ15" s="99"/>
      <c r="CK15" s="99"/>
      <c r="CL15" s="99"/>
      <c r="CM15" s="99"/>
      <c r="CN15" s="99"/>
      <c r="CO15" s="99"/>
      <c r="CP15" s="99"/>
      <c r="CQ15" s="96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0"/>
      <c r="GV15" s="110"/>
      <c r="GW15" s="110"/>
      <c r="GX15" s="110"/>
      <c r="GY15" s="110"/>
      <c r="GZ15" s="110"/>
      <c r="HA15" s="110"/>
      <c r="HB15" s="110"/>
      <c r="HC15" s="110"/>
      <c r="HD15" s="110"/>
      <c r="HE15" s="110"/>
      <c r="HF15" s="110"/>
      <c r="HG15" s="110"/>
      <c r="HH15" s="110"/>
      <c r="HI15" s="110"/>
      <c r="HJ15" s="110"/>
      <c r="HK15" s="110"/>
      <c r="HL15" s="110"/>
      <c r="HM15" s="110"/>
      <c r="HN15" s="110"/>
      <c r="HO15" s="110"/>
      <c r="HP15" s="110"/>
      <c r="HQ15" s="110"/>
      <c r="HR15" s="110"/>
      <c r="HS15" s="110"/>
      <c r="HT15" s="110"/>
      <c r="HU15" s="110"/>
      <c r="HV15" s="110"/>
      <c r="HW15" s="110"/>
      <c r="HX15" s="110"/>
      <c r="HY15" s="110"/>
      <c r="HZ15" s="110"/>
      <c r="IA15" s="110"/>
      <c r="IB15" s="110"/>
      <c r="IC15" s="110"/>
      <c r="ID15" s="110"/>
      <c r="IE15" s="110"/>
      <c r="IF15" s="110"/>
      <c r="IG15" s="110"/>
      <c r="IH15" s="110"/>
      <c r="II15" s="110"/>
      <c r="IJ15" s="110"/>
      <c r="IK15" s="110"/>
      <c r="IL15" s="110"/>
      <c r="IM15" s="110"/>
      <c r="IN15" s="110"/>
      <c r="IO15" s="110"/>
      <c r="IP15" s="110"/>
      <c r="IQ15" s="110"/>
      <c r="IR15" s="110"/>
      <c r="IS15" s="110"/>
      <c r="IT15" s="110"/>
      <c r="IU15" s="110"/>
      <c r="IV15" s="110"/>
      <c r="IW15" s="110"/>
      <c r="IX15" s="110"/>
      <c r="IY15" s="110"/>
      <c r="IZ15" s="110"/>
      <c r="JA15" s="110"/>
      <c r="JB15" s="110"/>
      <c r="JC15" s="110"/>
      <c r="JD15" s="110"/>
      <c r="JE15" s="110"/>
      <c r="JF15" s="110"/>
      <c r="JG15" s="110"/>
      <c r="JH15" s="110"/>
      <c r="JI15" s="110"/>
      <c r="JJ15" s="110"/>
      <c r="JK15" s="110"/>
      <c r="JL15" s="110"/>
      <c r="JM15" s="110"/>
      <c r="JN15" s="110"/>
      <c r="JO15" s="110"/>
      <c r="JP15" s="110"/>
      <c r="JQ15" s="110"/>
      <c r="JR15" s="110"/>
      <c r="JS15" s="110"/>
      <c r="JT15" s="110"/>
      <c r="JU15" s="110"/>
      <c r="JV15" s="110"/>
      <c r="JW15" s="110"/>
      <c r="JX15" s="110"/>
      <c r="JY15" s="110"/>
      <c r="JZ15" s="110"/>
      <c r="KA15" s="110"/>
      <c r="KB15" s="110"/>
      <c r="KC15" s="110"/>
      <c r="KD15" s="110"/>
      <c r="KE15" s="110"/>
      <c r="KF15" s="110"/>
      <c r="KG15" s="110"/>
      <c r="KH15" s="110"/>
      <c r="KI15" s="110"/>
      <c r="KJ15" s="110"/>
      <c r="KK15" s="110"/>
      <c r="KL15" s="110"/>
      <c r="KM15" s="110"/>
      <c r="KN15" s="110"/>
    </row>
    <row r="16" spans="1:300" ht="19.2" customHeight="1" x14ac:dyDescent="0.3">
      <c r="A16" s="110"/>
      <c r="B16" s="110"/>
      <c r="C16" s="110"/>
      <c r="D16" s="73"/>
      <c r="E16" s="75"/>
      <c r="F16" s="42"/>
      <c r="G16" s="112" t="str">
        <v xml:space="preserve">13 </v>
      </c>
      <c r="P16" s="96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6"/>
      <c r="AV16" s="92"/>
      <c r="AW16" s="92"/>
      <c r="AX16" s="99"/>
      <c r="AY16" s="99"/>
      <c r="AZ16" s="99"/>
      <c r="BA16" s="99"/>
      <c r="BB16" s="92"/>
      <c r="BC16" s="92"/>
      <c r="BD16" s="92"/>
      <c r="BE16" s="92"/>
      <c r="BF16" s="99"/>
      <c r="BG16" s="99"/>
      <c r="BH16" s="99"/>
      <c r="BI16" s="99"/>
      <c r="BJ16" s="92"/>
      <c r="BK16" s="96"/>
      <c r="CB16" s="92"/>
      <c r="CC16" s="92"/>
      <c r="CD16" s="99"/>
      <c r="CE16" s="99"/>
      <c r="CF16" s="99"/>
      <c r="CG16" s="99"/>
      <c r="CH16" s="92"/>
      <c r="CI16" s="92"/>
      <c r="CJ16" s="92"/>
      <c r="CK16" s="92"/>
      <c r="CL16" s="99"/>
      <c r="CM16" s="99"/>
      <c r="CN16" s="99"/>
      <c r="CO16" s="99"/>
      <c r="CP16" s="92"/>
      <c r="CQ16" s="96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0"/>
      <c r="GV16" s="110"/>
      <c r="GW16" s="110"/>
      <c r="GX16" s="110"/>
      <c r="GY16" s="110"/>
      <c r="GZ16" s="110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0"/>
      <c r="HQ16" s="110"/>
      <c r="HR16" s="110"/>
      <c r="HS16" s="110"/>
      <c r="HT16" s="110"/>
      <c r="HU16" s="110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0"/>
      <c r="IL16" s="110"/>
      <c r="IM16" s="110"/>
      <c r="IN16" s="110"/>
      <c r="IO16" s="110"/>
      <c r="IP16" s="110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0"/>
      <c r="JG16" s="110"/>
      <c r="JH16" s="110"/>
      <c r="JI16" s="110"/>
      <c r="JJ16" s="110"/>
      <c r="JK16" s="110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0"/>
      <c r="KB16" s="110"/>
      <c r="KC16" s="110"/>
      <c r="KD16" s="110"/>
      <c r="KE16" s="110"/>
      <c r="KF16" s="110"/>
      <c r="KG16" s="110"/>
      <c r="KH16" s="110"/>
      <c r="KI16" s="110"/>
      <c r="KJ16" s="110"/>
      <c r="KK16" s="110"/>
      <c r="KL16" s="110"/>
      <c r="KM16" s="110"/>
      <c r="KN16" s="110"/>
    </row>
    <row r="17" spans="1:300" ht="19.2" customHeight="1" x14ac:dyDescent="0.3">
      <c r="A17" s="110"/>
      <c r="B17" s="110"/>
      <c r="C17" s="110"/>
      <c r="D17" s="72"/>
      <c r="E17" s="71"/>
      <c r="F17" s="42"/>
      <c r="G17" s="112" t="str">
        <v xml:space="preserve">14 </v>
      </c>
      <c r="P17" s="96"/>
      <c r="Q17" s="92"/>
      <c r="R17" s="99"/>
      <c r="S17" s="99"/>
      <c r="T17" s="99"/>
      <c r="U17" s="99"/>
      <c r="V17" s="92"/>
      <c r="W17" s="92"/>
      <c r="X17" s="92"/>
      <c r="Y17" s="92"/>
      <c r="Z17" s="99"/>
      <c r="AA17" s="99"/>
      <c r="AB17" s="99"/>
      <c r="AC17" s="99"/>
      <c r="AD17" s="92"/>
      <c r="AE17" s="96"/>
      <c r="AT17" s="96"/>
      <c r="AU17" s="92"/>
      <c r="AV17" s="94"/>
      <c r="AW17" s="92"/>
      <c r="AX17" s="99"/>
      <c r="AY17" s="99"/>
      <c r="AZ17" s="99"/>
      <c r="BA17" s="99"/>
      <c r="BB17" s="92"/>
      <c r="BC17" s="92"/>
      <c r="BD17" s="92"/>
      <c r="BE17" s="92"/>
      <c r="BF17" s="99"/>
      <c r="BG17" s="99"/>
      <c r="BH17" s="99"/>
      <c r="BI17" s="99"/>
      <c r="BJ17" s="92"/>
      <c r="BK17" s="94"/>
      <c r="BL17" s="96"/>
      <c r="BM17" s="96"/>
      <c r="BZ17" s="96"/>
      <c r="CA17" s="92"/>
      <c r="CB17" s="94"/>
      <c r="CC17" s="92"/>
      <c r="CD17" s="99"/>
      <c r="CE17" s="99"/>
      <c r="CF17" s="99"/>
      <c r="CG17" s="99"/>
      <c r="CH17" s="92"/>
      <c r="CI17" s="92"/>
      <c r="CJ17" s="92"/>
      <c r="CK17" s="92"/>
      <c r="CL17" s="99"/>
      <c r="CM17" s="99"/>
      <c r="CN17" s="99"/>
      <c r="CO17" s="99"/>
      <c r="CP17" s="92"/>
      <c r="CQ17" s="94"/>
      <c r="CR17" s="96"/>
      <c r="CS17" s="96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0"/>
      <c r="GV17" s="110"/>
      <c r="GW17" s="110"/>
      <c r="GX17" s="110"/>
      <c r="GY17" s="110"/>
      <c r="GZ17" s="110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0"/>
      <c r="HQ17" s="110"/>
      <c r="HR17" s="110"/>
      <c r="HS17" s="110"/>
      <c r="HT17" s="110"/>
      <c r="HU17" s="110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0"/>
      <c r="IL17" s="110"/>
      <c r="IM17" s="110"/>
      <c r="IN17" s="110"/>
      <c r="IO17" s="110"/>
      <c r="IP17" s="110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0"/>
      <c r="JG17" s="110"/>
      <c r="JH17" s="110"/>
      <c r="JI17" s="110"/>
      <c r="JJ17" s="110"/>
      <c r="JK17" s="110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0"/>
      <c r="KB17" s="110"/>
      <c r="KC17" s="110"/>
      <c r="KD17" s="110"/>
      <c r="KE17" s="110"/>
      <c r="KF17" s="110"/>
      <c r="KG17" s="110"/>
      <c r="KH17" s="110"/>
      <c r="KI17" s="110"/>
      <c r="KJ17" s="110"/>
      <c r="KK17" s="110"/>
      <c r="KL17" s="110"/>
      <c r="KM17" s="110"/>
      <c r="KN17" s="110"/>
    </row>
    <row r="18" spans="1:300" ht="19.2" customHeight="1" thickBot="1" x14ac:dyDescent="0.35">
      <c r="A18" s="110"/>
      <c r="B18" s="110"/>
      <c r="C18" s="110"/>
      <c r="D18" s="77"/>
      <c r="E18" s="80"/>
      <c r="F18" s="42"/>
      <c r="G18" s="112" t="str">
        <v xml:space="preserve">15 </v>
      </c>
      <c r="N18" s="96"/>
      <c r="O18" s="92"/>
      <c r="P18" s="94"/>
      <c r="Q18" s="92"/>
      <c r="R18" s="99"/>
      <c r="S18" s="99"/>
      <c r="T18" s="99"/>
      <c r="U18" s="99"/>
      <c r="V18" s="92"/>
      <c r="W18" s="92"/>
      <c r="X18" s="92"/>
      <c r="Y18" s="92"/>
      <c r="Z18" s="99"/>
      <c r="AA18" s="99"/>
      <c r="AB18" s="99"/>
      <c r="AC18" s="99"/>
      <c r="AD18" s="92"/>
      <c r="AE18" s="94"/>
      <c r="AF18" s="96"/>
      <c r="AG18" s="96"/>
      <c r="AU18" s="96"/>
      <c r="AV18" s="100"/>
      <c r="AW18" s="100"/>
      <c r="AX18" s="92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2"/>
      <c r="BJ18" s="100"/>
      <c r="BK18" s="100"/>
      <c r="BL18" s="96"/>
      <c r="CA18" s="96"/>
      <c r="CB18" s="100"/>
      <c r="CC18" s="100"/>
      <c r="CD18" s="92"/>
      <c r="CE18" s="99"/>
      <c r="CF18" s="99"/>
      <c r="CG18" s="99"/>
      <c r="CH18" s="99"/>
      <c r="CI18" s="99"/>
      <c r="CJ18" s="99"/>
      <c r="CK18" s="99"/>
      <c r="CL18" s="99"/>
      <c r="CM18" s="99"/>
      <c r="CN18" s="99"/>
      <c r="CO18" s="92"/>
      <c r="CP18" s="100"/>
      <c r="CQ18" s="100"/>
      <c r="CR18" s="96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0"/>
      <c r="GV18" s="110"/>
      <c r="GW18" s="110"/>
      <c r="GX18" s="110"/>
      <c r="GY18" s="110"/>
      <c r="GZ18" s="110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0"/>
      <c r="HQ18" s="110"/>
      <c r="HR18" s="110"/>
      <c r="HS18" s="110"/>
      <c r="HT18" s="110"/>
      <c r="HU18" s="110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0"/>
      <c r="IL18" s="110"/>
      <c r="IM18" s="110"/>
      <c r="IN18" s="110"/>
      <c r="IO18" s="110"/>
      <c r="IP18" s="110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0"/>
      <c r="JG18" s="110"/>
      <c r="JH18" s="110"/>
      <c r="JI18" s="110"/>
      <c r="JJ18" s="110"/>
      <c r="JK18" s="110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0"/>
      <c r="KB18" s="110"/>
      <c r="KC18" s="110"/>
      <c r="KD18" s="110"/>
      <c r="KE18" s="110"/>
      <c r="KF18" s="110"/>
      <c r="KG18" s="110"/>
      <c r="KH18" s="110"/>
      <c r="KI18" s="110"/>
      <c r="KJ18" s="110"/>
      <c r="KK18" s="110"/>
      <c r="KL18" s="110"/>
      <c r="KM18" s="110"/>
      <c r="KN18" s="110"/>
    </row>
    <row r="19" spans="1:300" ht="19.2" customHeight="1" x14ac:dyDescent="0.3">
      <c r="A19" s="110"/>
      <c r="B19" s="110"/>
      <c r="C19" s="110"/>
      <c r="D19" s="66" t="s">
        <v>13</v>
      </c>
      <c r="E19" s="107"/>
      <c r="F19" s="42"/>
      <c r="G19" s="112" t="str">
        <v xml:space="preserve">16 </v>
      </c>
      <c r="O19" s="96"/>
      <c r="P19" s="100"/>
      <c r="Q19" s="100"/>
      <c r="R19" s="92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2"/>
      <c r="AD19" s="100"/>
      <c r="AE19" s="100"/>
      <c r="AF19" s="96"/>
      <c r="AV19" s="96"/>
      <c r="AW19" s="100"/>
      <c r="AX19" s="100"/>
      <c r="AY19" s="92"/>
      <c r="AZ19" s="92"/>
      <c r="BA19" s="99"/>
      <c r="BB19" s="99"/>
      <c r="BC19" s="99"/>
      <c r="BD19" s="99"/>
      <c r="BE19" s="99"/>
      <c r="BF19" s="99"/>
      <c r="BG19" s="92"/>
      <c r="BH19" s="92"/>
      <c r="BI19" s="100"/>
      <c r="BJ19" s="100"/>
      <c r="BK19" s="96"/>
      <c r="CB19" s="96"/>
      <c r="CC19" s="100"/>
      <c r="CD19" s="100"/>
      <c r="CE19" s="92"/>
      <c r="CF19" s="92"/>
      <c r="CG19" s="99"/>
      <c r="CH19" s="99"/>
      <c r="CI19" s="99"/>
      <c r="CJ19" s="99"/>
      <c r="CK19" s="99"/>
      <c r="CL19" s="99"/>
      <c r="CM19" s="92"/>
      <c r="CN19" s="92"/>
      <c r="CO19" s="100"/>
      <c r="CP19" s="100"/>
      <c r="CQ19" s="96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0"/>
      <c r="GV19" s="110"/>
      <c r="GW19" s="110"/>
      <c r="GX19" s="110"/>
      <c r="GY19" s="110"/>
      <c r="GZ19" s="110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0"/>
      <c r="HQ19" s="110"/>
      <c r="HR19" s="110"/>
      <c r="HS19" s="110"/>
      <c r="HT19" s="110"/>
      <c r="HU19" s="110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0"/>
      <c r="IL19" s="110"/>
      <c r="IM19" s="110"/>
      <c r="IN19" s="110"/>
      <c r="IO19" s="110"/>
      <c r="IP19" s="110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0"/>
      <c r="JG19" s="110"/>
      <c r="JH19" s="110"/>
      <c r="JI19" s="110"/>
      <c r="JJ19" s="110"/>
      <c r="JK19" s="110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0"/>
      <c r="KB19" s="110"/>
      <c r="KC19" s="110"/>
      <c r="KD19" s="110"/>
      <c r="KE19" s="110"/>
      <c r="KF19" s="110"/>
      <c r="KG19" s="110"/>
      <c r="KH19" s="110"/>
      <c r="KI19" s="110"/>
      <c r="KJ19" s="110"/>
      <c r="KK19" s="110"/>
      <c r="KL19" s="110"/>
      <c r="KM19" s="110"/>
      <c r="KN19" s="110"/>
    </row>
    <row r="20" spans="1:300" ht="19.2" customHeight="1" thickBot="1" x14ac:dyDescent="0.35">
      <c r="A20" s="110"/>
      <c r="B20" s="110"/>
      <c r="C20" s="110"/>
      <c r="D20" s="36" t="s">
        <v>14</v>
      </c>
      <c r="E20" s="37"/>
      <c r="F20" s="42"/>
      <c r="G20" s="112" t="str">
        <v xml:space="preserve">17 </v>
      </c>
      <c r="P20" s="96"/>
      <c r="Q20" s="100"/>
      <c r="R20" s="100"/>
      <c r="S20" s="92"/>
      <c r="T20" s="92"/>
      <c r="U20" s="99"/>
      <c r="V20" s="99"/>
      <c r="W20" s="99"/>
      <c r="X20" s="99"/>
      <c r="Y20" s="99"/>
      <c r="Z20" s="99"/>
      <c r="AA20" s="92"/>
      <c r="AB20" s="92"/>
      <c r="AC20" s="100"/>
      <c r="AD20" s="100"/>
      <c r="AE20" s="96"/>
      <c r="AW20" s="96"/>
      <c r="AX20" s="92"/>
      <c r="AY20" s="100"/>
      <c r="AZ20" s="100"/>
      <c r="BA20" s="92"/>
      <c r="BB20" s="92"/>
      <c r="BC20" s="92"/>
      <c r="BD20" s="92"/>
      <c r="BE20" s="92"/>
      <c r="BF20" s="92"/>
      <c r="BG20" s="100"/>
      <c r="BH20" s="100"/>
      <c r="BI20" s="92"/>
      <c r="BJ20" s="96"/>
      <c r="CC20" s="96"/>
      <c r="CD20" s="92"/>
      <c r="CE20" s="100"/>
      <c r="CF20" s="100"/>
      <c r="CG20" s="92"/>
      <c r="CH20" s="92"/>
      <c r="CI20" s="92"/>
      <c r="CJ20" s="92"/>
      <c r="CK20" s="92"/>
      <c r="CL20" s="92"/>
      <c r="CM20" s="100"/>
      <c r="CN20" s="100"/>
      <c r="CO20" s="92"/>
      <c r="CP20" s="96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0"/>
      <c r="GV20" s="110"/>
      <c r="GW20" s="110"/>
      <c r="GX20" s="110"/>
      <c r="GY20" s="110"/>
      <c r="GZ20" s="110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0"/>
      <c r="HQ20" s="110"/>
      <c r="HR20" s="110"/>
      <c r="HS20" s="110"/>
      <c r="HT20" s="110"/>
      <c r="HU20" s="110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0"/>
      <c r="IL20" s="110"/>
      <c r="IM20" s="110"/>
      <c r="IN20" s="110"/>
      <c r="IO20" s="110"/>
      <c r="IP20" s="110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0"/>
      <c r="JG20" s="110"/>
      <c r="JH20" s="110"/>
      <c r="JI20" s="110"/>
      <c r="JJ20" s="110"/>
      <c r="JK20" s="110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0"/>
      <c r="KB20" s="110"/>
      <c r="KC20" s="110"/>
      <c r="KD20" s="110"/>
      <c r="KE20" s="110"/>
      <c r="KF20" s="110"/>
      <c r="KG20" s="110"/>
      <c r="KH20" s="110"/>
      <c r="KI20" s="110"/>
      <c r="KJ20" s="110"/>
      <c r="KK20" s="110"/>
      <c r="KL20" s="110"/>
      <c r="KM20" s="110"/>
      <c r="KN20" s="110"/>
    </row>
    <row r="21" spans="1:300" ht="19.2" customHeight="1" thickBot="1" x14ac:dyDescent="0.35">
      <c r="A21" s="110"/>
      <c r="B21" s="110"/>
      <c r="C21" s="110"/>
      <c r="D21" s="110"/>
      <c r="E21" s="110"/>
      <c r="F21" s="42"/>
      <c r="G21" s="112" t="str">
        <v xml:space="preserve">18 </v>
      </c>
      <c r="Q21" s="96"/>
      <c r="R21" s="92"/>
      <c r="S21" s="100"/>
      <c r="T21" s="100"/>
      <c r="U21" s="92"/>
      <c r="V21" s="92"/>
      <c r="W21" s="92"/>
      <c r="X21" s="92"/>
      <c r="Y21" s="92"/>
      <c r="Z21" s="92"/>
      <c r="AA21" s="100"/>
      <c r="AB21" s="100"/>
      <c r="AC21" s="92"/>
      <c r="AD21" s="96"/>
      <c r="AW21" s="92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96"/>
      <c r="CC21" s="92"/>
      <c r="CD21" s="100"/>
      <c r="CE21" s="100"/>
      <c r="CF21" s="100"/>
      <c r="CG21" s="100"/>
      <c r="CH21" s="100"/>
      <c r="CI21" s="100"/>
      <c r="CJ21" s="100"/>
      <c r="CK21" s="100"/>
      <c r="CL21" s="100"/>
      <c r="CM21" s="100"/>
      <c r="CN21" s="100"/>
      <c r="CO21" s="100"/>
      <c r="CP21" s="96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0"/>
      <c r="GV21" s="110"/>
      <c r="GW21" s="110"/>
      <c r="GX21" s="110"/>
      <c r="GY21" s="110"/>
      <c r="GZ21" s="110"/>
      <c r="HA21" s="110"/>
      <c r="HB21" s="110"/>
      <c r="HC21" s="110"/>
      <c r="HD21" s="110"/>
      <c r="HE21" s="110"/>
      <c r="HF21" s="110"/>
      <c r="HG21" s="110"/>
      <c r="HH21" s="110"/>
      <c r="HI21" s="110"/>
      <c r="HJ21" s="110"/>
      <c r="HK21" s="110"/>
      <c r="HL21" s="110"/>
      <c r="HM21" s="110"/>
      <c r="HN21" s="110"/>
      <c r="HO21" s="110"/>
      <c r="HP21" s="110"/>
      <c r="HQ21" s="110"/>
      <c r="HR21" s="110"/>
      <c r="HS21" s="110"/>
      <c r="HT21" s="110"/>
      <c r="HU21" s="110"/>
      <c r="HV21" s="110"/>
      <c r="HW21" s="110"/>
      <c r="HX21" s="110"/>
      <c r="HY21" s="110"/>
      <c r="HZ21" s="110"/>
      <c r="IA21" s="110"/>
      <c r="IB21" s="110"/>
      <c r="IC21" s="110"/>
      <c r="ID21" s="110"/>
      <c r="IE21" s="110"/>
      <c r="IF21" s="110"/>
      <c r="IG21" s="110"/>
      <c r="IH21" s="110"/>
      <c r="II21" s="110"/>
      <c r="IJ21" s="110"/>
      <c r="IK21" s="110"/>
      <c r="IL21" s="110"/>
      <c r="IM21" s="110"/>
      <c r="IN21" s="110"/>
      <c r="IO21" s="110"/>
      <c r="IP21" s="110"/>
      <c r="IQ21" s="110"/>
      <c r="IR21" s="110"/>
      <c r="IS21" s="110"/>
      <c r="IT21" s="110"/>
      <c r="IU21" s="110"/>
      <c r="IV21" s="110"/>
      <c r="IW21" s="110"/>
      <c r="IX21" s="110"/>
      <c r="IY21" s="110"/>
      <c r="IZ21" s="110"/>
      <c r="JA21" s="110"/>
      <c r="JB21" s="110"/>
      <c r="JC21" s="110"/>
      <c r="JD21" s="110"/>
      <c r="JE21" s="110"/>
      <c r="JF21" s="110"/>
      <c r="JG21" s="110"/>
      <c r="JH21" s="110"/>
      <c r="JI21" s="110"/>
      <c r="JJ21" s="110"/>
      <c r="JK21" s="110"/>
      <c r="JL21" s="110"/>
      <c r="JM21" s="110"/>
      <c r="JN21" s="110"/>
      <c r="JO21" s="110"/>
      <c r="JP21" s="110"/>
      <c r="JQ21" s="110"/>
      <c r="JR21" s="110"/>
      <c r="JS21" s="110"/>
      <c r="JT21" s="110"/>
      <c r="JU21" s="110"/>
      <c r="JV21" s="110"/>
      <c r="JW21" s="110"/>
      <c r="JX21" s="110"/>
      <c r="JY21" s="110"/>
      <c r="JZ21" s="110"/>
      <c r="KA21" s="110"/>
      <c r="KB21" s="110"/>
      <c r="KC21" s="110"/>
      <c r="KD21" s="110"/>
      <c r="KE21" s="110"/>
      <c r="KF21" s="110"/>
      <c r="KG21" s="110"/>
      <c r="KH21" s="110"/>
      <c r="KI21" s="110"/>
      <c r="KJ21" s="110"/>
      <c r="KK21" s="110"/>
      <c r="KL21" s="110"/>
      <c r="KM21" s="110"/>
      <c r="KN21" s="110"/>
    </row>
    <row r="22" spans="1:300" ht="19.2" customHeight="1" x14ac:dyDescent="0.3">
      <c r="A22" s="110"/>
      <c r="B22" s="110"/>
      <c r="C22" s="110"/>
      <c r="D22" s="34" t="s">
        <v>15</v>
      </c>
      <c r="E22" s="35" t="s">
        <v>16</v>
      </c>
      <c r="F22" s="42"/>
      <c r="G22" s="112" t="str">
        <v xml:space="preserve">19 </v>
      </c>
      <c r="Q22" s="92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96"/>
      <c r="AX22" s="96"/>
      <c r="AY22" s="96"/>
      <c r="AZ22" s="100"/>
      <c r="BA22" s="96"/>
      <c r="BB22" s="100"/>
      <c r="BC22" s="100"/>
      <c r="BD22" s="100"/>
      <c r="BE22" s="100"/>
      <c r="BF22" s="96"/>
      <c r="BG22" s="100"/>
      <c r="BH22" s="96"/>
      <c r="BI22" s="96"/>
      <c r="CD22" s="96"/>
      <c r="CE22" s="96"/>
      <c r="CF22" s="100"/>
      <c r="CG22" s="96"/>
      <c r="CH22" s="100"/>
      <c r="CI22" s="100"/>
      <c r="CJ22" s="100"/>
      <c r="CK22" s="100"/>
      <c r="CL22" s="96"/>
      <c r="CM22" s="100"/>
      <c r="CN22" s="96"/>
      <c r="CO22" s="96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  <c r="GG22" s="110"/>
      <c r="GH22" s="110"/>
      <c r="GI22" s="110"/>
      <c r="GJ22" s="110"/>
      <c r="GK22" s="110"/>
      <c r="GL22" s="110"/>
      <c r="GM22" s="110"/>
      <c r="GN22" s="110"/>
      <c r="GO22" s="110"/>
      <c r="GP22" s="110"/>
      <c r="GQ22" s="110"/>
      <c r="GR22" s="110"/>
      <c r="GS22" s="110"/>
      <c r="GT22" s="110"/>
      <c r="GU22" s="110"/>
      <c r="GV22" s="110"/>
      <c r="GW22" s="110"/>
      <c r="GX22" s="110"/>
      <c r="GY22" s="110"/>
      <c r="GZ22" s="110"/>
      <c r="HA22" s="110"/>
      <c r="HB22" s="110"/>
      <c r="HC22" s="110"/>
      <c r="HD22" s="110"/>
      <c r="HE22" s="110"/>
      <c r="HF22" s="110"/>
      <c r="HG22" s="110"/>
      <c r="HH22" s="110"/>
      <c r="HI22" s="110"/>
      <c r="HJ22" s="110"/>
      <c r="HK22" s="110"/>
      <c r="HL22" s="110"/>
      <c r="HM22" s="110"/>
      <c r="HN22" s="110"/>
      <c r="HO22" s="110"/>
      <c r="HP22" s="110"/>
      <c r="HQ22" s="110"/>
      <c r="HR22" s="110"/>
      <c r="HS22" s="110"/>
      <c r="HT22" s="110"/>
      <c r="HU22" s="110"/>
      <c r="HV22" s="110"/>
      <c r="HW22" s="110"/>
      <c r="HX22" s="110"/>
      <c r="HY22" s="110"/>
      <c r="HZ22" s="110"/>
      <c r="IA22" s="110"/>
      <c r="IB22" s="110"/>
      <c r="IC22" s="110"/>
      <c r="ID22" s="110"/>
      <c r="IE22" s="110"/>
      <c r="IF22" s="110"/>
      <c r="IG22" s="110"/>
      <c r="IH22" s="110"/>
      <c r="II22" s="110"/>
      <c r="IJ22" s="110"/>
      <c r="IK22" s="110"/>
      <c r="IL22" s="110"/>
      <c r="IM22" s="110"/>
      <c r="IN22" s="110"/>
      <c r="IO22" s="110"/>
      <c r="IP22" s="110"/>
      <c r="IQ22" s="110"/>
      <c r="IR22" s="110"/>
      <c r="IS22" s="110"/>
      <c r="IT22" s="110"/>
      <c r="IU22" s="110"/>
      <c r="IV22" s="110"/>
      <c r="IW22" s="110"/>
      <c r="IX22" s="110"/>
      <c r="IY22" s="110"/>
      <c r="IZ22" s="110"/>
      <c r="JA22" s="110"/>
      <c r="JB22" s="110"/>
      <c r="JC22" s="110"/>
      <c r="JD22" s="110"/>
      <c r="JE22" s="110"/>
      <c r="JF22" s="110"/>
      <c r="JG22" s="110"/>
      <c r="JH22" s="110"/>
      <c r="JI22" s="110"/>
      <c r="JJ22" s="110"/>
      <c r="JK22" s="110"/>
      <c r="JL22" s="110"/>
      <c r="JM22" s="110"/>
      <c r="JN22" s="110"/>
      <c r="JO22" s="110"/>
      <c r="JP22" s="110"/>
      <c r="JQ22" s="110"/>
      <c r="JR22" s="110"/>
      <c r="JS22" s="110"/>
      <c r="JT22" s="110"/>
      <c r="JU22" s="110"/>
      <c r="JV22" s="110"/>
      <c r="JW22" s="110"/>
      <c r="JX22" s="110"/>
      <c r="JY22" s="110"/>
      <c r="JZ22" s="110"/>
      <c r="KA22" s="110"/>
      <c r="KB22" s="110"/>
      <c r="KC22" s="110"/>
      <c r="KD22" s="110"/>
      <c r="KE22" s="110"/>
      <c r="KF22" s="110"/>
      <c r="KG22" s="110"/>
      <c r="KH22" s="110"/>
      <c r="KI22" s="110"/>
      <c r="KJ22" s="110"/>
      <c r="KK22" s="110"/>
      <c r="KL22" s="110"/>
      <c r="KM22" s="110"/>
      <c r="KN22" s="110"/>
    </row>
    <row r="23" spans="1:300" ht="19.2" customHeight="1" thickBot="1" x14ac:dyDescent="0.35">
      <c r="A23" s="110"/>
      <c r="B23" s="110"/>
      <c r="C23" s="110"/>
      <c r="D23" s="28">
        <v>3</v>
      </c>
      <c r="E23" s="27" t="s">
        <v>3</v>
      </c>
      <c r="F23" s="42"/>
      <c r="G23" s="112" t="str">
        <v xml:space="preserve">20 </v>
      </c>
      <c r="R23" s="96"/>
      <c r="S23" s="96"/>
      <c r="T23" s="100"/>
      <c r="U23" s="96"/>
      <c r="V23" s="100"/>
      <c r="W23" s="100"/>
      <c r="X23" s="100"/>
      <c r="Y23" s="100"/>
      <c r="Z23" s="96"/>
      <c r="AA23" s="100"/>
      <c r="AB23" s="96"/>
      <c r="AC23" s="96"/>
      <c r="AY23" s="96"/>
      <c r="AZ23" s="96"/>
      <c r="BA23" s="100"/>
      <c r="BB23" s="96"/>
      <c r="BC23" s="96"/>
      <c r="BD23" s="96"/>
      <c r="BE23" s="96"/>
      <c r="BF23" s="100"/>
      <c r="BG23" s="96"/>
      <c r="BH23" s="96"/>
      <c r="BI23" s="96"/>
      <c r="BJ23" s="96"/>
      <c r="CC23" s="96"/>
      <c r="CD23" s="96"/>
      <c r="CE23" s="96"/>
      <c r="CF23" s="96"/>
      <c r="CG23" s="101"/>
      <c r="CH23" s="96"/>
      <c r="CI23" s="96"/>
      <c r="CJ23" s="96"/>
      <c r="CK23" s="96"/>
      <c r="CL23" s="101"/>
      <c r="CM23" s="96"/>
      <c r="CN23" s="96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0"/>
      <c r="GV23" s="110"/>
      <c r="GW23" s="110"/>
      <c r="GX23" s="110"/>
      <c r="GY23" s="110"/>
      <c r="GZ23" s="110"/>
      <c r="HA23" s="110"/>
      <c r="HB23" s="110"/>
      <c r="HC23" s="110"/>
      <c r="HD23" s="110"/>
      <c r="HE23" s="110"/>
      <c r="HF23" s="110"/>
      <c r="HG23" s="110"/>
      <c r="HH23" s="110"/>
      <c r="HI23" s="110"/>
      <c r="HJ23" s="110"/>
      <c r="HK23" s="110"/>
      <c r="HL23" s="110"/>
      <c r="HM23" s="110"/>
      <c r="HN23" s="110"/>
      <c r="HO23" s="110"/>
      <c r="HP23" s="110"/>
      <c r="HQ23" s="110"/>
      <c r="HR23" s="110"/>
      <c r="HS23" s="110"/>
      <c r="HT23" s="110"/>
      <c r="HU23" s="110"/>
      <c r="HV23" s="110"/>
      <c r="HW23" s="110"/>
      <c r="HX23" s="110"/>
      <c r="HY23" s="110"/>
      <c r="HZ23" s="110"/>
      <c r="IA23" s="110"/>
      <c r="IB23" s="110"/>
      <c r="IC23" s="110"/>
      <c r="ID23" s="110"/>
      <c r="IE23" s="110"/>
      <c r="IF23" s="110"/>
      <c r="IG23" s="110"/>
      <c r="IH23" s="110"/>
      <c r="II23" s="110"/>
      <c r="IJ23" s="110"/>
      <c r="IK23" s="110"/>
      <c r="IL23" s="110"/>
      <c r="IM23" s="110"/>
      <c r="IN23" s="110"/>
      <c r="IO23" s="110"/>
      <c r="IP23" s="110"/>
      <c r="IQ23" s="110"/>
      <c r="IR23" s="110"/>
      <c r="IS23" s="110"/>
      <c r="IT23" s="110"/>
      <c r="IU23" s="110"/>
      <c r="IV23" s="110"/>
      <c r="IW23" s="110"/>
      <c r="IX23" s="110"/>
      <c r="IY23" s="110"/>
      <c r="IZ23" s="110"/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</row>
    <row r="24" spans="1:300" ht="19.2" customHeight="1" thickBot="1" x14ac:dyDescent="0.35">
      <c r="A24" s="110"/>
      <c r="B24" s="110"/>
      <c r="C24" s="110"/>
      <c r="D24" s="110"/>
      <c r="E24" s="110"/>
      <c r="F24" s="42"/>
      <c r="G24" s="112" t="str">
        <v xml:space="preserve">21 </v>
      </c>
      <c r="R24" s="96"/>
      <c r="S24" s="96"/>
      <c r="T24" s="96"/>
      <c r="U24" s="100"/>
      <c r="V24" s="96"/>
      <c r="W24" s="96"/>
      <c r="X24" s="96"/>
      <c r="Y24" s="96"/>
      <c r="Z24" s="100"/>
      <c r="AA24" s="96"/>
      <c r="AB24" s="96"/>
      <c r="AC24" s="96"/>
      <c r="AX24" s="96"/>
      <c r="AY24" s="101"/>
      <c r="AZ24" s="102"/>
      <c r="BA24" s="96"/>
      <c r="BB24" s="101"/>
      <c r="BC24" s="101"/>
      <c r="BD24" s="92"/>
      <c r="BE24" s="101"/>
      <c r="BF24" s="96"/>
      <c r="BG24" s="96"/>
      <c r="BH24" s="101"/>
      <c r="BI24" s="103"/>
      <c r="BJ24" s="104"/>
      <c r="BK24" s="96"/>
      <c r="CB24" s="96"/>
      <c r="CC24" s="104"/>
      <c r="CD24" s="103"/>
      <c r="CE24" s="101"/>
      <c r="CF24" s="96"/>
      <c r="CG24" s="96"/>
      <c r="CH24" s="101"/>
      <c r="CI24" s="101"/>
      <c r="CJ24" s="92"/>
      <c r="CK24" s="101"/>
      <c r="CL24" s="101"/>
      <c r="CM24" s="102"/>
      <c r="CN24" s="101"/>
      <c r="CO24" s="96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  <c r="GG24" s="110"/>
      <c r="GH24" s="110"/>
      <c r="GI24" s="110"/>
      <c r="GJ24" s="110"/>
      <c r="GK24" s="110"/>
      <c r="GL24" s="110"/>
      <c r="GM24" s="110"/>
      <c r="GN24" s="110"/>
      <c r="GO24" s="110"/>
      <c r="GP24" s="110"/>
      <c r="GQ24" s="110"/>
      <c r="GR24" s="110"/>
      <c r="GS24" s="110"/>
      <c r="GT24" s="110"/>
      <c r="GU24" s="110"/>
      <c r="GV24" s="110"/>
      <c r="GW24" s="110"/>
      <c r="GX24" s="110"/>
      <c r="GY24" s="110"/>
      <c r="GZ24" s="110"/>
      <c r="HA24" s="110"/>
      <c r="HB24" s="110"/>
      <c r="HC24" s="110"/>
      <c r="HD24" s="110"/>
      <c r="HE24" s="110"/>
      <c r="HF24" s="110"/>
      <c r="HG24" s="110"/>
      <c r="HH24" s="110"/>
      <c r="HI24" s="110"/>
      <c r="HJ24" s="110"/>
      <c r="HK24" s="110"/>
      <c r="HL24" s="110"/>
      <c r="HM24" s="110"/>
      <c r="HN24" s="110"/>
      <c r="HO24" s="110"/>
      <c r="HP24" s="110"/>
      <c r="HQ24" s="110"/>
      <c r="HR24" s="110"/>
      <c r="HS24" s="110"/>
      <c r="HT24" s="110"/>
      <c r="HU24" s="110"/>
      <c r="HV24" s="110"/>
      <c r="HW24" s="110"/>
      <c r="HX24" s="110"/>
      <c r="HY24" s="110"/>
      <c r="HZ24" s="110"/>
      <c r="IA24" s="110"/>
      <c r="IB24" s="110"/>
      <c r="IC24" s="110"/>
      <c r="ID24" s="110"/>
      <c r="IE24" s="110"/>
      <c r="IF24" s="110"/>
      <c r="IG24" s="110"/>
      <c r="IH24" s="110"/>
      <c r="II24" s="110"/>
      <c r="IJ24" s="110"/>
      <c r="IK24" s="110"/>
      <c r="IL24" s="110"/>
      <c r="IM24" s="110"/>
      <c r="IN24" s="110"/>
      <c r="IO24" s="110"/>
      <c r="IP24" s="110"/>
      <c r="IQ24" s="110"/>
      <c r="IR24" s="110"/>
      <c r="IS24" s="110"/>
      <c r="IT24" s="110"/>
      <c r="IU24" s="110"/>
      <c r="IV24" s="110"/>
      <c r="IW24" s="110"/>
      <c r="IX24" s="110"/>
      <c r="IY24" s="110"/>
      <c r="IZ24" s="110"/>
      <c r="JA24" s="110"/>
      <c r="JB24" s="110"/>
      <c r="JC24" s="110"/>
      <c r="JD24" s="110"/>
      <c r="JE24" s="110"/>
      <c r="JF24" s="110"/>
      <c r="JG24" s="110"/>
      <c r="JH24" s="110"/>
      <c r="JI24" s="110"/>
      <c r="JJ24" s="110"/>
      <c r="JK24" s="110"/>
      <c r="JL24" s="110"/>
      <c r="JM24" s="110"/>
      <c r="JN24" s="110"/>
      <c r="JO24" s="110"/>
      <c r="JP24" s="110"/>
      <c r="JQ24" s="110"/>
      <c r="JR24" s="110"/>
      <c r="JS24" s="110"/>
      <c r="JT24" s="110"/>
      <c r="JU24" s="110"/>
      <c r="JV24" s="110"/>
      <c r="JW24" s="110"/>
      <c r="JX24" s="110"/>
      <c r="JY24" s="110"/>
      <c r="JZ24" s="110"/>
      <c r="KA24" s="110"/>
      <c r="KB24" s="110"/>
      <c r="KC24" s="110"/>
      <c r="KD24" s="110"/>
      <c r="KE24" s="110"/>
      <c r="KF24" s="110"/>
      <c r="KG24" s="110"/>
      <c r="KH24" s="110"/>
      <c r="KI24" s="110"/>
      <c r="KJ24" s="110"/>
      <c r="KK24" s="110"/>
      <c r="KL24" s="110"/>
      <c r="KM24" s="110"/>
      <c r="KN24" s="110"/>
    </row>
    <row r="25" spans="1:300" ht="19.2" customHeight="1" thickBot="1" x14ac:dyDescent="0.35">
      <c r="A25" s="110"/>
      <c r="B25" s="110"/>
      <c r="C25" s="110"/>
      <c r="D25" s="38" t="s">
        <v>17</v>
      </c>
      <c r="E25" s="39" t="b">
        <v>0</v>
      </c>
      <c r="F25" s="42"/>
      <c r="G25" s="112" t="str">
        <v xml:space="preserve">22 </v>
      </c>
      <c r="P25" s="100"/>
      <c r="Q25" s="96"/>
      <c r="R25" s="102"/>
      <c r="S25" s="105"/>
      <c r="T25" s="96"/>
      <c r="U25" s="96"/>
      <c r="V25" s="101"/>
      <c r="W25" s="101"/>
      <c r="X25" s="92"/>
      <c r="Y25" s="101"/>
      <c r="Z25" s="96"/>
      <c r="AA25" s="96"/>
      <c r="AB25" s="105"/>
      <c r="AC25" s="102"/>
      <c r="AD25" s="96"/>
      <c r="AE25" s="100"/>
      <c r="AW25" s="96"/>
      <c r="AX25" s="101"/>
      <c r="AY25" s="102"/>
      <c r="AZ25" s="96"/>
      <c r="BA25" s="92"/>
      <c r="BB25" s="101"/>
      <c r="BC25" s="96"/>
      <c r="BD25" s="103"/>
      <c r="BE25" s="101"/>
      <c r="BF25" s="92"/>
      <c r="BH25" s="96"/>
      <c r="BI25" s="104"/>
      <c r="BJ25" s="104"/>
      <c r="BK25" s="96"/>
      <c r="CB25" s="96"/>
      <c r="CC25" s="104"/>
      <c r="CD25" s="104"/>
      <c r="CE25" s="96"/>
      <c r="CF25" s="101"/>
      <c r="CG25" s="92"/>
      <c r="CH25" s="101"/>
      <c r="CI25" s="96"/>
      <c r="CJ25" s="103"/>
      <c r="CK25" s="101"/>
      <c r="CL25" s="96"/>
      <c r="CM25" s="101"/>
      <c r="CN25" s="102"/>
      <c r="CO25" s="101"/>
      <c r="CP25" s="10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0"/>
      <c r="GV25" s="110"/>
      <c r="GW25" s="110"/>
      <c r="GX25" s="110"/>
      <c r="GY25" s="110"/>
      <c r="GZ25" s="110"/>
      <c r="HA25" s="110"/>
      <c r="HB25" s="110"/>
      <c r="HC25" s="110"/>
      <c r="HD25" s="110"/>
      <c r="HE25" s="110"/>
      <c r="HF25" s="110"/>
      <c r="HG25" s="110"/>
      <c r="HH25" s="110"/>
      <c r="HI25" s="110"/>
      <c r="HJ25" s="110"/>
      <c r="HK25" s="110"/>
      <c r="HL25" s="110"/>
      <c r="HM25" s="110"/>
      <c r="HN25" s="110"/>
      <c r="HO25" s="110"/>
      <c r="HP25" s="110"/>
      <c r="HQ25" s="110"/>
      <c r="HR25" s="110"/>
      <c r="HS25" s="110"/>
      <c r="HT25" s="110"/>
      <c r="HU25" s="110"/>
      <c r="HV25" s="110"/>
      <c r="HW25" s="110"/>
      <c r="HX25" s="110"/>
      <c r="HY25" s="110"/>
      <c r="HZ25" s="110"/>
      <c r="IA25" s="110"/>
      <c r="IB25" s="110"/>
      <c r="IC25" s="110"/>
      <c r="ID25" s="110"/>
      <c r="IE25" s="110"/>
      <c r="IF25" s="110"/>
      <c r="IG25" s="110"/>
      <c r="IH25" s="110"/>
      <c r="II25" s="110"/>
      <c r="IJ25" s="110"/>
      <c r="IK25" s="110"/>
      <c r="IL25" s="110"/>
      <c r="IM25" s="110"/>
      <c r="IN25" s="110"/>
      <c r="IO25" s="110"/>
      <c r="IP25" s="110"/>
      <c r="IQ25" s="110"/>
      <c r="IR25" s="110"/>
      <c r="IS25" s="110"/>
      <c r="IT25" s="110"/>
      <c r="IU25" s="110"/>
      <c r="IV25" s="110"/>
      <c r="IW25" s="110"/>
      <c r="IX25" s="110"/>
      <c r="IY25" s="110"/>
      <c r="IZ25" s="110"/>
      <c r="JA25" s="110"/>
      <c r="JB25" s="110"/>
      <c r="JC25" s="110"/>
      <c r="JD25" s="110"/>
      <c r="JE25" s="110"/>
      <c r="JF25" s="110"/>
      <c r="JG25" s="110"/>
      <c r="JH25" s="110"/>
      <c r="JI25" s="110"/>
      <c r="JJ25" s="110"/>
      <c r="JK25" s="110"/>
      <c r="JL25" s="110"/>
      <c r="JM25" s="110"/>
      <c r="JN25" s="110"/>
      <c r="JO25" s="110"/>
      <c r="JP25" s="110"/>
      <c r="JQ25" s="110"/>
      <c r="JR25" s="110"/>
      <c r="JS25" s="110"/>
      <c r="JT25" s="110"/>
      <c r="JU25" s="110"/>
      <c r="JV25" s="110"/>
      <c r="JW25" s="110"/>
      <c r="JX25" s="110"/>
      <c r="JY25" s="110"/>
      <c r="JZ25" s="110"/>
      <c r="KA25" s="110"/>
      <c r="KB25" s="110"/>
      <c r="KC25" s="110"/>
      <c r="KD25" s="110"/>
      <c r="KE25" s="110"/>
      <c r="KF25" s="110"/>
      <c r="KG25" s="110"/>
      <c r="KH25" s="110"/>
      <c r="KI25" s="110"/>
      <c r="KJ25" s="110"/>
      <c r="KK25" s="110"/>
      <c r="KL25" s="110"/>
      <c r="KM25" s="110"/>
      <c r="KN25" s="110"/>
    </row>
    <row r="26" spans="1:300" ht="19.2" customHeight="1" thickBot="1" x14ac:dyDescent="0.35">
      <c r="A26" s="110"/>
      <c r="B26" s="110"/>
      <c r="C26" s="110"/>
      <c r="D26" s="40" t="s">
        <v>18</v>
      </c>
      <c r="E26" s="41" t="b">
        <v>1</v>
      </c>
      <c r="F26" s="42"/>
      <c r="G26" s="112" t="str">
        <v xml:space="preserve">23 </v>
      </c>
      <c r="O26" s="100"/>
      <c r="P26" s="106"/>
      <c r="Q26" s="103"/>
      <c r="R26" s="101"/>
      <c r="S26" s="96"/>
      <c r="T26" s="101"/>
      <c r="U26" s="96"/>
      <c r="V26" s="101"/>
      <c r="W26" s="96"/>
      <c r="X26" s="103"/>
      <c r="Y26" s="101"/>
      <c r="Z26" s="96"/>
      <c r="AB26" s="96"/>
      <c r="AC26" s="101"/>
      <c r="AD26" s="103"/>
      <c r="AE26" s="106"/>
      <c r="AF26" s="100"/>
      <c r="AV26" s="96"/>
      <c r="AW26" s="106"/>
      <c r="AX26" s="104"/>
      <c r="AY26" s="101"/>
      <c r="AZ26" s="96"/>
      <c r="BA26" s="92"/>
      <c r="BB26" s="96"/>
      <c r="BC26" s="103"/>
      <c r="BD26" s="101"/>
      <c r="BE26" s="105"/>
      <c r="BF26" s="92"/>
      <c r="BI26" s="96"/>
      <c r="BJ26" s="96"/>
      <c r="CC26" s="96"/>
      <c r="CD26" s="96"/>
      <c r="CE26" s="105"/>
      <c r="CF26" s="101"/>
      <c r="CG26" s="92"/>
      <c r="CH26" s="96"/>
      <c r="CI26" s="103"/>
      <c r="CJ26" s="101"/>
      <c r="CK26" s="105"/>
      <c r="CL26" s="96"/>
      <c r="CM26" s="96"/>
      <c r="CN26" s="101"/>
      <c r="CO26" s="104"/>
      <c r="CP26" s="106"/>
      <c r="CQ26" s="10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  <c r="GG26" s="110"/>
      <c r="GH26" s="110"/>
      <c r="GI26" s="110"/>
      <c r="GJ26" s="110"/>
      <c r="GK26" s="110"/>
      <c r="GL26" s="110"/>
      <c r="GM26" s="110"/>
      <c r="GN26" s="110"/>
      <c r="GO26" s="110"/>
      <c r="GP26" s="110"/>
      <c r="GQ26" s="110"/>
      <c r="GR26" s="110"/>
      <c r="GS26" s="110"/>
      <c r="GT26" s="110"/>
      <c r="GU26" s="110"/>
      <c r="GV26" s="110"/>
      <c r="GW26" s="110"/>
      <c r="GX26" s="110"/>
      <c r="GY26" s="110"/>
      <c r="GZ26" s="110"/>
      <c r="HA26" s="110"/>
      <c r="HB26" s="110"/>
      <c r="HC26" s="110"/>
      <c r="HD26" s="110"/>
      <c r="HE26" s="110"/>
      <c r="HF26" s="110"/>
      <c r="HG26" s="110"/>
      <c r="HH26" s="110"/>
      <c r="HI26" s="110"/>
      <c r="HJ26" s="110"/>
      <c r="HK26" s="110"/>
      <c r="HL26" s="110"/>
      <c r="HM26" s="110"/>
      <c r="HN26" s="110"/>
      <c r="HO26" s="110"/>
      <c r="HP26" s="110"/>
      <c r="HQ26" s="110"/>
      <c r="HR26" s="110"/>
      <c r="HS26" s="110"/>
      <c r="HT26" s="110"/>
      <c r="HU26" s="110"/>
      <c r="HV26" s="110"/>
      <c r="HW26" s="110"/>
      <c r="HX26" s="110"/>
      <c r="HY26" s="110"/>
      <c r="HZ26" s="110"/>
      <c r="IA26" s="110"/>
      <c r="IB26" s="110"/>
      <c r="IC26" s="110"/>
      <c r="ID26" s="110"/>
      <c r="IE26" s="110"/>
      <c r="IF26" s="110"/>
      <c r="IG26" s="110"/>
      <c r="IH26" s="110"/>
      <c r="II26" s="110"/>
      <c r="IJ26" s="110"/>
      <c r="IK26" s="110"/>
      <c r="IL26" s="110"/>
      <c r="IM26" s="110"/>
      <c r="IN26" s="110"/>
      <c r="IO26" s="110"/>
      <c r="IP26" s="110"/>
      <c r="IQ26" s="110"/>
      <c r="IR26" s="110"/>
      <c r="IS26" s="110"/>
      <c r="IT26" s="110"/>
      <c r="IU26" s="110"/>
      <c r="IV26" s="110"/>
      <c r="IW26" s="110"/>
      <c r="IX26" s="110"/>
      <c r="IY26" s="110"/>
      <c r="IZ26" s="110"/>
      <c r="JA26" s="110"/>
      <c r="JB26" s="110"/>
      <c r="JC26" s="110"/>
      <c r="JD26" s="110"/>
      <c r="JE26" s="110"/>
      <c r="JF26" s="110"/>
      <c r="JG26" s="110"/>
      <c r="JH26" s="110"/>
      <c r="JI26" s="110"/>
      <c r="JJ26" s="110"/>
      <c r="JK26" s="110"/>
      <c r="JL26" s="110"/>
      <c r="JM26" s="110"/>
      <c r="JN26" s="110"/>
      <c r="JO26" s="110"/>
      <c r="JP26" s="110"/>
      <c r="JQ26" s="110"/>
      <c r="JR26" s="110"/>
      <c r="JS26" s="110"/>
      <c r="JT26" s="110"/>
      <c r="JU26" s="110"/>
      <c r="JV26" s="110"/>
      <c r="JW26" s="110"/>
      <c r="JX26" s="110"/>
      <c r="JY26" s="110"/>
      <c r="JZ26" s="110"/>
      <c r="KA26" s="110"/>
      <c r="KB26" s="110"/>
      <c r="KC26" s="110"/>
      <c r="KD26" s="110"/>
      <c r="KE26" s="110"/>
      <c r="KF26" s="110"/>
      <c r="KG26" s="110"/>
      <c r="KH26" s="110"/>
      <c r="KI26" s="110"/>
      <c r="KJ26" s="110"/>
      <c r="KK26" s="110"/>
      <c r="KL26" s="110"/>
      <c r="KM26" s="110"/>
      <c r="KN26" s="110"/>
    </row>
    <row r="27" spans="1:300" ht="19.2" customHeight="1" x14ac:dyDescent="0.3">
      <c r="A27" s="110"/>
      <c r="B27" s="110"/>
      <c r="C27" s="110"/>
      <c r="D27" s="110"/>
      <c r="E27" s="110"/>
      <c r="F27" s="42"/>
      <c r="G27" s="112" t="str">
        <v xml:space="preserve">24 </v>
      </c>
      <c r="O27" s="100"/>
      <c r="P27" s="106"/>
      <c r="Q27" s="104"/>
      <c r="R27" s="96"/>
      <c r="S27" s="105"/>
      <c r="T27" s="101"/>
      <c r="U27" s="96"/>
      <c r="V27" s="96"/>
      <c r="W27" s="103"/>
      <c r="X27" s="101"/>
      <c r="Y27" s="105"/>
      <c r="Z27" s="96"/>
      <c r="AC27" s="96"/>
      <c r="AD27" s="104"/>
      <c r="AE27" s="106"/>
      <c r="AF27" s="100"/>
      <c r="AV27" s="96"/>
      <c r="AW27" s="106"/>
      <c r="AX27" s="106"/>
      <c r="AY27" s="96"/>
      <c r="AZ27" s="103"/>
      <c r="BA27" s="96"/>
      <c r="BB27" s="103"/>
      <c r="BC27" s="105"/>
      <c r="BD27" s="105"/>
      <c r="BE27" s="105"/>
      <c r="BF27" s="101"/>
      <c r="BG27" s="96"/>
      <c r="CC27" s="101"/>
      <c r="CD27" s="102"/>
      <c r="CE27" s="97"/>
      <c r="CF27" s="92"/>
      <c r="CG27" s="96"/>
      <c r="CH27" s="103"/>
      <c r="CI27" s="105"/>
      <c r="CJ27" s="105"/>
      <c r="CK27" s="105"/>
      <c r="CL27" s="101"/>
      <c r="CM27" s="96"/>
      <c r="CN27" s="96"/>
      <c r="CO27" s="106"/>
      <c r="CP27" s="106"/>
      <c r="CQ27" s="10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0"/>
      <c r="GV27" s="110"/>
      <c r="GW27" s="110"/>
      <c r="GX27" s="110"/>
      <c r="GY27" s="110"/>
      <c r="GZ27" s="110"/>
      <c r="HA27" s="110"/>
      <c r="HB27" s="110"/>
      <c r="HC27" s="110"/>
      <c r="HD27" s="110"/>
      <c r="HE27" s="110"/>
      <c r="HF27" s="110"/>
      <c r="HG27" s="110"/>
      <c r="HH27" s="110"/>
      <c r="HI27" s="110"/>
      <c r="HJ27" s="110"/>
      <c r="HK27" s="110"/>
      <c r="HL27" s="110"/>
      <c r="HM27" s="110"/>
      <c r="HN27" s="110"/>
      <c r="HO27" s="110"/>
      <c r="HP27" s="110"/>
      <c r="HQ27" s="110"/>
      <c r="HR27" s="110"/>
      <c r="HS27" s="110"/>
      <c r="HT27" s="110"/>
      <c r="HU27" s="110"/>
      <c r="HV27" s="110"/>
      <c r="HW27" s="110"/>
      <c r="HX27" s="110"/>
      <c r="HY27" s="110"/>
      <c r="HZ27" s="110"/>
      <c r="IA27" s="110"/>
      <c r="IB27" s="110"/>
      <c r="IC27" s="110"/>
      <c r="ID27" s="110"/>
      <c r="IE27" s="110"/>
      <c r="IF27" s="110"/>
      <c r="IG27" s="110"/>
      <c r="IH27" s="110"/>
      <c r="II27" s="110"/>
      <c r="IJ27" s="110"/>
      <c r="IK27" s="110"/>
      <c r="IL27" s="110"/>
      <c r="IM27" s="110"/>
      <c r="IN27" s="110"/>
      <c r="IO27" s="110"/>
      <c r="IP27" s="110"/>
      <c r="IQ27" s="110"/>
      <c r="IR27" s="110"/>
      <c r="IS27" s="110"/>
      <c r="IT27" s="110"/>
      <c r="IU27" s="110"/>
      <c r="IV27" s="110"/>
      <c r="IW27" s="110"/>
      <c r="IX27" s="110"/>
      <c r="IY27" s="110"/>
      <c r="IZ27" s="110"/>
      <c r="JA27" s="110"/>
      <c r="JB27" s="110"/>
      <c r="JC27" s="110"/>
      <c r="JD27" s="110"/>
      <c r="JE27" s="110"/>
      <c r="JF27" s="110"/>
      <c r="JG27" s="110"/>
      <c r="JH27" s="110"/>
      <c r="JI27" s="110"/>
      <c r="JJ27" s="110"/>
      <c r="JK27" s="110"/>
      <c r="JL27" s="110"/>
      <c r="JM27" s="110"/>
      <c r="JN27" s="110"/>
      <c r="JO27" s="110"/>
      <c r="JP27" s="110"/>
      <c r="JQ27" s="110"/>
      <c r="JR27" s="110"/>
      <c r="JS27" s="110"/>
      <c r="JT27" s="110"/>
      <c r="JU27" s="110"/>
      <c r="JV27" s="110"/>
      <c r="JW27" s="110"/>
      <c r="JX27" s="110"/>
      <c r="JY27" s="110"/>
      <c r="JZ27" s="110"/>
      <c r="KA27" s="110"/>
      <c r="KB27" s="110"/>
      <c r="KC27" s="110"/>
      <c r="KD27" s="110"/>
      <c r="KE27" s="110"/>
      <c r="KF27" s="110"/>
      <c r="KG27" s="110"/>
      <c r="KH27" s="110"/>
      <c r="KI27" s="110"/>
      <c r="KJ27" s="110"/>
      <c r="KK27" s="110"/>
      <c r="KL27" s="110"/>
      <c r="KM27" s="110"/>
      <c r="KN27" s="110"/>
    </row>
    <row r="28" spans="1:300" ht="19.2" customHeight="1" x14ac:dyDescent="0.3">
      <c r="A28" s="110"/>
      <c r="B28" s="110"/>
      <c r="C28" s="110"/>
      <c r="D28" s="110"/>
      <c r="E28" s="110"/>
      <c r="F28" s="110"/>
      <c r="G28" s="112" t="str">
        <v xml:space="preserve">25 </v>
      </c>
      <c r="P28" s="96"/>
      <c r="Q28" s="96"/>
      <c r="R28" s="102"/>
      <c r="S28" s="97"/>
      <c r="T28" s="103"/>
      <c r="U28" s="96"/>
      <c r="V28" s="103"/>
      <c r="W28" s="105"/>
      <c r="X28" s="105"/>
      <c r="Y28" s="105"/>
      <c r="Z28" s="101"/>
      <c r="AA28" s="96"/>
      <c r="AD28" s="96"/>
      <c r="AE28" s="96"/>
      <c r="AW28" s="96"/>
      <c r="AX28" s="96"/>
      <c r="AY28" s="103"/>
      <c r="AZ28" s="103"/>
      <c r="BA28" s="96"/>
      <c r="BB28" s="105"/>
      <c r="BC28" s="105"/>
      <c r="BD28" s="105"/>
      <c r="BE28" s="101"/>
      <c r="BF28" s="92"/>
      <c r="BG28" s="96"/>
      <c r="CC28" s="101"/>
      <c r="CD28" s="97"/>
      <c r="CE28" s="103"/>
      <c r="CF28" s="92"/>
      <c r="CG28" s="96"/>
      <c r="CH28" s="101"/>
      <c r="CI28" s="105"/>
      <c r="CJ28" s="105"/>
      <c r="CK28" s="101"/>
      <c r="CL28" s="103"/>
      <c r="CM28" s="96"/>
      <c r="CO28" s="96"/>
      <c r="CP28" s="10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  <c r="GG28" s="110"/>
      <c r="GH28" s="110"/>
      <c r="GI28" s="110"/>
      <c r="GJ28" s="110"/>
      <c r="GK28" s="110"/>
      <c r="GL28" s="110"/>
      <c r="GM28" s="110"/>
      <c r="GN28" s="110"/>
      <c r="GO28" s="110"/>
      <c r="GP28" s="110"/>
      <c r="GQ28" s="110"/>
      <c r="GR28" s="110"/>
      <c r="GS28" s="110"/>
      <c r="GT28" s="110"/>
      <c r="GU28" s="110"/>
      <c r="GV28" s="110"/>
      <c r="GW28" s="110"/>
      <c r="GX28" s="110"/>
      <c r="GY28" s="110"/>
      <c r="GZ28" s="110"/>
      <c r="HA28" s="110"/>
      <c r="HB28" s="110"/>
      <c r="HC28" s="110"/>
      <c r="HD28" s="110"/>
      <c r="HE28" s="110"/>
      <c r="HF28" s="110"/>
      <c r="HG28" s="110"/>
      <c r="HH28" s="110"/>
      <c r="HI28" s="110"/>
      <c r="HJ28" s="110"/>
      <c r="HK28" s="110"/>
      <c r="HL28" s="110"/>
      <c r="HM28" s="110"/>
      <c r="HN28" s="110"/>
      <c r="HO28" s="110"/>
      <c r="HP28" s="110"/>
      <c r="HQ28" s="110"/>
      <c r="HR28" s="110"/>
      <c r="HS28" s="110"/>
      <c r="HT28" s="110"/>
      <c r="HU28" s="110"/>
      <c r="HV28" s="110"/>
      <c r="HW28" s="110"/>
      <c r="HX28" s="110"/>
      <c r="HY28" s="110"/>
      <c r="HZ28" s="110"/>
      <c r="IA28" s="110"/>
      <c r="IB28" s="110"/>
      <c r="IC28" s="110"/>
      <c r="ID28" s="110"/>
      <c r="IE28" s="110"/>
      <c r="IF28" s="110"/>
      <c r="IG28" s="110"/>
      <c r="IH28" s="110"/>
      <c r="II28" s="110"/>
      <c r="IJ28" s="110"/>
      <c r="IK28" s="110"/>
      <c r="IL28" s="110"/>
      <c r="IM28" s="110"/>
      <c r="IN28" s="110"/>
      <c r="IO28" s="110"/>
      <c r="IP28" s="110"/>
      <c r="IQ28" s="110"/>
      <c r="IR28" s="110"/>
      <c r="IS28" s="110"/>
      <c r="IT28" s="110"/>
      <c r="IU28" s="110"/>
      <c r="IV28" s="110"/>
      <c r="IW28" s="110"/>
      <c r="IX28" s="110"/>
      <c r="IY28" s="110"/>
      <c r="IZ28" s="110"/>
      <c r="JA28" s="110"/>
      <c r="JB28" s="110"/>
      <c r="JC28" s="110"/>
      <c r="JD28" s="110"/>
      <c r="JE28" s="110"/>
      <c r="JF28" s="110"/>
      <c r="JG28" s="110"/>
      <c r="JH28" s="110"/>
      <c r="JI28" s="110"/>
      <c r="JJ28" s="110"/>
      <c r="JK28" s="110"/>
      <c r="JL28" s="110"/>
      <c r="JM28" s="110"/>
      <c r="JN28" s="110"/>
      <c r="JO28" s="110"/>
      <c r="JP28" s="110"/>
      <c r="JQ28" s="110"/>
      <c r="JR28" s="110"/>
      <c r="JS28" s="110"/>
      <c r="JT28" s="110"/>
      <c r="JU28" s="110"/>
      <c r="JV28" s="110"/>
      <c r="JW28" s="110"/>
      <c r="JX28" s="110"/>
      <c r="JY28" s="110"/>
      <c r="JZ28" s="110"/>
      <c r="KA28" s="110"/>
      <c r="KB28" s="110"/>
      <c r="KC28" s="110"/>
      <c r="KD28" s="110"/>
      <c r="KE28" s="110"/>
      <c r="KF28" s="110"/>
      <c r="KG28" s="110"/>
      <c r="KH28" s="110"/>
      <c r="KI28" s="110"/>
      <c r="KJ28" s="110"/>
      <c r="KK28" s="110"/>
      <c r="KL28" s="110"/>
      <c r="KM28" s="110"/>
      <c r="KN28" s="110"/>
    </row>
    <row r="29" spans="1:300" ht="19.2" customHeight="1" x14ac:dyDescent="0.3">
      <c r="A29" s="110"/>
      <c r="B29" s="110"/>
      <c r="C29" s="110"/>
      <c r="D29" s="110"/>
      <c r="E29" s="110"/>
      <c r="F29" s="110"/>
      <c r="G29" s="112" t="str">
        <v xml:space="preserve">26 </v>
      </c>
      <c r="Q29" s="96"/>
      <c r="R29" s="97"/>
      <c r="S29" s="103"/>
      <c r="T29" s="103"/>
      <c r="U29" s="96"/>
      <c r="V29" s="105"/>
      <c r="W29" s="105"/>
      <c r="X29" s="105"/>
      <c r="Y29" s="101"/>
      <c r="Z29" s="103"/>
      <c r="AA29" s="96"/>
      <c r="AW29" s="96"/>
      <c r="AX29" s="103"/>
      <c r="AY29" s="103"/>
      <c r="AZ29" s="96"/>
      <c r="BA29" s="92"/>
      <c r="BB29" s="92"/>
      <c r="BC29" s="92"/>
      <c r="BD29" s="92"/>
      <c r="BE29" s="92"/>
      <c r="BF29" s="92"/>
      <c r="BG29" s="92"/>
      <c r="CC29" s="96"/>
      <c r="CD29" s="103"/>
      <c r="CE29" s="103"/>
      <c r="CF29" s="96"/>
      <c r="CG29" s="92"/>
      <c r="CH29" s="92"/>
      <c r="CI29" s="92"/>
      <c r="CJ29" s="92"/>
      <c r="CK29" s="92"/>
      <c r="CL29" s="92"/>
      <c r="CM29" s="92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0"/>
      <c r="GV29" s="110"/>
      <c r="GW29" s="110"/>
      <c r="GX29" s="110"/>
      <c r="GY29" s="110"/>
      <c r="GZ29" s="110"/>
      <c r="HA29" s="110"/>
      <c r="HB29" s="110"/>
      <c r="HC29" s="110"/>
      <c r="HD29" s="110"/>
      <c r="HE29" s="110"/>
      <c r="HF29" s="110"/>
      <c r="HG29" s="110"/>
      <c r="HH29" s="110"/>
      <c r="HI29" s="110"/>
      <c r="HJ29" s="110"/>
      <c r="HK29" s="110"/>
      <c r="HL29" s="110"/>
      <c r="HM29" s="110"/>
      <c r="HN29" s="110"/>
      <c r="HO29" s="110"/>
      <c r="HP29" s="110"/>
      <c r="HQ29" s="110"/>
      <c r="HR29" s="110"/>
      <c r="HS29" s="110"/>
      <c r="HT29" s="110"/>
      <c r="HU29" s="110"/>
      <c r="HV29" s="110"/>
      <c r="HW29" s="110"/>
      <c r="HX29" s="110"/>
      <c r="HY29" s="110"/>
      <c r="HZ29" s="110"/>
      <c r="IA29" s="110"/>
      <c r="IB29" s="110"/>
      <c r="IC29" s="110"/>
      <c r="ID29" s="110"/>
      <c r="IE29" s="110"/>
      <c r="IF29" s="110"/>
      <c r="IG29" s="110"/>
      <c r="IH29" s="110"/>
      <c r="II29" s="110"/>
      <c r="IJ29" s="110"/>
      <c r="IK29" s="110"/>
      <c r="IL29" s="110"/>
      <c r="IM29" s="110"/>
      <c r="IN29" s="110"/>
      <c r="IO29" s="110"/>
      <c r="IP29" s="110"/>
      <c r="IQ29" s="110"/>
      <c r="IR29" s="110"/>
      <c r="IS29" s="110"/>
      <c r="IT29" s="110"/>
      <c r="IU29" s="110"/>
      <c r="IV29" s="110"/>
      <c r="IW29" s="110"/>
      <c r="IX29" s="110"/>
      <c r="IY29" s="110"/>
      <c r="IZ29" s="110"/>
      <c r="JA29" s="110"/>
      <c r="JB29" s="110"/>
      <c r="JC29" s="110"/>
      <c r="JD29" s="110"/>
      <c r="JE29" s="110"/>
      <c r="JF29" s="110"/>
      <c r="JG29" s="110"/>
      <c r="JH29" s="110"/>
      <c r="JI29" s="110"/>
      <c r="JJ29" s="110"/>
      <c r="JK29" s="110"/>
      <c r="JL29" s="110"/>
      <c r="JM29" s="110"/>
      <c r="JN29" s="110"/>
      <c r="JO29" s="110"/>
      <c r="JP29" s="110"/>
      <c r="JQ29" s="110"/>
      <c r="JR29" s="110"/>
      <c r="JS29" s="110"/>
      <c r="JT29" s="110"/>
      <c r="JU29" s="110"/>
      <c r="JV29" s="110"/>
      <c r="JW29" s="110"/>
      <c r="JX29" s="110"/>
      <c r="JY29" s="110"/>
      <c r="JZ29" s="110"/>
      <c r="KA29" s="110"/>
      <c r="KB29" s="110"/>
      <c r="KC29" s="110"/>
      <c r="KD29" s="110"/>
      <c r="KE29" s="110"/>
      <c r="KF29" s="110"/>
      <c r="KG29" s="110"/>
      <c r="KH29" s="110"/>
      <c r="KI29" s="110"/>
      <c r="KJ29" s="110"/>
      <c r="KK29" s="110"/>
      <c r="KL29" s="110"/>
      <c r="KM29" s="110"/>
      <c r="KN29" s="110"/>
    </row>
    <row r="30" spans="1:300" ht="19.2" customHeight="1" x14ac:dyDescent="0.3">
      <c r="A30" s="110"/>
      <c r="B30" s="110"/>
      <c r="C30" s="110"/>
      <c r="D30" s="110"/>
      <c r="E30" s="110"/>
      <c r="F30" s="110"/>
      <c r="G30" s="112" t="str">
        <v xml:space="preserve">27 </v>
      </c>
      <c r="Q30" s="96"/>
      <c r="R30" s="103"/>
      <c r="S30" s="103"/>
      <c r="T30" s="96"/>
      <c r="U30" s="92"/>
      <c r="V30" s="92"/>
      <c r="W30" s="92"/>
      <c r="X30" s="92"/>
      <c r="Y30" s="92"/>
      <c r="Z30" s="92"/>
      <c r="AA30" s="92"/>
      <c r="AX30" s="96"/>
      <c r="AY30" s="96"/>
      <c r="AZ30" s="96"/>
      <c r="BA30" s="100"/>
      <c r="BB30" s="100"/>
      <c r="BC30" s="96"/>
      <c r="BD30" s="92"/>
      <c r="BE30" s="92"/>
      <c r="BF30" s="92"/>
      <c r="BG30" s="92"/>
      <c r="CD30" s="96"/>
      <c r="CE30" s="96"/>
      <c r="CF30" s="92"/>
      <c r="CG30" s="92"/>
      <c r="CH30" s="92"/>
      <c r="CI30" s="92"/>
      <c r="CJ30" s="96"/>
      <c r="CK30" s="100"/>
      <c r="CL30" s="100"/>
      <c r="CM30" s="96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  <c r="GG30" s="110"/>
      <c r="GH30" s="110"/>
      <c r="GI30" s="110"/>
      <c r="GJ30" s="110"/>
      <c r="GK30" s="110"/>
      <c r="GL30" s="110"/>
      <c r="GM30" s="110"/>
      <c r="GN30" s="110"/>
      <c r="GO30" s="110"/>
      <c r="GP30" s="110"/>
      <c r="GQ30" s="110"/>
      <c r="GR30" s="110"/>
      <c r="GS30" s="110"/>
      <c r="GT30" s="110"/>
      <c r="GU30" s="110"/>
      <c r="GV30" s="110"/>
      <c r="GW30" s="110"/>
      <c r="GX30" s="110"/>
      <c r="GY30" s="110"/>
      <c r="GZ30" s="110"/>
      <c r="HA30" s="110"/>
      <c r="HB30" s="110"/>
      <c r="HC30" s="110"/>
      <c r="HD30" s="110"/>
      <c r="HE30" s="110"/>
      <c r="HF30" s="110"/>
      <c r="HG30" s="110"/>
      <c r="HH30" s="110"/>
      <c r="HI30" s="110"/>
      <c r="HJ30" s="110"/>
      <c r="HK30" s="110"/>
      <c r="HL30" s="110"/>
      <c r="HM30" s="110"/>
      <c r="HN30" s="110"/>
      <c r="HO30" s="110"/>
      <c r="HP30" s="110"/>
      <c r="HQ30" s="110"/>
      <c r="HR30" s="110"/>
      <c r="HS30" s="110"/>
      <c r="HT30" s="110"/>
      <c r="HU30" s="110"/>
      <c r="HV30" s="110"/>
      <c r="HW30" s="110"/>
      <c r="HX30" s="110"/>
      <c r="HY30" s="110"/>
      <c r="HZ30" s="110"/>
      <c r="IA30" s="110"/>
      <c r="IB30" s="110"/>
      <c r="IC30" s="110"/>
      <c r="ID30" s="110"/>
      <c r="IE30" s="110"/>
      <c r="IF30" s="110"/>
      <c r="IG30" s="110"/>
      <c r="IH30" s="110"/>
      <c r="II30" s="110"/>
      <c r="IJ30" s="110"/>
      <c r="IK30" s="110"/>
      <c r="IL30" s="110"/>
      <c r="IM30" s="110"/>
      <c r="IN30" s="110"/>
      <c r="IO30" s="110"/>
      <c r="IP30" s="110"/>
      <c r="IQ30" s="110"/>
      <c r="IR30" s="110"/>
      <c r="IS30" s="110"/>
      <c r="IT30" s="110"/>
      <c r="IU30" s="110"/>
      <c r="IV30" s="110"/>
      <c r="IW30" s="110"/>
      <c r="IX30" s="110"/>
      <c r="IY30" s="110"/>
      <c r="IZ30" s="110"/>
      <c r="JA30" s="110"/>
      <c r="JB30" s="110"/>
      <c r="JC30" s="110"/>
      <c r="JD30" s="110"/>
      <c r="JE30" s="110"/>
      <c r="JF30" s="110"/>
      <c r="JG30" s="110"/>
      <c r="JH30" s="110"/>
      <c r="JI30" s="110"/>
      <c r="JJ30" s="110"/>
      <c r="JK30" s="110"/>
      <c r="JL30" s="110"/>
      <c r="JM30" s="110"/>
      <c r="JN30" s="110"/>
      <c r="JO30" s="110"/>
      <c r="JP30" s="110"/>
      <c r="JQ30" s="110"/>
      <c r="JR30" s="110"/>
      <c r="JS30" s="110"/>
      <c r="JT30" s="110"/>
      <c r="JU30" s="110"/>
      <c r="JV30" s="110"/>
      <c r="JW30" s="110"/>
      <c r="JX30" s="110"/>
      <c r="JY30" s="110"/>
      <c r="JZ30" s="110"/>
      <c r="KA30" s="110"/>
      <c r="KB30" s="110"/>
      <c r="KC30" s="110"/>
      <c r="KD30" s="110"/>
      <c r="KE30" s="110"/>
      <c r="KF30" s="110"/>
      <c r="KG30" s="110"/>
      <c r="KH30" s="110"/>
      <c r="KI30" s="110"/>
      <c r="KJ30" s="110"/>
      <c r="KK30" s="110"/>
      <c r="KL30" s="110"/>
      <c r="KM30" s="110"/>
      <c r="KN30" s="110"/>
    </row>
    <row r="31" spans="1:300" ht="19.2" customHeight="1" x14ac:dyDescent="0.3">
      <c r="A31" s="110"/>
      <c r="B31" s="110"/>
      <c r="C31" s="110"/>
      <c r="D31" s="110"/>
      <c r="E31" s="110"/>
      <c r="F31" s="110"/>
      <c r="G31" s="112" t="str">
        <v xml:space="preserve">28 </v>
      </c>
      <c r="R31" s="96"/>
      <c r="S31" s="96"/>
      <c r="T31" s="96"/>
      <c r="U31" s="92"/>
      <c r="V31" s="92"/>
      <c r="W31" s="96"/>
      <c r="X31" s="96"/>
      <c r="Y31" s="92"/>
      <c r="Z31" s="92"/>
      <c r="AA31" s="96"/>
      <c r="BA31" s="96"/>
      <c r="BB31" s="96"/>
      <c r="BE31" s="92"/>
      <c r="BF31" s="92"/>
      <c r="BG31" s="96"/>
      <c r="CF31" s="96"/>
      <c r="CG31" s="92"/>
      <c r="CH31" s="92"/>
      <c r="CK31" s="96"/>
      <c r="CL31" s="96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0"/>
      <c r="GO31" s="110"/>
      <c r="GP31" s="110"/>
      <c r="GQ31" s="110"/>
      <c r="GR31" s="110"/>
      <c r="GS31" s="110"/>
      <c r="GT31" s="110"/>
      <c r="GU31" s="110"/>
      <c r="GV31" s="110"/>
      <c r="GW31" s="110"/>
      <c r="GX31" s="110"/>
      <c r="GY31" s="110"/>
      <c r="GZ31" s="110"/>
      <c r="HA31" s="110"/>
      <c r="HB31" s="110"/>
      <c r="HC31" s="110"/>
      <c r="HD31" s="110"/>
      <c r="HE31" s="110"/>
      <c r="HF31" s="110"/>
      <c r="HG31" s="110"/>
      <c r="HH31" s="110"/>
      <c r="HI31" s="110"/>
      <c r="HJ31" s="110"/>
      <c r="HK31" s="110"/>
      <c r="HL31" s="110"/>
      <c r="HM31" s="110"/>
      <c r="HN31" s="110"/>
      <c r="HO31" s="110"/>
      <c r="HP31" s="110"/>
      <c r="HQ31" s="110"/>
      <c r="HR31" s="110"/>
      <c r="HS31" s="110"/>
      <c r="HT31" s="110"/>
      <c r="HU31" s="110"/>
      <c r="HV31" s="110"/>
      <c r="HW31" s="110"/>
      <c r="HX31" s="110"/>
      <c r="HY31" s="110"/>
      <c r="HZ31" s="110"/>
      <c r="IA31" s="110"/>
      <c r="IB31" s="110"/>
      <c r="IC31" s="110"/>
      <c r="ID31" s="110"/>
      <c r="IE31" s="110"/>
      <c r="IF31" s="110"/>
      <c r="IG31" s="110"/>
      <c r="IH31" s="110"/>
      <c r="II31" s="110"/>
      <c r="IJ31" s="110"/>
      <c r="IK31" s="110"/>
      <c r="IL31" s="110"/>
      <c r="IM31" s="110"/>
      <c r="IN31" s="110"/>
      <c r="IO31" s="110"/>
      <c r="IP31" s="110"/>
      <c r="IQ31" s="110"/>
      <c r="IR31" s="110"/>
      <c r="IS31" s="110"/>
      <c r="IT31" s="110"/>
      <c r="IU31" s="110"/>
      <c r="IV31" s="110"/>
      <c r="IW31" s="110"/>
      <c r="IX31" s="110"/>
      <c r="IY31" s="110"/>
      <c r="IZ31" s="110"/>
      <c r="JA31" s="110"/>
      <c r="JB31" s="110"/>
      <c r="JC31" s="110"/>
      <c r="JD31" s="110"/>
      <c r="JE31" s="110"/>
      <c r="JF31" s="110"/>
      <c r="JG31" s="110"/>
      <c r="JH31" s="110"/>
      <c r="JI31" s="110"/>
      <c r="JJ31" s="110"/>
      <c r="JK31" s="110"/>
      <c r="JL31" s="110"/>
      <c r="JM31" s="110"/>
      <c r="JN31" s="110"/>
      <c r="JO31" s="110"/>
      <c r="JP31" s="110"/>
      <c r="JQ31" s="110"/>
      <c r="JR31" s="110"/>
      <c r="JS31" s="110"/>
      <c r="JT31" s="110"/>
      <c r="JU31" s="110"/>
      <c r="JV31" s="110"/>
      <c r="JW31" s="110"/>
      <c r="JX31" s="110"/>
      <c r="JY31" s="110"/>
      <c r="JZ31" s="110"/>
      <c r="KA31" s="110"/>
      <c r="KB31" s="110"/>
      <c r="KC31" s="110"/>
      <c r="KD31" s="110"/>
      <c r="KE31" s="110"/>
      <c r="KF31" s="110"/>
      <c r="KG31" s="110"/>
      <c r="KH31" s="110"/>
      <c r="KI31" s="110"/>
      <c r="KJ31" s="110"/>
      <c r="KK31" s="110"/>
      <c r="KL31" s="110"/>
      <c r="KM31" s="110"/>
      <c r="KN31" s="110"/>
    </row>
    <row r="32" spans="1:300" ht="19.2" customHeight="1" x14ac:dyDescent="0.3">
      <c r="A32" s="110"/>
      <c r="B32" s="110"/>
      <c r="C32" s="110"/>
      <c r="D32" s="110"/>
      <c r="E32" s="110"/>
      <c r="F32" s="110"/>
      <c r="G32" s="112" t="str">
        <v xml:space="preserve">29 </v>
      </c>
      <c r="S32" s="96"/>
      <c r="T32" s="103"/>
      <c r="U32" s="103"/>
      <c r="V32" s="96"/>
      <c r="Y32" s="96"/>
      <c r="Z32" s="103"/>
      <c r="AA32" s="103"/>
      <c r="AB32" s="96"/>
      <c r="BD32" s="96"/>
      <c r="BE32" s="103"/>
      <c r="BF32" s="103"/>
      <c r="BG32" s="96"/>
      <c r="CF32" s="96"/>
      <c r="CG32" s="103"/>
      <c r="CH32" s="103"/>
      <c r="CI32" s="96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  <c r="GG32" s="110"/>
      <c r="GH32" s="110"/>
      <c r="GI32" s="110"/>
      <c r="GJ32" s="110"/>
      <c r="GK32" s="110"/>
      <c r="GL32" s="110"/>
      <c r="GM32" s="110"/>
      <c r="GN32" s="110"/>
      <c r="GO32" s="110"/>
      <c r="GP32" s="110"/>
      <c r="GQ32" s="110"/>
      <c r="GR32" s="110"/>
      <c r="GS32" s="110"/>
      <c r="GT32" s="110"/>
      <c r="GU32" s="110"/>
      <c r="GV32" s="110"/>
      <c r="GW32" s="110"/>
      <c r="GX32" s="110"/>
      <c r="GY32" s="110"/>
      <c r="GZ32" s="110"/>
      <c r="HA32" s="110"/>
      <c r="HB32" s="110"/>
      <c r="HC32" s="110"/>
      <c r="HD32" s="110"/>
      <c r="HE32" s="110"/>
      <c r="HF32" s="110"/>
      <c r="HG32" s="110"/>
      <c r="HH32" s="110"/>
      <c r="HI32" s="110"/>
      <c r="HJ32" s="110"/>
      <c r="HK32" s="110"/>
      <c r="HL32" s="110"/>
      <c r="HM32" s="110"/>
      <c r="HN32" s="110"/>
      <c r="HO32" s="110"/>
      <c r="HP32" s="110"/>
      <c r="HQ32" s="110"/>
      <c r="HR32" s="110"/>
      <c r="HS32" s="110"/>
      <c r="HT32" s="110"/>
      <c r="HU32" s="110"/>
      <c r="HV32" s="110"/>
      <c r="HW32" s="110"/>
      <c r="HX32" s="110"/>
      <c r="HY32" s="110"/>
      <c r="HZ32" s="110"/>
      <c r="IA32" s="110"/>
      <c r="IB32" s="110"/>
      <c r="IC32" s="110"/>
      <c r="ID32" s="110"/>
      <c r="IE32" s="110"/>
      <c r="IF32" s="110"/>
      <c r="IG32" s="110"/>
      <c r="IH32" s="110"/>
      <c r="II32" s="110"/>
      <c r="IJ32" s="110"/>
      <c r="IK32" s="110"/>
      <c r="IL32" s="110"/>
      <c r="IM32" s="110"/>
      <c r="IN32" s="110"/>
      <c r="IO32" s="110"/>
      <c r="IP32" s="110"/>
      <c r="IQ32" s="110"/>
      <c r="IR32" s="110"/>
      <c r="IS32" s="110"/>
      <c r="IT32" s="110"/>
      <c r="IU32" s="110"/>
      <c r="IV32" s="110"/>
      <c r="IW32" s="110"/>
      <c r="IX32" s="110"/>
      <c r="IY32" s="110"/>
      <c r="IZ32" s="110"/>
      <c r="JA32" s="110"/>
      <c r="JB32" s="110"/>
      <c r="JC32" s="110"/>
      <c r="JD32" s="110"/>
      <c r="JE32" s="110"/>
      <c r="JF32" s="110"/>
      <c r="JG32" s="110"/>
      <c r="JH32" s="110"/>
      <c r="JI32" s="110"/>
      <c r="JJ32" s="110"/>
      <c r="JK32" s="110"/>
      <c r="JL32" s="110"/>
      <c r="JM32" s="110"/>
      <c r="JN32" s="110"/>
      <c r="JO32" s="110"/>
      <c r="JP32" s="110"/>
      <c r="JQ32" s="110"/>
      <c r="JR32" s="110"/>
      <c r="JS32" s="110"/>
      <c r="JT32" s="110"/>
      <c r="JU32" s="110"/>
      <c r="JV32" s="110"/>
      <c r="JW32" s="110"/>
      <c r="JX32" s="110"/>
      <c r="JY32" s="110"/>
      <c r="JZ32" s="110"/>
      <c r="KA32" s="110"/>
      <c r="KB32" s="110"/>
      <c r="KC32" s="110"/>
      <c r="KD32" s="110"/>
      <c r="KE32" s="110"/>
      <c r="KF32" s="110"/>
      <c r="KG32" s="110"/>
      <c r="KH32" s="110"/>
      <c r="KI32" s="110"/>
      <c r="KJ32" s="110"/>
      <c r="KK32" s="110"/>
      <c r="KL32" s="110"/>
      <c r="KM32" s="110"/>
      <c r="KN32" s="110"/>
    </row>
    <row r="33" spans="1:300" ht="19.2" customHeight="1" x14ac:dyDescent="0.3">
      <c r="A33" s="110"/>
      <c r="B33" s="110"/>
      <c r="C33" s="110"/>
      <c r="D33" s="110"/>
      <c r="E33" s="110"/>
      <c r="F33" s="110"/>
      <c r="G33" s="112" t="str">
        <v xml:space="preserve">30 </v>
      </c>
      <c r="S33" s="96"/>
      <c r="T33" s="94"/>
      <c r="U33" s="94"/>
      <c r="V33" s="96"/>
      <c r="Y33" s="96"/>
      <c r="Z33" s="94"/>
      <c r="AA33" s="94"/>
      <c r="AB33" s="96"/>
      <c r="BD33" s="96"/>
      <c r="BE33" s="94"/>
      <c r="BF33" s="94"/>
      <c r="BG33" s="96"/>
      <c r="CF33" s="96"/>
      <c r="CG33" s="94"/>
      <c r="CH33" s="94"/>
      <c r="CI33" s="96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  <c r="GG33" s="110"/>
      <c r="GH33" s="110"/>
      <c r="GI33" s="110"/>
      <c r="GJ33" s="110"/>
      <c r="GK33" s="110"/>
      <c r="GL33" s="110"/>
      <c r="GM33" s="110"/>
      <c r="GN33" s="110"/>
      <c r="GO33" s="110"/>
      <c r="GP33" s="110"/>
      <c r="GQ33" s="110"/>
      <c r="GR33" s="110"/>
      <c r="GS33" s="110"/>
      <c r="GT33" s="110"/>
      <c r="GU33" s="110"/>
      <c r="GV33" s="110"/>
      <c r="GW33" s="110"/>
      <c r="GX33" s="110"/>
      <c r="GY33" s="110"/>
      <c r="GZ33" s="110"/>
      <c r="HA33" s="110"/>
      <c r="HB33" s="110"/>
      <c r="HC33" s="110"/>
      <c r="HD33" s="110"/>
      <c r="HE33" s="110"/>
      <c r="HF33" s="110"/>
      <c r="HG33" s="110"/>
      <c r="HH33" s="110"/>
      <c r="HI33" s="110"/>
      <c r="HJ33" s="110"/>
      <c r="HK33" s="110"/>
      <c r="HL33" s="110"/>
      <c r="HM33" s="110"/>
      <c r="HN33" s="110"/>
      <c r="HO33" s="110"/>
      <c r="HP33" s="110"/>
      <c r="HQ33" s="110"/>
      <c r="HR33" s="110"/>
      <c r="HS33" s="110"/>
      <c r="HT33" s="110"/>
      <c r="HU33" s="110"/>
      <c r="HV33" s="110"/>
      <c r="HW33" s="110"/>
      <c r="HX33" s="110"/>
      <c r="HY33" s="110"/>
      <c r="HZ33" s="110"/>
      <c r="IA33" s="110"/>
      <c r="IB33" s="110"/>
      <c r="IC33" s="110"/>
      <c r="ID33" s="110"/>
      <c r="IE33" s="110"/>
      <c r="IF33" s="110"/>
      <c r="IG33" s="110"/>
      <c r="IH33" s="110"/>
      <c r="II33" s="110"/>
      <c r="IJ33" s="110"/>
      <c r="IK33" s="110"/>
      <c r="IL33" s="110"/>
      <c r="IM33" s="110"/>
      <c r="IN33" s="110"/>
      <c r="IO33" s="110"/>
      <c r="IP33" s="110"/>
      <c r="IQ33" s="110"/>
      <c r="IR33" s="110"/>
      <c r="IS33" s="110"/>
      <c r="IT33" s="110"/>
      <c r="IU33" s="110"/>
      <c r="IV33" s="110"/>
      <c r="IW33" s="110"/>
      <c r="IX33" s="110"/>
      <c r="IY33" s="110"/>
      <c r="IZ33" s="110"/>
      <c r="JA33" s="110"/>
      <c r="JB33" s="110"/>
      <c r="JC33" s="110"/>
      <c r="JD33" s="110"/>
      <c r="JE33" s="110"/>
      <c r="JF33" s="110"/>
      <c r="JG33" s="110"/>
      <c r="JH33" s="110"/>
      <c r="JI33" s="110"/>
      <c r="JJ33" s="110"/>
      <c r="JK33" s="110"/>
      <c r="JL33" s="110"/>
      <c r="JM33" s="110"/>
      <c r="JN33" s="110"/>
      <c r="JO33" s="110"/>
      <c r="JP33" s="110"/>
      <c r="JQ33" s="110"/>
      <c r="JR33" s="110"/>
      <c r="JS33" s="110"/>
      <c r="JT33" s="110"/>
      <c r="JU33" s="110"/>
      <c r="JV33" s="110"/>
      <c r="JW33" s="110"/>
      <c r="JX33" s="110"/>
      <c r="JY33" s="110"/>
      <c r="JZ33" s="110"/>
      <c r="KA33" s="110"/>
      <c r="KB33" s="110"/>
      <c r="KC33" s="110"/>
      <c r="KD33" s="110"/>
      <c r="KE33" s="110"/>
      <c r="KF33" s="110"/>
      <c r="KG33" s="110"/>
      <c r="KH33" s="110"/>
      <c r="KI33" s="110"/>
      <c r="KJ33" s="110"/>
      <c r="KK33" s="110"/>
      <c r="KL33" s="110"/>
      <c r="KM33" s="110"/>
      <c r="KN33" s="110"/>
    </row>
    <row r="34" spans="1:300" ht="19.2" customHeight="1" x14ac:dyDescent="0.3">
      <c r="A34" s="110"/>
      <c r="B34" s="110"/>
      <c r="C34" s="110"/>
      <c r="D34" s="110"/>
      <c r="E34" s="110"/>
      <c r="F34" s="110"/>
      <c r="G34" s="112" t="str">
        <v xml:space="preserve">31 </v>
      </c>
      <c r="T34" s="96"/>
      <c r="U34" s="96"/>
      <c r="Z34" s="96"/>
      <c r="AA34" s="96"/>
      <c r="BE34" s="96"/>
      <c r="BF34" s="96"/>
      <c r="CG34" s="96"/>
      <c r="CH34" s="96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  <c r="GG34" s="110"/>
      <c r="GH34" s="110"/>
      <c r="GI34" s="110"/>
      <c r="GJ34" s="110"/>
      <c r="GK34" s="110"/>
      <c r="GL34" s="110"/>
      <c r="GM34" s="110"/>
      <c r="GN34" s="110"/>
      <c r="GO34" s="110"/>
      <c r="GP34" s="110"/>
      <c r="GQ34" s="110"/>
      <c r="GR34" s="110"/>
      <c r="GS34" s="110"/>
      <c r="GT34" s="110"/>
      <c r="GU34" s="110"/>
      <c r="GV34" s="110"/>
      <c r="GW34" s="110"/>
      <c r="GX34" s="110"/>
      <c r="GY34" s="110"/>
      <c r="GZ34" s="110"/>
      <c r="HA34" s="110"/>
      <c r="HB34" s="110"/>
      <c r="HC34" s="110"/>
      <c r="HD34" s="110"/>
      <c r="HE34" s="110"/>
      <c r="HF34" s="110"/>
      <c r="HG34" s="110"/>
      <c r="HH34" s="110"/>
      <c r="HI34" s="110"/>
      <c r="HJ34" s="110"/>
      <c r="HK34" s="110"/>
      <c r="HL34" s="110"/>
      <c r="HM34" s="110"/>
      <c r="HN34" s="110"/>
      <c r="HO34" s="110"/>
      <c r="HP34" s="110"/>
      <c r="HQ34" s="110"/>
      <c r="HR34" s="110"/>
      <c r="HS34" s="110"/>
      <c r="HT34" s="110"/>
      <c r="HU34" s="110"/>
      <c r="HV34" s="110"/>
      <c r="HW34" s="110"/>
      <c r="HX34" s="110"/>
      <c r="HY34" s="110"/>
      <c r="HZ34" s="110"/>
      <c r="IA34" s="110"/>
      <c r="IB34" s="110"/>
      <c r="IC34" s="110"/>
      <c r="ID34" s="110"/>
      <c r="IE34" s="110"/>
      <c r="IF34" s="110"/>
      <c r="IG34" s="110"/>
      <c r="IH34" s="110"/>
      <c r="II34" s="110"/>
      <c r="IJ34" s="110"/>
      <c r="IK34" s="110"/>
      <c r="IL34" s="110"/>
      <c r="IM34" s="110"/>
      <c r="IN34" s="110"/>
      <c r="IO34" s="110"/>
      <c r="IP34" s="110"/>
      <c r="IQ34" s="110"/>
      <c r="IR34" s="110"/>
      <c r="IS34" s="110"/>
      <c r="IT34" s="110"/>
      <c r="IU34" s="110"/>
      <c r="IV34" s="110"/>
      <c r="IW34" s="110"/>
      <c r="IX34" s="110"/>
      <c r="IY34" s="110"/>
      <c r="IZ34" s="110"/>
      <c r="JA34" s="110"/>
      <c r="JB34" s="110"/>
      <c r="JC34" s="110"/>
      <c r="JD34" s="110"/>
      <c r="JE34" s="110"/>
      <c r="JF34" s="110"/>
      <c r="JG34" s="110"/>
      <c r="JH34" s="110"/>
      <c r="JI34" s="110"/>
      <c r="JJ34" s="110"/>
      <c r="JK34" s="110"/>
      <c r="JL34" s="110"/>
      <c r="JM34" s="110"/>
      <c r="JN34" s="110"/>
      <c r="JO34" s="110"/>
      <c r="JP34" s="110"/>
      <c r="JQ34" s="110"/>
      <c r="JR34" s="110"/>
      <c r="JS34" s="110"/>
      <c r="JT34" s="110"/>
      <c r="JU34" s="110"/>
      <c r="JV34" s="110"/>
      <c r="JW34" s="110"/>
      <c r="JX34" s="110"/>
      <c r="JY34" s="110"/>
      <c r="JZ34" s="110"/>
      <c r="KA34" s="110"/>
      <c r="KB34" s="110"/>
      <c r="KC34" s="110"/>
      <c r="KD34" s="110"/>
      <c r="KE34" s="110"/>
      <c r="KF34" s="110"/>
      <c r="KG34" s="110"/>
      <c r="KH34" s="110"/>
      <c r="KI34" s="110"/>
      <c r="KJ34" s="110"/>
      <c r="KK34" s="110"/>
      <c r="KL34" s="110"/>
      <c r="KM34" s="110"/>
      <c r="KN34" s="110"/>
    </row>
    <row r="35" spans="1:300" ht="19.2" customHeight="1" x14ac:dyDescent="0.3">
      <c r="A35" s="110"/>
      <c r="B35" s="110"/>
      <c r="C35" s="110"/>
      <c r="D35" s="110"/>
      <c r="E35" s="110"/>
      <c r="F35" s="110"/>
      <c r="G35" s="112" t="str">
        <v xml:space="preserve">32 </v>
      </c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0"/>
      <c r="GV35" s="110"/>
      <c r="GW35" s="110"/>
      <c r="GX35" s="110"/>
      <c r="GY35" s="110"/>
      <c r="GZ35" s="110"/>
      <c r="HA35" s="110"/>
      <c r="HB35" s="110"/>
      <c r="HC35" s="110"/>
      <c r="HD35" s="110"/>
      <c r="HE35" s="110"/>
      <c r="HF35" s="110"/>
      <c r="HG35" s="110"/>
      <c r="HH35" s="110"/>
      <c r="HI35" s="110"/>
      <c r="HJ35" s="110"/>
      <c r="HK35" s="110"/>
      <c r="HL35" s="110"/>
      <c r="HM35" s="110"/>
      <c r="HN35" s="110"/>
      <c r="HO35" s="110"/>
      <c r="HP35" s="110"/>
      <c r="HQ35" s="110"/>
      <c r="HR35" s="110"/>
      <c r="HS35" s="110"/>
      <c r="HT35" s="110"/>
      <c r="HU35" s="110"/>
      <c r="HV35" s="110"/>
      <c r="HW35" s="110"/>
      <c r="HX35" s="110"/>
      <c r="HY35" s="110"/>
      <c r="HZ35" s="110"/>
      <c r="IA35" s="110"/>
      <c r="IB35" s="110"/>
      <c r="IC35" s="110"/>
      <c r="ID35" s="110"/>
      <c r="IE35" s="110"/>
      <c r="IF35" s="110"/>
      <c r="IG35" s="110"/>
      <c r="IH35" s="110"/>
      <c r="II35" s="110"/>
      <c r="IJ35" s="110"/>
      <c r="IK35" s="110"/>
      <c r="IL35" s="110"/>
      <c r="IM35" s="110"/>
      <c r="IN35" s="110"/>
      <c r="IO35" s="110"/>
      <c r="IP35" s="110"/>
      <c r="IQ35" s="110"/>
      <c r="IR35" s="110"/>
      <c r="IS35" s="110"/>
      <c r="IT35" s="110"/>
      <c r="IU35" s="110"/>
      <c r="IV35" s="110"/>
      <c r="IW35" s="110"/>
      <c r="IX35" s="110"/>
      <c r="IY35" s="110"/>
      <c r="IZ35" s="110"/>
      <c r="JA35" s="110"/>
      <c r="JB35" s="110"/>
      <c r="JC35" s="110"/>
      <c r="JD35" s="110"/>
      <c r="JE35" s="110"/>
      <c r="JF35" s="110"/>
      <c r="JG35" s="110"/>
      <c r="JH35" s="110"/>
      <c r="JI35" s="110"/>
      <c r="JJ35" s="110"/>
      <c r="JK35" s="110"/>
      <c r="JL35" s="110"/>
      <c r="JM35" s="110"/>
      <c r="JN35" s="110"/>
      <c r="JO35" s="110"/>
      <c r="JP35" s="110"/>
      <c r="JQ35" s="110"/>
      <c r="JR35" s="110"/>
      <c r="JS35" s="110"/>
      <c r="JT35" s="110"/>
      <c r="JU35" s="110"/>
      <c r="JV35" s="110"/>
      <c r="JW35" s="110"/>
      <c r="JX35" s="110"/>
      <c r="JY35" s="110"/>
      <c r="JZ35" s="110"/>
      <c r="KA35" s="110"/>
      <c r="KB35" s="110"/>
      <c r="KC35" s="110"/>
      <c r="KD35" s="110"/>
      <c r="KE35" s="110"/>
      <c r="KF35" s="110"/>
      <c r="KG35" s="110"/>
      <c r="KH35" s="110"/>
      <c r="KI35" s="110"/>
      <c r="KJ35" s="110"/>
      <c r="KK35" s="110"/>
      <c r="KL35" s="110"/>
      <c r="KM35" s="110"/>
      <c r="KN35" s="110"/>
    </row>
    <row r="36" spans="1:300" ht="19.2" customHeight="1" x14ac:dyDescent="0.3">
      <c r="A36" s="110"/>
      <c r="B36" s="110"/>
      <c r="C36" s="110"/>
      <c r="D36" s="110"/>
      <c r="E36" s="110"/>
      <c r="F36" s="110"/>
      <c r="G36" s="112" t="str">
        <v xml:space="preserve">33 </v>
      </c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  <c r="GG36" s="110"/>
      <c r="GH36" s="110"/>
      <c r="GI36" s="110"/>
      <c r="GJ36" s="110"/>
      <c r="GK36" s="110"/>
      <c r="GL36" s="110"/>
      <c r="GM36" s="110"/>
      <c r="GN36" s="110"/>
      <c r="GO36" s="110"/>
      <c r="GP36" s="110"/>
      <c r="GQ36" s="110"/>
      <c r="GR36" s="110"/>
      <c r="GS36" s="110"/>
      <c r="GT36" s="110"/>
      <c r="GU36" s="110"/>
      <c r="GV36" s="110"/>
      <c r="GW36" s="110"/>
      <c r="GX36" s="110"/>
      <c r="GY36" s="110"/>
      <c r="GZ36" s="110"/>
      <c r="HA36" s="110"/>
      <c r="HB36" s="110"/>
      <c r="HC36" s="110"/>
      <c r="HD36" s="110"/>
      <c r="HE36" s="110"/>
      <c r="HF36" s="110"/>
      <c r="HG36" s="110"/>
      <c r="HH36" s="110"/>
      <c r="HI36" s="110"/>
      <c r="HJ36" s="110"/>
      <c r="HK36" s="110"/>
      <c r="HL36" s="110"/>
      <c r="HM36" s="110"/>
      <c r="HN36" s="110"/>
      <c r="HO36" s="110"/>
      <c r="HP36" s="110"/>
      <c r="HQ36" s="110"/>
      <c r="HR36" s="110"/>
      <c r="HS36" s="110"/>
      <c r="HT36" s="110"/>
      <c r="HU36" s="110"/>
      <c r="HV36" s="110"/>
      <c r="HW36" s="110"/>
      <c r="HX36" s="110"/>
      <c r="HY36" s="110"/>
      <c r="HZ36" s="110"/>
      <c r="IA36" s="110"/>
      <c r="IB36" s="110"/>
      <c r="IC36" s="110"/>
      <c r="ID36" s="110"/>
      <c r="IE36" s="110"/>
      <c r="IF36" s="110"/>
      <c r="IG36" s="110"/>
      <c r="IH36" s="110"/>
      <c r="II36" s="110"/>
      <c r="IJ36" s="110"/>
      <c r="IK36" s="110"/>
      <c r="IL36" s="110"/>
      <c r="IM36" s="110"/>
      <c r="IN36" s="110"/>
      <c r="IO36" s="110"/>
      <c r="IP36" s="110"/>
      <c r="IQ36" s="110"/>
      <c r="IR36" s="110"/>
      <c r="IS36" s="110"/>
      <c r="IT36" s="110"/>
      <c r="IU36" s="110"/>
      <c r="IV36" s="110"/>
      <c r="IW36" s="110"/>
      <c r="IX36" s="110"/>
      <c r="IY36" s="110"/>
      <c r="IZ36" s="110"/>
      <c r="JA36" s="110"/>
      <c r="JB36" s="110"/>
      <c r="JC36" s="110"/>
      <c r="JD36" s="110"/>
      <c r="JE36" s="110"/>
      <c r="JF36" s="110"/>
      <c r="JG36" s="110"/>
      <c r="JH36" s="110"/>
      <c r="JI36" s="110"/>
      <c r="JJ36" s="110"/>
      <c r="JK36" s="110"/>
      <c r="JL36" s="110"/>
      <c r="JM36" s="110"/>
      <c r="JN36" s="110"/>
      <c r="JO36" s="110"/>
      <c r="JP36" s="110"/>
      <c r="JQ36" s="110"/>
      <c r="JR36" s="110"/>
      <c r="JS36" s="110"/>
      <c r="JT36" s="110"/>
      <c r="JU36" s="110"/>
      <c r="JV36" s="110"/>
      <c r="JW36" s="110"/>
      <c r="JX36" s="110"/>
      <c r="JY36" s="110"/>
      <c r="JZ36" s="110"/>
      <c r="KA36" s="110"/>
      <c r="KB36" s="110"/>
      <c r="KC36" s="110"/>
      <c r="KD36" s="110"/>
      <c r="KE36" s="110"/>
      <c r="KF36" s="110"/>
      <c r="KG36" s="110"/>
      <c r="KH36" s="110"/>
      <c r="KI36" s="110"/>
      <c r="KJ36" s="110"/>
      <c r="KK36" s="110"/>
      <c r="KL36" s="110"/>
      <c r="KM36" s="110"/>
      <c r="KN36" s="110"/>
    </row>
    <row r="37" spans="1:300" ht="19.2" customHeight="1" x14ac:dyDescent="0.3">
      <c r="A37" s="110"/>
      <c r="B37" s="110"/>
      <c r="C37" s="110"/>
      <c r="D37" s="110"/>
      <c r="E37" s="110"/>
      <c r="F37" s="110"/>
      <c r="G37" s="112" t="str">
        <v xml:space="preserve">34 </v>
      </c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0"/>
      <c r="GV37" s="110"/>
      <c r="GW37" s="110"/>
      <c r="GX37" s="110"/>
      <c r="GY37" s="110"/>
      <c r="GZ37" s="110"/>
      <c r="HA37" s="110"/>
      <c r="HB37" s="110"/>
      <c r="HC37" s="110"/>
      <c r="HD37" s="110"/>
      <c r="HE37" s="110"/>
      <c r="HF37" s="110"/>
      <c r="HG37" s="110"/>
      <c r="HH37" s="110"/>
      <c r="HI37" s="110"/>
      <c r="HJ37" s="110"/>
      <c r="HK37" s="110"/>
      <c r="HL37" s="110"/>
      <c r="HM37" s="110"/>
      <c r="HN37" s="110"/>
      <c r="HO37" s="110"/>
      <c r="HP37" s="110"/>
      <c r="HQ37" s="110"/>
      <c r="HR37" s="110"/>
      <c r="HS37" s="110"/>
      <c r="HT37" s="110"/>
      <c r="HU37" s="110"/>
      <c r="HV37" s="110"/>
      <c r="HW37" s="110"/>
      <c r="HX37" s="110"/>
      <c r="HY37" s="110"/>
      <c r="HZ37" s="110"/>
      <c r="IA37" s="110"/>
      <c r="IB37" s="110"/>
      <c r="IC37" s="110"/>
      <c r="ID37" s="110"/>
      <c r="IE37" s="110"/>
      <c r="IF37" s="110"/>
      <c r="IG37" s="110"/>
      <c r="IH37" s="110"/>
      <c r="II37" s="110"/>
      <c r="IJ37" s="110"/>
      <c r="IK37" s="110"/>
      <c r="IL37" s="110"/>
      <c r="IM37" s="110"/>
      <c r="IN37" s="110"/>
      <c r="IO37" s="110"/>
      <c r="IP37" s="110"/>
      <c r="IQ37" s="110"/>
      <c r="IR37" s="110"/>
      <c r="IS37" s="110"/>
      <c r="IT37" s="110"/>
      <c r="IU37" s="110"/>
      <c r="IV37" s="110"/>
      <c r="IW37" s="110"/>
      <c r="IX37" s="110"/>
      <c r="IY37" s="110"/>
      <c r="IZ37" s="110"/>
      <c r="JA37" s="110"/>
      <c r="JB37" s="110"/>
      <c r="JC37" s="110"/>
      <c r="JD37" s="110"/>
      <c r="JE37" s="110"/>
      <c r="JF37" s="110"/>
      <c r="JG37" s="110"/>
      <c r="JH37" s="110"/>
      <c r="JI37" s="110"/>
      <c r="JJ37" s="110"/>
      <c r="JK37" s="110"/>
      <c r="JL37" s="110"/>
      <c r="JM37" s="110"/>
      <c r="JN37" s="110"/>
      <c r="JO37" s="110"/>
      <c r="JP37" s="110"/>
      <c r="JQ37" s="110"/>
      <c r="JR37" s="110"/>
      <c r="JS37" s="110"/>
      <c r="JT37" s="110"/>
      <c r="JU37" s="110"/>
      <c r="JV37" s="110"/>
      <c r="JW37" s="110"/>
      <c r="JX37" s="110"/>
      <c r="JY37" s="110"/>
      <c r="JZ37" s="110"/>
      <c r="KA37" s="110"/>
      <c r="KB37" s="110"/>
      <c r="KC37" s="110"/>
      <c r="KD37" s="110"/>
      <c r="KE37" s="110"/>
      <c r="KF37" s="110"/>
      <c r="KG37" s="110"/>
      <c r="KH37" s="110"/>
      <c r="KI37" s="110"/>
      <c r="KJ37" s="110"/>
      <c r="KK37" s="110"/>
      <c r="KL37" s="110"/>
      <c r="KM37" s="110"/>
      <c r="KN37" s="110"/>
    </row>
    <row r="38" spans="1:300" ht="19.2" customHeight="1" x14ac:dyDescent="0.3">
      <c r="A38" s="110"/>
      <c r="B38" s="110"/>
      <c r="C38" s="110"/>
      <c r="D38" s="110"/>
      <c r="E38" s="110"/>
      <c r="F38" s="110"/>
      <c r="G38" s="112" t="str">
        <v xml:space="preserve">35 </v>
      </c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  <c r="GG38" s="110"/>
      <c r="GH38" s="110"/>
      <c r="GI38" s="110"/>
      <c r="GJ38" s="110"/>
      <c r="GK38" s="110"/>
      <c r="GL38" s="110"/>
      <c r="GM38" s="110"/>
      <c r="GN38" s="110"/>
      <c r="GO38" s="110"/>
      <c r="GP38" s="110"/>
      <c r="GQ38" s="110"/>
      <c r="GR38" s="110"/>
      <c r="GS38" s="110"/>
      <c r="GT38" s="110"/>
      <c r="GU38" s="110"/>
      <c r="GV38" s="110"/>
      <c r="GW38" s="110"/>
      <c r="GX38" s="110"/>
      <c r="GY38" s="110"/>
      <c r="GZ38" s="110"/>
      <c r="HA38" s="110"/>
      <c r="HB38" s="110"/>
      <c r="HC38" s="110"/>
      <c r="HD38" s="110"/>
      <c r="HE38" s="110"/>
      <c r="HF38" s="110"/>
      <c r="HG38" s="110"/>
      <c r="HH38" s="110"/>
      <c r="HI38" s="110"/>
      <c r="HJ38" s="110"/>
      <c r="HK38" s="110"/>
      <c r="HL38" s="110"/>
      <c r="HM38" s="110"/>
      <c r="HN38" s="110"/>
      <c r="HO38" s="110"/>
      <c r="HP38" s="110"/>
      <c r="HQ38" s="110"/>
      <c r="HR38" s="110"/>
      <c r="HS38" s="110"/>
      <c r="HT38" s="110"/>
      <c r="HU38" s="110"/>
      <c r="HV38" s="110"/>
      <c r="HW38" s="110"/>
      <c r="HX38" s="110"/>
      <c r="HY38" s="110"/>
      <c r="HZ38" s="110"/>
      <c r="IA38" s="110"/>
      <c r="IB38" s="110"/>
      <c r="IC38" s="110"/>
      <c r="ID38" s="110"/>
      <c r="IE38" s="110"/>
      <c r="IF38" s="110"/>
      <c r="IG38" s="110"/>
      <c r="IH38" s="110"/>
      <c r="II38" s="110"/>
      <c r="IJ38" s="110"/>
      <c r="IK38" s="110"/>
      <c r="IL38" s="110"/>
      <c r="IM38" s="110"/>
      <c r="IN38" s="110"/>
      <c r="IO38" s="110"/>
      <c r="IP38" s="110"/>
      <c r="IQ38" s="110"/>
      <c r="IR38" s="110"/>
      <c r="IS38" s="110"/>
      <c r="IT38" s="110"/>
      <c r="IU38" s="110"/>
      <c r="IV38" s="110"/>
      <c r="IW38" s="110"/>
      <c r="IX38" s="110"/>
      <c r="IY38" s="110"/>
      <c r="IZ38" s="110"/>
      <c r="JA38" s="110"/>
      <c r="JB38" s="110"/>
      <c r="JC38" s="110"/>
      <c r="JD38" s="110"/>
      <c r="JE38" s="110"/>
      <c r="JF38" s="110"/>
      <c r="JG38" s="110"/>
      <c r="JH38" s="110"/>
      <c r="JI38" s="110"/>
      <c r="JJ38" s="110"/>
      <c r="JK38" s="110"/>
      <c r="JL38" s="110"/>
      <c r="JM38" s="110"/>
      <c r="JN38" s="110"/>
      <c r="JO38" s="110"/>
      <c r="JP38" s="110"/>
      <c r="JQ38" s="110"/>
      <c r="JR38" s="110"/>
      <c r="JS38" s="110"/>
      <c r="JT38" s="110"/>
      <c r="JU38" s="110"/>
      <c r="JV38" s="110"/>
      <c r="JW38" s="110"/>
      <c r="JX38" s="110"/>
      <c r="JY38" s="110"/>
      <c r="JZ38" s="110"/>
      <c r="KA38" s="110"/>
      <c r="KB38" s="110"/>
      <c r="KC38" s="110"/>
      <c r="KD38" s="110"/>
      <c r="KE38" s="110"/>
      <c r="KF38" s="110"/>
      <c r="KG38" s="110"/>
      <c r="KH38" s="110"/>
      <c r="KI38" s="110"/>
      <c r="KJ38" s="110"/>
      <c r="KK38" s="110"/>
      <c r="KL38" s="110"/>
      <c r="KM38" s="110"/>
      <c r="KN38" s="110"/>
    </row>
    <row r="39" spans="1:300" ht="19.2" customHeight="1" x14ac:dyDescent="0.3">
      <c r="A39" s="110"/>
      <c r="B39" s="110"/>
      <c r="C39" s="110"/>
      <c r="D39" s="110"/>
      <c r="E39" s="110"/>
      <c r="F39" s="110"/>
      <c r="G39" s="112" t="str">
        <v xml:space="preserve">36 </v>
      </c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</row>
    <row r="40" spans="1:300" ht="19.2" customHeight="1" x14ac:dyDescent="0.3">
      <c r="A40" s="110"/>
      <c r="B40" s="110"/>
      <c r="C40" s="110"/>
      <c r="D40" s="110"/>
      <c r="E40" s="110"/>
      <c r="F40" s="110"/>
      <c r="G40" s="112" t="str">
        <v xml:space="preserve">37 </v>
      </c>
      <c r="BA40" s="103"/>
      <c r="BB40" s="103"/>
      <c r="BC40" s="103"/>
      <c r="BD40" s="103"/>
      <c r="BE40" s="103"/>
      <c r="BF40" s="103"/>
      <c r="CG40" s="103"/>
      <c r="CH40" s="103"/>
      <c r="CI40" s="103"/>
      <c r="CJ40" s="103"/>
      <c r="CK40" s="103"/>
      <c r="CL40" s="103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  <c r="GG40" s="110"/>
      <c r="GH40" s="110"/>
      <c r="GI40" s="110"/>
      <c r="GJ40" s="110"/>
      <c r="GK40" s="110"/>
      <c r="GL40" s="110"/>
      <c r="GM40" s="110"/>
      <c r="GN40" s="110"/>
      <c r="GO40" s="110"/>
      <c r="GP40" s="110"/>
      <c r="GQ40" s="110"/>
      <c r="GR40" s="110"/>
      <c r="GS40" s="110"/>
      <c r="GT40" s="110"/>
      <c r="GU40" s="110"/>
      <c r="GV40" s="110"/>
      <c r="GW40" s="110"/>
      <c r="GX40" s="110"/>
      <c r="GY40" s="110"/>
      <c r="GZ40" s="110"/>
      <c r="HA40" s="110"/>
      <c r="HB40" s="110"/>
      <c r="HC40" s="110"/>
      <c r="HD40" s="110"/>
      <c r="HE40" s="110"/>
      <c r="HF40" s="110"/>
      <c r="HG40" s="110"/>
      <c r="HH40" s="110"/>
      <c r="HI40" s="110"/>
      <c r="HJ40" s="110"/>
      <c r="HK40" s="110"/>
      <c r="HL40" s="110"/>
      <c r="HM40" s="110"/>
      <c r="HN40" s="110"/>
      <c r="HO40" s="110"/>
      <c r="HP40" s="110"/>
      <c r="HQ40" s="110"/>
      <c r="HR40" s="110"/>
      <c r="HS40" s="110"/>
      <c r="HT40" s="110"/>
      <c r="HU40" s="110"/>
      <c r="HV40" s="110"/>
      <c r="HW40" s="110"/>
      <c r="HX40" s="110"/>
      <c r="HY40" s="110"/>
      <c r="HZ40" s="110"/>
      <c r="IA40" s="110"/>
      <c r="IB40" s="110"/>
      <c r="IC40" s="110"/>
      <c r="ID40" s="110"/>
      <c r="IE40" s="110"/>
      <c r="IF40" s="110"/>
      <c r="IG40" s="110"/>
      <c r="IH40" s="110"/>
      <c r="II40" s="110"/>
      <c r="IJ40" s="110"/>
      <c r="IK40" s="110"/>
      <c r="IL40" s="110"/>
      <c r="IM40" s="110"/>
      <c r="IN40" s="110"/>
      <c r="IO40" s="110"/>
      <c r="IP40" s="110"/>
      <c r="IQ40" s="110"/>
      <c r="IR40" s="110"/>
      <c r="IS40" s="110"/>
      <c r="IT40" s="110"/>
      <c r="IU40" s="110"/>
      <c r="IV40" s="110"/>
      <c r="IW40" s="110"/>
      <c r="IX40" s="110"/>
      <c r="IY40" s="110"/>
      <c r="IZ40" s="110"/>
      <c r="JA40" s="110"/>
      <c r="JB40" s="110"/>
      <c r="JC40" s="110"/>
      <c r="JD40" s="110"/>
      <c r="JE40" s="110"/>
      <c r="JF40" s="110"/>
      <c r="JG40" s="110"/>
      <c r="JH40" s="110"/>
      <c r="JI40" s="110"/>
      <c r="JJ40" s="110"/>
      <c r="JK40" s="110"/>
      <c r="JL40" s="110"/>
      <c r="JM40" s="110"/>
      <c r="JN40" s="110"/>
      <c r="JO40" s="110"/>
      <c r="JP40" s="110"/>
      <c r="JQ40" s="110"/>
      <c r="JR40" s="110"/>
      <c r="JS40" s="110"/>
      <c r="JT40" s="110"/>
      <c r="JU40" s="110"/>
      <c r="JV40" s="110"/>
      <c r="JW40" s="110"/>
      <c r="JX40" s="110"/>
      <c r="JY40" s="110"/>
      <c r="JZ40" s="110"/>
      <c r="KA40" s="110"/>
      <c r="KB40" s="110"/>
      <c r="KC40" s="110"/>
      <c r="KD40" s="110"/>
      <c r="KE40" s="110"/>
      <c r="KF40" s="110"/>
      <c r="KG40" s="110"/>
      <c r="KH40" s="110"/>
      <c r="KI40" s="110"/>
      <c r="KJ40" s="110"/>
      <c r="KK40" s="110"/>
      <c r="KL40" s="110"/>
      <c r="KM40" s="110"/>
      <c r="KN40" s="110"/>
    </row>
    <row r="41" spans="1:300" ht="19.2" customHeight="1" x14ac:dyDescent="0.3">
      <c r="A41" s="110"/>
      <c r="B41" s="110"/>
      <c r="C41" s="110"/>
      <c r="D41" s="110"/>
      <c r="E41" s="110"/>
      <c r="F41" s="110"/>
      <c r="G41" s="112" t="str">
        <v xml:space="preserve">38 </v>
      </c>
      <c r="U41" s="103"/>
      <c r="V41" s="103"/>
      <c r="W41" s="103"/>
      <c r="X41" s="103"/>
      <c r="Y41" s="103"/>
      <c r="Z41" s="103"/>
      <c r="AY41" s="103"/>
      <c r="AZ41" s="103"/>
      <c r="BA41" s="99"/>
      <c r="BB41" s="98"/>
      <c r="BC41" s="98"/>
      <c r="BD41" s="98"/>
      <c r="BE41" s="98"/>
      <c r="BF41" s="99"/>
      <c r="BG41" s="103"/>
      <c r="BH41" s="103"/>
      <c r="CE41" s="103"/>
      <c r="CF41" s="103"/>
      <c r="CG41" s="99"/>
      <c r="CH41" s="98"/>
      <c r="CI41" s="98"/>
      <c r="CJ41" s="98"/>
      <c r="CK41" s="98"/>
      <c r="CL41" s="99"/>
      <c r="CM41" s="103"/>
      <c r="CN41" s="103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  <c r="GG41" s="110"/>
      <c r="GH41" s="110"/>
      <c r="GI41" s="110"/>
      <c r="GJ41" s="110"/>
      <c r="GK41" s="110"/>
      <c r="GL41" s="110"/>
      <c r="GM41" s="110"/>
      <c r="GN41" s="110"/>
      <c r="GO41" s="110"/>
      <c r="GP41" s="110"/>
      <c r="GQ41" s="110"/>
      <c r="GR41" s="110"/>
      <c r="GS41" s="110"/>
      <c r="GT41" s="110"/>
      <c r="GU41" s="110"/>
      <c r="GV41" s="110"/>
      <c r="GW41" s="110"/>
      <c r="GX41" s="110"/>
      <c r="GY41" s="110"/>
      <c r="GZ41" s="110"/>
      <c r="HA41" s="110"/>
      <c r="HB41" s="110"/>
      <c r="HC41" s="110"/>
      <c r="HD41" s="110"/>
      <c r="HE41" s="110"/>
      <c r="HF41" s="110"/>
      <c r="HG41" s="110"/>
      <c r="HH41" s="110"/>
      <c r="HI41" s="110"/>
      <c r="HJ41" s="110"/>
      <c r="HK41" s="110"/>
      <c r="HL41" s="110"/>
      <c r="HM41" s="110"/>
      <c r="HN41" s="110"/>
      <c r="HO41" s="110"/>
      <c r="HP41" s="110"/>
      <c r="HQ41" s="110"/>
      <c r="HR41" s="110"/>
      <c r="HS41" s="110"/>
      <c r="HT41" s="110"/>
      <c r="HU41" s="110"/>
      <c r="HV41" s="110"/>
      <c r="HW41" s="110"/>
      <c r="HX41" s="110"/>
      <c r="HY41" s="110"/>
      <c r="HZ41" s="110"/>
      <c r="IA41" s="110"/>
      <c r="IB41" s="110"/>
      <c r="IC41" s="110"/>
      <c r="ID41" s="110"/>
      <c r="IE41" s="110"/>
      <c r="IF41" s="110"/>
      <c r="IG41" s="110"/>
      <c r="IH41" s="110"/>
      <c r="II41" s="110"/>
      <c r="IJ41" s="110"/>
      <c r="IK41" s="110"/>
      <c r="IL41" s="110"/>
      <c r="IM41" s="110"/>
      <c r="IN41" s="110"/>
      <c r="IO41" s="110"/>
      <c r="IP41" s="110"/>
      <c r="IQ41" s="110"/>
      <c r="IR41" s="110"/>
      <c r="IS41" s="110"/>
      <c r="IT41" s="110"/>
      <c r="IU41" s="110"/>
      <c r="IV41" s="110"/>
      <c r="IW41" s="110"/>
      <c r="IX41" s="110"/>
      <c r="IY41" s="110"/>
      <c r="IZ41" s="110"/>
      <c r="JA41" s="110"/>
      <c r="JB41" s="110"/>
      <c r="JC41" s="110"/>
      <c r="JD41" s="110"/>
      <c r="JE41" s="110"/>
      <c r="JF41" s="110"/>
      <c r="JG41" s="110"/>
      <c r="JH41" s="110"/>
      <c r="JI41" s="110"/>
      <c r="JJ41" s="110"/>
      <c r="JK41" s="110"/>
      <c r="JL41" s="110"/>
      <c r="JM41" s="110"/>
      <c r="JN41" s="110"/>
      <c r="JO41" s="110"/>
      <c r="JP41" s="110"/>
      <c r="JQ41" s="110"/>
      <c r="JR41" s="110"/>
      <c r="JS41" s="110"/>
      <c r="JT41" s="110"/>
      <c r="JU41" s="110"/>
      <c r="JV41" s="110"/>
      <c r="JW41" s="110"/>
      <c r="JX41" s="110"/>
      <c r="JY41" s="110"/>
      <c r="JZ41" s="110"/>
      <c r="KA41" s="110"/>
      <c r="KB41" s="110"/>
      <c r="KC41" s="110"/>
      <c r="KD41" s="110"/>
      <c r="KE41" s="110"/>
      <c r="KF41" s="110"/>
      <c r="KG41" s="110"/>
      <c r="KH41" s="110"/>
      <c r="KI41" s="110"/>
      <c r="KJ41" s="110"/>
      <c r="KK41" s="110"/>
      <c r="KL41" s="110"/>
      <c r="KM41" s="110"/>
      <c r="KN41" s="110"/>
    </row>
    <row r="42" spans="1:300" ht="19.2" customHeight="1" x14ac:dyDescent="0.3">
      <c r="A42" s="110"/>
      <c r="B42" s="110"/>
      <c r="C42" s="110"/>
      <c r="D42" s="110"/>
      <c r="E42" s="110"/>
      <c r="F42" s="110"/>
      <c r="G42" s="112" t="str">
        <v xml:space="preserve">39 </v>
      </c>
      <c r="S42" s="103"/>
      <c r="T42" s="103"/>
      <c r="U42" s="99"/>
      <c r="V42" s="98"/>
      <c r="W42" s="98"/>
      <c r="X42" s="98"/>
      <c r="Y42" s="98"/>
      <c r="Z42" s="99"/>
      <c r="AA42" s="103"/>
      <c r="AB42" s="103"/>
      <c r="AX42" s="103"/>
      <c r="AY42" s="99"/>
      <c r="AZ42" s="98"/>
      <c r="BA42" s="98"/>
      <c r="BB42" s="98"/>
      <c r="BC42" s="95"/>
      <c r="BD42" s="95"/>
      <c r="BE42" s="98"/>
      <c r="BF42" s="98"/>
      <c r="BG42" s="98"/>
      <c r="BH42" s="99"/>
      <c r="BI42" s="103"/>
      <c r="CD42" s="103"/>
      <c r="CE42" s="99"/>
      <c r="CF42" s="98"/>
      <c r="CG42" s="98"/>
      <c r="CH42" s="98"/>
      <c r="CI42" s="95"/>
      <c r="CJ42" s="95"/>
      <c r="CK42" s="98"/>
      <c r="CL42" s="98"/>
      <c r="CM42" s="98"/>
      <c r="CN42" s="99"/>
      <c r="CO42" s="103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  <c r="JO42" s="110"/>
      <c r="JP42" s="110"/>
      <c r="JQ42" s="110"/>
      <c r="JR42" s="110"/>
      <c r="JS42" s="110"/>
      <c r="JT42" s="110"/>
      <c r="JU42" s="110"/>
      <c r="JV42" s="110"/>
      <c r="JW42" s="110"/>
      <c r="JX42" s="110"/>
      <c r="JY42" s="110"/>
      <c r="JZ42" s="110"/>
      <c r="KA42" s="110"/>
      <c r="KB42" s="110"/>
      <c r="KC42" s="110"/>
      <c r="KD42" s="110"/>
      <c r="KE42" s="110"/>
      <c r="KF42" s="110"/>
      <c r="KG42" s="110"/>
      <c r="KH42" s="110"/>
      <c r="KI42" s="110"/>
      <c r="KJ42" s="110"/>
      <c r="KK42" s="110"/>
      <c r="KL42" s="110"/>
      <c r="KM42" s="110"/>
      <c r="KN42" s="110"/>
    </row>
    <row r="43" spans="1:300" ht="19.2" customHeight="1" x14ac:dyDescent="0.3">
      <c r="A43" s="110"/>
      <c r="B43" s="110"/>
      <c r="C43" s="110"/>
      <c r="D43" s="110"/>
      <c r="E43" s="110"/>
      <c r="F43" s="110"/>
      <c r="G43" s="112" t="str">
        <v xml:space="preserve">40 </v>
      </c>
      <c r="R43" s="103"/>
      <c r="S43" s="99"/>
      <c r="T43" s="98"/>
      <c r="U43" s="98"/>
      <c r="V43" s="98"/>
      <c r="W43" s="95"/>
      <c r="X43" s="95"/>
      <c r="Y43" s="98"/>
      <c r="Z43" s="98"/>
      <c r="AA43" s="98"/>
      <c r="AB43" s="99"/>
      <c r="AC43" s="103"/>
      <c r="AW43" s="96"/>
      <c r="AX43" s="99"/>
      <c r="AY43" s="98"/>
      <c r="AZ43" s="93"/>
      <c r="BA43" s="93"/>
      <c r="BB43" s="93"/>
      <c r="BC43" s="103"/>
      <c r="BD43" s="103"/>
      <c r="BE43" s="93"/>
      <c r="BF43" s="93"/>
      <c r="BG43" s="93"/>
      <c r="BH43" s="98"/>
      <c r="BI43" s="99"/>
      <c r="BJ43" s="96"/>
      <c r="CC43" s="96"/>
      <c r="CD43" s="99"/>
      <c r="CE43" s="98"/>
      <c r="CF43" s="93"/>
      <c r="CG43" s="93"/>
      <c r="CH43" s="93"/>
      <c r="CI43" s="103"/>
      <c r="CJ43" s="103"/>
      <c r="CK43" s="93"/>
      <c r="CL43" s="93"/>
      <c r="CM43" s="93"/>
      <c r="CN43" s="98"/>
      <c r="CO43" s="99"/>
      <c r="CP43" s="96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  <c r="GG43" s="110"/>
      <c r="GH43" s="110"/>
      <c r="GI43" s="110"/>
      <c r="GJ43" s="110"/>
      <c r="GK43" s="110"/>
      <c r="GL43" s="110"/>
      <c r="GM43" s="110"/>
      <c r="GN43" s="110"/>
      <c r="GO43" s="110"/>
      <c r="GP43" s="110"/>
      <c r="GQ43" s="110"/>
      <c r="GR43" s="110"/>
      <c r="GS43" s="110"/>
      <c r="GT43" s="110"/>
      <c r="GU43" s="110"/>
      <c r="GV43" s="110"/>
      <c r="GW43" s="110"/>
      <c r="GX43" s="110"/>
      <c r="GY43" s="110"/>
      <c r="GZ43" s="110"/>
      <c r="HA43" s="110"/>
      <c r="HB43" s="110"/>
      <c r="HC43" s="110"/>
      <c r="HD43" s="110"/>
      <c r="HE43" s="110"/>
      <c r="HF43" s="110"/>
      <c r="HG43" s="110"/>
      <c r="HH43" s="110"/>
      <c r="HI43" s="110"/>
      <c r="HJ43" s="110"/>
      <c r="HK43" s="110"/>
      <c r="HL43" s="110"/>
      <c r="HM43" s="110"/>
      <c r="HN43" s="110"/>
      <c r="HO43" s="110"/>
      <c r="HP43" s="110"/>
      <c r="HQ43" s="110"/>
      <c r="HR43" s="110"/>
      <c r="HS43" s="110"/>
      <c r="HT43" s="110"/>
      <c r="HU43" s="110"/>
      <c r="HV43" s="110"/>
      <c r="HW43" s="110"/>
      <c r="HX43" s="110"/>
      <c r="HY43" s="110"/>
      <c r="HZ43" s="110"/>
      <c r="IA43" s="110"/>
      <c r="IB43" s="110"/>
      <c r="IC43" s="110"/>
      <c r="ID43" s="110"/>
      <c r="IE43" s="110"/>
      <c r="IF43" s="110"/>
      <c r="IG43" s="110"/>
      <c r="IH43" s="110"/>
      <c r="II43" s="110"/>
      <c r="IJ43" s="110"/>
      <c r="IK43" s="110"/>
      <c r="IL43" s="110"/>
      <c r="IM43" s="110"/>
      <c r="IN43" s="110"/>
      <c r="IO43" s="110"/>
      <c r="IP43" s="110"/>
      <c r="IQ43" s="110"/>
      <c r="IR43" s="110"/>
      <c r="IS43" s="110"/>
      <c r="IT43" s="110"/>
      <c r="IU43" s="110"/>
      <c r="IV43" s="110"/>
      <c r="IW43" s="110"/>
      <c r="IX43" s="110"/>
      <c r="IY43" s="110"/>
      <c r="IZ43" s="110"/>
      <c r="JA43" s="110"/>
      <c r="JB43" s="110"/>
      <c r="JC43" s="110"/>
      <c r="JD43" s="110"/>
      <c r="JE43" s="110"/>
      <c r="JF43" s="110"/>
      <c r="JG43" s="110"/>
      <c r="JH43" s="110"/>
      <c r="JI43" s="110"/>
      <c r="JJ43" s="110"/>
      <c r="JK43" s="110"/>
      <c r="JL43" s="110"/>
      <c r="JM43" s="110"/>
      <c r="JN43" s="110"/>
      <c r="JO43" s="110"/>
      <c r="JP43" s="110"/>
      <c r="JQ43" s="110"/>
      <c r="JR43" s="110"/>
      <c r="JS43" s="110"/>
      <c r="JT43" s="110"/>
      <c r="JU43" s="110"/>
      <c r="JV43" s="110"/>
      <c r="JW43" s="110"/>
      <c r="JX43" s="110"/>
      <c r="JY43" s="110"/>
      <c r="JZ43" s="110"/>
      <c r="KA43" s="110"/>
      <c r="KB43" s="110"/>
      <c r="KC43" s="110"/>
      <c r="KD43" s="110"/>
      <c r="KE43" s="110"/>
      <c r="KF43" s="110"/>
      <c r="KG43" s="110"/>
      <c r="KH43" s="110"/>
      <c r="KI43" s="110"/>
      <c r="KJ43" s="110"/>
      <c r="KK43" s="110"/>
      <c r="KL43" s="110"/>
      <c r="KM43" s="110"/>
      <c r="KN43" s="110"/>
    </row>
    <row r="44" spans="1:300" ht="19.2" customHeight="1" x14ac:dyDescent="0.3">
      <c r="A44" s="110"/>
      <c r="B44" s="110"/>
      <c r="C44" s="110"/>
      <c r="D44" s="110"/>
      <c r="E44" s="110"/>
      <c r="F44" s="110"/>
      <c r="G44" s="112" t="str">
        <v xml:space="preserve">41 </v>
      </c>
      <c r="Q44" s="96"/>
      <c r="R44" s="99"/>
      <c r="S44" s="98"/>
      <c r="T44" s="93"/>
      <c r="U44" s="93"/>
      <c r="V44" s="93"/>
      <c r="W44" s="103"/>
      <c r="X44" s="103"/>
      <c r="Y44" s="93"/>
      <c r="Z44" s="93"/>
      <c r="AA44" s="93"/>
      <c r="AB44" s="98"/>
      <c r="AC44" s="99"/>
      <c r="AD44" s="96"/>
      <c r="AW44" s="96"/>
      <c r="AX44" s="94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4"/>
      <c r="BJ44" s="96"/>
      <c r="CC44" s="96"/>
      <c r="CD44" s="94"/>
      <c r="CE44" s="93"/>
      <c r="CF44" s="93"/>
      <c r="CG44" s="93"/>
      <c r="CH44" s="93"/>
      <c r="CI44" s="93"/>
      <c r="CJ44" s="93"/>
      <c r="CK44" s="93"/>
      <c r="CL44" s="93"/>
      <c r="CM44" s="93"/>
      <c r="CN44" s="93"/>
      <c r="CO44" s="94"/>
      <c r="CP44" s="96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  <c r="GG44" s="110"/>
      <c r="GH44" s="110"/>
      <c r="GI44" s="110"/>
      <c r="GJ44" s="110"/>
      <c r="GK44" s="110"/>
      <c r="GL44" s="110"/>
      <c r="GM44" s="110"/>
      <c r="GN44" s="110"/>
      <c r="GO44" s="110"/>
      <c r="GP44" s="110"/>
      <c r="GQ44" s="110"/>
      <c r="GR44" s="110"/>
      <c r="GS44" s="110"/>
      <c r="GT44" s="110"/>
      <c r="GU44" s="110"/>
      <c r="GV44" s="110"/>
      <c r="GW44" s="110"/>
      <c r="GX44" s="110"/>
      <c r="GY44" s="110"/>
      <c r="GZ44" s="110"/>
      <c r="HA44" s="110"/>
      <c r="HB44" s="110"/>
      <c r="HC44" s="110"/>
      <c r="HD44" s="110"/>
      <c r="HE44" s="110"/>
      <c r="HF44" s="110"/>
      <c r="HG44" s="110"/>
      <c r="HH44" s="110"/>
      <c r="HI44" s="110"/>
      <c r="HJ44" s="110"/>
      <c r="HK44" s="110"/>
      <c r="HL44" s="110"/>
      <c r="HM44" s="110"/>
      <c r="HN44" s="110"/>
      <c r="HO44" s="110"/>
      <c r="HP44" s="110"/>
      <c r="HQ44" s="110"/>
      <c r="HR44" s="110"/>
      <c r="HS44" s="110"/>
      <c r="HT44" s="110"/>
      <c r="HU44" s="110"/>
      <c r="HV44" s="110"/>
      <c r="HW44" s="110"/>
      <c r="HX44" s="110"/>
      <c r="HY44" s="110"/>
      <c r="HZ44" s="110"/>
      <c r="IA44" s="110"/>
      <c r="IB44" s="110"/>
      <c r="IC44" s="110"/>
      <c r="ID44" s="110"/>
      <c r="IE44" s="110"/>
      <c r="IF44" s="110"/>
      <c r="IG44" s="110"/>
      <c r="IH44" s="110"/>
      <c r="II44" s="110"/>
      <c r="IJ44" s="110"/>
      <c r="IK44" s="110"/>
      <c r="IL44" s="110"/>
      <c r="IM44" s="110"/>
      <c r="IN44" s="110"/>
      <c r="IO44" s="110"/>
      <c r="IP44" s="110"/>
      <c r="IQ44" s="110"/>
      <c r="IR44" s="110"/>
      <c r="IS44" s="110"/>
      <c r="IT44" s="110"/>
      <c r="IU44" s="110"/>
      <c r="IV44" s="110"/>
      <c r="IW44" s="110"/>
      <c r="IX44" s="110"/>
      <c r="IY44" s="110"/>
      <c r="IZ44" s="110"/>
      <c r="JA44" s="110"/>
      <c r="JB44" s="110"/>
      <c r="JC44" s="110"/>
      <c r="JD44" s="110"/>
      <c r="JE44" s="110"/>
      <c r="JF44" s="110"/>
      <c r="JG44" s="110"/>
      <c r="JH44" s="110"/>
      <c r="JI44" s="110"/>
      <c r="JJ44" s="110"/>
      <c r="JK44" s="110"/>
      <c r="JL44" s="110"/>
      <c r="JM44" s="110"/>
      <c r="JN44" s="110"/>
      <c r="JO44" s="110"/>
      <c r="JP44" s="110"/>
      <c r="JQ44" s="110"/>
      <c r="JR44" s="110"/>
      <c r="JS44" s="110"/>
      <c r="JT44" s="110"/>
      <c r="JU44" s="110"/>
      <c r="JV44" s="110"/>
      <c r="JW44" s="110"/>
      <c r="JX44" s="110"/>
      <c r="JY44" s="110"/>
      <c r="JZ44" s="110"/>
      <c r="KA44" s="110"/>
      <c r="KB44" s="110"/>
      <c r="KC44" s="110"/>
      <c r="KD44" s="110"/>
      <c r="KE44" s="110"/>
      <c r="KF44" s="110"/>
      <c r="KG44" s="110"/>
      <c r="KH44" s="110"/>
      <c r="KI44" s="110"/>
      <c r="KJ44" s="110"/>
      <c r="KK44" s="110"/>
      <c r="KL44" s="110"/>
      <c r="KM44" s="110"/>
      <c r="KN44" s="110"/>
    </row>
    <row r="45" spans="1:300" ht="19.2" customHeight="1" x14ac:dyDescent="0.3">
      <c r="A45" s="110"/>
      <c r="B45" s="110"/>
      <c r="C45" s="110"/>
      <c r="D45" s="110"/>
      <c r="E45" s="110"/>
      <c r="F45" s="110"/>
      <c r="G45" s="112" t="str">
        <v xml:space="preserve">42 </v>
      </c>
      <c r="Q45" s="96"/>
      <c r="R45" s="94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4"/>
      <c r="AD45" s="96"/>
      <c r="AV45" s="96"/>
      <c r="AW45" s="99"/>
      <c r="AX45" s="94"/>
      <c r="AY45" s="93"/>
      <c r="AZ45" s="93"/>
      <c r="BA45" s="93"/>
      <c r="BB45" s="103"/>
      <c r="BC45" s="95"/>
      <c r="BD45" s="95"/>
      <c r="BE45" s="103"/>
      <c r="BF45" s="93"/>
      <c r="BG45" s="93"/>
      <c r="BH45" s="93"/>
      <c r="BI45" s="94"/>
      <c r="BJ45" s="99"/>
      <c r="BK45" s="96"/>
      <c r="CB45" s="96"/>
      <c r="CC45" s="99"/>
      <c r="CD45" s="94"/>
      <c r="CE45" s="93"/>
      <c r="CF45" s="93"/>
      <c r="CG45" s="93"/>
      <c r="CH45" s="103"/>
      <c r="CI45" s="95"/>
      <c r="CJ45" s="95"/>
      <c r="CK45" s="103"/>
      <c r="CL45" s="93"/>
      <c r="CM45" s="93"/>
      <c r="CN45" s="93"/>
      <c r="CO45" s="94"/>
      <c r="CP45" s="99"/>
      <c r="CQ45" s="96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  <c r="GG45" s="110"/>
      <c r="GH45" s="110"/>
      <c r="GI45" s="110"/>
      <c r="GJ45" s="110"/>
      <c r="GK45" s="110"/>
      <c r="GL45" s="110"/>
      <c r="GM45" s="110"/>
      <c r="GN45" s="110"/>
      <c r="GO45" s="110"/>
      <c r="GP45" s="110"/>
      <c r="GQ45" s="110"/>
      <c r="GR45" s="110"/>
      <c r="GS45" s="110"/>
      <c r="GT45" s="110"/>
      <c r="GU45" s="110"/>
      <c r="GV45" s="110"/>
      <c r="GW45" s="110"/>
      <c r="GX45" s="110"/>
      <c r="GY45" s="110"/>
      <c r="GZ45" s="110"/>
      <c r="HA45" s="110"/>
      <c r="HB45" s="110"/>
      <c r="HC45" s="110"/>
      <c r="HD45" s="110"/>
      <c r="HE45" s="110"/>
      <c r="HF45" s="110"/>
      <c r="HG45" s="110"/>
      <c r="HH45" s="110"/>
      <c r="HI45" s="110"/>
      <c r="HJ45" s="110"/>
      <c r="HK45" s="110"/>
      <c r="HL45" s="110"/>
      <c r="HM45" s="110"/>
      <c r="HN45" s="110"/>
      <c r="HO45" s="110"/>
      <c r="HP45" s="110"/>
      <c r="HQ45" s="110"/>
      <c r="HR45" s="110"/>
      <c r="HS45" s="110"/>
      <c r="HT45" s="110"/>
      <c r="HU45" s="110"/>
      <c r="HV45" s="110"/>
      <c r="HW45" s="110"/>
      <c r="HX45" s="110"/>
      <c r="HY45" s="110"/>
      <c r="HZ45" s="110"/>
      <c r="IA45" s="110"/>
      <c r="IB45" s="110"/>
      <c r="IC45" s="110"/>
      <c r="ID45" s="110"/>
      <c r="IE45" s="110"/>
      <c r="IF45" s="110"/>
      <c r="IG45" s="110"/>
      <c r="IH45" s="110"/>
      <c r="II45" s="110"/>
      <c r="IJ45" s="110"/>
      <c r="IK45" s="110"/>
      <c r="IL45" s="110"/>
      <c r="IM45" s="110"/>
      <c r="IN45" s="110"/>
      <c r="IO45" s="110"/>
      <c r="IP45" s="110"/>
      <c r="IQ45" s="110"/>
      <c r="IR45" s="110"/>
      <c r="IS45" s="110"/>
      <c r="IT45" s="110"/>
      <c r="IU45" s="110"/>
      <c r="IV45" s="110"/>
      <c r="IW45" s="110"/>
      <c r="IX45" s="110"/>
      <c r="IY45" s="110"/>
      <c r="IZ45" s="110"/>
      <c r="JA45" s="110"/>
      <c r="JB45" s="110"/>
      <c r="JC45" s="110"/>
      <c r="JD45" s="110"/>
      <c r="JE45" s="110"/>
      <c r="JF45" s="110"/>
      <c r="JG45" s="110"/>
      <c r="JH45" s="110"/>
      <c r="JI45" s="110"/>
      <c r="JJ45" s="110"/>
      <c r="JK45" s="110"/>
      <c r="JL45" s="110"/>
      <c r="JM45" s="110"/>
      <c r="JN45" s="110"/>
      <c r="JO45" s="110"/>
      <c r="JP45" s="110"/>
      <c r="JQ45" s="110"/>
      <c r="JR45" s="110"/>
      <c r="JS45" s="110"/>
      <c r="JT45" s="110"/>
      <c r="JU45" s="110"/>
      <c r="JV45" s="110"/>
      <c r="JW45" s="110"/>
      <c r="JX45" s="110"/>
      <c r="JY45" s="110"/>
      <c r="JZ45" s="110"/>
      <c r="KA45" s="110"/>
      <c r="KB45" s="110"/>
      <c r="KC45" s="110"/>
      <c r="KD45" s="110"/>
      <c r="KE45" s="110"/>
      <c r="KF45" s="110"/>
      <c r="KG45" s="110"/>
      <c r="KH45" s="110"/>
      <c r="KI45" s="110"/>
      <c r="KJ45" s="110"/>
      <c r="KK45" s="110"/>
      <c r="KL45" s="110"/>
      <c r="KM45" s="110"/>
      <c r="KN45" s="110"/>
    </row>
    <row r="46" spans="1:300" ht="19.2" customHeight="1" x14ac:dyDescent="0.3">
      <c r="A46" s="110"/>
      <c r="B46" s="110"/>
      <c r="C46" s="110"/>
      <c r="D46" s="110"/>
      <c r="E46" s="110"/>
      <c r="F46" s="110"/>
      <c r="G46" s="112" t="str">
        <v xml:space="preserve">43 </v>
      </c>
      <c r="P46" s="96"/>
      <c r="Q46" s="99"/>
      <c r="R46" s="94"/>
      <c r="S46" s="93"/>
      <c r="T46" s="93"/>
      <c r="U46" s="93"/>
      <c r="V46" s="103"/>
      <c r="W46" s="95"/>
      <c r="X46" s="95"/>
      <c r="Y46" s="103"/>
      <c r="Z46" s="93"/>
      <c r="AA46" s="93"/>
      <c r="AB46" s="93"/>
      <c r="AC46" s="94"/>
      <c r="AD46" s="99"/>
      <c r="AE46" s="96"/>
      <c r="AV46" s="96"/>
      <c r="AW46" s="94"/>
      <c r="AX46" s="94"/>
      <c r="AY46" s="94"/>
      <c r="AZ46" s="93"/>
      <c r="BA46" s="92"/>
      <c r="BB46" s="92"/>
      <c r="BC46" s="94"/>
      <c r="BD46" s="94"/>
      <c r="BE46" s="92"/>
      <c r="BF46" s="92"/>
      <c r="BG46" s="93"/>
      <c r="BH46" s="94"/>
      <c r="BI46" s="94"/>
      <c r="BJ46" s="94"/>
      <c r="BK46" s="96"/>
      <c r="CB46" s="96"/>
      <c r="CC46" s="94"/>
      <c r="CD46" s="94"/>
      <c r="CE46" s="94"/>
      <c r="CF46" s="93"/>
      <c r="CG46" s="92"/>
      <c r="CH46" s="92"/>
      <c r="CI46" s="94"/>
      <c r="CJ46" s="94"/>
      <c r="CK46" s="92"/>
      <c r="CL46" s="92"/>
      <c r="CM46" s="93"/>
      <c r="CN46" s="94"/>
      <c r="CO46" s="94"/>
      <c r="CP46" s="94"/>
      <c r="CQ46" s="96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  <c r="GG46" s="110"/>
      <c r="GH46" s="110"/>
      <c r="GI46" s="110"/>
      <c r="GJ46" s="110"/>
      <c r="GK46" s="110"/>
      <c r="GL46" s="110"/>
      <c r="GM46" s="110"/>
      <c r="GN46" s="110"/>
      <c r="GO46" s="110"/>
      <c r="GP46" s="110"/>
      <c r="GQ46" s="110"/>
      <c r="GR46" s="110"/>
      <c r="GS46" s="110"/>
      <c r="GT46" s="110"/>
      <c r="GU46" s="110"/>
      <c r="GV46" s="110"/>
      <c r="GW46" s="110"/>
      <c r="GX46" s="110"/>
      <c r="GY46" s="110"/>
      <c r="GZ46" s="110"/>
      <c r="HA46" s="110"/>
      <c r="HB46" s="110"/>
      <c r="HC46" s="110"/>
      <c r="HD46" s="110"/>
      <c r="HE46" s="110"/>
      <c r="HF46" s="110"/>
      <c r="HG46" s="110"/>
      <c r="HH46" s="110"/>
      <c r="HI46" s="110"/>
      <c r="HJ46" s="110"/>
      <c r="HK46" s="110"/>
      <c r="HL46" s="110"/>
      <c r="HM46" s="110"/>
      <c r="HN46" s="110"/>
      <c r="HO46" s="110"/>
      <c r="HP46" s="110"/>
      <c r="HQ46" s="110"/>
      <c r="HR46" s="110"/>
      <c r="HS46" s="110"/>
      <c r="HT46" s="110"/>
      <c r="HU46" s="110"/>
      <c r="HV46" s="110"/>
      <c r="HW46" s="110"/>
      <c r="HX46" s="110"/>
      <c r="HY46" s="110"/>
      <c r="HZ46" s="110"/>
      <c r="IA46" s="110"/>
      <c r="IB46" s="110"/>
      <c r="IC46" s="110"/>
      <c r="ID46" s="110"/>
      <c r="IE46" s="110"/>
      <c r="IF46" s="110"/>
      <c r="IG46" s="110"/>
      <c r="IH46" s="110"/>
      <c r="II46" s="110"/>
      <c r="IJ46" s="110"/>
      <c r="IK46" s="110"/>
      <c r="IL46" s="110"/>
      <c r="IM46" s="110"/>
      <c r="IN46" s="110"/>
      <c r="IO46" s="110"/>
      <c r="IP46" s="110"/>
      <c r="IQ46" s="110"/>
      <c r="IR46" s="110"/>
      <c r="IS46" s="110"/>
      <c r="IT46" s="110"/>
      <c r="IU46" s="110"/>
      <c r="IV46" s="110"/>
      <c r="IW46" s="110"/>
      <c r="IX46" s="110"/>
      <c r="IY46" s="110"/>
      <c r="IZ46" s="110"/>
      <c r="JA46" s="110"/>
      <c r="JB46" s="110"/>
      <c r="JC46" s="110"/>
      <c r="JD46" s="110"/>
      <c r="JE46" s="110"/>
      <c r="JF46" s="110"/>
      <c r="JG46" s="110"/>
      <c r="JH46" s="110"/>
      <c r="JI46" s="110"/>
      <c r="JJ46" s="110"/>
      <c r="JK46" s="110"/>
      <c r="JL46" s="110"/>
      <c r="JM46" s="110"/>
      <c r="JN46" s="110"/>
      <c r="JO46" s="110"/>
      <c r="JP46" s="110"/>
      <c r="JQ46" s="110"/>
      <c r="JR46" s="110"/>
      <c r="JS46" s="110"/>
      <c r="JT46" s="110"/>
      <c r="JU46" s="110"/>
      <c r="JV46" s="110"/>
      <c r="JW46" s="110"/>
      <c r="JX46" s="110"/>
      <c r="JY46" s="110"/>
      <c r="JZ46" s="110"/>
      <c r="KA46" s="110"/>
      <c r="KB46" s="110"/>
      <c r="KC46" s="110"/>
      <c r="KD46" s="110"/>
      <c r="KE46" s="110"/>
      <c r="KF46" s="110"/>
      <c r="KG46" s="110"/>
      <c r="KH46" s="110"/>
      <c r="KI46" s="110"/>
      <c r="KJ46" s="110"/>
      <c r="KK46" s="110"/>
      <c r="KL46" s="110"/>
      <c r="KM46" s="110"/>
      <c r="KN46" s="110"/>
    </row>
    <row r="47" spans="1:300" ht="19.2" customHeight="1" x14ac:dyDescent="0.3">
      <c r="A47" s="110"/>
      <c r="B47" s="110"/>
      <c r="C47" s="110"/>
      <c r="D47" s="110"/>
      <c r="E47" s="110"/>
      <c r="F47" s="110"/>
      <c r="G47" s="112" t="str">
        <v xml:space="preserve">44 </v>
      </c>
      <c r="P47" s="96"/>
      <c r="Q47" s="94"/>
      <c r="R47" s="94"/>
      <c r="S47" s="94"/>
      <c r="T47" s="93"/>
      <c r="U47" s="92"/>
      <c r="V47" s="92"/>
      <c r="W47" s="94"/>
      <c r="X47" s="94"/>
      <c r="Y47" s="92"/>
      <c r="Z47" s="92"/>
      <c r="AA47" s="93"/>
      <c r="AB47" s="94"/>
      <c r="AC47" s="94"/>
      <c r="AD47" s="94"/>
      <c r="AE47" s="96"/>
      <c r="AU47" s="92"/>
      <c r="AV47" s="103"/>
      <c r="AW47" s="94"/>
      <c r="AX47" s="94"/>
      <c r="AY47" s="94"/>
      <c r="AZ47" s="94"/>
      <c r="BA47" s="92"/>
      <c r="BB47" s="94"/>
      <c r="BC47" s="103"/>
      <c r="BD47" s="92"/>
      <c r="BE47" s="94"/>
      <c r="BF47" s="92"/>
      <c r="BG47" s="94"/>
      <c r="BH47" s="94"/>
      <c r="BI47" s="94"/>
      <c r="BJ47" s="94"/>
      <c r="BK47" s="92"/>
      <c r="BL47" s="92"/>
      <c r="CA47" s="92"/>
      <c r="CB47" s="103"/>
      <c r="CC47" s="94"/>
      <c r="CD47" s="94"/>
      <c r="CE47" s="94"/>
      <c r="CF47" s="94"/>
      <c r="CG47" s="92"/>
      <c r="CH47" s="94"/>
      <c r="CI47" s="103"/>
      <c r="CJ47" s="92"/>
      <c r="CK47" s="94"/>
      <c r="CL47" s="92"/>
      <c r="CM47" s="94"/>
      <c r="CN47" s="94"/>
      <c r="CO47" s="94"/>
      <c r="CP47" s="94"/>
      <c r="CQ47" s="92"/>
      <c r="CR47" s="92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  <c r="IW47" s="110"/>
      <c r="IX47" s="110"/>
      <c r="IY47" s="110"/>
      <c r="IZ47" s="110"/>
      <c r="JA47" s="110"/>
      <c r="JB47" s="110"/>
      <c r="JC47" s="110"/>
      <c r="JD47" s="110"/>
      <c r="JE47" s="110"/>
      <c r="JF47" s="110"/>
      <c r="JG47" s="110"/>
      <c r="JH47" s="110"/>
      <c r="JI47" s="110"/>
      <c r="JJ47" s="110"/>
      <c r="JK47" s="110"/>
      <c r="JL47" s="110"/>
      <c r="JM47" s="110"/>
      <c r="JN47" s="110"/>
      <c r="JO47" s="110"/>
      <c r="JP47" s="110"/>
      <c r="JQ47" s="110"/>
      <c r="JR47" s="110"/>
      <c r="JS47" s="110"/>
      <c r="JT47" s="110"/>
      <c r="JU47" s="110"/>
      <c r="JV47" s="110"/>
      <c r="JW47" s="110"/>
      <c r="JX47" s="110"/>
      <c r="JY47" s="110"/>
      <c r="JZ47" s="110"/>
      <c r="KA47" s="110"/>
      <c r="KB47" s="110"/>
      <c r="KC47" s="110"/>
      <c r="KD47" s="110"/>
      <c r="KE47" s="110"/>
      <c r="KF47" s="110"/>
      <c r="KG47" s="110"/>
      <c r="KH47" s="110"/>
      <c r="KI47" s="110"/>
      <c r="KJ47" s="110"/>
      <c r="KK47" s="110"/>
      <c r="KL47" s="110"/>
      <c r="KM47" s="110"/>
      <c r="KN47" s="110"/>
    </row>
    <row r="48" spans="1:300" ht="19.2" customHeight="1" x14ac:dyDescent="0.3">
      <c r="A48" s="110"/>
      <c r="B48" s="110"/>
      <c r="C48" s="110"/>
      <c r="D48" s="110"/>
      <c r="E48" s="110"/>
      <c r="F48" s="110"/>
      <c r="G48" s="112" t="str">
        <v xml:space="preserve">45 </v>
      </c>
      <c r="O48" s="92"/>
      <c r="P48" s="103"/>
      <c r="Q48" s="94"/>
      <c r="R48" s="94"/>
      <c r="S48" s="94"/>
      <c r="T48" s="94"/>
      <c r="U48" s="92"/>
      <c r="V48" s="94"/>
      <c r="W48" s="103"/>
      <c r="X48" s="92"/>
      <c r="Y48" s="94"/>
      <c r="Z48" s="92"/>
      <c r="AA48" s="94"/>
      <c r="AB48" s="94"/>
      <c r="AC48" s="94"/>
      <c r="AD48" s="94"/>
      <c r="AE48" s="92"/>
      <c r="AF48" s="92"/>
      <c r="AS48" s="96"/>
      <c r="AT48" s="92"/>
      <c r="AU48" s="94"/>
      <c r="AV48" s="100"/>
      <c r="AW48" s="96"/>
      <c r="AX48" s="100"/>
      <c r="AY48" s="94"/>
      <c r="AZ48" s="94"/>
      <c r="BA48" s="94"/>
      <c r="BB48" s="92"/>
      <c r="BC48" s="94"/>
      <c r="BD48" s="94"/>
      <c r="BE48" s="92"/>
      <c r="BF48" s="94"/>
      <c r="BG48" s="94"/>
      <c r="BH48" s="94"/>
      <c r="BI48" s="100"/>
      <c r="BJ48" s="96"/>
      <c r="BK48" s="100"/>
      <c r="BL48" s="94"/>
      <c r="BM48" s="92"/>
      <c r="BN48" s="96"/>
      <c r="BY48" s="96"/>
      <c r="BZ48" s="92"/>
      <c r="CA48" s="94"/>
      <c r="CB48" s="100"/>
      <c r="CC48" s="96"/>
      <c r="CD48" s="100"/>
      <c r="CE48" s="94"/>
      <c r="CF48" s="94"/>
      <c r="CG48" s="94"/>
      <c r="CH48" s="92"/>
      <c r="CI48" s="94"/>
      <c r="CJ48" s="94"/>
      <c r="CK48" s="92"/>
      <c r="CL48" s="94"/>
      <c r="CM48" s="94"/>
      <c r="CN48" s="94"/>
      <c r="CO48" s="100"/>
      <c r="CP48" s="96"/>
      <c r="CQ48" s="100"/>
      <c r="CR48" s="94"/>
      <c r="CS48" s="92"/>
      <c r="CT48" s="96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  <c r="GG48" s="110"/>
      <c r="GH48" s="110"/>
      <c r="GI48" s="110"/>
      <c r="GJ48" s="110"/>
      <c r="GK48" s="110"/>
      <c r="GL48" s="110"/>
      <c r="GM48" s="110"/>
      <c r="GN48" s="110"/>
      <c r="GO48" s="110"/>
      <c r="GP48" s="110"/>
      <c r="GQ48" s="110"/>
      <c r="GR48" s="110"/>
      <c r="GS48" s="110"/>
      <c r="GT48" s="110"/>
      <c r="GU48" s="110"/>
      <c r="GV48" s="110"/>
      <c r="GW48" s="110"/>
      <c r="GX48" s="110"/>
      <c r="GY48" s="110"/>
      <c r="GZ48" s="110"/>
      <c r="HA48" s="110"/>
      <c r="HB48" s="110"/>
      <c r="HC48" s="110"/>
      <c r="HD48" s="110"/>
      <c r="HE48" s="110"/>
      <c r="HF48" s="110"/>
      <c r="HG48" s="110"/>
      <c r="HH48" s="110"/>
      <c r="HI48" s="110"/>
      <c r="HJ48" s="110"/>
      <c r="HK48" s="110"/>
      <c r="HL48" s="110"/>
      <c r="HM48" s="110"/>
      <c r="HN48" s="110"/>
      <c r="HO48" s="110"/>
      <c r="HP48" s="110"/>
      <c r="HQ48" s="110"/>
      <c r="HR48" s="110"/>
      <c r="HS48" s="110"/>
      <c r="HT48" s="110"/>
      <c r="HU48" s="110"/>
      <c r="HV48" s="110"/>
      <c r="HW48" s="110"/>
      <c r="HX48" s="110"/>
      <c r="HY48" s="110"/>
      <c r="HZ48" s="110"/>
      <c r="IA48" s="110"/>
      <c r="IB48" s="110"/>
      <c r="IC48" s="110"/>
      <c r="ID48" s="110"/>
      <c r="IE48" s="110"/>
      <c r="IF48" s="110"/>
      <c r="IG48" s="110"/>
      <c r="IH48" s="110"/>
      <c r="II48" s="110"/>
      <c r="IJ48" s="110"/>
      <c r="IK48" s="110"/>
      <c r="IL48" s="110"/>
      <c r="IM48" s="110"/>
      <c r="IN48" s="110"/>
      <c r="IO48" s="110"/>
      <c r="IP48" s="110"/>
      <c r="IQ48" s="110"/>
      <c r="IR48" s="110"/>
      <c r="IS48" s="110"/>
      <c r="IT48" s="110"/>
      <c r="IU48" s="110"/>
      <c r="IV48" s="110"/>
      <c r="IW48" s="110"/>
      <c r="IX48" s="110"/>
      <c r="IY48" s="110"/>
      <c r="IZ48" s="110"/>
      <c r="JA48" s="110"/>
      <c r="JB48" s="110"/>
      <c r="JC48" s="110"/>
      <c r="JD48" s="110"/>
      <c r="JE48" s="110"/>
      <c r="JF48" s="110"/>
      <c r="JG48" s="110"/>
      <c r="JH48" s="110"/>
      <c r="JI48" s="110"/>
      <c r="JJ48" s="110"/>
      <c r="JK48" s="110"/>
      <c r="JL48" s="110"/>
      <c r="JM48" s="110"/>
      <c r="JN48" s="110"/>
      <c r="JO48" s="110"/>
      <c r="JP48" s="110"/>
      <c r="JQ48" s="110"/>
      <c r="JR48" s="110"/>
      <c r="JS48" s="110"/>
      <c r="JT48" s="110"/>
      <c r="JU48" s="110"/>
      <c r="JV48" s="110"/>
      <c r="JW48" s="110"/>
      <c r="JX48" s="110"/>
      <c r="JY48" s="110"/>
      <c r="JZ48" s="110"/>
      <c r="KA48" s="110"/>
      <c r="KB48" s="110"/>
      <c r="KC48" s="110"/>
      <c r="KD48" s="110"/>
      <c r="KE48" s="110"/>
      <c r="KF48" s="110"/>
      <c r="KG48" s="110"/>
      <c r="KH48" s="110"/>
      <c r="KI48" s="110"/>
      <c r="KJ48" s="110"/>
      <c r="KK48" s="110"/>
      <c r="KL48" s="110"/>
      <c r="KM48" s="110"/>
      <c r="KN48" s="110"/>
    </row>
    <row r="49" spans="1:300" ht="19.2" customHeight="1" x14ac:dyDescent="0.3">
      <c r="A49" s="110"/>
      <c r="B49" s="110"/>
      <c r="C49" s="110"/>
      <c r="D49" s="110"/>
      <c r="E49" s="110"/>
      <c r="F49" s="110"/>
      <c r="G49" s="112" t="str">
        <v xml:space="preserve">46 </v>
      </c>
      <c r="M49" s="96"/>
      <c r="N49" s="92"/>
      <c r="O49" s="94"/>
      <c r="P49" s="100"/>
      <c r="Q49" s="96"/>
      <c r="R49" s="100"/>
      <c r="S49" s="94"/>
      <c r="T49" s="94"/>
      <c r="U49" s="94"/>
      <c r="V49" s="92"/>
      <c r="W49" s="94"/>
      <c r="X49" s="94"/>
      <c r="Y49" s="92"/>
      <c r="Z49" s="94"/>
      <c r="AA49" s="94"/>
      <c r="AB49" s="94"/>
      <c r="AC49" s="100"/>
      <c r="AD49" s="96"/>
      <c r="AE49" s="100"/>
      <c r="AF49" s="94"/>
      <c r="AG49" s="92"/>
      <c r="AH49" s="96"/>
      <c r="AT49" s="96"/>
      <c r="AU49" s="100"/>
      <c r="AV49" s="100"/>
      <c r="AW49" s="100"/>
      <c r="AX49" s="96"/>
      <c r="AY49" s="103"/>
      <c r="AZ49" s="103"/>
      <c r="BA49" s="95"/>
      <c r="BB49" s="95"/>
      <c r="BC49" s="95"/>
      <c r="BD49" s="95"/>
      <c r="BE49" s="95"/>
      <c r="BF49" s="95"/>
      <c r="BG49" s="103"/>
      <c r="BH49" s="103"/>
      <c r="BI49" s="96"/>
      <c r="BJ49" s="100"/>
      <c r="BK49" s="100"/>
      <c r="BL49" s="100"/>
      <c r="BM49" s="96"/>
      <c r="BZ49" s="96"/>
      <c r="CA49" s="100"/>
      <c r="CB49" s="100"/>
      <c r="CC49" s="100"/>
      <c r="CD49" s="96"/>
      <c r="CE49" s="103"/>
      <c r="CF49" s="103"/>
      <c r="CG49" s="95"/>
      <c r="CH49" s="95"/>
      <c r="CI49" s="95"/>
      <c r="CJ49" s="95"/>
      <c r="CK49" s="95"/>
      <c r="CL49" s="95"/>
      <c r="CM49" s="103"/>
      <c r="CN49" s="103"/>
      <c r="CO49" s="96"/>
      <c r="CP49" s="100"/>
      <c r="CQ49" s="100"/>
      <c r="CR49" s="100"/>
      <c r="CS49" s="96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  <c r="GG49" s="110"/>
      <c r="GH49" s="110"/>
      <c r="GI49" s="110"/>
      <c r="GJ49" s="110"/>
      <c r="GK49" s="110"/>
      <c r="GL49" s="110"/>
      <c r="GM49" s="110"/>
      <c r="GN49" s="110"/>
      <c r="GO49" s="110"/>
      <c r="GP49" s="110"/>
      <c r="GQ49" s="110"/>
      <c r="GR49" s="110"/>
      <c r="GS49" s="110"/>
      <c r="GT49" s="110"/>
      <c r="GU49" s="110"/>
      <c r="GV49" s="110"/>
      <c r="GW49" s="110"/>
      <c r="GX49" s="110"/>
      <c r="GY49" s="110"/>
      <c r="GZ49" s="110"/>
      <c r="HA49" s="110"/>
      <c r="HB49" s="110"/>
      <c r="HC49" s="110"/>
      <c r="HD49" s="110"/>
      <c r="HE49" s="110"/>
      <c r="HF49" s="110"/>
      <c r="HG49" s="110"/>
      <c r="HH49" s="110"/>
      <c r="HI49" s="110"/>
      <c r="HJ49" s="110"/>
      <c r="HK49" s="110"/>
      <c r="HL49" s="110"/>
      <c r="HM49" s="110"/>
      <c r="HN49" s="110"/>
      <c r="HO49" s="110"/>
      <c r="HP49" s="110"/>
      <c r="HQ49" s="110"/>
      <c r="HR49" s="110"/>
      <c r="HS49" s="110"/>
      <c r="HT49" s="110"/>
      <c r="HU49" s="110"/>
      <c r="HV49" s="110"/>
      <c r="HW49" s="110"/>
      <c r="HX49" s="110"/>
      <c r="HY49" s="110"/>
      <c r="HZ49" s="110"/>
      <c r="IA49" s="110"/>
      <c r="IB49" s="110"/>
      <c r="IC49" s="110"/>
      <c r="ID49" s="110"/>
      <c r="IE49" s="110"/>
      <c r="IF49" s="110"/>
      <c r="IG49" s="110"/>
      <c r="IH49" s="110"/>
      <c r="II49" s="110"/>
      <c r="IJ49" s="110"/>
      <c r="IK49" s="110"/>
      <c r="IL49" s="110"/>
      <c r="IM49" s="110"/>
      <c r="IN49" s="110"/>
      <c r="IO49" s="110"/>
      <c r="IP49" s="110"/>
      <c r="IQ49" s="110"/>
      <c r="IR49" s="110"/>
      <c r="IS49" s="110"/>
      <c r="IT49" s="110"/>
      <c r="IU49" s="110"/>
      <c r="IV49" s="110"/>
      <c r="IW49" s="110"/>
      <c r="IX49" s="110"/>
      <c r="IY49" s="110"/>
      <c r="IZ49" s="110"/>
      <c r="JA49" s="110"/>
      <c r="JB49" s="110"/>
      <c r="JC49" s="110"/>
      <c r="JD49" s="110"/>
      <c r="JE49" s="110"/>
      <c r="JF49" s="110"/>
      <c r="JG49" s="110"/>
      <c r="JH49" s="110"/>
      <c r="JI49" s="110"/>
      <c r="JJ49" s="110"/>
      <c r="JK49" s="110"/>
      <c r="JL49" s="110"/>
      <c r="JM49" s="110"/>
      <c r="JN49" s="110"/>
      <c r="JO49" s="110"/>
      <c r="JP49" s="110"/>
      <c r="JQ49" s="110"/>
      <c r="JR49" s="110"/>
      <c r="JS49" s="110"/>
      <c r="JT49" s="110"/>
      <c r="JU49" s="110"/>
      <c r="JV49" s="110"/>
      <c r="JW49" s="110"/>
      <c r="JX49" s="110"/>
      <c r="JY49" s="110"/>
      <c r="JZ49" s="110"/>
      <c r="KA49" s="110"/>
      <c r="KB49" s="110"/>
      <c r="KC49" s="110"/>
      <c r="KD49" s="110"/>
      <c r="KE49" s="110"/>
      <c r="KF49" s="110"/>
      <c r="KG49" s="110"/>
      <c r="KH49" s="110"/>
      <c r="KI49" s="110"/>
      <c r="KJ49" s="110"/>
      <c r="KK49" s="110"/>
      <c r="KL49" s="110"/>
      <c r="KM49" s="110"/>
      <c r="KN49" s="110"/>
    </row>
    <row r="50" spans="1:300" ht="19.2" customHeight="1" x14ac:dyDescent="0.3">
      <c r="A50" s="110"/>
      <c r="B50" s="110"/>
      <c r="C50" s="110"/>
      <c r="D50" s="110"/>
      <c r="E50" s="110"/>
      <c r="F50" s="110"/>
      <c r="G50" s="112" t="str">
        <v xml:space="preserve">47 </v>
      </c>
      <c r="N50" s="96"/>
      <c r="O50" s="100"/>
      <c r="P50" s="100"/>
      <c r="Q50" s="100"/>
      <c r="R50" s="96"/>
      <c r="S50" s="103"/>
      <c r="T50" s="103"/>
      <c r="U50" s="95"/>
      <c r="V50" s="95"/>
      <c r="W50" s="95"/>
      <c r="X50" s="95"/>
      <c r="Y50" s="95"/>
      <c r="Z50" s="95"/>
      <c r="AA50" s="103"/>
      <c r="AB50" s="103"/>
      <c r="AC50" s="96"/>
      <c r="AD50" s="100"/>
      <c r="AE50" s="100"/>
      <c r="AF50" s="100"/>
      <c r="AG50" s="96"/>
      <c r="AU50" s="96"/>
      <c r="AV50" s="100"/>
      <c r="AW50" s="100"/>
      <c r="AX50" s="100"/>
      <c r="AY50" s="92"/>
      <c r="AZ50" s="92"/>
      <c r="BA50" s="103"/>
      <c r="BB50" s="95"/>
      <c r="BC50" s="95"/>
      <c r="BD50" s="95"/>
      <c r="BE50" s="95"/>
      <c r="BF50" s="103"/>
      <c r="BG50" s="92"/>
      <c r="BH50" s="92"/>
      <c r="BI50" s="100"/>
      <c r="BJ50" s="100"/>
      <c r="BK50" s="100"/>
      <c r="BL50" s="96"/>
      <c r="CA50" s="96"/>
      <c r="CB50" s="100"/>
      <c r="CC50" s="100"/>
      <c r="CD50" s="100"/>
      <c r="CE50" s="92"/>
      <c r="CF50" s="92"/>
      <c r="CG50" s="103"/>
      <c r="CH50" s="95"/>
      <c r="CI50" s="95"/>
      <c r="CJ50" s="95"/>
      <c r="CK50" s="95"/>
      <c r="CL50" s="103"/>
      <c r="CM50" s="92"/>
      <c r="CN50" s="92"/>
      <c r="CO50" s="100"/>
      <c r="CP50" s="100"/>
      <c r="CQ50" s="100"/>
      <c r="CR50" s="96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  <c r="GG50" s="110"/>
      <c r="GH50" s="110"/>
      <c r="GI50" s="110"/>
      <c r="GJ50" s="110"/>
      <c r="GK50" s="110"/>
      <c r="GL50" s="110"/>
      <c r="GM50" s="110"/>
      <c r="GN50" s="110"/>
      <c r="GO50" s="110"/>
      <c r="GP50" s="110"/>
      <c r="GQ50" s="110"/>
      <c r="GR50" s="110"/>
      <c r="GS50" s="110"/>
      <c r="GT50" s="110"/>
      <c r="GU50" s="110"/>
      <c r="GV50" s="110"/>
      <c r="GW50" s="110"/>
      <c r="GX50" s="110"/>
      <c r="GY50" s="110"/>
      <c r="GZ50" s="110"/>
      <c r="HA50" s="110"/>
      <c r="HB50" s="110"/>
      <c r="HC50" s="110"/>
      <c r="HD50" s="110"/>
      <c r="HE50" s="110"/>
      <c r="HF50" s="110"/>
      <c r="HG50" s="110"/>
      <c r="HH50" s="110"/>
      <c r="HI50" s="110"/>
      <c r="HJ50" s="110"/>
      <c r="HK50" s="110"/>
      <c r="HL50" s="110"/>
      <c r="HM50" s="110"/>
      <c r="HN50" s="110"/>
      <c r="HO50" s="110"/>
      <c r="HP50" s="110"/>
      <c r="HQ50" s="110"/>
      <c r="HR50" s="110"/>
      <c r="HS50" s="110"/>
      <c r="HT50" s="110"/>
      <c r="HU50" s="110"/>
      <c r="HV50" s="110"/>
      <c r="HW50" s="110"/>
      <c r="HX50" s="110"/>
      <c r="HY50" s="110"/>
      <c r="HZ50" s="110"/>
      <c r="IA50" s="110"/>
      <c r="IB50" s="110"/>
      <c r="IC50" s="110"/>
      <c r="ID50" s="110"/>
      <c r="IE50" s="110"/>
      <c r="IF50" s="110"/>
      <c r="IG50" s="110"/>
      <c r="IH50" s="110"/>
      <c r="II50" s="110"/>
      <c r="IJ50" s="110"/>
      <c r="IK50" s="110"/>
      <c r="IL50" s="110"/>
      <c r="IM50" s="110"/>
      <c r="IN50" s="110"/>
      <c r="IO50" s="110"/>
      <c r="IP50" s="110"/>
      <c r="IQ50" s="110"/>
      <c r="IR50" s="110"/>
      <c r="IS50" s="110"/>
      <c r="IT50" s="110"/>
      <c r="IU50" s="110"/>
      <c r="IV50" s="110"/>
      <c r="IW50" s="110"/>
      <c r="IX50" s="110"/>
      <c r="IY50" s="110"/>
      <c r="IZ50" s="110"/>
      <c r="JA50" s="110"/>
      <c r="JB50" s="110"/>
      <c r="JC50" s="110"/>
      <c r="JD50" s="110"/>
      <c r="JE50" s="110"/>
      <c r="JF50" s="110"/>
      <c r="JG50" s="110"/>
      <c r="JH50" s="110"/>
      <c r="JI50" s="110"/>
      <c r="JJ50" s="110"/>
      <c r="JK50" s="110"/>
      <c r="JL50" s="110"/>
      <c r="JM50" s="110"/>
      <c r="JN50" s="110"/>
      <c r="JO50" s="110"/>
      <c r="JP50" s="110"/>
      <c r="JQ50" s="110"/>
      <c r="JR50" s="110"/>
      <c r="JS50" s="110"/>
      <c r="JT50" s="110"/>
      <c r="JU50" s="110"/>
      <c r="JV50" s="110"/>
      <c r="JW50" s="110"/>
      <c r="JX50" s="110"/>
      <c r="JY50" s="110"/>
      <c r="JZ50" s="110"/>
      <c r="KA50" s="110"/>
      <c r="KB50" s="110"/>
      <c r="KC50" s="110"/>
      <c r="KD50" s="110"/>
      <c r="KE50" s="110"/>
      <c r="KF50" s="110"/>
      <c r="KG50" s="110"/>
      <c r="KH50" s="110"/>
      <c r="KI50" s="110"/>
      <c r="KJ50" s="110"/>
      <c r="KK50" s="110"/>
      <c r="KL50" s="110"/>
      <c r="KM50" s="110"/>
      <c r="KN50" s="110"/>
    </row>
    <row r="51" spans="1:300" ht="19.2" customHeight="1" x14ac:dyDescent="0.3">
      <c r="A51" s="110"/>
      <c r="B51" s="110"/>
      <c r="C51" s="110"/>
      <c r="D51" s="110"/>
      <c r="E51" s="110"/>
      <c r="F51" s="110"/>
      <c r="G51" s="112" t="str">
        <v xml:space="preserve">48 </v>
      </c>
      <c r="O51" s="96"/>
      <c r="P51" s="100"/>
      <c r="Q51" s="100"/>
      <c r="R51" s="100"/>
      <c r="S51" s="92"/>
      <c r="T51" s="92"/>
      <c r="U51" s="103"/>
      <c r="V51" s="95"/>
      <c r="W51" s="95"/>
      <c r="X51" s="95"/>
      <c r="Y51" s="95"/>
      <c r="Z51" s="103"/>
      <c r="AA51" s="92"/>
      <c r="AB51" s="92"/>
      <c r="AC51" s="100"/>
      <c r="AD51" s="100"/>
      <c r="AE51" s="100"/>
      <c r="AF51" s="96"/>
      <c r="AV51" s="96"/>
      <c r="AW51" s="92"/>
      <c r="AX51" s="92"/>
      <c r="AY51" s="104"/>
      <c r="AZ51" s="98"/>
      <c r="BA51" s="92"/>
      <c r="BB51" s="92"/>
      <c r="BC51" s="92"/>
      <c r="BD51" s="92"/>
      <c r="BE51" s="92"/>
      <c r="BF51" s="92"/>
      <c r="BG51" s="98"/>
      <c r="BH51" s="104"/>
      <c r="BI51" s="92"/>
      <c r="BJ51" s="92"/>
      <c r="BK51" s="96"/>
      <c r="CB51" s="96"/>
      <c r="CC51" s="92"/>
      <c r="CD51" s="92"/>
      <c r="CE51" s="104"/>
      <c r="CF51" s="98"/>
      <c r="CG51" s="92"/>
      <c r="CH51" s="92"/>
      <c r="CI51" s="92"/>
      <c r="CJ51" s="92"/>
      <c r="CK51" s="92"/>
      <c r="CL51" s="92"/>
      <c r="CM51" s="98"/>
      <c r="CN51" s="104"/>
      <c r="CO51" s="92"/>
      <c r="CP51" s="92"/>
      <c r="CQ51" s="96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  <c r="GG51" s="110"/>
      <c r="GH51" s="110"/>
      <c r="GI51" s="110"/>
      <c r="GJ51" s="110"/>
      <c r="GK51" s="110"/>
      <c r="GL51" s="110"/>
      <c r="GM51" s="110"/>
      <c r="GN51" s="110"/>
      <c r="GO51" s="110"/>
      <c r="GP51" s="110"/>
      <c r="GQ51" s="110"/>
      <c r="GR51" s="110"/>
      <c r="GS51" s="110"/>
      <c r="GT51" s="110"/>
      <c r="GU51" s="110"/>
      <c r="GV51" s="110"/>
      <c r="GW51" s="110"/>
      <c r="GX51" s="110"/>
      <c r="GY51" s="110"/>
      <c r="GZ51" s="110"/>
      <c r="HA51" s="110"/>
      <c r="HB51" s="110"/>
      <c r="HC51" s="110"/>
      <c r="HD51" s="110"/>
      <c r="HE51" s="110"/>
      <c r="HF51" s="110"/>
      <c r="HG51" s="110"/>
      <c r="HH51" s="110"/>
      <c r="HI51" s="110"/>
      <c r="HJ51" s="110"/>
      <c r="HK51" s="110"/>
      <c r="HL51" s="110"/>
      <c r="HM51" s="110"/>
      <c r="HN51" s="110"/>
      <c r="HO51" s="110"/>
      <c r="HP51" s="110"/>
      <c r="HQ51" s="110"/>
      <c r="HR51" s="110"/>
      <c r="HS51" s="110"/>
      <c r="HT51" s="110"/>
      <c r="HU51" s="110"/>
      <c r="HV51" s="110"/>
      <c r="HW51" s="110"/>
      <c r="HX51" s="110"/>
      <c r="HY51" s="110"/>
      <c r="HZ51" s="110"/>
      <c r="IA51" s="110"/>
      <c r="IB51" s="110"/>
      <c r="IC51" s="110"/>
      <c r="ID51" s="110"/>
      <c r="IE51" s="110"/>
      <c r="IF51" s="110"/>
      <c r="IG51" s="110"/>
      <c r="IH51" s="110"/>
      <c r="II51" s="110"/>
      <c r="IJ51" s="110"/>
      <c r="IK51" s="110"/>
      <c r="IL51" s="110"/>
      <c r="IM51" s="110"/>
      <c r="IN51" s="110"/>
      <c r="IO51" s="110"/>
      <c r="IP51" s="110"/>
      <c r="IQ51" s="110"/>
      <c r="IR51" s="110"/>
      <c r="IS51" s="110"/>
      <c r="IT51" s="110"/>
      <c r="IU51" s="110"/>
      <c r="IV51" s="110"/>
      <c r="IW51" s="110"/>
      <c r="IX51" s="110"/>
      <c r="IY51" s="110"/>
      <c r="IZ51" s="110"/>
      <c r="JA51" s="110"/>
      <c r="JB51" s="110"/>
      <c r="JC51" s="110"/>
      <c r="JD51" s="110"/>
      <c r="JE51" s="110"/>
      <c r="JF51" s="110"/>
      <c r="JG51" s="110"/>
      <c r="JH51" s="110"/>
      <c r="JI51" s="110"/>
      <c r="JJ51" s="110"/>
      <c r="JK51" s="110"/>
      <c r="JL51" s="110"/>
      <c r="JM51" s="110"/>
      <c r="JN51" s="110"/>
      <c r="JO51" s="110"/>
      <c r="JP51" s="110"/>
      <c r="JQ51" s="110"/>
      <c r="JR51" s="110"/>
      <c r="JS51" s="110"/>
      <c r="JT51" s="110"/>
      <c r="JU51" s="110"/>
      <c r="JV51" s="110"/>
      <c r="JW51" s="110"/>
      <c r="JX51" s="110"/>
      <c r="JY51" s="110"/>
      <c r="JZ51" s="110"/>
      <c r="KA51" s="110"/>
      <c r="KB51" s="110"/>
      <c r="KC51" s="110"/>
      <c r="KD51" s="110"/>
      <c r="KE51" s="110"/>
      <c r="KF51" s="110"/>
      <c r="KG51" s="110"/>
      <c r="KH51" s="110"/>
      <c r="KI51" s="110"/>
      <c r="KJ51" s="110"/>
      <c r="KK51" s="110"/>
      <c r="KL51" s="110"/>
      <c r="KM51" s="110"/>
      <c r="KN51" s="110"/>
    </row>
    <row r="52" spans="1:300" ht="19.2" customHeight="1" x14ac:dyDescent="0.3">
      <c r="A52" s="110"/>
      <c r="B52" s="110"/>
      <c r="C52" s="110"/>
      <c r="D52" s="110"/>
      <c r="E52" s="110"/>
      <c r="F52" s="110"/>
      <c r="G52" s="112" t="str">
        <v xml:space="preserve">49 </v>
      </c>
      <c r="P52" s="96"/>
      <c r="Q52" s="92"/>
      <c r="R52" s="92"/>
      <c r="S52" s="104"/>
      <c r="T52" s="98"/>
      <c r="U52" s="92"/>
      <c r="V52" s="92"/>
      <c r="W52" s="92"/>
      <c r="X52" s="92"/>
      <c r="Y52" s="92"/>
      <c r="Z52" s="92"/>
      <c r="AA52" s="98"/>
      <c r="AB52" s="104"/>
      <c r="AC52" s="92"/>
      <c r="AD52" s="92"/>
      <c r="AE52" s="96"/>
      <c r="AU52" s="96"/>
      <c r="AV52" s="92"/>
      <c r="AW52" s="100"/>
      <c r="AX52" s="100"/>
      <c r="AY52" s="106"/>
      <c r="AZ52" s="98"/>
      <c r="BA52" s="96"/>
      <c r="BB52" s="106"/>
      <c r="BC52" s="106"/>
      <c r="BD52" s="106"/>
      <c r="BE52" s="106"/>
      <c r="BF52" s="96"/>
      <c r="BG52" s="98"/>
      <c r="BH52" s="106"/>
      <c r="BI52" s="100"/>
      <c r="BJ52" s="100"/>
      <c r="BK52" s="92"/>
      <c r="BL52" s="96"/>
      <c r="CA52" s="96"/>
      <c r="CB52" s="92"/>
      <c r="CC52" s="100"/>
      <c r="CD52" s="100"/>
      <c r="CE52" s="106"/>
      <c r="CF52" s="98"/>
      <c r="CG52" s="96"/>
      <c r="CH52" s="106"/>
      <c r="CI52" s="106"/>
      <c r="CJ52" s="106"/>
      <c r="CK52" s="106"/>
      <c r="CL52" s="96"/>
      <c r="CM52" s="98"/>
      <c r="CN52" s="106"/>
      <c r="CO52" s="100"/>
      <c r="CP52" s="100"/>
      <c r="CQ52" s="92"/>
      <c r="CR52" s="96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  <c r="GG52" s="110"/>
      <c r="GH52" s="110"/>
      <c r="GI52" s="110"/>
      <c r="GJ52" s="110"/>
      <c r="GK52" s="110"/>
      <c r="GL52" s="110"/>
      <c r="GM52" s="110"/>
      <c r="GN52" s="110"/>
      <c r="GO52" s="110"/>
      <c r="GP52" s="110"/>
      <c r="GQ52" s="110"/>
      <c r="GR52" s="110"/>
      <c r="GS52" s="110"/>
      <c r="GT52" s="110"/>
      <c r="GU52" s="110"/>
      <c r="GV52" s="110"/>
      <c r="GW52" s="110"/>
      <c r="GX52" s="110"/>
      <c r="GY52" s="110"/>
      <c r="GZ52" s="110"/>
      <c r="HA52" s="110"/>
      <c r="HB52" s="110"/>
      <c r="HC52" s="110"/>
      <c r="HD52" s="110"/>
      <c r="HE52" s="110"/>
      <c r="HF52" s="110"/>
      <c r="HG52" s="110"/>
      <c r="HH52" s="110"/>
      <c r="HI52" s="110"/>
      <c r="HJ52" s="110"/>
      <c r="HK52" s="110"/>
      <c r="HL52" s="110"/>
      <c r="HM52" s="110"/>
      <c r="HN52" s="110"/>
      <c r="HO52" s="110"/>
      <c r="HP52" s="110"/>
      <c r="HQ52" s="110"/>
      <c r="HR52" s="110"/>
      <c r="HS52" s="110"/>
      <c r="HT52" s="110"/>
      <c r="HU52" s="110"/>
      <c r="HV52" s="110"/>
      <c r="HW52" s="110"/>
      <c r="HX52" s="110"/>
      <c r="HY52" s="110"/>
      <c r="HZ52" s="110"/>
      <c r="IA52" s="110"/>
      <c r="IB52" s="110"/>
      <c r="IC52" s="110"/>
      <c r="ID52" s="110"/>
      <c r="IE52" s="110"/>
      <c r="IF52" s="110"/>
      <c r="IG52" s="110"/>
      <c r="IH52" s="110"/>
      <c r="II52" s="110"/>
      <c r="IJ52" s="110"/>
      <c r="IK52" s="110"/>
      <c r="IL52" s="110"/>
      <c r="IM52" s="110"/>
      <c r="IN52" s="110"/>
      <c r="IO52" s="110"/>
      <c r="IP52" s="110"/>
      <c r="IQ52" s="110"/>
      <c r="IR52" s="110"/>
      <c r="IS52" s="110"/>
      <c r="IT52" s="110"/>
      <c r="IU52" s="110"/>
      <c r="IV52" s="110"/>
      <c r="IW52" s="110"/>
      <c r="IX52" s="110"/>
      <c r="IY52" s="110"/>
      <c r="IZ52" s="110"/>
      <c r="JA52" s="110"/>
      <c r="JB52" s="110"/>
      <c r="JC52" s="110"/>
      <c r="JD52" s="110"/>
      <c r="JE52" s="110"/>
      <c r="JF52" s="110"/>
      <c r="JG52" s="110"/>
      <c r="JH52" s="110"/>
      <c r="JI52" s="110"/>
      <c r="JJ52" s="110"/>
      <c r="JK52" s="110"/>
      <c r="JL52" s="110"/>
      <c r="JM52" s="110"/>
      <c r="JN52" s="110"/>
      <c r="JO52" s="110"/>
      <c r="JP52" s="110"/>
      <c r="JQ52" s="110"/>
      <c r="JR52" s="110"/>
      <c r="JS52" s="110"/>
      <c r="JT52" s="110"/>
      <c r="JU52" s="110"/>
      <c r="JV52" s="110"/>
      <c r="JW52" s="110"/>
      <c r="JX52" s="110"/>
      <c r="JY52" s="110"/>
      <c r="JZ52" s="110"/>
      <c r="KA52" s="110"/>
      <c r="KB52" s="110"/>
      <c r="KC52" s="110"/>
      <c r="KD52" s="110"/>
      <c r="KE52" s="110"/>
      <c r="KF52" s="110"/>
      <c r="KG52" s="110"/>
      <c r="KH52" s="110"/>
      <c r="KI52" s="110"/>
      <c r="KJ52" s="110"/>
      <c r="KK52" s="110"/>
      <c r="KL52" s="110"/>
      <c r="KM52" s="110"/>
      <c r="KN52" s="110"/>
    </row>
    <row r="53" spans="1:300" ht="19.2" customHeight="1" x14ac:dyDescent="0.3">
      <c r="A53" s="110"/>
      <c r="B53" s="110"/>
      <c r="C53" s="110"/>
      <c r="D53" s="110"/>
      <c r="E53" s="110"/>
      <c r="F53" s="110"/>
      <c r="G53" s="112" t="str">
        <v xml:space="preserve">50 </v>
      </c>
      <c r="O53" s="96"/>
      <c r="P53" s="92"/>
      <c r="Q53" s="100"/>
      <c r="R53" s="100"/>
      <c r="S53" s="106"/>
      <c r="T53" s="98"/>
      <c r="U53" s="96"/>
      <c r="V53" s="106"/>
      <c r="W53" s="106"/>
      <c r="X53" s="106"/>
      <c r="Y53" s="106"/>
      <c r="Z53" s="96"/>
      <c r="AA53" s="98"/>
      <c r="AB53" s="106"/>
      <c r="AC53" s="100"/>
      <c r="AD53" s="100"/>
      <c r="AE53" s="92"/>
      <c r="AF53" s="96"/>
      <c r="AV53" s="96"/>
      <c r="AW53" s="96"/>
      <c r="AX53" s="100"/>
      <c r="AY53" s="92"/>
      <c r="AZ53" s="106"/>
      <c r="BA53" s="106"/>
      <c r="BB53" s="106"/>
      <c r="BC53" s="106"/>
      <c r="BD53" s="106"/>
      <c r="BE53" s="106"/>
      <c r="BF53" s="106"/>
      <c r="BG53" s="106"/>
      <c r="BH53" s="92"/>
      <c r="BI53" s="100"/>
      <c r="BJ53" s="96"/>
      <c r="BK53" s="96"/>
      <c r="CB53" s="96"/>
      <c r="CC53" s="96"/>
      <c r="CD53" s="100"/>
      <c r="CE53" s="92"/>
      <c r="CF53" s="106"/>
      <c r="CG53" s="106"/>
      <c r="CH53" s="106"/>
      <c r="CI53" s="106"/>
      <c r="CJ53" s="106"/>
      <c r="CK53" s="106"/>
      <c r="CL53" s="106"/>
      <c r="CM53" s="106"/>
      <c r="CN53" s="92"/>
      <c r="CO53" s="100"/>
      <c r="CP53" s="96"/>
      <c r="CQ53" s="96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  <c r="GG53" s="110"/>
      <c r="GH53" s="110"/>
      <c r="GI53" s="110"/>
      <c r="GJ53" s="110"/>
      <c r="GK53" s="110"/>
      <c r="GL53" s="110"/>
      <c r="GM53" s="110"/>
      <c r="GN53" s="110"/>
      <c r="GO53" s="110"/>
      <c r="GP53" s="110"/>
      <c r="GQ53" s="110"/>
      <c r="GR53" s="110"/>
      <c r="GS53" s="110"/>
      <c r="GT53" s="110"/>
      <c r="GU53" s="110"/>
      <c r="GV53" s="110"/>
      <c r="GW53" s="110"/>
      <c r="GX53" s="110"/>
      <c r="GY53" s="110"/>
      <c r="GZ53" s="110"/>
      <c r="HA53" s="110"/>
      <c r="HB53" s="110"/>
      <c r="HC53" s="110"/>
      <c r="HD53" s="110"/>
      <c r="HE53" s="110"/>
      <c r="HF53" s="110"/>
      <c r="HG53" s="110"/>
      <c r="HH53" s="110"/>
      <c r="HI53" s="110"/>
      <c r="HJ53" s="110"/>
      <c r="HK53" s="110"/>
      <c r="HL53" s="110"/>
      <c r="HM53" s="110"/>
      <c r="HN53" s="110"/>
      <c r="HO53" s="110"/>
      <c r="HP53" s="110"/>
      <c r="HQ53" s="110"/>
      <c r="HR53" s="110"/>
      <c r="HS53" s="110"/>
      <c r="HT53" s="110"/>
      <c r="HU53" s="110"/>
      <c r="HV53" s="110"/>
      <c r="HW53" s="110"/>
      <c r="HX53" s="110"/>
      <c r="HY53" s="110"/>
      <c r="HZ53" s="110"/>
      <c r="IA53" s="110"/>
      <c r="IB53" s="110"/>
      <c r="IC53" s="110"/>
      <c r="ID53" s="110"/>
      <c r="IE53" s="110"/>
      <c r="IF53" s="110"/>
      <c r="IG53" s="110"/>
      <c r="IH53" s="110"/>
      <c r="II53" s="110"/>
      <c r="IJ53" s="110"/>
      <c r="IK53" s="110"/>
      <c r="IL53" s="110"/>
      <c r="IM53" s="110"/>
      <c r="IN53" s="110"/>
      <c r="IO53" s="110"/>
      <c r="IP53" s="110"/>
      <c r="IQ53" s="110"/>
      <c r="IR53" s="110"/>
      <c r="IS53" s="110"/>
      <c r="IT53" s="110"/>
      <c r="IU53" s="110"/>
      <c r="IV53" s="110"/>
      <c r="IW53" s="110"/>
      <c r="IX53" s="110"/>
      <c r="IY53" s="110"/>
      <c r="IZ53" s="110"/>
      <c r="JA53" s="110"/>
      <c r="JB53" s="110"/>
      <c r="JC53" s="110"/>
      <c r="JD53" s="110"/>
      <c r="JE53" s="110"/>
      <c r="JF53" s="110"/>
      <c r="JG53" s="110"/>
      <c r="JH53" s="110"/>
      <c r="JI53" s="110"/>
      <c r="JJ53" s="110"/>
      <c r="JK53" s="110"/>
      <c r="JL53" s="110"/>
      <c r="JM53" s="110"/>
      <c r="JN53" s="110"/>
      <c r="JO53" s="110"/>
      <c r="JP53" s="110"/>
      <c r="JQ53" s="110"/>
      <c r="JR53" s="110"/>
      <c r="JS53" s="110"/>
      <c r="JT53" s="110"/>
      <c r="JU53" s="110"/>
      <c r="JV53" s="110"/>
      <c r="JW53" s="110"/>
      <c r="JX53" s="110"/>
      <c r="JY53" s="110"/>
      <c r="JZ53" s="110"/>
      <c r="KA53" s="110"/>
      <c r="KB53" s="110"/>
      <c r="KC53" s="110"/>
      <c r="KD53" s="110"/>
      <c r="KE53" s="110"/>
      <c r="KF53" s="110"/>
      <c r="KG53" s="110"/>
      <c r="KH53" s="110"/>
      <c r="KI53" s="110"/>
      <c r="KJ53" s="110"/>
      <c r="KK53" s="110"/>
      <c r="KL53" s="110"/>
      <c r="KM53" s="110"/>
      <c r="KN53" s="110"/>
    </row>
    <row r="54" spans="1:300" ht="19.2" customHeight="1" x14ac:dyDescent="0.3">
      <c r="A54" s="110"/>
      <c r="B54" s="110"/>
      <c r="C54" s="110"/>
      <c r="D54" s="110"/>
      <c r="E54" s="110"/>
      <c r="F54" s="110"/>
      <c r="G54" s="112" t="str">
        <v xml:space="preserve">51 </v>
      </c>
      <c r="P54" s="96"/>
      <c r="Q54" s="96"/>
      <c r="R54" s="100"/>
      <c r="S54" s="92"/>
      <c r="T54" s="106"/>
      <c r="U54" s="106"/>
      <c r="V54" s="106"/>
      <c r="W54" s="106"/>
      <c r="X54" s="106"/>
      <c r="Y54" s="106"/>
      <c r="Z54" s="106"/>
      <c r="AA54" s="106"/>
      <c r="AB54" s="92"/>
      <c r="AC54" s="100"/>
      <c r="AD54" s="96"/>
      <c r="AE54" s="96"/>
      <c r="AW54" s="96"/>
      <c r="AX54" s="96"/>
      <c r="AY54" s="96"/>
      <c r="AZ54" s="100"/>
      <c r="BA54" s="104"/>
      <c r="BB54" s="106"/>
      <c r="BC54" s="104"/>
      <c r="BD54" s="104"/>
      <c r="BE54" s="106"/>
      <c r="BF54" s="104"/>
      <c r="BG54" s="100"/>
      <c r="BH54" s="96"/>
      <c r="BI54" s="96"/>
      <c r="CD54" s="96"/>
      <c r="CE54" s="96"/>
      <c r="CF54" s="100"/>
      <c r="CG54" s="104"/>
      <c r="CH54" s="106"/>
      <c r="CI54" s="104"/>
      <c r="CJ54" s="104"/>
      <c r="CK54" s="106"/>
      <c r="CL54" s="104"/>
      <c r="CM54" s="100"/>
      <c r="CN54" s="101"/>
      <c r="CO54" s="96"/>
      <c r="CP54" s="96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0"/>
      <c r="GN54" s="110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0"/>
      <c r="GZ54" s="110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0"/>
      <c r="HL54" s="110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0"/>
      <c r="HX54" s="110"/>
      <c r="HY54" s="110"/>
      <c r="HZ54" s="110"/>
      <c r="IA54" s="110"/>
      <c r="IB54" s="110"/>
      <c r="IC54" s="110"/>
      <c r="ID54" s="110"/>
      <c r="IE54" s="110"/>
      <c r="IF54" s="110"/>
      <c r="IG54" s="110"/>
      <c r="IH54" s="110"/>
      <c r="II54" s="110"/>
      <c r="IJ54" s="110"/>
      <c r="IK54" s="110"/>
      <c r="IL54" s="110"/>
      <c r="IM54" s="110"/>
      <c r="IN54" s="110"/>
      <c r="IO54" s="110"/>
      <c r="IP54" s="110"/>
      <c r="IQ54" s="110"/>
      <c r="IR54" s="110"/>
      <c r="IS54" s="110"/>
      <c r="IT54" s="110"/>
      <c r="IU54" s="110"/>
      <c r="IV54" s="110"/>
      <c r="IW54" s="110"/>
      <c r="IX54" s="110"/>
      <c r="IY54" s="110"/>
      <c r="IZ54" s="110"/>
      <c r="JA54" s="110"/>
      <c r="JB54" s="110"/>
      <c r="JC54" s="110"/>
      <c r="JD54" s="110"/>
      <c r="JE54" s="110"/>
      <c r="JF54" s="110"/>
      <c r="JG54" s="110"/>
      <c r="JH54" s="110"/>
      <c r="JI54" s="110"/>
      <c r="JJ54" s="110"/>
      <c r="JK54" s="110"/>
      <c r="JL54" s="110"/>
      <c r="JM54" s="110"/>
      <c r="JN54" s="110"/>
      <c r="JO54" s="110"/>
      <c r="JP54" s="110"/>
      <c r="JQ54" s="110"/>
      <c r="JR54" s="110"/>
      <c r="JS54" s="110"/>
      <c r="JT54" s="110"/>
      <c r="JU54" s="110"/>
      <c r="JV54" s="110"/>
      <c r="JW54" s="110"/>
      <c r="JX54" s="110"/>
      <c r="JY54" s="110"/>
      <c r="JZ54" s="110"/>
      <c r="KA54" s="110"/>
      <c r="KB54" s="110"/>
      <c r="KC54" s="110"/>
      <c r="KD54" s="110"/>
      <c r="KE54" s="110"/>
      <c r="KF54" s="110"/>
      <c r="KG54" s="110"/>
      <c r="KH54" s="110"/>
      <c r="KI54" s="110"/>
      <c r="KJ54" s="110"/>
      <c r="KK54" s="110"/>
      <c r="KL54" s="110"/>
      <c r="KM54" s="110"/>
      <c r="KN54" s="110"/>
    </row>
    <row r="55" spans="1:300" ht="19.2" customHeight="1" x14ac:dyDescent="0.3">
      <c r="A55" s="110"/>
      <c r="B55" s="110"/>
      <c r="C55" s="110"/>
      <c r="D55" s="110"/>
      <c r="E55" s="110"/>
      <c r="F55" s="110"/>
      <c r="G55" s="112" t="str">
        <v xml:space="preserve">52 </v>
      </c>
      <c r="R55" s="96"/>
      <c r="S55" s="96"/>
      <c r="T55" s="100"/>
      <c r="U55" s="104"/>
      <c r="V55" s="106"/>
      <c r="W55" s="104"/>
      <c r="X55" s="104"/>
      <c r="Y55" s="106"/>
      <c r="Z55" s="104"/>
      <c r="AA55" s="100"/>
      <c r="AB55" s="96"/>
      <c r="AC55" s="96"/>
      <c r="AV55" s="96"/>
      <c r="AW55" s="104"/>
      <c r="AX55" s="104"/>
      <c r="AY55" s="103"/>
      <c r="AZ55" s="105"/>
      <c r="BA55" s="96"/>
      <c r="BB55" s="96"/>
      <c r="BC55" s="100"/>
      <c r="BD55" s="100"/>
      <c r="BE55" s="96"/>
      <c r="BF55" s="96"/>
      <c r="BG55" s="105"/>
      <c r="BH55" s="96"/>
      <c r="CE55" s="96"/>
      <c r="CF55" s="105"/>
      <c r="CG55" s="96"/>
      <c r="CH55" s="96"/>
      <c r="CI55" s="100"/>
      <c r="CJ55" s="100"/>
      <c r="CK55" s="96"/>
      <c r="CL55" s="96"/>
      <c r="CM55" s="103"/>
      <c r="CN55" s="101"/>
      <c r="CO55" s="103"/>
      <c r="CP55" s="104"/>
      <c r="CQ55" s="96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  <c r="GG55" s="110"/>
      <c r="GH55" s="110"/>
      <c r="GI55" s="110"/>
      <c r="GJ55" s="110"/>
      <c r="GK55" s="110"/>
      <c r="GL55" s="110"/>
      <c r="GM55" s="110"/>
      <c r="GN55" s="110"/>
      <c r="GO55" s="110"/>
      <c r="GP55" s="110"/>
      <c r="GQ55" s="110"/>
      <c r="GR55" s="110"/>
      <c r="GS55" s="110"/>
      <c r="GT55" s="110"/>
      <c r="GU55" s="110"/>
      <c r="GV55" s="110"/>
      <c r="GW55" s="110"/>
      <c r="GX55" s="110"/>
      <c r="GY55" s="110"/>
      <c r="GZ55" s="110"/>
      <c r="HA55" s="110"/>
      <c r="HB55" s="110"/>
      <c r="HC55" s="110"/>
      <c r="HD55" s="110"/>
      <c r="HE55" s="110"/>
      <c r="HF55" s="110"/>
      <c r="HG55" s="110"/>
      <c r="HH55" s="110"/>
      <c r="HI55" s="110"/>
      <c r="HJ55" s="110"/>
      <c r="HK55" s="110"/>
      <c r="HL55" s="110"/>
      <c r="HM55" s="110"/>
      <c r="HN55" s="110"/>
      <c r="HO55" s="110"/>
      <c r="HP55" s="110"/>
      <c r="HQ55" s="110"/>
      <c r="HR55" s="110"/>
      <c r="HS55" s="110"/>
      <c r="HT55" s="110"/>
      <c r="HU55" s="110"/>
      <c r="HV55" s="110"/>
      <c r="HW55" s="110"/>
      <c r="HX55" s="110"/>
      <c r="HY55" s="110"/>
      <c r="HZ55" s="110"/>
      <c r="IA55" s="110"/>
      <c r="IB55" s="110"/>
      <c r="IC55" s="110"/>
      <c r="ID55" s="110"/>
      <c r="IE55" s="110"/>
      <c r="IF55" s="110"/>
      <c r="IG55" s="110"/>
      <c r="IH55" s="110"/>
      <c r="II55" s="110"/>
      <c r="IJ55" s="110"/>
      <c r="IK55" s="110"/>
      <c r="IL55" s="110"/>
      <c r="IM55" s="110"/>
      <c r="IN55" s="110"/>
      <c r="IO55" s="110"/>
      <c r="IP55" s="110"/>
      <c r="IQ55" s="110"/>
      <c r="IR55" s="110"/>
      <c r="IS55" s="110"/>
      <c r="IT55" s="110"/>
      <c r="IU55" s="110"/>
      <c r="IV55" s="110"/>
      <c r="IW55" s="110"/>
      <c r="IX55" s="110"/>
      <c r="IY55" s="110"/>
      <c r="IZ55" s="110"/>
      <c r="JA55" s="110"/>
      <c r="JB55" s="110"/>
      <c r="JC55" s="110"/>
      <c r="JD55" s="110"/>
      <c r="JE55" s="110"/>
      <c r="JF55" s="110"/>
      <c r="JG55" s="110"/>
      <c r="JH55" s="110"/>
      <c r="JI55" s="110"/>
      <c r="JJ55" s="110"/>
      <c r="JK55" s="110"/>
      <c r="JL55" s="110"/>
      <c r="JM55" s="110"/>
      <c r="JN55" s="110"/>
      <c r="JO55" s="110"/>
      <c r="JP55" s="110"/>
      <c r="JQ55" s="110"/>
      <c r="JR55" s="110"/>
      <c r="JS55" s="110"/>
      <c r="JT55" s="110"/>
      <c r="JU55" s="110"/>
      <c r="JV55" s="110"/>
      <c r="JW55" s="110"/>
      <c r="JX55" s="110"/>
      <c r="JY55" s="110"/>
      <c r="JZ55" s="110"/>
      <c r="KA55" s="110"/>
      <c r="KB55" s="110"/>
      <c r="KC55" s="110"/>
      <c r="KD55" s="110"/>
      <c r="KE55" s="110"/>
      <c r="KF55" s="110"/>
      <c r="KG55" s="110"/>
      <c r="KH55" s="110"/>
      <c r="KI55" s="110"/>
      <c r="KJ55" s="110"/>
      <c r="KK55" s="110"/>
      <c r="KL55" s="110"/>
      <c r="KM55" s="110"/>
      <c r="KN55" s="110"/>
    </row>
    <row r="56" spans="1:300" ht="19.2" customHeight="1" x14ac:dyDescent="0.3">
      <c r="A56" s="110"/>
      <c r="B56" s="110"/>
      <c r="C56" s="110"/>
      <c r="D56" s="110"/>
      <c r="E56" s="110"/>
      <c r="F56" s="110"/>
      <c r="G56" s="112" t="str">
        <v xml:space="preserve">53 </v>
      </c>
      <c r="S56" s="96"/>
      <c r="T56" s="105"/>
      <c r="U56" s="96"/>
      <c r="V56" s="96"/>
      <c r="W56" s="100"/>
      <c r="X56" s="100"/>
      <c r="Y56" s="96"/>
      <c r="Z56" s="96"/>
      <c r="AA56" s="105"/>
      <c r="AB56" s="96"/>
      <c r="AV56" s="96"/>
      <c r="AW56" s="104"/>
      <c r="AX56" s="104"/>
      <c r="AY56" s="96"/>
      <c r="AZ56" s="101"/>
      <c r="BA56" s="96"/>
      <c r="BB56" s="92"/>
      <c r="BC56" s="92"/>
      <c r="BD56" s="99"/>
      <c r="BE56" s="101"/>
      <c r="BF56" s="92"/>
      <c r="BG56" s="105"/>
      <c r="BH56" s="100"/>
      <c r="BI56" s="100"/>
      <c r="CD56" s="100"/>
      <c r="CE56" s="100"/>
      <c r="CF56" s="105"/>
      <c r="CG56" s="92"/>
      <c r="CH56" s="92"/>
      <c r="CI56" s="92"/>
      <c r="CJ56" s="99"/>
      <c r="CK56" s="101"/>
      <c r="CL56" s="101"/>
      <c r="CM56" s="96"/>
      <c r="CN56" s="96"/>
      <c r="CO56" s="104"/>
      <c r="CP56" s="104"/>
      <c r="CQ56" s="96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0"/>
      <c r="GN56" s="110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0"/>
      <c r="GZ56" s="110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0"/>
      <c r="HL56" s="110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0"/>
      <c r="HX56" s="110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0"/>
      <c r="IJ56" s="110"/>
      <c r="IK56" s="110"/>
      <c r="IL56" s="110"/>
      <c r="IM56" s="110"/>
      <c r="IN56" s="110"/>
      <c r="IO56" s="110"/>
      <c r="IP56" s="110"/>
      <c r="IQ56" s="110"/>
      <c r="IR56" s="110"/>
      <c r="IS56" s="110"/>
      <c r="IT56" s="110"/>
      <c r="IU56" s="110"/>
      <c r="IV56" s="110"/>
      <c r="IW56" s="110"/>
      <c r="IX56" s="110"/>
      <c r="IY56" s="110"/>
      <c r="IZ56" s="110"/>
      <c r="JA56" s="110"/>
      <c r="JB56" s="110"/>
      <c r="JC56" s="110"/>
      <c r="JD56" s="110"/>
      <c r="JE56" s="110"/>
      <c r="JF56" s="110"/>
      <c r="JG56" s="110"/>
      <c r="JH56" s="110"/>
      <c r="JI56" s="110"/>
      <c r="JJ56" s="110"/>
      <c r="JK56" s="110"/>
      <c r="JL56" s="110"/>
      <c r="JM56" s="110"/>
      <c r="JN56" s="110"/>
      <c r="JO56" s="110"/>
      <c r="JP56" s="110"/>
      <c r="JQ56" s="110"/>
      <c r="JR56" s="110"/>
      <c r="JS56" s="110"/>
      <c r="JT56" s="110"/>
      <c r="JU56" s="110"/>
      <c r="JV56" s="110"/>
      <c r="JW56" s="110"/>
      <c r="JX56" s="110"/>
      <c r="JY56" s="110"/>
      <c r="JZ56" s="110"/>
      <c r="KA56" s="110"/>
      <c r="KB56" s="110"/>
      <c r="KC56" s="110"/>
      <c r="KD56" s="110"/>
      <c r="KE56" s="110"/>
      <c r="KF56" s="110"/>
      <c r="KG56" s="110"/>
      <c r="KH56" s="110"/>
      <c r="KI56" s="110"/>
      <c r="KJ56" s="110"/>
      <c r="KK56" s="110"/>
      <c r="KL56" s="110"/>
      <c r="KM56" s="110"/>
      <c r="KN56" s="110"/>
    </row>
    <row r="57" spans="1:300" ht="19.2" customHeight="1" x14ac:dyDescent="0.3">
      <c r="A57" s="110"/>
      <c r="B57" s="110"/>
      <c r="C57" s="110"/>
      <c r="D57" s="110"/>
      <c r="E57" s="110"/>
      <c r="F57" s="110"/>
      <c r="G57" s="112" t="str">
        <v xml:space="preserve">54 </v>
      </c>
      <c r="P57" s="100"/>
      <c r="Q57" s="96"/>
      <c r="R57" s="103"/>
      <c r="S57" s="105"/>
      <c r="T57" s="96"/>
      <c r="U57" s="101"/>
      <c r="V57" s="92"/>
      <c r="W57" s="92"/>
      <c r="X57" s="97"/>
      <c r="Y57" s="101"/>
      <c r="Z57" s="101"/>
      <c r="AA57" s="96"/>
      <c r="AB57" s="105"/>
      <c r="AC57" s="103"/>
      <c r="AD57" s="96"/>
      <c r="AE57" s="100"/>
      <c r="AW57" s="96"/>
      <c r="AX57" s="96"/>
      <c r="BA57" s="92"/>
      <c r="BB57" s="101"/>
      <c r="BC57" s="92"/>
      <c r="BD57" s="92"/>
      <c r="BE57" s="101"/>
      <c r="BF57" s="103"/>
      <c r="BG57" s="103"/>
      <c r="BH57" s="106"/>
      <c r="BI57" s="106"/>
      <c r="BJ57" s="100"/>
      <c r="CC57" s="100"/>
      <c r="CD57" s="106"/>
      <c r="CE57" s="106"/>
      <c r="CF57" s="103"/>
      <c r="CG57" s="92"/>
      <c r="CH57" s="101"/>
      <c r="CI57" s="92"/>
      <c r="CJ57" s="92"/>
      <c r="CK57" s="101"/>
      <c r="CL57" s="92"/>
      <c r="CM57" s="105"/>
      <c r="CN57" s="96"/>
      <c r="CO57" s="96"/>
      <c r="CP57" s="96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  <c r="GG57" s="110"/>
      <c r="GH57" s="110"/>
      <c r="GI57" s="110"/>
      <c r="GJ57" s="110"/>
      <c r="GK57" s="110"/>
      <c r="GL57" s="110"/>
      <c r="GM57" s="110"/>
      <c r="GN57" s="110"/>
      <c r="GO57" s="110"/>
      <c r="GP57" s="110"/>
      <c r="GQ57" s="110"/>
      <c r="GR57" s="110"/>
      <c r="GS57" s="110"/>
      <c r="GT57" s="110"/>
      <c r="GU57" s="110"/>
      <c r="GV57" s="110"/>
      <c r="GW57" s="110"/>
      <c r="GX57" s="110"/>
      <c r="GY57" s="110"/>
      <c r="GZ57" s="110"/>
      <c r="HA57" s="110"/>
      <c r="HB57" s="110"/>
      <c r="HC57" s="110"/>
      <c r="HD57" s="110"/>
      <c r="HE57" s="110"/>
      <c r="HF57" s="110"/>
      <c r="HG57" s="110"/>
      <c r="HH57" s="110"/>
      <c r="HI57" s="110"/>
      <c r="HJ57" s="110"/>
      <c r="HK57" s="110"/>
      <c r="HL57" s="110"/>
      <c r="HM57" s="110"/>
      <c r="HN57" s="110"/>
      <c r="HO57" s="110"/>
      <c r="HP57" s="110"/>
      <c r="HQ57" s="110"/>
      <c r="HR57" s="110"/>
      <c r="HS57" s="110"/>
      <c r="HT57" s="110"/>
      <c r="HU57" s="110"/>
      <c r="HV57" s="110"/>
      <c r="HW57" s="110"/>
      <c r="HX57" s="110"/>
      <c r="HY57" s="110"/>
      <c r="HZ57" s="110"/>
      <c r="IA57" s="110"/>
      <c r="IB57" s="110"/>
      <c r="IC57" s="110"/>
      <c r="ID57" s="110"/>
      <c r="IE57" s="110"/>
      <c r="IF57" s="110"/>
      <c r="IG57" s="110"/>
      <c r="IH57" s="110"/>
      <c r="II57" s="110"/>
      <c r="IJ57" s="110"/>
      <c r="IK57" s="110"/>
      <c r="IL57" s="110"/>
      <c r="IM57" s="110"/>
      <c r="IN57" s="110"/>
      <c r="IO57" s="110"/>
      <c r="IP57" s="110"/>
      <c r="IQ57" s="110"/>
      <c r="IR57" s="110"/>
      <c r="IS57" s="110"/>
      <c r="IT57" s="110"/>
      <c r="IU57" s="110"/>
      <c r="IV57" s="110"/>
      <c r="IW57" s="110"/>
      <c r="IX57" s="110"/>
      <c r="IY57" s="110"/>
      <c r="IZ57" s="110"/>
      <c r="JA57" s="110"/>
      <c r="JB57" s="110"/>
      <c r="JC57" s="110"/>
      <c r="JD57" s="110"/>
      <c r="JE57" s="110"/>
      <c r="JF57" s="110"/>
      <c r="JG57" s="110"/>
      <c r="JH57" s="110"/>
      <c r="JI57" s="110"/>
      <c r="JJ57" s="110"/>
      <c r="JK57" s="110"/>
      <c r="JL57" s="110"/>
      <c r="JM57" s="110"/>
      <c r="JN57" s="110"/>
      <c r="JO57" s="110"/>
      <c r="JP57" s="110"/>
      <c r="JQ57" s="110"/>
      <c r="JR57" s="110"/>
      <c r="JS57" s="110"/>
      <c r="JT57" s="110"/>
      <c r="JU57" s="110"/>
      <c r="JV57" s="110"/>
      <c r="JW57" s="110"/>
      <c r="JX57" s="110"/>
      <c r="JY57" s="110"/>
      <c r="JZ57" s="110"/>
      <c r="KA57" s="110"/>
      <c r="KB57" s="110"/>
      <c r="KC57" s="110"/>
      <c r="KD57" s="110"/>
      <c r="KE57" s="110"/>
      <c r="KF57" s="110"/>
      <c r="KG57" s="110"/>
      <c r="KH57" s="110"/>
      <c r="KI57" s="110"/>
      <c r="KJ57" s="110"/>
      <c r="KK57" s="110"/>
      <c r="KL57" s="110"/>
      <c r="KM57" s="110"/>
      <c r="KN57" s="110"/>
    </row>
    <row r="58" spans="1:300" ht="19.2" customHeight="1" x14ac:dyDescent="0.3">
      <c r="A58" s="110"/>
      <c r="B58" s="110"/>
      <c r="C58" s="110"/>
      <c r="D58" s="110"/>
      <c r="E58" s="110"/>
      <c r="F58" s="110"/>
      <c r="G58" s="112" t="str">
        <v xml:space="preserve">55 </v>
      </c>
      <c r="O58" s="100"/>
      <c r="P58" s="106"/>
      <c r="Q58" s="103"/>
      <c r="R58" s="103"/>
      <c r="S58" s="96"/>
      <c r="U58" s="92"/>
      <c r="V58" s="101"/>
      <c r="W58" s="92"/>
      <c r="X58" s="92"/>
      <c r="Y58" s="101"/>
      <c r="Z58" s="92"/>
      <c r="AA58" s="105"/>
      <c r="AB58" s="96"/>
      <c r="AC58" s="103"/>
      <c r="AD58" s="103"/>
      <c r="AE58" s="106"/>
      <c r="AF58" s="100"/>
      <c r="BA58" s="92"/>
      <c r="BB58" s="105"/>
      <c r="BC58" s="97"/>
      <c r="BD58" s="97"/>
      <c r="BE58" s="92"/>
      <c r="BF58" s="92"/>
      <c r="BG58" s="96"/>
      <c r="BH58" s="106"/>
      <c r="BI58" s="106"/>
      <c r="BJ58" s="100"/>
      <c r="CC58" s="100"/>
      <c r="CD58" s="106"/>
      <c r="CE58" s="106"/>
      <c r="CF58" s="96"/>
      <c r="CG58" s="92"/>
      <c r="CH58" s="105"/>
      <c r="CI58" s="97"/>
      <c r="CJ58" s="97"/>
      <c r="CK58" s="92"/>
      <c r="CL58" s="92"/>
      <c r="CM58" s="101"/>
      <c r="CN58" s="101"/>
      <c r="CO58" s="96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  <c r="GG58" s="110"/>
      <c r="GH58" s="110"/>
      <c r="GI58" s="110"/>
      <c r="GJ58" s="110"/>
      <c r="GK58" s="110"/>
      <c r="GL58" s="110"/>
      <c r="GM58" s="110"/>
      <c r="GN58" s="110"/>
      <c r="GO58" s="110"/>
      <c r="GP58" s="110"/>
      <c r="GQ58" s="110"/>
      <c r="GR58" s="110"/>
      <c r="GS58" s="110"/>
      <c r="GT58" s="110"/>
      <c r="GU58" s="110"/>
      <c r="GV58" s="110"/>
      <c r="GW58" s="110"/>
      <c r="GX58" s="110"/>
      <c r="GY58" s="110"/>
      <c r="GZ58" s="110"/>
      <c r="HA58" s="110"/>
      <c r="HB58" s="110"/>
      <c r="HC58" s="110"/>
      <c r="HD58" s="110"/>
      <c r="HE58" s="110"/>
      <c r="HF58" s="110"/>
      <c r="HG58" s="110"/>
      <c r="HH58" s="110"/>
      <c r="HI58" s="110"/>
      <c r="HJ58" s="110"/>
      <c r="HK58" s="110"/>
      <c r="HL58" s="110"/>
      <c r="HM58" s="110"/>
      <c r="HN58" s="110"/>
      <c r="HO58" s="110"/>
      <c r="HP58" s="110"/>
      <c r="HQ58" s="110"/>
      <c r="HR58" s="110"/>
      <c r="HS58" s="110"/>
      <c r="HT58" s="110"/>
      <c r="HU58" s="110"/>
      <c r="HV58" s="110"/>
      <c r="HW58" s="110"/>
      <c r="HX58" s="110"/>
      <c r="HY58" s="110"/>
      <c r="HZ58" s="110"/>
      <c r="IA58" s="110"/>
      <c r="IB58" s="110"/>
      <c r="IC58" s="110"/>
      <c r="ID58" s="110"/>
      <c r="IE58" s="110"/>
      <c r="IF58" s="110"/>
      <c r="IG58" s="110"/>
      <c r="IH58" s="110"/>
      <c r="II58" s="110"/>
      <c r="IJ58" s="110"/>
      <c r="IK58" s="110"/>
      <c r="IL58" s="110"/>
      <c r="IM58" s="110"/>
      <c r="IN58" s="110"/>
      <c r="IO58" s="110"/>
      <c r="IP58" s="110"/>
      <c r="IQ58" s="110"/>
      <c r="IR58" s="110"/>
      <c r="IS58" s="110"/>
      <c r="IT58" s="110"/>
      <c r="IU58" s="110"/>
      <c r="IV58" s="110"/>
      <c r="IW58" s="110"/>
      <c r="IX58" s="110"/>
      <c r="IY58" s="110"/>
      <c r="IZ58" s="110"/>
      <c r="JA58" s="110"/>
      <c r="JB58" s="110"/>
      <c r="JC58" s="110"/>
      <c r="JD58" s="110"/>
      <c r="JE58" s="110"/>
      <c r="JF58" s="110"/>
      <c r="JG58" s="110"/>
      <c r="JH58" s="110"/>
      <c r="JI58" s="110"/>
      <c r="JJ58" s="110"/>
      <c r="JK58" s="110"/>
      <c r="JL58" s="110"/>
      <c r="JM58" s="110"/>
      <c r="JN58" s="110"/>
      <c r="JO58" s="110"/>
      <c r="JP58" s="110"/>
      <c r="JQ58" s="110"/>
      <c r="JR58" s="110"/>
      <c r="JS58" s="110"/>
      <c r="JT58" s="110"/>
      <c r="JU58" s="110"/>
      <c r="JV58" s="110"/>
      <c r="JW58" s="110"/>
      <c r="JX58" s="110"/>
      <c r="JY58" s="110"/>
      <c r="JZ58" s="110"/>
      <c r="KA58" s="110"/>
      <c r="KB58" s="110"/>
      <c r="KC58" s="110"/>
      <c r="KD58" s="110"/>
      <c r="KE58" s="110"/>
      <c r="KF58" s="110"/>
      <c r="KG58" s="110"/>
      <c r="KH58" s="110"/>
      <c r="KI58" s="110"/>
      <c r="KJ58" s="110"/>
      <c r="KK58" s="110"/>
      <c r="KL58" s="110"/>
      <c r="KM58" s="110"/>
      <c r="KN58" s="110"/>
    </row>
    <row r="59" spans="1:300" ht="19.2" customHeight="1" x14ac:dyDescent="0.3">
      <c r="A59" s="110"/>
      <c r="B59" s="110"/>
      <c r="C59" s="110"/>
      <c r="D59" s="110"/>
      <c r="E59" s="110"/>
      <c r="F59" s="110"/>
      <c r="G59" s="112" t="str">
        <v xml:space="preserve">56 </v>
      </c>
      <c r="O59" s="100"/>
      <c r="P59" s="106"/>
      <c r="Q59" s="104"/>
      <c r="R59" s="96"/>
      <c r="U59" s="92"/>
      <c r="V59" s="105"/>
      <c r="W59" s="97"/>
      <c r="X59" s="97"/>
      <c r="Y59" s="92"/>
      <c r="Z59" s="92"/>
      <c r="AA59" s="105"/>
      <c r="AB59" s="105"/>
      <c r="AC59" s="96"/>
      <c r="AD59" s="104"/>
      <c r="AE59" s="106"/>
      <c r="AF59" s="100"/>
      <c r="AZ59" s="92"/>
      <c r="BA59" s="105"/>
      <c r="BB59" s="97"/>
      <c r="BC59" s="92"/>
      <c r="BD59" s="92"/>
      <c r="BE59" s="97"/>
      <c r="BF59" s="105"/>
      <c r="BG59" s="92"/>
      <c r="BH59" s="96"/>
      <c r="BI59" s="96"/>
      <c r="CD59" s="96"/>
      <c r="CE59" s="96"/>
      <c r="CF59" s="92"/>
      <c r="CG59" s="105"/>
      <c r="CH59" s="97"/>
      <c r="CI59" s="92"/>
      <c r="CJ59" s="92"/>
      <c r="CK59" s="97"/>
      <c r="CL59" s="101"/>
      <c r="CM59" s="92"/>
      <c r="CN59" s="105"/>
      <c r="CO59" s="102"/>
      <c r="CP59" s="101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  <c r="GG59" s="110"/>
      <c r="GH59" s="110"/>
      <c r="GI59" s="110"/>
      <c r="GJ59" s="110"/>
      <c r="GK59" s="110"/>
      <c r="GL59" s="110"/>
      <c r="GM59" s="110"/>
      <c r="GN59" s="110"/>
      <c r="GO59" s="110"/>
      <c r="GP59" s="110"/>
      <c r="GQ59" s="110"/>
      <c r="GR59" s="110"/>
      <c r="GS59" s="110"/>
      <c r="GT59" s="110"/>
      <c r="GU59" s="110"/>
      <c r="GV59" s="110"/>
      <c r="GW59" s="110"/>
      <c r="GX59" s="110"/>
      <c r="GY59" s="110"/>
      <c r="GZ59" s="110"/>
      <c r="HA59" s="110"/>
      <c r="HB59" s="110"/>
      <c r="HC59" s="110"/>
      <c r="HD59" s="110"/>
      <c r="HE59" s="110"/>
      <c r="HF59" s="110"/>
      <c r="HG59" s="110"/>
      <c r="HH59" s="110"/>
      <c r="HI59" s="110"/>
      <c r="HJ59" s="110"/>
      <c r="HK59" s="110"/>
      <c r="HL59" s="110"/>
      <c r="HM59" s="110"/>
      <c r="HN59" s="110"/>
      <c r="HO59" s="110"/>
      <c r="HP59" s="110"/>
      <c r="HQ59" s="110"/>
      <c r="HR59" s="110"/>
      <c r="HS59" s="110"/>
      <c r="HT59" s="110"/>
      <c r="HU59" s="110"/>
      <c r="HV59" s="110"/>
      <c r="HW59" s="110"/>
      <c r="HX59" s="110"/>
      <c r="HY59" s="110"/>
      <c r="HZ59" s="110"/>
      <c r="IA59" s="110"/>
      <c r="IB59" s="110"/>
      <c r="IC59" s="110"/>
      <c r="ID59" s="110"/>
      <c r="IE59" s="110"/>
      <c r="IF59" s="110"/>
      <c r="IG59" s="110"/>
      <c r="IH59" s="110"/>
      <c r="II59" s="110"/>
      <c r="IJ59" s="110"/>
      <c r="IK59" s="110"/>
      <c r="IL59" s="110"/>
      <c r="IM59" s="110"/>
      <c r="IN59" s="110"/>
      <c r="IO59" s="110"/>
      <c r="IP59" s="110"/>
      <c r="IQ59" s="110"/>
      <c r="IR59" s="110"/>
      <c r="IS59" s="110"/>
      <c r="IT59" s="110"/>
      <c r="IU59" s="110"/>
      <c r="IV59" s="110"/>
      <c r="IW59" s="110"/>
      <c r="IX59" s="110"/>
      <c r="IY59" s="110"/>
      <c r="IZ59" s="110"/>
      <c r="JA59" s="110"/>
      <c r="JB59" s="110"/>
      <c r="JC59" s="110"/>
      <c r="JD59" s="110"/>
      <c r="JE59" s="110"/>
      <c r="JF59" s="110"/>
      <c r="JG59" s="110"/>
      <c r="JH59" s="110"/>
      <c r="JI59" s="110"/>
      <c r="JJ59" s="110"/>
      <c r="JK59" s="110"/>
      <c r="JL59" s="110"/>
      <c r="JM59" s="110"/>
      <c r="JN59" s="110"/>
      <c r="JO59" s="110"/>
      <c r="JP59" s="110"/>
      <c r="JQ59" s="110"/>
      <c r="JR59" s="110"/>
      <c r="JS59" s="110"/>
      <c r="JT59" s="110"/>
      <c r="JU59" s="110"/>
      <c r="JV59" s="110"/>
      <c r="JW59" s="110"/>
      <c r="JX59" s="110"/>
      <c r="JY59" s="110"/>
      <c r="JZ59" s="110"/>
      <c r="KA59" s="110"/>
      <c r="KB59" s="110"/>
      <c r="KC59" s="110"/>
      <c r="KD59" s="110"/>
      <c r="KE59" s="110"/>
      <c r="KF59" s="110"/>
      <c r="KG59" s="110"/>
      <c r="KH59" s="110"/>
      <c r="KI59" s="110"/>
      <c r="KJ59" s="110"/>
      <c r="KK59" s="110"/>
      <c r="KL59" s="110"/>
      <c r="KM59" s="110"/>
      <c r="KN59" s="110"/>
    </row>
    <row r="60" spans="1:300" ht="19.2" customHeight="1" x14ac:dyDescent="0.3">
      <c r="A60" s="110"/>
      <c r="B60" s="110"/>
      <c r="C60" s="110"/>
      <c r="D60" s="110"/>
      <c r="E60" s="110"/>
      <c r="F60" s="110"/>
      <c r="G60" s="112" t="str">
        <v xml:space="preserve">57 </v>
      </c>
      <c r="P60" s="96"/>
      <c r="Q60" s="96"/>
      <c r="T60" s="92"/>
      <c r="U60" s="101"/>
      <c r="V60" s="97"/>
      <c r="W60" s="92"/>
      <c r="X60" s="92"/>
      <c r="Y60" s="97"/>
      <c r="Z60" s="101"/>
      <c r="AA60" s="96"/>
      <c r="AB60" s="105"/>
      <c r="AC60" s="102"/>
      <c r="AD60" s="96"/>
      <c r="AE60" s="96"/>
      <c r="AZ60" s="96"/>
      <c r="BA60" s="92"/>
      <c r="BB60" s="95"/>
      <c r="BC60" s="95"/>
      <c r="BD60" s="95"/>
      <c r="BE60" s="95"/>
      <c r="BF60" s="92"/>
      <c r="BG60" s="92"/>
      <c r="BH60" s="97"/>
      <c r="BI60" s="102"/>
      <c r="BJ60" s="96"/>
      <c r="CF60" s="92"/>
      <c r="CG60" s="92"/>
      <c r="CH60" s="95"/>
      <c r="CI60" s="95"/>
      <c r="CJ60" s="95"/>
      <c r="CK60" s="95"/>
      <c r="CL60" s="92"/>
      <c r="CM60" s="95"/>
      <c r="CN60" s="97"/>
      <c r="CO60" s="102"/>
      <c r="CP60" s="96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  <c r="GG60" s="110"/>
      <c r="GH60" s="110"/>
      <c r="GI60" s="110"/>
      <c r="GJ60" s="110"/>
      <c r="GK60" s="110"/>
      <c r="GL60" s="110"/>
      <c r="GM60" s="110"/>
      <c r="GN60" s="110"/>
      <c r="GO60" s="110"/>
      <c r="GP60" s="110"/>
      <c r="GQ60" s="110"/>
      <c r="GR60" s="110"/>
      <c r="GS60" s="110"/>
      <c r="GT60" s="110"/>
      <c r="GU60" s="110"/>
      <c r="GV60" s="110"/>
      <c r="GW60" s="110"/>
      <c r="GX60" s="110"/>
      <c r="GY60" s="110"/>
      <c r="GZ60" s="110"/>
      <c r="HA60" s="110"/>
      <c r="HB60" s="110"/>
      <c r="HC60" s="110"/>
      <c r="HD60" s="110"/>
      <c r="HE60" s="110"/>
      <c r="HF60" s="110"/>
      <c r="HG60" s="110"/>
      <c r="HH60" s="110"/>
      <c r="HI60" s="110"/>
      <c r="HJ60" s="110"/>
      <c r="HK60" s="110"/>
      <c r="HL60" s="110"/>
      <c r="HM60" s="110"/>
      <c r="HN60" s="110"/>
      <c r="HO60" s="110"/>
      <c r="HP60" s="110"/>
      <c r="HQ60" s="110"/>
      <c r="HR60" s="110"/>
      <c r="HS60" s="110"/>
      <c r="HT60" s="110"/>
      <c r="HU60" s="110"/>
      <c r="HV60" s="110"/>
      <c r="HW60" s="110"/>
      <c r="HX60" s="110"/>
      <c r="HY60" s="110"/>
      <c r="HZ60" s="110"/>
      <c r="IA60" s="110"/>
      <c r="IB60" s="110"/>
      <c r="IC60" s="110"/>
      <c r="ID60" s="110"/>
      <c r="IE60" s="110"/>
      <c r="IF60" s="110"/>
      <c r="IG60" s="110"/>
      <c r="IH60" s="110"/>
      <c r="II60" s="110"/>
      <c r="IJ60" s="110"/>
      <c r="IK60" s="110"/>
      <c r="IL60" s="110"/>
      <c r="IM60" s="110"/>
      <c r="IN60" s="110"/>
      <c r="IO60" s="110"/>
      <c r="IP60" s="110"/>
      <c r="IQ60" s="110"/>
      <c r="IR60" s="110"/>
      <c r="IS60" s="110"/>
      <c r="IT60" s="110"/>
      <c r="IU60" s="110"/>
      <c r="IV60" s="110"/>
      <c r="IW60" s="110"/>
      <c r="IX60" s="110"/>
      <c r="IY60" s="110"/>
      <c r="IZ60" s="110"/>
      <c r="JA60" s="110"/>
      <c r="JB60" s="110"/>
      <c r="JC60" s="110"/>
      <c r="JD60" s="110"/>
      <c r="JE60" s="110"/>
      <c r="JF60" s="110"/>
      <c r="JG60" s="110"/>
      <c r="JH60" s="110"/>
      <c r="JI60" s="110"/>
      <c r="JJ60" s="110"/>
      <c r="JK60" s="110"/>
      <c r="JL60" s="110"/>
      <c r="JM60" s="110"/>
      <c r="JN60" s="110"/>
      <c r="JO60" s="110"/>
      <c r="JP60" s="110"/>
      <c r="JQ60" s="110"/>
      <c r="JR60" s="110"/>
      <c r="JS60" s="110"/>
      <c r="JT60" s="110"/>
      <c r="JU60" s="110"/>
      <c r="JV60" s="110"/>
      <c r="JW60" s="110"/>
      <c r="JX60" s="110"/>
      <c r="JY60" s="110"/>
      <c r="JZ60" s="110"/>
      <c r="KA60" s="110"/>
      <c r="KB60" s="110"/>
      <c r="KC60" s="110"/>
      <c r="KD60" s="110"/>
      <c r="KE60" s="110"/>
      <c r="KF60" s="110"/>
      <c r="KG60" s="110"/>
      <c r="KH60" s="110"/>
      <c r="KI60" s="110"/>
      <c r="KJ60" s="110"/>
      <c r="KK60" s="110"/>
      <c r="KL60" s="110"/>
      <c r="KM60" s="110"/>
      <c r="KN60" s="110"/>
    </row>
    <row r="61" spans="1:300" ht="19.2" customHeight="1" x14ac:dyDescent="0.3">
      <c r="A61" s="110"/>
      <c r="B61" s="110"/>
      <c r="C61" s="110"/>
      <c r="D61" s="110"/>
      <c r="E61" s="110"/>
      <c r="F61" s="110"/>
      <c r="G61" s="112" t="str">
        <v xml:space="preserve">58 </v>
      </c>
      <c r="T61" s="96"/>
      <c r="U61" s="92"/>
      <c r="V61" s="95"/>
      <c r="W61" s="95"/>
      <c r="X61" s="95"/>
      <c r="Y61" s="95"/>
      <c r="Z61" s="92"/>
      <c r="AA61" s="103"/>
      <c r="AB61" s="97"/>
      <c r="AC61" s="102"/>
      <c r="AD61" s="101"/>
      <c r="AZ61" s="96"/>
      <c r="BA61" s="92"/>
      <c r="BB61" s="92"/>
      <c r="BC61" s="92"/>
      <c r="BD61" s="92"/>
      <c r="BE61" s="92"/>
      <c r="BF61" s="96"/>
      <c r="BG61" s="96"/>
      <c r="BH61" s="103"/>
      <c r="BI61" s="97"/>
      <c r="BJ61" s="96"/>
      <c r="CF61" s="96"/>
      <c r="CG61" s="96"/>
      <c r="CH61" s="92"/>
      <c r="CI61" s="92"/>
      <c r="CJ61" s="92"/>
      <c r="CK61" s="92"/>
      <c r="CL61" s="92"/>
      <c r="CM61" s="96"/>
      <c r="CN61" s="103"/>
      <c r="CO61" s="97"/>
      <c r="CP61" s="96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  <c r="GG61" s="110"/>
      <c r="GH61" s="110"/>
      <c r="GI61" s="110"/>
      <c r="GJ61" s="110"/>
      <c r="GK61" s="110"/>
      <c r="GL61" s="110"/>
      <c r="GM61" s="110"/>
      <c r="GN61" s="110"/>
      <c r="GO61" s="110"/>
      <c r="GP61" s="110"/>
      <c r="GQ61" s="110"/>
      <c r="GR61" s="110"/>
      <c r="GS61" s="110"/>
      <c r="GT61" s="110"/>
      <c r="GU61" s="110"/>
      <c r="GV61" s="110"/>
      <c r="GW61" s="110"/>
      <c r="GX61" s="110"/>
      <c r="GY61" s="110"/>
      <c r="GZ61" s="110"/>
      <c r="HA61" s="110"/>
      <c r="HB61" s="110"/>
      <c r="HC61" s="110"/>
      <c r="HD61" s="110"/>
      <c r="HE61" s="110"/>
      <c r="HF61" s="110"/>
      <c r="HG61" s="110"/>
      <c r="HH61" s="110"/>
      <c r="HI61" s="110"/>
      <c r="HJ61" s="110"/>
      <c r="HK61" s="110"/>
      <c r="HL61" s="110"/>
      <c r="HM61" s="110"/>
      <c r="HN61" s="110"/>
      <c r="HO61" s="110"/>
      <c r="HP61" s="110"/>
      <c r="HQ61" s="110"/>
      <c r="HR61" s="110"/>
      <c r="HS61" s="110"/>
      <c r="HT61" s="110"/>
      <c r="HU61" s="110"/>
      <c r="HV61" s="110"/>
      <c r="HW61" s="110"/>
      <c r="HX61" s="110"/>
      <c r="HY61" s="110"/>
      <c r="HZ61" s="110"/>
      <c r="IA61" s="110"/>
      <c r="IB61" s="110"/>
      <c r="IC61" s="110"/>
      <c r="ID61" s="110"/>
      <c r="IE61" s="110"/>
      <c r="IF61" s="110"/>
      <c r="IG61" s="110"/>
      <c r="IH61" s="110"/>
      <c r="II61" s="110"/>
      <c r="IJ61" s="110"/>
      <c r="IK61" s="110"/>
      <c r="IL61" s="110"/>
      <c r="IM61" s="110"/>
      <c r="IN61" s="110"/>
      <c r="IO61" s="110"/>
      <c r="IP61" s="110"/>
      <c r="IQ61" s="110"/>
      <c r="IR61" s="110"/>
      <c r="IS61" s="110"/>
      <c r="IT61" s="110"/>
      <c r="IU61" s="110"/>
      <c r="IV61" s="110"/>
      <c r="IW61" s="110"/>
      <c r="IX61" s="110"/>
      <c r="IY61" s="110"/>
      <c r="IZ61" s="110"/>
      <c r="JA61" s="110"/>
      <c r="JB61" s="110"/>
      <c r="JC61" s="110"/>
      <c r="JD61" s="110"/>
      <c r="JE61" s="110"/>
      <c r="JF61" s="110"/>
      <c r="JG61" s="110"/>
      <c r="JH61" s="110"/>
      <c r="JI61" s="110"/>
      <c r="JJ61" s="110"/>
      <c r="JK61" s="110"/>
      <c r="JL61" s="110"/>
      <c r="JM61" s="110"/>
      <c r="JN61" s="110"/>
      <c r="JO61" s="110"/>
      <c r="JP61" s="110"/>
      <c r="JQ61" s="110"/>
      <c r="JR61" s="110"/>
      <c r="JS61" s="110"/>
      <c r="JT61" s="110"/>
      <c r="JU61" s="110"/>
      <c r="JV61" s="110"/>
      <c r="JW61" s="110"/>
      <c r="JX61" s="110"/>
      <c r="JY61" s="110"/>
      <c r="JZ61" s="110"/>
      <c r="KA61" s="110"/>
      <c r="KB61" s="110"/>
      <c r="KC61" s="110"/>
      <c r="KD61" s="110"/>
      <c r="KE61" s="110"/>
      <c r="KF61" s="110"/>
      <c r="KG61" s="110"/>
      <c r="KH61" s="110"/>
      <c r="KI61" s="110"/>
      <c r="KJ61" s="110"/>
      <c r="KK61" s="110"/>
      <c r="KL61" s="110"/>
      <c r="KM61" s="110"/>
      <c r="KN61" s="110"/>
    </row>
    <row r="62" spans="1:300" ht="19.2" customHeight="1" x14ac:dyDescent="0.3">
      <c r="A62" s="110"/>
      <c r="B62" s="110"/>
      <c r="C62" s="110"/>
      <c r="D62" s="110"/>
      <c r="E62" s="110"/>
      <c r="F62" s="110"/>
      <c r="G62" s="112" t="str">
        <v xml:space="preserve">59 </v>
      </c>
      <c r="T62" s="96"/>
      <c r="U62" s="92"/>
      <c r="V62" s="92"/>
      <c r="W62" s="92"/>
      <c r="X62" s="92"/>
      <c r="Y62" s="92"/>
      <c r="Z62" s="92"/>
      <c r="AA62" s="96"/>
      <c r="AB62" s="103"/>
      <c r="AC62" s="97"/>
      <c r="AD62" s="96"/>
      <c r="BA62" s="92"/>
      <c r="BB62" s="92"/>
      <c r="BC62" s="96"/>
      <c r="BD62" s="96"/>
      <c r="BE62" s="100"/>
      <c r="BF62" s="100"/>
      <c r="BG62" s="96"/>
      <c r="BH62" s="96"/>
      <c r="BI62" s="96"/>
      <c r="CF62" s="96"/>
      <c r="CG62" s="100"/>
      <c r="CH62" s="100"/>
      <c r="CI62" s="96"/>
      <c r="CJ62" s="96"/>
      <c r="CK62" s="92"/>
      <c r="CL62" s="92"/>
      <c r="CM62" s="96"/>
      <c r="CN62" s="96"/>
      <c r="CO62" s="96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  <c r="GG62" s="110"/>
      <c r="GH62" s="110"/>
      <c r="GI62" s="110"/>
      <c r="GJ62" s="110"/>
      <c r="GK62" s="110"/>
      <c r="GL62" s="110"/>
      <c r="GM62" s="110"/>
      <c r="GN62" s="110"/>
      <c r="GO62" s="110"/>
      <c r="GP62" s="110"/>
      <c r="GQ62" s="110"/>
      <c r="GR62" s="110"/>
      <c r="GS62" s="110"/>
      <c r="GT62" s="110"/>
      <c r="GU62" s="110"/>
      <c r="GV62" s="110"/>
      <c r="GW62" s="110"/>
      <c r="GX62" s="110"/>
      <c r="GY62" s="110"/>
      <c r="GZ62" s="110"/>
      <c r="HA62" s="110"/>
      <c r="HB62" s="110"/>
      <c r="HC62" s="110"/>
      <c r="HD62" s="110"/>
      <c r="HE62" s="110"/>
      <c r="HF62" s="110"/>
      <c r="HG62" s="110"/>
      <c r="HH62" s="110"/>
      <c r="HI62" s="110"/>
      <c r="HJ62" s="110"/>
      <c r="HK62" s="110"/>
      <c r="HL62" s="110"/>
      <c r="HM62" s="110"/>
      <c r="HN62" s="110"/>
      <c r="HO62" s="110"/>
      <c r="HP62" s="110"/>
      <c r="HQ62" s="110"/>
      <c r="HR62" s="110"/>
      <c r="HS62" s="110"/>
      <c r="HT62" s="110"/>
      <c r="HU62" s="110"/>
      <c r="HV62" s="110"/>
      <c r="HW62" s="110"/>
      <c r="HX62" s="110"/>
      <c r="HY62" s="110"/>
      <c r="HZ62" s="110"/>
      <c r="IA62" s="110"/>
      <c r="IB62" s="110"/>
      <c r="IC62" s="110"/>
      <c r="ID62" s="110"/>
      <c r="IE62" s="110"/>
      <c r="IF62" s="110"/>
      <c r="IG62" s="110"/>
      <c r="IH62" s="110"/>
      <c r="II62" s="110"/>
      <c r="IJ62" s="110"/>
      <c r="IK62" s="110"/>
      <c r="IL62" s="110"/>
      <c r="IM62" s="110"/>
      <c r="IN62" s="110"/>
      <c r="IO62" s="110"/>
      <c r="IP62" s="110"/>
      <c r="IQ62" s="110"/>
      <c r="IR62" s="110"/>
      <c r="IS62" s="110"/>
      <c r="IT62" s="110"/>
      <c r="IU62" s="110"/>
      <c r="IV62" s="110"/>
      <c r="IW62" s="110"/>
      <c r="IX62" s="110"/>
      <c r="IY62" s="110"/>
      <c r="IZ62" s="110"/>
      <c r="JA62" s="110"/>
      <c r="JB62" s="110"/>
      <c r="JC62" s="110"/>
      <c r="JD62" s="110"/>
      <c r="JE62" s="110"/>
      <c r="JF62" s="110"/>
      <c r="JG62" s="110"/>
      <c r="JH62" s="110"/>
      <c r="JI62" s="110"/>
      <c r="JJ62" s="110"/>
      <c r="JK62" s="110"/>
      <c r="JL62" s="110"/>
      <c r="JM62" s="110"/>
      <c r="JN62" s="110"/>
      <c r="JO62" s="110"/>
      <c r="JP62" s="110"/>
      <c r="JQ62" s="110"/>
      <c r="JR62" s="110"/>
      <c r="JS62" s="110"/>
      <c r="JT62" s="110"/>
      <c r="JU62" s="110"/>
      <c r="JV62" s="110"/>
      <c r="JW62" s="110"/>
      <c r="JX62" s="110"/>
      <c r="JY62" s="110"/>
      <c r="JZ62" s="110"/>
      <c r="KA62" s="110"/>
      <c r="KB62" s="110"/>
      <c r="KC62" s="110"/>
      <c r="KD62" s="110"/>
      <c r="KE62" s="110"/>
      <c r="KF62" s="110"/>
      <c r="KG62" s="110"/>
      <c r="KH62" s="110"/>
      <c r="KI62" s="110"/>
      <c r="KJ62" s="110"/>
      <c r="KK62" s="110"/>
      <c r="KL62" s="110"/>
      <c r="KM62" s="110"/>
      <c r="KN62" s="110"/>
    </row>
    <row r="63" spans="1:300" ht="19.2" customHeight="1" x14ac:dyDescent="0.3">
      <c r="A63" s="110"/>
      <c r="B63" s="110"/>
      <c r="C63" s="110"/>
      <c r="D63" s="110"/>
      <c r="E63" s="110"/>
      <c r="F63" s="110"/>
      <c r="G63" s="112" t="str">
        <v xml:space="preserve">60 </v>
      </c>
      <c r="T63" s="96"/>
      <c r="U63" s="92"/>
      <c r="V63" s="92"/>
      <c r="W63" s="96"/>
      <c r="X63" s="96"/>
      <c r="Y63" s="92"/>
      <c r="Z63" s="92"/>
      <c r="AA63" s="96"/>
      <c r="AB63" s="96"/>
      <c r="AC63" s="96"/>
      <c r="BA63" s="96"/>
      <c r="BB63" s="92"/>
      <c r="BC63" s="92"/>
      <c r="BE63" s="96"/>
      <c r="BF63" s="96"/>
      <c r="CG63" s="96"/>
      <c r="CH63" s="96"/>
      <c r="CJ63" s="92"/>
      <c r="CK63" s="92"/>
      <c r="CL63" s="96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  <c r="GG63" s="110"/>
      <c r="GH63" s="110"/>
      <c r="GI63" s="110"/>
      <c r="GJ63" s="110"/>
      <c r="GK63" s="110"/>
      <c r="GL63" s="110"/>
      <c r="GM63" s="110"/>
      <c r="GN63" s="110"/>
      <c r="GO63" s="110"/>
      <c r="GP63" s="110"/>
      <c r="GQ63" s="110"/>
      <c r="GR63" s="110"/>
      <c r="GS63" s="110"/>
      <c r="GT63" s="110"/>
      <c r="GU63" s="110"/>
      <c r="GV63" s="110"/>
      <c r="GW63" s="110"/>
      <c r="GX63" s="110"/>
      <c r="GY63" s="110"/>
      <c r="GZ63" s="110"/>
      <c r="HA63" s="110"/>
      <c r="HB63" s="110"/>
      <c r="HC63" s="110"/>
      <c r="HD63" s="110"/>
      <c r="HE63" s="110"/>
      <c r="HF63" s="110"/>
      <c r="HG63" s="110"/>
      <c r="HH63" s="110"/>
      <c r="HI63" s="110"/>
      <c r="HJ63" s="110"/>
      <c r="HK63" s="110"/>
      <c r="HL63" s="110"/>
      <c r="HM63" s="110"/>
      <c r="HN63" s="110"/>
      <c r="HO63" s="110"/>
      <c r="HP63" s="110"/>
      <c r="HQ63" s="110"/>
      <c r="HR63" s="110"/>
      <c r="HS63" s="110"/>
      <c r="HT63" s="110"/>
      <c r="HU63" s="110"/>
      <c r="HV63" s="110"/>
      <c r="HW63" s="110"/>
      <c r="HX63" s="110"/>
      <c r="HY63" s="110"/>
      <c r="HZ63" s="110"/>
      <c r="IA63" s="110"/>
      <c r="IB63" s="110"/>
      <c r="IC63" s="110"/>
      <c r="ID63" s="110"/>
      <c r="IE63" s="110"/>
      <c r="IF63" s="110"/>
      <c r="IG63" s="110"/>
      <c r="IH63" s="110"/>
      <c r="II63" s="110"/>
      <c r="IJ63" s="110"/>
      <c r="IK63" s="110"/>
      <c r="IL63" s="110"/>
      <c r="IM63" s="110"/>
      <c r="IN63" s="110"/>
      <c r="IO63" s="110"/>
      <c r="IP63" s="110"/>
      <c r="IQ63" s="110"/>
      <c r="IR63" s="110"/>
      <c r="IS63" s="110"/>
      <c r="IT63" s="110"/>
      <c r="IU63" s="110"/>
      <c r="IV63" s="110"/>
      <c r="IW63" s="110"/>
      <c r="IX63" s="110"/>
      <c r="IY63" s="110"/>
      <c r="IZ63" s="110"/>
      <c r="JA63" s="110"/>
      <c r="JB63" s="110"/>
      <c r="JC63" s="110"/>
      <c r="JD63" s="110"/>
      <c r="JE63" s="110"/>
      <c r="JF63" s="110"/>
      <c r="JG63" s="110"/>
      <c r="JH63" s="110"/>
      <c r="JI63" s="110"/>
      <c r="JJ63" s="110"/>
      <c r="JK63" s="110"/>
      <c r="JL63" s="110"/>
      <c r="JM63" s="110"/>
      <c r="JN63" s="110"/>
      <c r="JO63" s="110"/>
      <c r="JP63" s="110"/>
      <c r="JQ63" s="110"/>
      <c r="JR63" s="110"/>
      <c r="JS63" s="110"/>
      <c r="JT63" s="110"/>
      <c r="JU63" s="110"/>
      <c r="JV63" s="110"/>
      <c r="JW63" s="110"/>
      <c r="JX63" s="110"/>
      <c r="JY63" s="110"/>
      <c r="JZ63" s="110"/>
      <c r="KA63" s="110"/>
      <c r="KB63" s="110"/>
      <c r="KC63" s="110"/>
      <c r="KD63" s="110"/>
      <c r="KE63" s="110"/>
      <c r="KF63" s="110"/>
      <c r="KG63" s="110"/>
      <c r="KH63" s="110"/>
      <c r="KI63" s="110"/>
      <c r="KJ63" s="110"/>
      <c r="KK63" s="110"/>
      <c r="KL63" s="110"/>
      <c r="KM63" s="110"/>
      <c r="KN63" s="110"/>
    </row>
    <row r="64" spans="1:300" ht="19.2" customHeight="1" x14ac:dyDescent="0.3">
      <c r="A64" s="110"/>
      <c r="B64" s="110"/>
      <c r="C64" s="110"/>
      <c r="D64" s="110"/>
      <c r="E64" s="110"/>
      <c r="F64" s="110"/>
      <c r="G64" s="112" t="str">
        <v xml:space="preserve">61 </v>
      </c>
      <c r="S64" s="96"/>
      <c r="T64" s="94"/>
      <c r="U64" s="92"/>
      <c r="V64" s="96"/>
      <c r="Y64" s="96"/>
      <c r="Z64" s="92"/>
      <c r="AA64" s="103"/>
      <c r="AB64" s="96"/>
      <c r="AZ64" s="96"/>
      <c r="BA64" s="94"/>
      <c r="BB64" s="103"/>
      <c r="BC64" s="96"/>
      <c r="CJ64" s="96"/>
      <c r="CK64" s="103"/>
      <c r="CL64" s="94"/>
      <c r="CM64" s="96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  <c r="GG64" s="110"/>
      <c r="GH64" s="110"/>
      <c r="GI64" s="110"/>
      <c r="GJ64" s="110"/>
      <c r="GK64" s="110"/>
      <c r="GL64" s="110"/>
      <c r="GM64" s="110"/>
      <c r="GN64" s="110"/>
      <c r="GO64" s="110"/>
      <c r="GP64" s="110"/>
      <c r="GQ64" s="110"/>
      <c r="GR64" s="110"/>
      <c r="GS64" s="110"/>
      <c r="GT64" s="110"/>
      <c r="GU64" s="110"/>
      <c r="GV64" s="110"/>
      <c r="GW64" s="110"/>
      <c r="GX64" s="110"/>
      <c r="GY64" s="110"/>
      <c r="GZ64" s="110"/>
      <c r="HA64" s="110"/>
      <c r="HB64" s="110"/>
      <c r="HC64" s="110"/>
      <c r="HD64" s="110"/>
      <c r="HE64" s="110"/>
      <c r="HF64" s="110"/>
      <c r="HG64" s="110"/>
      <c r="HH64" s="110"/>
      <c r="HI64" s="110"/>
      <c r="HJ64" s="110"/>
      <c r="HK64" s="110"/>
      <c r="HL64" s="110"/>
      <c r="HM64" s="110"/>
      <c r="HN64" s="110"/>
      <c r="HO64" s="110"/>
      <c r="HP64" s="110"/>
      <c r="HQ64" s="110"/>
      <c r="HR64" s="110"/>
      <c r="HS64" s="110"/>
      <c r="HT64" s="110"/>
      <c r="HU64" s="110"/>
      <c r="HV64" s="110"/>
      <c r="HW64" s="110"/>
      <c r="HX64" s="110"/>
      <c r="HY64" s="110"/>
      <c r="HZ64" s="110"/>
      <c r="IA64" s="110"/>
      <c r="IB64" s="110"/>
      <c r="IC64" s="110"/>
      <c r="ID64" s="110"/>
      <c r="IE64" s="110"/>
      <c r="IF64" s="110"/>
      <c r="IG64" s="110"/>
      <c r="IH64" s="110"/>
      <c r="II64" s="110"/>
      <c r="IJ64" s="110"/>
      <c r="IK64" s="110"/>
      <c r="IL64" s="110"/>
      <c r="IM64" s="110"/>
      <c r="IN64" s="110"/>
      <c r="IO64" s="110"/>
      <c r="IP64" s="110"/>
      <c r="IQ64" s="110"/>
      <c r="IR64" s="110"/>
      <c r="IS64" s="110"/>
      <c r="IT64" s="110"/>
      <c r="IU64" s="110"/>
      <c r="IV64" s="110"/>
      <c r="IW64" s="110"/>
      <c r="IX64" s="110"/>
      <c r="IY64" s="110"/>
      <c r="IZ64" s="110"/>
      <c r="JA64" s="110"/>
      <c r="JB64" s="110"/>
      <c r="JC64" s="110"/>
      <c r="JD64" s="110"/>
      <c r="JE64" s="110"/>
      <c r="JF64" s="110"/>
      <c r="JG64" s="110"/>
      <c r="JH64" s="110"/>
      <c r="JI64" s="110"/>
      <c r="JJ64" s="110"/>
      <c r="JK64" s="110"/>
      <c r="JL64" s="110"/>
      <c r="JM64" s="110"/>
      <c r="JN64" s="110"/>
      <c r="JO64" s="110"/>
      <c r="JP64" s="110"/>
      <c r="JQ64" s="110"/>
      <c r="JR64" s="110"/>
      <c r="JS64" s="110"/>
      <c r="JT64" s="110"/>
      <c r="JU64" s="110"/>
      <c r="JV64" s="110"/>
      <c r="JW64" s="110"/>
      <c r="JX64" s="110"/>
      <c r="JY64" s="110"/>
      <c r="JZ64" s="110"/>
      <c r="KA64" s="110"/>
      <c r="KB64" s="110"/>
      <c r="KC64" s="110"/>
      <c r="KD64" s="110"/>
      <c r="KE64" s="110"/>
      <c r="KF64" s="110"/>
      <c r="KG64" s="110"/>
      <c r="KH64" s="110"/>
      <c r="KI64" s="110"/>
      <c r="KJ64" s="110"/>
      <c r="KK64" s="110"/>
      <c r="KL64" s="110"/>
      <c r="KM64" s="110"/>
      <c r="KN64" s="110"/>
    </row>
    <row r="65" spans="1:300" ht="19.2" customHeight="1" x14ac:dyDescent="0.3">
      <c r="A65" s="110"/>
      <c r="B65" s="110"/>
      <c r="C65" s="110"/>
      <c r="D65" s="110"/>
      <c r="E65" s="110"/>
      <c r="F65" s="110"/>
      <c r="G65" s="112" t="str">
        <v xml:space="preserve">62 </v>
      </c>
      <c r="S65" s="96"/>
      <c r="T65" s="93"/>
      <c r="U65" s="93"/>
      <c r="V65" s="96"/>
      <c r="Y65" s="96"/>
      <c r="Z65" s="93"/>
      <c r="AA65" s="93"/>
      <c r="AB65" s="96"/>
      <c r="AZ65" s="96"/>
      <c r="BA65" s="93"/>
      <c r="BB65" s="93"/>
      <c r="BC65" s="96"/>
      <c r="CJ65" s="96"/>
      <c r="CK65" s="93"/>
      <c r="CL65" s="93"/>
      <c r="CM65" s="96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  <c r="GG65" s="110"/>
      <c r="GH65" s="110"/>
      <c r="GI65" s="110"/>
      <c r="GJ65" s="110"/>
      <c r="GK65" s="110"/>
      <c r="GL65" s="110"/>
      <c r="GM65" s="110"/>
      <c r="GN65" s="110"/>
      <c r="GO65" s="110"/>
      <c r="GP65" s="110"/>
      <c r="GQ65" s="110"/>
      <c r="GR65" s="110"/>
      <c r="GS65" s="110"/>
      <c r="GT65" s="110"/>
      <c r="GU65" s="110"/>
      <c r="GV65" s="110"/>
      <c r="GW65" s="110"/>
      <c r="GX65" s="110"/>
      <c r="GY65" s="110"/>
      <c r="GZ65" s="110"/>
      <c r="HA65" s="110"/>
      <c r="HB65" s="110"/>
      <c r="HC65" s="110"/>
      <c r="HD65" s="110"/>
      <c r="HE65" s="110"/>
      <c r="HF65" s="110"/>
      <c r="HG65" s="110"/>
      <c r="HH65" s="110"/>
      <c r="HI65" s="110"/>
      <c r="HJ65" s="110"/>
      <c r="HK65" s="110"/>
      <c r="HL65" s="110"/>
      <c r="HM65" s="110"/>
      <c r="HN65" s="110"/>
      <c r="HO65" s="110"/>
      <c r="HP65" s="110"/>
      <c r="HQ65" s="110"/>
      <c r="HR65" s="110"/>
      <c r="HS65" s="110"/>
      <c r="HT65" s="110"/>
      <c r="HU65" s="110"/>
      <c r="HV65" s="110"/>
      <c r="HW65" s="110"/>
      <c r="HX65" s="110"/>
      <c r="HY65" s="110"/>
      <c r="HZ65" s="110"/>
      <c r="IA65" s="110"/>
      <c r="IB65" s="110"/>
      <c r="IC65" s="110"/>
      <c r="ID65" s="110"/>
      <c r="IE65" s="110"/>
      <c r="IF65" s="110"/>
      <c r="IG65" s="110"/>
      <c r="IH65" s="110"/>
      <c r="II65" s="110"/>
      <c r="IJ65" s="110"/>
      <c r="IK65" s="110"/>
      <c r="IL65" s="110"/>
      <c r="IM65" s="110"/>
      <c r="IN65" s="110"/>
      <c r="IO65" s="110"/>
      <c r="IP65" s="110"/>
      <c r="IQ65" s="110"/>
      <c r="IR65" s="110"/>
      <c r="IS65" s="110"/>
      <c r="IT65" s="110"/>
      <c r="IU65" s="110"/>
      <c r="IV65" s="110"/>
      <c r="IW65" s="110"/>
      <c r="IX65" s="110"/>
      <c r="IY65" s="110"/>
      <c r="IZ65" s="110"/>
      <c r="JA65" s="110"/>
      <c r="JB65" s="110"/>
      <c r="JC65" s="110"/>
      <c r="JD65" s="110"/>
      <c r="JE65" s="110"/>
      <c r="JF65" s="110"/>
      <c r="JG65" s="110"/>
      <c r="JH65" s="110"/>
      <c r="JI65" s="110"/>
      <c r="JJ65" s="110"/>
      <c r="JK65" s="110"/>
      <c r="JL65" s="110"/>
      <c r="JM65" s="110"/>
      <c r="JN65" s="110"/>
      <c r="JO65" s="110"/>
      <c r="JP65" s="110"/>
      <c r="JQ65" s="110"/>
      <c r="JR65" s="110"/>
      <c r="JS65" s="110"/>
      <c r="JT65" s="110"/>
      <c r="JU65" s="110"/>
      <c r="JV65" s="110"/>
      <c r="JW65" s="110"/>
      <c r="JX65" s="110"/>
      <c r="JY65" s="110"/>
      <c r="JZ65" s="110"/>
      <c r="KA65" s="110"/>
      <c r="KB65" s="110"/>
      <c r="KC65" s="110"/>
      <c r="KD65" s="110"/>
      <c r="KE65" s="110"/>
      <c r="KF65" s="110"/>
      <c r="KG65" s="110"/>
      <c r="KH65" s="110"/>
      <c r="KI65" s="110"/>
      <c r="KJ65" s="110"/>
      <c r="KK65" s="110"/>
      <c r="KL65" s="110"/>
      <c r="KM65" s="110"/>
      <c r="KN65" s="110"/>
    </row>
    <row r="66" spans="1:300" ht="19.2" customHeight="1" x14ac:dyDescent="0.3">
      <c r="A66" s="110"/>
      <c r="B66" s="110"/>
      <c r="C66" s="110"/>
      <c r="D66" s="110"/>
      <c r="E66" s="110"/>
      <c r="F66" s="110"/>
      <c r="G66" s="112" t="str">
        <v xml:space="preserve">63 </v>
      </c>
      <c r="T66" s="96"/>
      <c r="U66" s="96"/>
      <c r="Z66" s="96"/>
      <c r="AA66" s="96"/>
      <c r="BA66" s="96"/>
      <c r="BB66" s="96"/>
      <c r="CK66" s="96"/>
      <c r="CL66" s="96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  <c r="GG66" s="110"/>
      <c r="GH66" s="110"/>
      <c r="GI66" s="110"/>
      <c r="GJ66" s="110"/>
      <c r="GK66" s="110"/>
      <c r="GL66" s="110"/>
      <c r="GM66" s="110"/>
      <c r="GN66" s="110"/>
      <c r="GO66" s="110"/>
      <c r="GP66" s="110"/>
      <c r="GQ66" s="110"/>
      <c r="GR66" s="110"/>
      <c r="GS66" s="110"/>
      <c r="GT66" s="110"/>
      <c r="GU66" s="110"/>
      <c r="GV66" s="110"/>
      <c r="GW66" s="110"/>
      <c r="GX66" s="110"/>
      <c r="GY66" s="110"/>
      <c r="GZ66" s="110"/>
      <c r="HA66" s="110"/>
      <c r="HB66" s="110"/>
      <c r="HC66" s="110"/>
      <c r="HD66" s="110"/>
      <c r="HE66" s="110"/>
      <c r="HF66" s="110"/>
      <c r="HG66" s="110"/>
      <c r="HH66" s="110"/>
      <c r="HI66" s="110"/>
      <c r="HJ66" s="110"/>
      <c r="HK66" s="110"/>
      <c r="HL66" s="110"/>
      <c r="HM66" s="110"/>
      <c r="HN66" s="110"/>
      <c r="HO66" s="110"/>
      <c r="HP66" s="110"/>
      <c r="HQ66" s="110"/>
      <c r="HR66" s="110"/>
      <c r="HS66" s="110"/>
      <c r="HT66" s="110"/>
      <c r="HU66" s="110"/>
      <c r="HV66" s="110"/>
      <c r="HW66" s="110"/>
      <c r="HX66" s="110"/>
      <c r="HY66" s="110"/>
      <c r="HZ66" s="110"/>
      <c r="IA66" s="110"/>
      <c r="IB66" s="110"/>
      <c r="IC66" s="110"/>
      <c r="ID66" s="110"/>
      <c r="IE66" s="110"/>
      <c r="IF66" s="110"/>
      <c r="IG66" s="110"/>
      <c r="IH66" s="110"/>
      <c r="II66" s="110"/>
      <c r="IJ66" s="110"/>
      <c r="IK66" s="110"/>
      <c r="IL66" s="110"/>
      <c r="IM66" s="110"/>
      <c r="IN66" s="110"/>
      <c r="IO66" s="110"/>
      <c r="IP66" s="110"/>
      <c r="IQ66" s="110"/>
      <c r="IR66" s="110"/>
      <c r="IS66" s="110"/>
      <c r="IT66" s="110"/>
      <c r="IU66" s="110"/>
      <c r="IV66" s="110"/>
      <c r="IW66" s="110"/>
      <c r="IX66" s="110"/>
      <c r="IY66" s="110"/>
      <c r="IZ66" s="110"/>
      <c r="JA66" s="110"/>
      <c r="JB66" s="110"/>
      <c r="JC66" s="110"/>
      <c r="JD66" s="110"/>
      <c r="JE66" s="110"/>
      <c r="JF66" s="110"/>
      <c r="JG66" s="110"/>
      <c r="JH66" s="110"/>
      <c r="JI66" s="110"/>
      <c r="JJ66" s="110"/>
      <c r="JK66" s="110"/>
      <c r="JL66" s="110"/>
      <c r="JM66" s="110"/>
      <c r="JN66" s="110"/>
      <c r="JO66" s="110"/>
      <c r="JP66" s="110"/>
      <c r="JQ66" s="110"/>
      <c r="JR66" s="110"/>
      <c r="JS66" s="110"/>
      <c r="JT66" s="110"/>
      <c r="JU66" s="110"/>
      <c r="JV66" s="110"/>
      <c r="JW66" s="110"/>
      <c r="JX66" s="110"/>
      <c r="JY66" s="110"/>
      <c r="JZ66" s="110"/>
      <c r="KA66" s="110"/>
      <c r="KB66" s="110"/>
      <c r="KC66" s="110"/>
      <c r="KD66" s="110"/>
      <c r="KE66" s="110"/>
      <c r="KF66" s="110"/>
      <c r="KG66" s="110"/>
      <c r="KH66" s="110"/>
      <c r="KI66" s="110"/>
      <c r="KJ66" s="110"/>
      <c r="KK66" s="110"/>
      <c r="KL66" s="110"/>
      <c r="KM66" s="110"/>
      <c r="KN66" s="110"/>
    </row>
    <row r="67" spans="1:300" ht="19.2" customHeight="1" x14ac:dyDescent="0.3">
      <c r="A67" s="110"/>
      <c r="B67" s="110"/>
      <c r="C67" s="110"/>
      <c r="D67" s="110"/>
      <c r="E67" s="110"/>
      <c r="F67" s="110"/>
      <c r="G67" s="112" t="str">
        <v xml:space="preserve">64 </v>
      </c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  <c r="GG67" s="110"/>
      <c r="GH67" s="110"/>
      <c r="GI67" s="110"/>
      <c r="GJ67" s="110"/>
      <c r="GK67" s="110"/>
      <c r="GL67" s="110"/>
      <c r="GM67" s="110"/>
      <c r="GN67" s="110"/>
      <c r="GO67" s="110"/>
      <c r="GP67" s="110"/>
      <c r="GQ67" s="110"/>
      <c r="GR67" s="110"/>
      <c r="GS67" s="110"/>
      <c r="GT67" s="110"/>
      <c r="GU67" s="110"/>
      <c r="GV67" s="110"/>
      <c r="GW67" s="110"/>
      <c r="GX67" s="110"/>
      <c r="GY67" s="110"/>
      <c r="GZ67" s="110"/>
      <c r="HA67" s="110"/>
      <c r="HB67" s="110"/>
      <c r="HC67" s="110"/>
      <c r="HD67" s="110"/>
      <c r="HE67" s="110"/>
      <c r="HF67" s="110"/>
      <c r="HG67" s="110"/>
      <c r="HH67" s="110"/>
      <c r="HI67" s="110"/>
      <c r="HJ67" s="110"/>
      <c r="HK67" s="110"/>
      <c r="HL67" s="110"/>
      <c r="HM67" s="110"/>
      <c r="HN67" s="110"/>
      <c r="HO67" s="110"/>
      <c r="HP67" s="110"/>
      <c r="HQ67" s="110"/>
      <c r="HR67" s="110"/>
      <c r="HS67" s="110"/>
      <c r="HT67" s="110"/>
      <c r="HU67" s="110"/>
      <c r="HV67" s="110"/>
      <c r="HW67" s="110"/>
      <c r="HX67" s="110"/>
      <c r="HY67" s="110"/>
      <c r="HZ67" s="110"/>
      <c r="IA67" s="110"/>
      <c r="IB67" s="110"/>
      <c r="IC67" s="110"/>
      <c r="ID67" s="110"/>
      <c r="IE67" s="110"/>
      <c r="IF67" s="110"/>
      <c r="IG67" s="110"/>
      <c r="IH67" s="110"/>
      <c r="II67" s="110"/>
      <c r="IJ67" s="110"/>
      <c r="IK67" s="110"/>
      <c r="IL67" s="110"/>
      <c r="IM67" s="110"/>
      <c r="IN67" s="110"/>
      <c r="IO67" s="110"/>
      <c r="IP67" s="110"/>
      <c r="IQ67" s="110"/>
      <c r="IR67" s="110"/>
      <c r="IS67" s="110"/>
      <c r="IT67" s="110"/>
      <c r="IU67" s="110"/>
      <c r="IV67" s="110"/>
      <c r="IW67" s="110"/>
      <c r="IX67" s="110"/>
      <c r="IY67" s="110"/>
      <c r="IZ67" s="110"/>
      <c r="JA67" s="110"/>
      <c r="JB67" s="110"/>
      <c r="JC67" s="110"/>
      <c r="JD67" s="110"/>
      <c r="JE67" s="110"/>
      <c r="JF67" s="110"/>
      <c r="JG67" s="110"/>
      <c r="JH67" s="110"/>
      <c r="JI67" s="110"/>
      <c r="JJ67" s="110"/>
      <c r="JK67" s="110"/>
      <c r="JL67" s="110"/>
      <c r="JM67" s="110"/>
      <c r="JN67" s="110"/>
      <c r="JO67" s="110"/>
      <c r="JP67" s="110"/>
      <c r="JQ67" s="110"/>
      <c r="JR67" s="110"/>
      <c r="JS67" s="110"/>
      <c r="JT67" s="110"/>
      <c r="JU67" s="110"/>
      <c r="JV67" s="110"/>
      <c r="JW67" s="110"/>
      <c r="JX67" s="110"/>
      <c r="JY67" s="110"/>
      <c r="JZ67" s="110"/>
      <c r="KA67" s="110"/>
      <c r="KB67" s="110"/>
      <c r="KC67" s="110"/>
      <c r="KD67" s="110"/>
      <c r="KE67" s="110"/>
      <c r="KF67" s="110"/>
      <c r="KG67" s="110"/>
      <c r="KH67" s="110"/>
      <c r="KI67" s="110"/>
      <c r="KJ67" s="110"/>
      <c r="KK67" s="110"/>
      <c r="KL67" s="110"/>
      <c r="KM67" s="110"/>
      <c r="KN67" s="110"/>
    </row>
    <row r="68" spans="1:300" ht="19.2" customHeight="1" x14ac:dyDescent="0.3">
      <c r="A68" s="110"/>
      <c r="B68" s="110"/>
      <c r="C68" s="110"/>
      <c r="D68" s="110"/>
      <c r="E68" s="110"/>
      <c r="F68" s="110"/>
      <c r="G68" s="112" t="str">
        <v xml:space="preserve">65 </v>
      </c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  <c r="GG68" s="110"/>
      <c r="GH68" s="110"/>
      <c r="GI68" s="110"/>
      <c r="GJ68" s="110"/>
      <c r="GK68" s="110"/>
      <c r="GL68" s="110"/>
      <c r="GM68" s="110"/>
      <c r="GN68" s="110"/>
      <c r="GO68" s="110"/>
      <c r="GP68" s="110"/>
      <c r="GQ68" s="110"/>
      <c r="GR68" s="110"/>
      <c r="GS68" s="110"/>
      <c r="GT68" s="110"/>
      <c r="GU68" s="110"/>
      <c r="GV68" s="110"/>
      <c r="GW68" s="110"/>
      <c r="GX68" s="110"/>
      <c r="GY68" s="110"/>
      <c r="GZ68" s="110"/>
      <c r="HA68" s="110"/>
      <c r="HB68" s="110"/>
      <c r="HC68" s="110"/>
      <c r="HD68" s="110"/>
      <c r="HE68" s="110"/>
      <c r="HF68" s="110"/>
      <c r="HG68" s="110"/>
      <c r="HH68" s="110"/>
      <c r="HI68" s="110"/>
      <c r="HJ68" s="110"/>
      <c r="HK68" s="110"/>
      <c r="HL68" s="110"/>
      <c r="HM68" s="110"/>
      <c r="HN68" s="110"/>
      <c r="HO68" s="110"/>
      <c r="HP68" s="110"/>
      <c r="HQ68" s="110"/>
      <c r="HR68" s="110"/>
      <c r="HS68" s="110"/>
      <c r="HT68" s="110"/>
      <c r="HU68" s="110"/>
      <c r="HV68" s="110"/>
      <c r="HW68" s="110"/>
      <c r="HX68" s="110"/>
      <c r="HY68" s="110"/>
      <c r="HZ68" s="110"/>
      <c r="IA68" s="110"/>
      <c r="IB68" s="110"/>
      <c r="IC68" s="110"/>
      <c r="ID68" s="110"/>
      <c r="IE68" s="110"/>
      <c r="IF68" s="110"/>
      <c r="IG68" s="110"/>
      <c r="IH68" s="110"/>
      <c r="II68" s="110"/>
      <c r="IJ68" s="110"/>
      <c r="IK68" s="110"/>
      <c r="IL68" s="110"/>
      <c r="IM68" s="110"/>
      <c r="IN68" s="110"/>
      <c r="IO68" s="110"/>
      <c r="IP68" s="110"/>
      <c r="IQ68" s="110"/>
      <c r="IR68" s="110"/>
      <c r="IS68" s="110"/>
      <c r="IT68" s="110"/>
      <c r="IU68" s="110"/>
      <c r="IV68" s="110"/>
      <c r="IW68" s="110"/>
      <c r="IX68" s="110"/>
      <c r="IY68" s="110"/>
      <c r="IZ68" s="110"/>
      <c r="JA68" s="110"/>
      <c r="JB68" s="110"/>
      <c r="JC68" s="110"/>
      <c r="JD68" s="110"/>
      <c r="JE68" s="110"/>
      <c r="JF68" s="110"/>
      <c r="JG68" s="110"/>
      <c r="JH68" s="110"/>
      <c r="JI68" s="110"/>
      <c r="JJ68" s="110"/>
      <c r="JK68" s="110"/>
      <c r="JL68" s="110"/>
      <c r="JM68" s="110"/>
      <c r="JN68" s="110"/>
      <c r="JO68" s="110"/>
      <c r="JP68" s="110"/>
      <c r="JQ68" s="110"/>
      <c r="JR68" s="110"/>
      <c r="JS68" s="110"/>
      <c r="JT68" s="110"/>
      <c r="JU68" s="110"/>
      <c r="JV68" s="110"/>
      <c r="JW68" s="110"/>
      <c r="JX68" s="110"/>
      <c r="JY68" s="110"/>
      <c r="JZ68" s="110"/>
      <c r="KA68" s="110"/>
      <c r="KB68" s="110"/>
      <c r="KC68" s="110"/>
      <c r="KD68" s="110"/>
      <c r="KE68" s="110"/>
      <c r="KF68" s="110"/>
      <c r="KG68" s="110"/>
      <c r="KH68" s="110"/>
      <c r="KI68" s="110"/>
      <c r="KJ68" s="110"/>
      <c r="KK68" s="110"/>
      <c r="KL68" s="110"/>
      <c r="KM68" s="110"/>
      <c r="KN68" s="110"/>
    </row>
    <row r="69" spans="1:300" ht="19.2" customHeight="1" x14ac:dyDescent="0.3">
      <c r="A69" s="110"/>
      <c r="B69" s="110"/>
      <c r="C69" s="110"/>
      <c r="D69" s="110"/>
      <c r="E69" s="110"/>
      <c r="F69" s="110"/>
      <c r="G69" s="112" t="str">
        <v xml:space="preserve">66 </v>
      </c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  <c r="GG69" s="110"/>
      <c r="GH69" s="110"/>
      <c r="GI69" s="110"/>
      <c r="GJ69" s="110"/>
      <c r="GK69" s="110"/>
      <c r="GL69" s="110"/>
      <c r="GM69" s="110"/>
      <c r="GN69" s="110"/>
      <c r="GO69" s="110"/>
      <c r="GP69" s="110"/>
      <c r="GQ69" s="110"/>
      <c r="GR69" s="110"/>
      <c r="GS69" s="110"/>
      <c r="GT69" s="110"/>
      <c r="GU69" s="110"/>
      <c r="GV69" s="110"/>
      <c r="GW69" s="110"/>
      <c r="GX69" s="110"/>
      <c r="GY69" s="110"/>
      <c r="GZ69" s="110"/>
      <c r="HA69" s="110"/>
      <c r="HB69" s="110"/>
      <c r="HC69" s="110"/>
      <c r="HD69" s="110"/>
      <c r="HE69" s="110"/>
      <c r="HF69" s="110"/>
      <c r="HG69" s="110"/>
      <c r="HH69" s="110"/>
      <c r="HI69" s="110"/>
      <c r="HJ69" s="110"/>
      <c r="HK69" s="110"/>
      <c r="HL69" s="110"/>
      <c r="HM69" s="110"/>
      <c r="HN69" s="110"/>
      <c r="HO69" s="110"/>
      <c r="HP69" s="110"/>
      <c r="HQ69" s="110"/>
      <c r="HR69" s="110"/>
      <c r="HS69" s="110"/>
      <c r="HT69" s="110"/>
      <c r="HU69" s="110"/>
      <c r="HV69" s="110"/>
      <c r="HW69" s="110"/>
      <c r="HX69" s="110"/>
      <c r="HY69" s="110"/>
      <c r="HZ69" s="110"/>
      <c r="IA69" s="110"/>
      <c r="IB69" s="110"/>
      <c r="IC69" s="110"/>
      <c r="ID69" s="110"/>
      <c r="IE69" s="110"/>
      <c r="IF69" s="110"/>
      <c r="IG69" s="110"/>
      <c r="IH69" s="110"/>
      <c r="II69" s="110"/>
      <c r="IJ69" s="110"/>
      <c r="IK69" s="110"/>
      <c r="IL69" s="110"/>
      <c r="IM69" s="110"/>
      <c r="IN69" s="110"/>
      <c r="IO69" s="110"/>
      <c r="IP69" s="110"/>
      <c r="IQ69" s="110"/>
      <c r="IR69" s="110"/>
      <c r="IS69" s="110"/>
      <c r="IT69" s="110"/>
      <c r="IU69" s="110"/>
      <c r="IV69" s="110"/>
      <c r="IW69" s="110"/>
      <c r="IX69" s="110"/>
      <c r="IY69" s="110"/>
      <c r="IZ69" s="110"/>
      <c r="JA69" s="110"/>
      <c r="JB69" s="110"/>
      <c r="JC69" s="110"/>
      <c r="JD69" s="110"/>
      <c r="JE69" s="110"/>
      <c r="JF69" s="110"/>
      <c r="JG69" s="110"/>
      <c r="JH69" s="110"/>
      <c r="JI69" s="110"/>
      <c r="JJ69" s="110"/>
      <c r="JK69" s="110"/>
      <c r="JL69" s="110"/>
      <c r="JM69" s="110"/>
      <c r="JN69" s="110"/>
      <c r="JO69" s="110"/>
      <c r="JP69" s="110"/>
      <c r="JQ69" s="110"/>
      <c r="JR69" s="110"/>
      <c r="JS69" s="110"/>
      <c r="JT69" s="110"/>
      <c r="JU69" s="110"/>
      <c r="JV69" s="110"/>
      <c r="JW69" s="110"/>
      <c r="JX69" s="110"/>
      <c r="JY69" s="110"/>
      <c r="JZ69" s="110"/>
      <c r="KA69" s="110"/>
      <c r="KB69" s="110"/>
      <c r="KC69" s="110"/>
      <c r="KD69" s="110"/>
      <c r="KE69" s="110"/>
      <c r="KF69" s="110"/>
      <c r="KG69" s="110"/>
      <c r="KH69" s="110"/>
      <c r="KI69" s="110"/>
      <c r="KJ69" s="110"/>
      <c r="KK69" s="110"/>
      <c r="KL69" s="110"/>
      <c r="KM69" s="110"/>
      <c r="KN69" s="110"/>
    </row>
    <row r="70" spans="1:300" ht="19.2" customHeight="1" x14ac:dyDescent="0.3">
      <c r="A70" s="110"/>
      <c r="B70" s="110"/>
      <c r="C70" s="110"/>
      <c r="D70" s="110"/>
      <c r="E70" s="110"/>
      <c r="F70" s="110"/>
      <c r="G70" s="112" t="str">
        <v xml:space="preserve">67 </v>
      </c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  <c r="GG70" s="110"/>
      <c r="GH70" s="110"/>
      <c r="GI70" s="110"/>
      <c r="GJ70" s="110"/>
      <c r="GK70" s="110"/>
      <c r="GL70" s="110"/>
      <c r="GM70" s="110"/>
      <c r="GN70" s="110"/>
      <c r="GO70" s="110"/>
      <c r="GP70" s="110"/>
      <c r="GQ70" s="110"/>
      <c r="GR70" s="110"/>
      <c r="GS70" s="110"/>
      <c r="GT70" s="110"/>
      <c r="GU70" s="110"/>
      <c r="GV70" s="110"/>
      <c r="GW70" s="110"/>
      <c r="GX70" s="110"/>
      <c r="GY70" s="110"/>
      <c r="GZ70" s="110"/>
      <c r="HA70" s="110"/>
      <c r="HB70" s="110"/>
      <c r="HC70" s="110"/>
      <c r="HD70" s="110"/>
      <c r="HE70" s="110"/>
      <c r="HF70" s="110"/>
      <c r="HG70" s="110"/>
      <c r="HH70" s="110"/>
      <c r="HI70" s="110"/>
      <c r="HJ70" s="110"/>
      <c r="HK70" s="110"/>
      <c r="HL70" s="110"/>
      <c r="HM70" s="110"/>
      <c r="HN70" s="110"/>
      <c r="HO70" s="110"/>
      <c r="HP70" s="110"/>
      <c r="HQ70" s="110"/>
      <c r="HR70" s="110"/>
      <c r="HS70" s="110"/>
      <c r="HT70" s="110"/>
      <c r="HU70" s="110"/>
      <c r="HV70" s="110"/>
      <c r="HW70" s="110"/>
      <c r="HX70" s="110"/>
      <c r="HY70" s="110"/>
      <c r="HZ70" s="110"/>
      <c r="IA70" s="110"/>
      <c r="IB70" s="110"/>
      <c r="IC70" s="110"/>
      <c r="ID70" s="110"/>
      <c r="IE70" s="110"/>
      <c r="IF70" s="110"/>
      <c r="IG70" s="110"/>
      <c r="IH70" s="110"/>
      <c r="II70" s="110"/>
      <c r="IJ70" s="110"/>
      <c r="IK70" s="110"/>
      <c r="IL70" s="110"/>
      <c r="IM70" s="110"/>
      <c r="IN70" s="110"/>
      <c r="IO70" s="110"/>
      <c r="IP70" s="110"/>
      <c r="IQ70" s="110"/>
      <c r="IR70" s="110"/>
      <c r="IS70" s="110"/>
      <c r="IT70" s="110"/>
      <c r="IU70" s="110"/>
      <c r="IV70" s="110"/>
      <c r="IW70" s="110"/>
      <c r="IX70" s="110"/>
      <c r="IY70" s="110"/>
      <c r="IZ70" s="110"/>
      <c r="JA70" s="110"/>
      <c r="JB70" s="110"/>
      <c r="JC70" s="110"/>
      <c r="JD70" s="110"/>
      <c r="JE70" s="110"/>
      <c r="JF70" s="110"/>
      <c r="JG70" s="110"/>
      <c r="JH70" s="110"/>
      <c r="JI70" s="110"/>
      <c r="JJ70" s="110"/>
      <c r="JK70" s="110"/>
      <c r="JL70" s="110"/>
      <c r="JM70" s="110"/>
      <c r="JN70" s="110"/>
      <c r="JO70" s="110"/>
      <c r="JP70" s="110"/>
      <c r="JQ70" s="110"/>
      <c r="JR70" s="110"/>
      <c r="JS70" s="110"/>
      <c r="JT70" s="110"/>
      <c r="JU70" s="110"/>
      <c r="JV70" s="110"/>
      <c r="JW70" s="110"/>
      <c r="JX70" s="110"/>
      <c r="JY70" s="110"/>
      <c r="JZ70" s="110"/>
      <c r="KA70" s="110"/>
      <c r="KB70" s="110"/>
      <c r="KC70" s="110"/>
      <c r="KD70" s="110"/>
      <c r="KE70" s="110"/>
      <c r="KF70" s="110"/>
      <c r="KG70" s="110"/>
      <c r="KH70" s="110"/>
      <c r="KI70" s="110"/>
      <c r="KJ70" s="110"/>
      <c r="KK70" s="110"/>
      <c r="KL70" s="110"/>
      <c r="KM70" s="110"/>
      <c r="KN70" s="110"/>
    </row>
    <row r="71" spans="1:300" ht="19.2" customHeight="1" x14ac:dyDescent="0.3">
      <c r="A71" s="110"/>
      <c r="B71" s="110"/>
      <c r="C71" s="110"/>
      <c r="D71" s="110"/>
      <c r="E71" s="110"/>
      <c r="F71" s="110"/>
      <c r="G71" s="112" t="str">
        <v xml:space="preserve">68 </v>
      </c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  <c r="GP71" s="110"/>
      <c r="GQ71" s="110"/>
      <c r="GR71" s="110"/>
      <c r="GS71" s="110"/>
      <c r="GT71" s="110"/>
      <c r="GU71" s="110"/>
      <c r="GV71" s="110"/>
      <c r="GW71" s="110"/>
      <c r="GX71" s="110"/>
      <c r="GY71" s="110"/>
      <c r="GZ71" s="110"/>
      <c r="HA71" s="110"/>
      <c r="HB71" s="110"/>
      <c r="HC71" s="110"/>
      <c r="HD71" s="110"/>
      <c r="HE71" s="110"/>
      <c r="HF71" s="110"/>
      <c r="HG71" s="110"/>
      <c r="HH71" s="110"/>
      <c r="HI71" s="110"/>
      <c r="HJ71" s="110"/>
      <c r="HK71" s="110"/>
      <c r="HL71" s="110"/>
      <c r="HM71" s="110"/>
      <c r="HN71" s="110"/>
      <c r="HO71" s="110"/>
      <c r="HP71" s="110"/>
      <c r="HQ71" s="110"/>
      <c r="HR71" s="110"/>
      <c r="HS71" s="110"/>
      <c r="HT71" s="110"/>
      <c r="HU71" s="110"/>
      <c r="HV71" s="110"/>
      <c r="HW71" s="110"/>
      <c r="HX71" s="110"/>
      <c r="HY71" s="110"/>
      <c r="HZ71" s="110"/>
      <c r="IA71" s="110"/>
      <c r="IB71" s="110"/>
      <c r="IC71" s="110"/>
      <c r="ID71" s="110"/>
      <c r="IE71" s="110"/>
      <c r="IF71" s="110"/>
      <c r="IG71" s="110"/>
      <c r="IH71" s="110"/>
      <c r="II71" s="110"/>
      <c r="IJ71" s="110"/>
      <c r="IK71" s="110"/>
      <c r="IL71" s="110"/>
      <c r="IM71" s="110"/>
      <c r="IN71" s="110"/>
      <c r="IO71" s="110"/>
      <c r="IP71" s="110"/>
      <c r="IQ71" s="110"/>
      <c r="IR71" s="110"/>
      <c r="IS71" s="110"/>
      <c r="IT71" s="110"/>
      <c r="IU71" s="110"/>
      <c r="IV71" s="110"/>
      <c r="IW71" s="110"/>
      <c r="IX71" s="110"/>
      <c r="IY71" s="110"/>
      <c r="IZ71" s="110"/>
      <c r="JA71" s="110"/>
      <c r="JB71" s="110"/>
      <c r="JC71" s="110"/>
      <c r="JD71" s="110"/>
      <c r="JE71" s="110"/>
      <c r="JF71" s="110"/>
      <c r="JG71" s="110"/>
      <c r="JH71" s="110"/>
      <c r="JI71" s="110"/>
      <c r="JJ71" s="110"/>
      <c r="JK71" s="110"/>
      <c r="JL71" s="110"/>
      <c r="JM71" s="110"/>
      <c r="JN71" s="110"/>
      <c r="JO71" s="110"/>
      <c r="JP71" s="110"/>
      <c r="JQ71" s="110"/>
      <c r="JR71" s="110"/>
      <c r="JS71" s="110"/>
      <c r="JT71" s="110"/>
      <c r="JU71" s="110"/>
      <c r="JV71" s="110"/>
      <c r="JW71" s="110"/>
      <c r="JX71" s="110"/>
      <c r="JY71" s="110"/>
      <c r="JZ71" s="110"/>
      <c r="KA71" s="110"/>
      <c r="KB71" s="110"/>
      <c r="KC71" s="110"/>
      <c r="KD71" s="110"/>
      <c r="KE71" s="110"/>
      <c r="KF71" s="110"/>
      <c r="KG71" s="110"/>
      <c r="KH71" s="110"/>
      <c r="KI71" s="110"/>
      <c r="KJ71" s="110"/>
      <c r="KK71" s="110"/>
      <c r="KL71" s="110"/>
      <c r="KM71" s="110"/>
      <c r="KN71" s="110"/>
    </row>
    <row r="72" spans="1:300" ht="19.2" customHeight="1" x14ac:dyDescent="0.3">
      <c r="A72" s="110"/>
      <c r="B72" s="110"/>
      <c r="C72" s="110"/>
      <c r="D72" s="110"/>
      <c r="E72" s="110"/>
      <c r="F72" s="110"/>
      <c r="G72" s="112" t="str">
        <v xml:space="preserve">69 </v>
      </c>
      <c r="BA72" s="92"/>
      <c r="BB72" s="92"/>
      <c r="BC72" s="92"/>
      <c r="BD72" s="103"/>
      <c r="BE72" s="103"/>
      <c r="BF72" s="103"/>
      <c r="CG72" s="92"/>
      <c r="CH72" s="92"/>
      <c r="CI72" s="92"/>
      <c r="CJ72" s="103"/>
      <c r="CK72" s="103"/>
      <c r="CL72" s="103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  <c r="GP72" s="110"/>
      <c r="GQ72" s="110"/>
      <c r="GR72" s="110"/>
      <c r="GS72" s="110"/>
      <c r="GT72" s="110"/>
      <c r="GU72" s="110"/>
      <c r="GV72" s="110"/>
      <c r="GW72" s="110"/>
      <c r="GX72" s="110"/>
      <c r="GY72" s="110"/>
      <c r="GZ72" s="110"/>
      <c r="HA72" s="110"/>
      <c r="HB72" s="110"/>
      <c r="HC72" s="110"/>
      <c r="HD72" s="110"/>
      <c r="HE72" s="110"/>
      <c r="HF72" s="110"/>
      <c r="HG72" s="110"/>
      <c r="HH72" s="110"/>
      <c r="HI72" s="110"/>
      <c r="HJ72" s="110"/>
      <c r="HK72" s="110"/>
      <c r="HL72" s="110"/>
      <c r="HM72" s="110"/>
      <c r="HN72" s="110"/>
      <c r="HO72" s="110"/>
      <c r="HP72" s="110"/>
      <c r="HQ72" s="110"/>
      <c r="HR72" s="110"/>
      <c r="HS72" s="110"/>
      <c r="HT72" s="110"/>
      <c r="HU72" s="110"/>
      <c r="HV72" s="110"/>
      <c r="HW72" s="110"/>
      <c r="HX72" s="110"/>
      <c r="HY72" s="110"/>
      <c r="HZ72" s="110"/>
      <c r="IA72" s="110"/>
      <c r="IB72" s="110"/>
      <c r="IC72" s="110"/>
      <c r="ID72" s="110"/>
      <c r="IE72" s="110"/>
      <c r="IF72" s="110"/>
      <c r="IG72" s="110"/>
      <c r="IH72" s="110"/>
      <c r="II72" s="110"/>
      <c r="IJ72" s="110"/>
      <c r="IK72" s="110"/>
      <c r="IL72" s="110"/>
      <c r="IM72" s="110"/>
      <c r="IN72" s="110"/>
      <c r="IO72" s="110"/>
      <c r="IP72" s="110"/>
      <c r="IQ72" s="110"/>
      <c r="IR72" s="110"/>
      <c r="IS72" s="110"/>
      <c r="IT72" s="110"/>
      <c r="IU72" s="110"/>
      <c r="IV72" s="110"/>
      <c r="IW72" s="110"/>
      <c r="IX72" s="110"/>
      <c r="IY72" s="110"/>
      <c r="IZ72" s="110"/>
      <c r="JA72" s="110"/>
      <c r="JB72" s="110"/>
      <c r="JC72" s="110"/>
      <c r="JD72" s="110"/>
      <c r="JE72" s="110"/>
      <c r="JF72" s="110"/>
      <c r="JG72" s="110"/>
      <c r="JH72" s="110"/>
      <c r="JI72" s="110"/>
      <c r="JJ72" s="110"/>
      <c r="JK72" s="110"/>
      <c r="JL72" s="110"/>
      <c r="JM72" s="110"/>
      <c r="JN72" s="110"/>
      <c r="JO72" s="110"/>
      <c r="JP72" s="110"/>
      <c r="JQ72" s="110"/>
      <c r="JR72" s="110"/>
      <c r="JS72" s="110"/>
      <c r="JT72" s="110"/>
      <c r="JU72" s="110"/>
      <c r="JV72" s="110"/>
      <c r="JW72" s="110"/>
      <c r="JX72" s="110"/>
      <c r="JY72" s="110"/>
      <c r="JZ72" s="110"/>
      <c r="KA72" s="110"/>
      <c r="KB72" s="110"/>
      <c r="KC72" s="110"/>
      <c r="KD72" s="110"/>
      <c r="KE72" s="110"/>
      <c r="KF72" s="110"/>
      <c r="KG72" s="110"/>
      <c r="KH72" s="110"/>
      <c r="KI72" s="110"/>
      <c r="KJ72" s="110"/>
      <c r="KK72" s="110"/>
      <c r="KL72" s="110"/>
      <c r="KM72" s="110"/>
      <c r="KN72" s="110"/>
    </row>
    <row r="73" spans="1:300" ht="19.2" customHeight="1" x14ac:dyDescent="0.3">
      <c r="A73" s="110"/>
      <c r="B73" s="110"/>
      <c r="C73" s="110"/>
      <c r="D73" s="110"/>
      <c r="E73" s="110"/>
      <c r="F73" s="110"/>
      <c r="G73" s="112" t="str">
        <v xml:space="preserve">70 </v>
      </c>
      <c r="U73" s="92"/>
      <c r="V73" s="92"/>
      <c r="W73" s="92"/>
      <c r="X73" s="103"/>
      <c r="Y73" s="103"/>
      <c r="Z73" s="103"/>
      <c r="AY73" s="92"/>
      <c r="AZ73" s="92"/>
      <c r="BA73" s="93"/>
      <c r="BB73" s="93"/>
      <c r="BC73" s="93"/>
      <c r="BD73" s="98"/>
      <c r="BE73" s="98"/>
      <c r="BF73" s="99"/>
      <c r="BG73" s="103"/>
      <c r="BH73" s="103"/>
      <c r="CE73" s="92"/>
      <c r="CF73" s="92"/>
      <c r="CG73" s="93"/>
      <c r="CH73" s="93"/>
      <c r="CI73" s="93"/>
      <c r="CJ73" s="98"/>
      <c r="CK73" s="98"/>
      <c r="CL73" s="99"/>
      <c r="CM73" s="103"/>
      <c r="CN73" s="103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  <c r="GG73" s="110"/>
      <c r="GH73" s="110"/>
      <c r="GI73" s="110"/>
      <c r="GJ73" s="110"/>
      <c r="GK73" s="110"/>
      <c r="GL73" s="110"/>
      <c r="GM73" s="110"/>
      <c r="GN73" s="110"/>
      <c r="GO73" s="110"/>
      <c r="GP73" s="110"/>
      <c r="GQ73" s="110"/>
      <c r="GR73" s="110"/>
      <c r="GS73" s="110"/>
      <c r="GT73" s="110"/>
      <c r="GU73" s="110"/>
      <c r="GV73" s="110"/>
      <c r="GW73" s="110"/>
      <c r="GX73" s="110"/>
      <c r="GY73" s="110"/>
      <c r="GZ73" s="110"/>
      <c r="HA73" s="110"/>
      <c r="HB73" s="110"/>
      <c r="HC73" s="110"/>
      <c r="HD73" s="110"/>
      <c r="HE73" s="110"/>
      <c r="HF73" s="110"/>
      <c r="HG73" s="110"/>
      <c r="HH73" s="110"/>
      <c r="HI73" s="110"/>
      <c r="HJ73" s="110"/>
      <c r="HK73" s="110"/>
      <c r="HL73" s="110"/>
      <c r="HM73" s="110"/>
      <c r="HN73" s="110"/>
      <c r="HO73" s="110"/>
      <c r="HP73" s="110"/>
      <c r="HQ73" s="110"/>
      <c r="HR73" s="110"/>
      <c r="HS73" s="110"/>
      <c r="HT73" s="110"/>
      <c r="HU73" s="110"/>
      <c r="HV73" s="110"/>
      <c r="HW73" s="110"/>
      <c r="HX73" s="110"/>
      <c r="HY73" s="110"/>
      <c r="HZ73" s="110"/>
      <c r="IA73" s="110"/>
      <c r="IB73" s="110"/>
      <c r="IC73" s="110"/>
      <c r="ID73" s="110"/>
      <c r="IE73" s="110"/>
      <c r="IF73" s="110"/>
      <c r="IG73" s="110"/>
      <c r="IH73" s="110"/>
      <c r="II73" s="110"/>
      <c r="IJ73" s="110"/>
      <c r="IK73" s="110"/>
      <c r="IL73" s="110"/>
      <c r="IM73" s="110"/>
      <c r="IN73" s="110"/>
      <c r="IO73" s="110"/>
      <c r="IP73" s="110"/>
      <c r="IQ73" s="110"/>
      <c r="IR73" s="110"/>
      <c r="IS73" s="110"/>
      <c r="IT73" s="110"/>
      <c r="IU73" s="110"/>
      <c r="IV73" s="110"/>
      <c r="IW73" s="110"/>
      <c r="IX73" s="110"/>
      <c r="IY73" s="110"/>
      <c r="IZ73" s="110"/>
      <c r="JA73" s="110"/>
      <c r="JB73" s="110"/>
      <c r="JC73" s="110"/>
      <c r="JD73" s="110"/>
      <c r="JE73" s="110"/>
      <c r="JF73" s="110"/>
      <c r="JG73" s="110"/>
      <c r="JH73" s="110"/>
      <c r="JI73" s="110"/>
      <c r="JJ73" s="110"/>
      <c r="JK73" s="110"/>
      <c r="JL73" s="110"/>
      <c r="JM73" s="110"/>
      <c r="JN73" s="110"/>
      <c r="JO73" s="110"/>
      <c r="JP73" s="110"/>
      <c r="JQ73" s="110"/>
      <c r="JR73" s="110"/>
      <c r="JS73" s="110"/>
      <c r="JT73" s="110"/>
      <c r="JU73" s="110"/>
      <c r="JV73" s="110"/>
      <c r="JW73" s="110"/>
      <c r="JX73" s="110"/>
      <c r="JY73" s="110"/>
      <c r="JZ73" s="110"/>
      <c r="KA73" s="110"/>
      <c r="KB73" s="110"/>
      <c r="KC73" s="110"/>
      <c r="KD73" s="110"/>
      <c r="KE73" s="110"/>
      <c r="KF73" s="110"/>
      <c r="KG73" s="110"/>
      <c r="KH73" s="110"/>
      <c r="KI73" s="110"/>
      <c r="KJ73" s="110"/>
      <c r="KK73" s="110"/>
      <c r="KL73" s="110"/>
      <c r="KM73" s="110"/>
      <c r="KN73" s="110"/>
    </row>
    <row r="74" spans="1:300" ht="19.2" customHeight="1" x14ac:dyDescent="0.3">
      <c r="A74" s="110"/>
      <c r="B74" s="110"/>
      <c r="C74" s="110"/>
      <c r="D74" s="110"/>
      <c r="E74" s="110"/>
      <c r="F74" s="110"/>
      <c r="G74" s="112" t="str">
        <v xml:space="preserve">71 </v>
      </c>
      <c r="S74" s="92"/>
      <c r="T74" s="92"/>
      <c r="U74" s="93"/>
      <c r="V74" s="93"/>
      <c r="W74" s="93"/>
      <c r="X74" s="98"/>
      <c r="Y74" s="98"/>
      <c r="Z74" s="99"/>
      <c r="AA74" s="103"/>
      <c r="AB74" s="103"/>
      <c r="AX74" s="92"/>
      <c r="AY74" s="93"/>
      <c r="AZ74" s="93"/>
      <c r="BA74" s="93"/>
      <c r="BB74" s="93"/>
      <c r="BC74" s="95"/>
      <c r="BD74" s="95"/>
      <c r="BE74" s="98"/>
      <c r="BF74" s="98"/>
      <c r="BG74" s="98"/>
      <c r="BH74" s="99"/>
      <c r="BI74" s="103"/>
      <c r="CD74" s="92"/>
      <c r="CE74" s="93"/>
      <c r="CF74" s="93"/>
      <c r="CG74" s="93"/>
      <c r="CH74" s="93"/>
      <c r="CI74" s="95"/>
      <c r="CJ74" s="95"/>
      <c r="CK74" s="98"/>
      <c r="CL74" s="98"/>
      <c r="CM74" s="98"/>
      <c r="CN74" s="99"/>
      <c r="CO74" s="103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  <c r="GG74" s="110"/>
      <c r="GH74" s="110"/>
      <c r="GI74" s="110"/>
      <c r="GJ74" s="110"/>
      <c r="GK74" s="110"/>
      <c r="GL74" s="110"/>
      <c r="GM74" s="110"/>
      <c r="GN74" s="110"/>
      <c r="GO74" s="110"/>
      <c r="GP74" s="110"/>
      <c r="GQ74" s="110"/>
      <c r="GR74" s="110"/>
      <c r="GS74" s="110"/>
      <c r="GT74" s="110"/>
      <c r="GU74" s="110"/>
      <c r="GV74" s="110"/>
      <c r="GW74" s="110"/>
      <c r="GX74" s="110"/>
      <c r="GY74" s="110"/>
      <c r="GZ74" s="110"/>
      <c r="HA74" s="110"/>
      <c r="HB74" s="110"/>
      <c r="HC74" s="110"/>
      <c r="HD74" s="110"/>
      <c r="HE74" s="110"/>
      <c r="HF74" s="110"/>
      <c r="HG74" s="110"/>
      <c r="HH74" s="110"/>
      <c r="HI74" s="110"/>
      <c r="HJ74" s="110"/>
      <c r="HK74" s="110"/>
      <c r="HL74" s="110"/>
      <c r="HM74" s="110"/>
      <c r="HN74" s="110"/>
      <c r="HO74" s="110"/>
      <c r="HP74" s="110"/>
      <c r="HQ74" s="110"/>
      <c r="HR74" s="110"/>
      <c r="HS74" s="110"/>
      <c r="HT74" s="110"/>
      <c r="HU74" s="110"/>
      <c r="HV74" s="110"/>
      <c r="HW74" s="110"/>
      <c r="HX74" s="110"/>
      <c r="HY74" s="110"/>
      <c r="HZ74" s="110"/>
      <c r="IA74" s="110"/>
      <c r="IB74" s="110"/>
      <c r="IC74" s="110"/>
      <c r="ID74" s="110"/>
      <c r="IE74" s="110"/>
      <c r="IF74" s="110"/>
      <c r="IG74" s="110"/>
      <c r="IH74" s="110"/>
      <c r="II74" s="110"/>
      <c r="IJ74" s="110"/>
      <c r="IK74" s="110"/>
      <c r="IL74" s="110"/>
      <c r="IM74" s="110"/>
      <c r="IN74" s="110"/>
      <c r="IO74" s="110"/>
      <c r="IP74" s="110"/>
      <c r="IQ74" s="110"/>
      <c r="IR74" s="110"/>
      <c r="IS74" s="110"/>
      <c r="IT74" s="110"/>
      <c r="IU74" s="110"/>
      <c r="IV74" s="110"/>
      <c r="IW74" s="110"/>
      <c r="IX74" s="110"/>
      <c r="IY74" s="110"/>
      <c r="IZ74" s="110"/>
      <c r="JA74" s="110"/>
      <c r="JB74" s="110"/>
      <c r="JC74" s="110"/>
      <c r="JD74" s="110"/>
      <c r="JE74" s="110"/>
      <c r="JF74" s="110"/>
      <c r="JG74" s="110"/>
      <c r="JH74" s="110"/>
      <c r="JI74" s="110"/>
      <c r="JJ74" s="110"/>
      <c r="JK74" s="110"/>
      <c r="JL74" s="110"/>
      <c r="JM74" s="110"/>
      <c r="JN74" s="110"/>
      <c r="JO74" s="110"/>
      <c r="JP74" s="110"/>
      <c r="JQ74" s="110"/>
      <c r="JR74" s="110"/>
      <c r="JS74" s="110"/>
      <c r="JT74" s="110"/>
      <c r="JU74" s="110"/>
      <c r="JV74" s="110"/>
      <c r="JW74" s="110"/>
      <c r="JX74" s="110"/>
      <c r="JY74" s="110"/>
      <c r="JZ74" s="110"/>
      <c r="KA74" s="110"/>
      <c r="KB74" s="110"/>
      <c r="KC74" s="110"/>
      <c r="KD74" s="110"/>
      <c r="KE74" s="110"/>
      <c r="KF74" s="110"/>
      <c r="KG74" s="110"/>
      <c r="KH74" s="110"/>
      <c r="KI74" s="110"/>
      <c r="KJ74" s="110"/>
      <c r="KK74" s="110"/>
      <c r="KL74" s="110"/>
      <c r="KM74" s="110"/>
      <c r="KN74" s="110"/>
    </row>
    <row r="75" spans="1:300" ht="19.2" customHeight="1" x14ac:dyDescent="0.3">
      <c r="A75" s="110"/>
      <c r="B75" s="110"/>
      <c r="C75" s="110"/>
      <c r="D75" s="110"/>
      <c r="E75" s="110"/>
      <c r="F75" s="110"/>
      <c r="G75" s="112" t="str">
        <v xml:space="preserve">72 </v>
      </c>
      <c r="R75" s="92"/>
      <c r="S75" s="93"/>
      <c r="T75" s="93"/>
      <c r="U75" s="93"/>
      <c r="V75" s="93"/>
      <c r="W75" s="95"/>
      <c r="X75" s="95"/>
      <c r="Y75" s="98"/>
      <c r="Z75" s="98"/>
      <c r="AA75" s="98"/>
      <c r="AB75" s="99"/>
      <c r="AC75" s="103"/>
      <c r="AW75" s="96"/>
      <c r="AX75" s="94"/>
      <c r="AY75" s="93"/>
      <c r="AZ75" s="93"/>
      <c r="BA75" s="93"/>
      <c r="BB75" s="93"/>
      <c r="BC75" s="95"/>
      <c r="BD75" s="95"/>
      <c r="BE75" s="98"/>
      <c r="BF75" s="98"/>
      <c r="BG75" s="98"/>
      <c r="BH75" s="97"/>
      <c r="BI75" s="99"/>
      <c r="BJ75" s="96"/>
      <c r="CC75" s="96"/>
      <c r="CD75" s="94"/>
      <c r="CE75" s="93"/>
      <c r="CF75" s="93"/>
      <c r="CG75" s="93"/>
      <c r="CH75" s="93"/>
      <c r="CI75" s="95"/>
      <c r="CJ75" s="95"/>
      <c r="CK75" s="98"/>
      <c r="CL75" s="98"/>
      <c r="CM75" s="98"/>
      <c r="CN75" s="97"/>
      <c r="CO75" s="99"/>
      <c r="CP75" s="96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  <c r="GG75" s="110"/>
      <c r="GH75" s="110"/>
      <c r="GI75" s="110"/>
      <c r="GJ75" s="110"/>
      <c r="GK75" s="110"/>
      <c r="GL75" s="110"/>
      <c r="GM75" s="110"/>
      <c r="GN75" s="110"/>
      <c r="GO75" s="110"/>
      <c r="GP75" s="110"/>
      <c r="GQ75" s="110"/>
      <c r="GR75" s="110"/>
      <c r="GS75" s="110"/>
      <c r="GT75" s="110"/>
      <c r="GU75" s="110"/>
      <c r="GV75" s="110"/>
      <c r="GW75" s="110"/>
      <c r="GX75" s="110"/>
      <c r="GY75" s="110"/>
      <c r="GZ75" s="110"/>
      <c r="HA75" s="110"/>
      <c r="HB75" s="110"/>
      <c r="HC75" s="110"/>
      <c r="HD75" s="110"/>
      <c r="HE75" s="110"/>
      <c r="HF75" s="110"/>
      <c r="HG75" s="110"/>
      <c r="HH75" s="110"/>
      <c r="HI75" s="110"/>
      <c r="HJ75" s="110"/>
      <c r="HK75" s="110"/>
      <c r="HL75" s="110"/>
      <c r="HM75" s="110"/>
      <c r="HN75" s="110"/>
      <c r="HO75" s="110"/>
      <c r="HP75" s="110"/>
      <c r="HQ75" s="110"/>
      <c r="HR75" s="110"/>
      <c r="HS75" s="110"/>
      <c r="HT75" s="110"/>
      <c r="HU75" s="110"/>
      <c r="HV75" s="110"/>
      <c r="HW75" s="110"/>
      <c r="HX75" s="110"/>
      <c r="HY75" s="110"/>
      <c r="HZ75" s="110"/>
      <c r="IA75" s="110"/>
      <c r="IB75" s="110"/>
      <c r="IC75" s="110"/>
      <c r="ID75" s="110"/>
      <c r="IE75" s="110"/>
      <c r="IF75" s="110"/>
      <c r="IG75" s="110"/>
      <c r="IH75" s="110"/>
      <c r="II75" s="110"/>
      <c r="IJ75" s="110"/>
      <c r="IK75" s="110"/>
      <c r="IL75" s="110"/>
      <c r="IM75" s="110"/>
      <c r="IN75" s="110"/>
      <c r="IO75" s="110"/>
      <c r="IP75" s="110"/>
      <c r="IQ75" s="110"/>
      <c r="IR75" s="110"/>
      <c r="IS75" s="110"/>
      <c r="IT75" s="110"/>
      <c r="IU75" s="110"/>
      <c r="IV75" s="110"/>
      <c r="IW75" s="110"/>
      <c r="IX75" s="110"/>
      <c r="IY75" s="110"/>
      <c r="IZ75" s="110"/>
      <c r="JA75" s="110"/>
      <c r="JB75" s="110"/>
      <c r="JC75" s="110"/>
      <c r="JD75" s="110"/>
      <c r="JE75" s="110"/>
      <c r="JF75" s="110"/>
      <c r="JG75" s="110"/>
      <c r="JH75" s="110"/>
      <c r="JI75" s="110"/>
      <c r="JJ75" s="110"/>
      <c r="JK75" s="110"/>
      <c r="JL75" s="110"/>
      <c r="JM75" s="110"/>
      <c r="JN75" s="110"/>
      <c r="JO75" s="110"/>
      <c r="JP75" s="110"/>
      <c r="JQ75" s="110"/>
      <c r="JR75" s="110"/>
      <c r="JS75" s="110"/>
      <c r="JT75" s="110"/>
      <c r="JU75" s="110"/>
      <c r="JV75" s="110"/>
      <c r="JW75" s="110"/>
      <c r="JX75" s="110"/>
      <c r="JY75" s="110"/>
      <c r="JZ75" s="110"/>
      <c r="KA75" s="110"/>
      <c r="KB75" s="110"/>
      <c r="KC75" s="110"/>
      <c r="KD75" s="110"/>
      <c r="KE75" s="110"/>
      <c r="KF75" s="110"/>
      <c r="KG75" s="110"/>
      <c r="KH75" s="110"/>
      <c r="KI75" s="110"/>
      <c r="KJ75" s="110"/>
      <c r="KK75" s="110"/>
      <c r="KL75" s="110"/>
      <c r="KM75" s="110"/>
      <c r="KN75" s="110"/>
    </row>
    <row r="76" spans="1:300" ht="19.2" customHeight="1" x14ac:dyDescent="0.3">
      <c r="A76" s="110"/>
      <c r="B76" s="110"/>
      <c r="C76" s="110"/>
      <c r="D76" s="110"/>
      <c r="E76" s="110"/>
      <c r="F76" s="110"/>
      <c r="G76" s="112" t="str">
        <v xml:space="preserve">73 </v>
      </c>
      <c r="Q76" s="96"/>
      <c r="R76" s="94"/>
      <c r="S76" s="93"/>
      <c r="T76" s="93"/>
      <c r="U76" s="93"/>
      <c r="V76" s="93"/>
      <c r="W76" s="95"/>
      <c r="X76" s="95"/>
      <c r="Y76" s="98"/>
      <c r="Z76" s="98"/>
      <c r="AA76" s="98"/>
      <c r="AB76" s="97"/>
      <c r="AC76" s="99"/>
      <c r="AD76" s="96"/>
      <c r="AW76" s="96"/>
      <c r="AX76" s="94"/>
      <c r="AY76" s="93"/>
      <c r="AZ76" s="93"/>
      <c r="BA76" s="93"/>
      <c r="BB76" s="93"/>
      <c r="BC76" s="93"/>
      <c r="BD76" s="98"/>
      <c r="BE76" s="98"/>
      <c r="BF76" s="98"/>
      <c r="BG76" s="98"/>
      <c r="BH76" s="97"/>
      <c r="BI76" s="99"/>
      <c r="BJ76" s="96"/>
      <c r="CC76" s="96"/>
      <c r="CD76" s="94"/>
      <c r="CE76" s="93"/>
      <c r="CF76" s="93"/>
      <c r="CG76" s="93"/>
      <c r="CH76" s="93"/>
      <c r="CI76" s="93"/>
      <c r="CJ76" s="98"/>
      <c r="CK76" s="98"/>
      <c r="CL76" s="98"/>
      <c r="CM76" s="98"/>
      <c r="CN76" s="97"/>
      <c r="CO76" s="99"/>
      <c r="CP76" s="96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  <c r="GG76" s="110"/>
      <c r="GH76" s="110"/>
      <c r="GI76" s="110"/>
      <c r="GJ76" s="110"/>
      <c r="GK76" s="110"/>
      <c r="GL76" s="110"/>
      <c r="GM76" s="110"/>
      <c r="GN76" s="110"/>
      <c r="GO76" s="110"/>
      <c r="GP76" s="110"/>
      <c r="GQ76" s="110"/>
      <c r="GR76" s="110"/>
      <c r="GS76" s="110"/>
      <c r="GT76" s="110"/>
      <c r="GU76" s="110"/>
      <c r="GV76" s="110"/>
      <c r="GW76" s="110"/>
      <c r="GX76" s="110"/>
      <c r="GY76" s="110"/>
      <c r="GZ76" s="110"/>
      <c r="HA76" s="110"/>
      <c r="HB76" s="110"/>
      <c r="HC76" s="110"/>
      <c r="HD76" s="110"/>
      <c r="HE76" s="110"/>
      <c r="HF76" s="110"/>
      <c r="HG76" s="110"/>
      <c r="HH76" s="110"/>
      <c r="HI76" s="110"/>
      <c r="HJ76" s="110"/>
      <c r="HK76" s="110"/>
      <c r="HL76" s="110"/>
      <c r="HM76" s="110"/>
      <c r="HN76" s="110"/>
      <c r="HO76" s="110"/>
      <c r="HP76" s="110"/>
      <c r="HQ76" s="110"/>
      <c r="HR76" s="110"/>
      <c r="HS76" s="110"/>
      <c r="HT76" s="110"/>
      <c r="HU76" s="110"/>
      <c r="HV76" s="110"/>
      <c r="HW76" s="110"/>
      <c r="HX76" s="110"/>
      <c r="HY76" s="110"/>
      <c r="HZ76" s="110"/>
      <c r="IA76" s="110"/>
      <c r="IB76" s="110"/>
      <c r="IC76" s="110"/>
      <c r="ID76" s="110"/>
      <c r="IE76" s="110"/>
      <c r="IF76" s="110"/>
      <c r="IG76" s="110"/>
      <c r="IH76" s="110"/>
      <c r="II76" s="110"/>
      <c r="IJ76" s="110"/>
      <c r="IK76" s="110"/>
      <c r="IL76" s="110"/>
      <c r="IM76" s="110"/>
      <c r="IN76" s="110"/>
      <c r="IO76" s="110"/>
      <c r="IP76" s="110"/>
      <c r="IQ76" s="110"/>
      <c r="IR76" s="110"/>
      <c r="IS76" s="110"/>
      <c r="IT76" s="110"/>
      <c r="IU76" s="110"/>
      <c r="IV76" s="110"/>
      <c r="IW76" s="110"/>
      <c r="IX76" s="110"/>
      <c r="IY76" s="110"/>
      <c r="IZ76" s="110"/>
      <c r="JA76" s="110"/>
      <c r="JB76" s="110"/>
      <c r="JC76" s="110"/>
      <c r="JD76" s="110"/>
      <c r="JE76" s="110"/>
      <c r="JF76" s="110"/>
      <c r="JG76" s="110"/>
      <c r="JH76" s="110"/>
      <c r="JI76" s="110"/>
      <c r="JJ76" s="110"/>
      <c r="JK76" s="110"/>
      <c r="JL76" s="110"/>
      <c r="JM76" s="110"/>
      <c r="JN76" s="110"/>
      <c r="JO76" s="110"/>
      <c r="JP76" s="110"/>
      <c r="JQ76" s="110"/>
      <c r="JR76" s="110"/>
      <c r="JS76" s="110"/>
      <c r="JT76" s="110"/>
      <c r="JU76" s="110"/>
      <c r="JV76" s="110"/>
      <c r="JW76" s="110"/>
      <c r="JX76" s="110"/>
      <c r="JY76" s="110"/>
      <c r="JZ76" s="110"/>
      <c r="KA76" s="110"/>
      <c r="KB76" s="110"/>
      <c r="KC76" s="110"/>
      <c r="KD76" s="110"/>
      <c r="KE76" s="110"/>
      <c r="KF76" s="110"/>
      <c r="KG76" s="110"/>
      <c r="KH76" s="110"/>
      <c r="KI76" s="110"/>
      <c r="KJ76" s="110"/>
      <c r="KK76" s="110"/>
      <c r="KL76" s="110"/>
      <c r="KM76" s="110"/>
      <c r="KN76" s="110"/>
    </row>
    <row r="77" spans="1:300" ht="19.2" customHeight="1" x14ac:dyDescent="0.3">
      <c r="A77" s="110"/>
      <c r="B77" s="110"/>
      <c r="C77" s="110"/>
      <c r="D77" s="110"/>
      <c r="E77" s="110"/>
      <c r="F77" s="110"/>
      <c r="G77" s="112" t="str">
        <v xml:space="preserve">74 </v>
      </c>
      <c r="Q77" s="96"/>
      <c r="R77" s="94"/>
      <c r="S77" s="93"/>
      <c r="T77" s="93"/>
      <c r="U77" s="93"/>
      <c r="V77" s="93"/>
      <c r="W77" s="93"/>
      <c r="X77" s="98"/>
      <c r="Y77" s="98"/>
      <c r="Z77" s="98"/>
      <c r="AA77" s="98"/>
      <c r="AB77" s="97"/>
      <c r="AC77" s="99"/>
      <c r="AD77" s="96"/>
      <c r="AV77" s="96"/>
      <c r="AW77" s="95"/>
      <c r="AX77" s="95"/>
      <c r="AY77" s="94"/>
      <c r="AZ77" s="93"/>
      <c r="BA77" s="93"/>
      <c r="BB77" s="93"/>
      <c r="BC77" s="93"/>
      <c r="BD77" s="98"/>
      <c r="BE77" s="98"/>
      <c r="BF77" s="98"/>
      <c r="BG77" s="98"/>
      <c r="BH77" s="99"/>
      <c r="BI77" s="99"/>
      <c r="BJ77" s="95"/>
      <c r="BK77" s="96"/>
      <c r="CB77" s="96"/>
      <c r="CC77" s="95"/>
      <c r="CD77" s="95"/>
      <c r="CE77" s="94"/>
      <c r="CF77" s="93"/>
      <c r="CG77" s="93"/>
      <c r="CH77" s="93"/>
      <c r="CI77" s="93"/>
      <c r="CJ77" s="98"/>
      <c r="CK77" s="98"/>
      <c r="CL77" s="98"/>
      <c r="CM77" s="98"/>
      <c r="CN77" s="99"/>
      <c r="CO77" s="99"/>
      <c r="CP77" s="95"/>
      <c r="CQ77" s="96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  <c r="GG77" s="110"/>
      <c r="GH77" s="110"/>
      <c r="GI77" s="110"/>
      <c r="GJ77" s="110"/>
      <c r="GK77" s="110"/>
      <c r="GL77" s="110"/>
      <c r="GM77" s="110"/>
      <c r="GN77" s="110"/>
      <c r="GO77" s="110"/>
      <c r="GP77" s="110"/>
      <c r="GQ77" s="110"/>
      <c r="GR77" s="110"/>
      <c r="GS77" s="110"/>
      <c r="GT77" s="110"/>
      <c r="GU77" s="110"/>
      <c r="GV77" s="110"/>
      <c r="GW77" s="110"/>
      <c r="GX77" s="110"/>
      <c r="GY77" s="110"/>
      <c r="GZ77" s="110"/>
      <c r="HA77" s="110"/>
      <c r="HB77" s="110"/>
      <c r="HC77" s="110"/>
      <c r="HD77" s="110"/>
      <c r="HE77" s="110"/>
      <c r="HF77" s="110"/>
      <c r="HG77" s="110"/>
      <c r="HH77" s="110"/>
      <c r="HI77" s="110"/>
      <c r="HJ77" s="110"/>
      <c r="HK77" s="110"/>
      <c r="HL77" s="110"/>
      <c r="HM77" s="110"/>
      <c r="HN77" s="110"/>
      <c r="HO77" s="110"/>
      <c r="HP77" s="110"/>
      <c r="HQ77" s="110"/>
      <c r="HR77" s="110"/>
      <c r="HS77" s="110"/>
      <c r="HT77" s="110"/>
      <c r="HU77" s="110"/>
      <c r="HV77" s="110"/>
      <c r="HW77" s="110"/>
      <c r="HX77" s="110"/>
      <c r="HY77" s="110"/>
      <c r="HZ77" s="110"/>
      <c r="IA77" s="110"/>
      <c r="IB77" s="110"/>
      <c r="IC77" s="110"/>
      <c r="ID77" s="110"/>
      <c r="IE77" s="110"/>
      <c r="IF77" s="110"/>
      <c r="IG77" s="110"/>
      <c r="IH77" s="110"/>
      <c r="II77" s="110"/>
      <c r="IJ77" s="110"/>
      <c r="IK77" s="110"/>
      <c r="IL77" s="110"/>
      <c r="IM77" s="110"/>
      <c r="IN77" s="110"/>
      <c r="IO77" s="110"/>
      <c r="IP77" s="110"/>
      <c r="IQ77" s="110"/>
      <c r="IR77" s="110"/>
      <c r="IS77" s="110"/>
      <c r="IT77" s="110"/>
      <c r="IU77" s="110"/>
      <c r="IV77" s="110"/>
      <c r="IW77" s="110"/>
      <c r="IX77" s="110"/>
      <c r="IY77" s="110"/>
      <c r="IZ77" s="110"/>
      <c r="JA77" s="110"/>
      <c r="JB77" s="110"/>
      <c r="JC77" s="110"/>
      <c r="JD77" s="110"/>
      <c r="JE77" s="110"/>
      <c r="JF77" s="110"/>
      <c r="JG77" s="110"/>
      <c r="JH77" s="110"/>
      <c r="JI77" s="110"/>
      <c r="JJ77" s="110"/>
      <c r="JK77" s="110"/>
      <c r="JL77" s="110"/>
      <c r="JM77" s="110"/>
      <c r="JN77" s="110"/>
      <c r="JO77" s="110"/>
      <c r="JP77" s="110"/>
      <c r="JQ77" s="110"/>
      <c r="JR77" s="110"/>
      <c r="JS77" s="110"/>
      <c r="JT77" s="110"/>
      <c r="JU77" s="110"/>
      <c r="JV77" s="110"/>
      <c r="JW77" s="110"/>
      <c r="JX77" s="110"/>
      <c r="JY77" s="110"/>
      <c r="JZ77" s="110"/>
      <c r="KA77" s="110"/>
      <c r="KB77" s="110"/>
      <c r="KC77" s="110"/>
      <c r="KD77" s="110"/>
      <c r="KE77" s="110"/>
      <c r="KF77" s="110"/>
      <c r="KG77" s="110"/>
      <c r="KH77" s="110"/>
      <c r="KI77" s="110"/>
      <c r="KJ77" s="110"/>
      <c r="KK77" s="110"/>
      <c r="KL77" s="110"/>
      <c r="KM77" s="110"/>
      <c r="KN77" s="110"/>
    </row>
    <row r="78" spans="1:300" ht="19.2" customHeight="1" x14ac:dyDescent="0.3">
      <c r="A78" s="110"/>
      <c r="B78" s="110"/>
      <c r="C78" s="110"/>
      <c r="D78" s="110"/>
      <c r="E78" s="110"/>
      <c r="F78" s="110"/>
      <c r="G78" s="112" t="str">
        <v xml:space="preserve">75 </v>
      </c>
      <c r="P78" s="96"/>
      <c r="Q78" s="95"/>
      <c r="R78" s="95"/>
      <c r="S78" s="94"/>
      <c r="T78" s="93"/>
      <c r="U78" s="93"/>
      <c r="V78" s="93"/>
      <c r="W78" s="93"/>
      <c r="X78" s="98"/>
      <c r="Y78" s="98"/>
      <c r="Z78" s="98"/>
      <c r="AA78" s="98"/>
      <c r="AB78" s="99"/>
      <c r="AC78" s="99"/>
      <c r="AD78" s="95"/>
      <c r="AE78" s="96"/>
      <c r="AT78" s="92"/>
      <c r="AU78" s="92"/>
      <c r="AV78" s="96"/>
      <c r="AW78" s="94"/>
      <c r="AX78" s="92"/>
      <c r="AY78" s="95"/>
      <c r="AZ78" s="94"/>
      <c r="BA78" s="93"/>
      <c r="BB78" s="93"/>
      <c r="BC78" s="93"/>
      <c r="BD78" s="98"/>
      <c r="BE78" s="98"/>
      <c r="BF78" s="98"/>
      <c r="BG78" s="97"/>
      <c r="BH78" s="99"/>
      <c r="BI78" s="95"/>
      <c r="BJ78" s="92"/>
      <c r="BK78" s="100"/>
      <c r="BL78" s="92"/>
      <c r="BZ78" s="92"/>
      <c r="CA78" s="92"/>
      <c r="CB78" s="96"/>
      <c r="CC78" s="94"/>
      <c r="CD78" s="92"/>
      <c r="CE78" s="95"/>
      <c r="CF78" s="94"/>
      <c r="CG78" s="93"/>
      <c r="CH78" s="93"/>
      <c r="CI78" s="93"/>
      <c r="CJ78" s="98"/>
      <c r="CK78" s="98"/>
      <c r="CL78" s="98"/>
      <c r="CM78" s="97"/>
      <c r="CN78" s="99"/>
      <c r="CO78" s="95"/>
      <c r="CP78" s="92"/>
      <c r="CQ78" s="100"/>
      <c r="CR78" s="92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  <c r="GG78" s="110"/>
      <c r="GH78" s="110"/>
      <c r="GI78" s="110"/>
      <c r="GJ78" s="110"/>
      <c r="GK78" s="110"/>
      <c r="GL78" s="110"/>
      <c r="GM78" s="110"/>
      <c r="GN78" s="110"/>
      <c r="GO78" s="110"/>
      <c r="GP78" s="110"/>
      <c r="GQ78" s="110"/>
      <c r="GR78" s="110"/>
      <c r="GS78" s="110"/>
      <c r="GT78" s="110"/>
      <c r="GU78" s="110"/>
      <c r="GV78" s="110"/>
      <c r="GW78" s="110"/>
      <c r="GX78" s="110"/>
      <c r="GY78" s="110"/>
      <c r="GZ78" s="110"/>
      <c r="HA78" s="110"/>
      <c r="HB78" s="110"/>
      <c r="HC78" s="110"/>
      <c r="HD78" s="110"/>
      <c r="HE78" s="110"/>
      <c r="HF78" s="110"/>
      <c r="HG78" s="110"/>
      <c r="HH78" s="110"/>
      <c r="HI78" s="110"/>
      <c r="HJ78" s="110"/>
      <c r="HK78" s="110"/>
      <c r="HL78" s="110"/>
      <c r="HM78" s="110"/>
      <c r="HN78" s="110"/>
      <c r="HO78" s="110"/>
      <c r="HP78" s="110"/>
      <c r="HQ78" s="110"/>
      <c r="HR78" s="110"/>
      <c r="HS78" s="110"/>
      <c r="HT78" s="110"/>
      <c r="HU78" s="110"/>
      <c r="HV78" s="110"/>
      <c r="HW78" s="110"/>
      <c r="HX78" s="110"/>
      <c r="HY78" s="110"/>
      <c r="HZ78" s="110"/>
      <c r="IA78" s="110"/>
      <c r="IB78" s="110"/>
      <c r="IC78" s="110"/>
      <c r="ID78" s="110"/>
      <c r="IE78" s="110"/>
      <c r="IF78" s="110"/>
      <c r="IG78" s="110"/>
      <c r="IH78" s="110"/>
      <c r="II78" s="110"/>
      <c r="IJ78" s="110"/>
      <c r="IK78" s="110"/>
      <c r="IL78" s="110"/>
      <c r="IM78" s="110"/>
      <c r="IN78" s="110"/>
      <c r="IO78" s="110"/>
      <c r="IP78" s="110"/>
      <c r="IQ78" s="110"/>
      <c r="IR78" s="110"/>
      <c r="IS78" s="110"/>
      <c r="IT78" s="110"/>
      <c r="IU78" s="110"/>
      <c r="IV78" s="110"/>
      <c r="IW78" s="110"/>
      <c r="IX78" s="110"/>
      <c r="IY78" s="110"/>
      <c r="IZ78" s="110"/>
      <c r="JA78" s="110"/>
      <c r="JB78" s="110"/>
      <c r="JC78" s="110"/>
      <c r="JD78" s="110"/>
      <c r="JE78" s="110"/>
      <c r="JF78" s="110"/>
      <c r="JG78" s="110"/>
      <c r="JH78" s="110"/>
      <c r="JI78" s="110"/>
      <c r="JJ78" s="110"/>
      <c r="JK78" s="110"/>
      <c r="JL78" s="110"/>
      <c r="JM78" s="110"/>
      <c r="JN78" s="110"/>
      <c r="JO78" s="110"/>
      <c r="JP78" s="110"/>
      <c r="JQ78" s="110"/>
      <c r="JR78" s="110"/>
      <c r="JS78" s="110"/>
      <c r="JT78" s="110"/>
      <c r="JU78" s="110"/>
      <c r="JV78" s="110"/>
      <c r="JW78" s="110"/>
      <c r="JX78" s="110"/>
      <c r="JY78" s="110"/>
      <c r="JZ78" s="110"/>
      <c r="KA78" s="110"/>
      <c r="KB78" s="110"/>
      <c r="KC78" s="110"/>
      <c r="KD78" s="110"/>
      <c r="KE78" s="110"/>
      <c r="KF78" s="110"/>
      <c r="KG78" s="110"/>
      <c r="KH78" s="110"/>
      <c r="KI78" s="110"/>
      <c r="KJ78" s="110"/>
      <c r="KK78" s="110"/>
      <c r="KL78" s="110"/>
      <c r="KM78" s="110"/>
      <c r="KN78" s="110"/>
    </row>
    <row r="79" spans="1:300" ht="19.2" customHeight="1" x14ac:dyDescent="0.3">
      <c r="A79" s="110"/>
      <c r="B79" s="110"/>
      <c r="C79" s="110"/>
      <c r="D79" s="110"/>
      <c r="E79" s="110"/>
      <c r="F79" s="110"/>
      <c r="G79" s="112" t="str">
        <v xml:space="preserve">76 </v>
      </c>
      <c r="N79" s="92"/>
      <c r="O79" s="92"/>
      <c r="P79" s="96"/>
      <c r="Q79" s="94"/>
      <c r="R79" s="92"/>
      <c r="S79" s="95"/>
      <c r="T79" s="94"/>
      <c r="U79" s="93"/>
      <c r="V79" s="93"/>
      <c r="W79" s="93"/>
      <c r="X79" s="98"/>
      <c r="Y79" s="98"/>
      <c r="Z79" s="98"/>
      <c r="AA79" s="97"/>
      <c r="AB79" s="99"/>
      <c r="AC79" s="95"/>
      <c r="AD79" s="92"/>
      <c r="AE79" s="100"/>
      <c r="AF79" s="92"/>
      <c r="AS79" s="92"/>
      <c r="AT79" s="95"/>
      <c r="AU79" s="95"/>
      <c r="AV79" s="103"/>
      <c r="AW79" s="92"/>
      <c r="AX79" s="94"/>
      <c r="AY79" s="92"/>
      <c r="AZ79" s="94"/>
      <c r="BA79" s="94"/>
      <c r="BB79" s="94"/>
      <c r="BC79" s="94"/>
      <c r="BD79" s="99"/>
      <c r="BE79" s="99"/>
      <c r="BF79" s="99"/>
      <c r="BG79" s="99"/>
      <c r="BH79" s="99"/>
      <c r="BI79" s="92"/>
      <c r="BJ79" s="99"/>
      <c r="BK79" s="96"/>
      <c r="BY79" s="92"/>
      <c r="BZ79" s="95"/>
      <c r="CA79" s="95"/>
      <c r="CB79" s="103"/>
      <c r="CC79" s="92"/>
      <c r="CD79" s="94"/>
      <c r="CE79" s="92"/>
      <c r="CF79" s="94"/>
      <c r="CG79" s="94"/>
      <c r="CH79" s="94"/>
      <c r="CI79" s="94"/>
      <c r="CJ79" s="99"/>
      <c r="CK79" s="99"/>
      <c r="CL79" s="99"/>
      <c r="CM79" s="99"/>
      <c r="CN79" s="99"/>
      <c r="CO79" s="92"/>
      <c r="CP79" s="99"/>
      <c r="CQ79" s="96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  <c r="GG79" s="110"/>
      <c r="GH79" s="110"/>
      <c r="GI79" s="110"/>
      <c r="GJ79" s="110"/>
      <c r="GK79" s="110"/>
      <c r="GL79" s="110"/>
      <c r="GM79" s="110"/>
      <c r="GN79" s="110"/>
      <c r="GO79" s="110"/>
      <c r="GP79" s="110"/>
      <c r="GQ79" s="110"/>
      <c r="GR79" s="110"/>
      <c r="GS79" s="110"/>
      <c r="GT79" s="110"/>
      <c r="GU79" s="110"/>
      <c r="GV79" s="110"/>
      <c r="GW79" s="110"/>
      <c r="GX79" s="110"/>
      <c r="GY79" s="110"/>
      <c r="GZ79" s="110"/>
      <c r="HA79" s="110"/>
      <c r="HB79" s="110"/>
      <c r="HC79" s="110"/>
      <c r="HD79" s="110"/>
      <c r="HE79" s="110"/>
      <c r="HF79" s="110"/>
      <c r="HG79" s="110"/>
      <c r="HH79" s="110"/>
      <c r="HI79" s="110"/>
      <c r="HJ79" s="110"/>
      <c r="HK79" s="110"/>
      <c r="HL79" s="110"/>
      <c r="HM79" s="110"/>
      <c r="HN79" s="110"/>
      <c r="HO79" s="110"/>
      <c r="HP79" s="110"/>
      <c r="HQ79" s="110"/>
      <c r="HR79" s="110"/>
      <c r="HS79" s="110"/>
      <c r="HT79" s="110"/>
      <c r="HU79" s="110"/>
      <c r="HV79" s="110"/>
      <c r="HW79" s="110"/>
      <c r="HX79" s="110"/>
      <c r="HY79" s="110"/>
      <c r="HZ79" s="110"/>
      <c r="IA79" s="110"/>
      <c r="IB79" s="110"/>
      <c r="IC79" s="110"/>
      <c r="ID79" s="110"/>
      <c r="IE79" s="110"/>
      <c r="IF79" s="110"/>
      <c r="IG79" s="110"/>
      <c r="IH79" s="110"/>
      <c r="II79" s="110"/>
      <c r="IJ79" s="110"/>
      <c r="IK79" s="110"/>
      <c r="IL79" s="110"/>
      <c r="IM79" s="110"/>
      <c r="IN79" s="110"/>
      <c r="IO79" s="110"/>
      <c r="IP79" s="110"/>
      <c r="IQ79" s="110"/>
      <c r="IR79" s="110"/>
      <c r="IS79" s="110"/>
      <c r="IT79" s="110"/>
      <c r="IU79" s="110"/>
      <c r="IV79" s="110"/>
      <c r="IW79" s="110"/>
      <c r="IX79" s="110"/>
      <c r="IY79" s="110"/>
      <c r="IZ79" s="110"/>
      <c r="JA79" s="110"/>
      <c r="JB79" s="110"/>
      <c r="JC79" s="110"/>
      <c r="JD79" s="110"/>
      <c r="JE79" s="110"/>
      <c r="JF79" s="110"/>
      <c r="JG79" s="110"/>
      <c r="JH79" s="110"/>
      <c r="JI79" s="110"/>
      <c r="JJ79" s="110"/>
      <c r="JK79" s="110"/>
      <c r="JL79" s="110"/>
      <c r="JM79" s="110"/>
      <c r="JN79" s="110"/>
      <c r="JO79" s="110"/>
      <c r="JP79" s="110"/>
      <c r="JQ79" s="110"/>
      <c r="JR79" s="110"/>
      <c r="JS79" s="110"/>
      <c r="JT79" s="110"/>
      <c r="JU79" s="110"/>
      <c r="JV79" s="110"/>
      <c r="JW79" s="110"/>
      <c r="JX79" s="110"/>
      <c r="JY79" s="110"/>
      <c r="JZ79" s="110"/>
      <c r="KA79" s="110"/>
      <c r="KB79" s="110"/>
      <c r="KC79" s="110"/>
      <c r="KD79" s="110"/>
      <c r="KE79" s="110"/>
      <c r="KF79" s="110"/>
      <c r="KG79" s="110"/>
      <c r="KH79" s="110"/>
      <c r="KI79" s="110"/>
      <c r="KJ79" s="110"/>
      <c r="KK79" s="110"/>
      <c r="KL79" s="110"/>
      <c r="KM79" s="110"/>
      <c r="KN79" s="110"/>
    </row>
    <row r="80" spans="1:300" ht="19.2" customHeight="1" x14ac:dyDescent="0.3">
      <c r="A80" s="110"/>
      <c r="B80" s="110"/>
      <c r="C80" s="110"/>
      <c r="D80" s="110"/>
      <c r="E80" s="110"/>
      <c r="F80" s="110"/>
      <c r="G80" s="112" t="str">
        <v xml:space="preserve">77 </v>
      </c>
      <c r="M80" s="92"/>
      <c r="N80" s="95"/>
      <c r="O80" s="95"/>
      <c r="P80" s="103"/>
      <c r="Q80" s="92"/>
      <c r="R80" s="94"/>
      <c r="S80" s="92"/>
      <c r="T80" s="94"/>
      <c r="U80" s="94"/>
      <c r="V80" s="94"/>
      <c r="W80" s="94"/>
      <c r="X80" s="99"/>
      <c r="Y80" s="99"/>
      <c r="Z80" s="99"/>
      <c r="AA80" s="99"/>
      <c r="AB80" s="99"/>
      <c r="AC80" s="92"/>
      <c r="AD80" s="99"/>
      <c r="AE80" s="96"/>
      <c r="AR80" s="92"/>
      <c r="AS80" s="95"/>
      <c r="AT80" s="95"/>
      <c r="AU80" s="95"/>
      <c r="AV80" s="103"/>
      <c r="AW80" s="94"/>
      <c r="AX80" s="100"/>
      <c r="AY80" s="92"/>
      <c r="AZ80" s="94"/>
      <c r="BA80" s="94"/>
      <c r="BB80" s="94"/>
      <c r="BC80" s="94"/>
      <c r="BD80" s="99"/>
      <c r="BE80" s="99"/>
      <c r="BF80" s="99"/>
      <c r="BG80" s="99"/>
      <c r="BH80" s="99"/>
      <c r="BI80" s="95"/>
      <c r="BJ80" s="99"/>
      <c r="BK80" s="92"/>
      <c r="BL80" s="96"/>
      <c r="BX80" s="92"/>
      <c r="BY80" s="95"/>
      <c r="BZ80" s="95"/>
      <c r="CA80" s="95"/>
      <c r="CB80" s="103"/>
      <c r="CC80" s="94"/>
      <c r="CD80" s="100"/>
      <c r="CE80" s="92"/>
      <c r="CF80" s="94"/>
      <c r="CG80" s="94"/>
      <c r="CH80" s="94"/>
      <c r="CI80" s="94"/>
      <c r="CJ80" s="99"/>
      <c r="CK80" s="99"/>
      <c r="CL80" s="99"/>
      <c r="CM80" s="99"/>
      <c r="CN80" s="99"/>
      <c r="CO80" s="95"/>
      <c r="CP80" s="99"/>
      <c r="CQ80" s="92"/>
      <c r="CR80" s="96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  <c r="GG80" s="110"/>
      <c r="GH80" s="110"/>
      <c r="GI80" s="110"/>
      <c r="GJ80" s="110"/>
      <c r="GK80" s="110"/>
      <c r="GL80" s="110"/>
      <c r="GM80" s="110"/>
      <c r="GN80" s="110"/>
      <c r="GO80" s="110"/>
      <c r="GP80" s="110"/>
      <c r="GQ80" s="110"/>
      <c r="GR80" s="110"/>
      <c r="GS80" s="110"/>
      <c r="GT80" s="110"/>
      <c r="GU80" s="110"/>
      <c r="GV80" s="110"/>
      <c r="GW80" s="110"/>
      <c r="GX80" s="110"/>
      <c r="GY80" s="110"/>
      <c r="GZ80" s="110"/>
      <c r="HA80" s="110"/>
      <c r="HB80" s="110"/>
      <c r="HC80" s="110"/>
      <c r="HD80" s="110"/>
      <c r="HE80" s="110"/>
      <c r="HF80" s="110"/>
      <c r="HG80" s="110"/>
      <c r="HH80" s="110"/>
      <c r="HI80" s="110"/>
      <c r="HJ80" s="110"/>
      <c r="HK80" s="110"/>
      <c r="HL80" s="110"/>
      <c r="HM80" s="110"/>
      <c r="HN80" s="110"/>
      <c r="HO80" s="110"/>
      <c r="HP80" s="110"/>
      <c r="HQ80" s="110"/>
      <c r="HR80" s="110"/>
      <c r="HS80" s="110"/>
      <c r="HT80" s="110"/>
      <c r="HU80" s="110"/>
      <c r="HV80" s="110"/>
      <c r="HW80" s="110"/>
      <c r="HX80" s="110"/>
      <c r="HY80" s="110"/>
      <c r="HZ80" s="110"/>
      <c r="IA80" s="110"/>
      <c r="IB80" s="110"/>
      <c r="IC80" s="110"/>
      <c r="ID80" s="110"/>
      <c r="IE80" s="110"/>
      <c r="IF80" s="110"/>
      <c r="IG80" s="110"/>
      <c r="IH80" s="110"/>
      <c r="II80" s="110"/>
      <c r="IJ80" s="110"/>
      <c r="IK80" s="110"/>
      <c r="IL80" s="110"/>
      <c r="IM80" s="110"/>
      <c r="IN80" s="110"/>
      <c r="IO80" s="110"/>
      <c r="IP80" s="110"/>
      <c r="IQ80" s="110"/>
      <c r="IR80" s="110"/>
      <c r="IS80" s="110"/>
      <c r="IT80" s="110"/>
      <c r="IU80" s="110"/>
      <c r="IV80" s="110"/>
      <c r="IW80" s="110"/>
      <c r="IX80" s="110"/>
      <c r="IY80" s="110"/>
      <c r="IZ80" s="110"/>
      <c r="JA80" s="110"/>
      <c r="JB80" s="110"/>
      <c r="JC80" s="110"/>
      <c r="JD80" s="110"/>
      <c r="JE80" s="110"/>
      <c r="JF80" s="110"/>
      <c r="JG80" s="110"/>
      <c r="JH80" s="110"/>
      <c r="JI80" s="110"/>
      <c r="JJ80" s="110"/>
      <c r="JK80" s="110"/>
      <c r="JL80" s="110"/>
      <c r="JM80" s="110"/>
      <c r="JN80" s="110"/>
      <c r="JO80" s="110"/>
      <c r="JP80" s="110"/>
      <c r="JQ80" s="110"/>
      <c r="JR80" s="110"/>
      <c r="JS80" s="110"/>
      <c r="JT80" s="110"/>
      <c r="JU80" s="110"/>
      <c r="JV80" s="110"/>
      <c r="JW80" s="110"/>
      <c r="JX80" s="110"/>
      <c r="JY80" s="110"/>
      <c r="JZ80" s="110"/>
      <c r="KA80" s="110"/>
      <c r="KB80" s="110"/>
      <c r="KC80" s="110"/>
      <c r="KD80" s="110"/>
      <c r="KE80" s="110"/>
      <c r="KF80" s="110"/>
      <c r="KG80" s="110"/>
      <c r="KH80" s="110"/>
      <c r="KI80" s="110"/>
      <c r="KJ80" s="110"/>
      <c r="KK80" s="110"/>
      <c r="KL80" s="110"/>
      <c r="KM80" s="110"/>
      <c r="KN80" s="110"/>
    </row>
    <row r="81" spans="1:300" ht="19.2" customHeight="1" x14ac:dyDescent="0.3">
      <c r="A81" s="110"/>
      <c r="B81" s="110"/>
      <c r="C81" s="110"/>
      <c r="D81" s="110"/>
      <c r="E81" s="110"/>
      <c r="F81" s="110"/>
      <c r="G81" s="112" t="str">
        <v xml:space="preserve">78 </v>
      </c>
      <c r="L81" s="92"/>
      <c r="M81" s="95"/>
      <c r="N81" s="95"/>
      <c r="O81" s="95"/>
      <c r="P81" s="103"/>
      <c r="Q81" s="94"/>
      <c r="R81" s="100"/>
      <c r="S81" s="92"/>
      <c r="T81" s="94"/>
      <c r="U81" s="94"/>
      <c r="V81" s="94"/>
      <c r="W81" s="94"/>
      <c r="X81" s="99"/>
      <c r="Y81" s="99"/>
      <c r="Z81" s="99"/>
      <c r="AA81" s="99"/>
      <c r="AB81" s="99"/>
      <c r="AC81" s="95"/>
      <c r="AD81" s="99"/>
      <c r="AE81" s="92"/>
      <c r="AF81" s="96"/>
      <c r="AR81" s="92"/>
      <c r="AS81" s="95"/>
      <c r="AT81" s="95"/>
      <c r="AU81" s="95"/>
      <c r="AV81" s="95"/>
      <c r="AW81" s="103"/>
      <c r="AX81" s="92"/>
      <c r="AY81" s="94"/>
      <c r="AZ81" s="94"/>
      <c r="BA81" s="94"/>
      <c r="BB81" s="94"/>
      <c r="BC81" s="94"/>
      <c r="BD81" s="99"/>
      <c r="BE81" s="99"/>
      <c r="BF81" s="99"/>
      <c r="BG81" s="99"/>
      <c r="BH81" s="99"/>
      <c r="BI81" s="99"/>
      <c r="BJ81" s="100"/>
      <c r="BK81" s="96"/>
      <c r="BX81" s="92"/>
      <c r="BY81" s="95"/>
      <c r="BZ81" s="95"/>
      <c r="CA81" s="95"/>
      <c r="CB81" s="95"/>
      <c r="CC81" s="103"/>
      <c r="CD81" s="92"/>
      <c r="CE81" s="94"/>
      <c r="CF81" s="94"/>
      <c r="CG81" s="94"/>
      <c r="CH81" s="94"/>
      <c r="CI81" s="94"/>
      <c r="CJ81" s="99"/>
      <c r="CK81" s="99"/>
      <c r="CL81" s="99"/>
      <c r="CM81" s="99"/>
      <c r="CN81" s="99"/>
      <c r="CO81" s="99"/>
      <c r="CP81" s="100"/>
      <c r="CQ81" s="96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  <c r="GG81" s="110"/>
      <c r="GH81" s="110"/>
      <c r="GI81" s="110"/>
      <c r="GJ81" s="110"/>
      <c r="GK81" s="110"/>
      <c r="GL81" s="110"/>
      <c r="GM81" s="110"/>
      <c r="GN81" s="110"/>
      <c r="GO81" s="110"/>
      <c r="GP81" s="110"/>
      <c r="GQ81" s="110"/>
      <c r="GR81" s="110"/>
      <c r="GS81" s="110"/>
      <c r="GT81" s="110"/>
      <c r="GU81" s="110"/>
      <c r="GV81" s="110"/>
      <c r="GW81" s="110"/>
      <c r="GX81" s="110"/>
      <c r="GY81" s="110"/>
      <c r="GZ81" s="110"/>
      <c r="HA81" s="110"/>
      <c r="HB81" s="110"/>
      <c r="HC81" s="110"/>
      <c r="HD81" s="110"/>
      <c r="HE81" s="110"/>
      <c r="HF81" s="110"/>
      <c r="HG81" s="110"/>
      <c r="HH81" s="110"/>
      <c r="HI81" s="110"/>
      <c r="HJ81" s="110"/>
      <c r="HK81" s="110"/>
      <c r="HL81" s="110"/>
      <c r="HM81" s="110"/>
      <c r="HN81" s="110"/>
      <c r="HO81" s="110"/>
      <c r="HP81" s="110"/>
      <c r="HQ81" s="110"/>
      <c r="HR81" s="110"/>
      <c r="HS81" s="110"/>
      <c r="HT81" s="110"/>
      <c r="HU81" s="110"/>
      <c r="HV81" s="110"/>
      <c r="HW81" s="110"/>
      <c r="HX81" s="110"/>
      <c r="HY81" s="110"/>
      <c r="HZ81" s="110"/>
      <c r="IA81" s="110"/>
      <c r="IB81" s="110"/>
      <c r="IC81" s="110"/>
      <c r="ID81" s="110"/>
      <c r="IE81" s="110"/>
      <c r="IF81" s="110"/>
      <c r="IG81" s="110"/>
      <c r="IH81" s="110"/>
      <c r="II81" s="110"/>
      <c r="IJ81" s="110"/>
      <c r="IK81" s="110"/>
      <c r="IL81" s="110"/>
      <c r="IM81" s="110"/>
      <c r="IN81" s="110"/>
      <c r="IO81" s="110"/>
      <c r="IP81" s="110"/>
      <c r="IQ81" s="110"/>
      <c r="IR81" s="110"/>
      <c r="IS81" s="110"/>
      <c r="IT81" s="110"/>
      <c r="IU81" s="110"/>
      <c r="IV81" s="110"/>
      <c r="IW81" s="110"/>
      <c r="IX81" s="110"/>
      <c r="IY81" s="110"/>
      <c r="IZ81" s="110"/>
      <c r="JA81" s="110"/>
      <c r="JB81" s="110"/>
      <c r="JC81" s="110"/>
      <c r="JD81" s="110"/>
      <c r="JE81" s="110"/>
      <c r="JF81" s="110"/>
      <c r="JG81" s="110"/>
      <c r="JH81" s="110"/>
      <c r="JI81" s="110"/>
      <c r="JJ81" s="110"/>
      <c r="JK81" s="110"/>
      <c r="JL81" s="110"/>
      <c r="JM81" s="110"/>
      <c r="JN81" s="110"/>
      <c r="JO81" s="110"/>
      <c r="JP81" s="110"/>
      <c r="JQ81" s="110"/>
      <c r="JR81" s="110"/>
      <c r="JS81" s="110"/>
      <c r="JT81" s="110"/>
      <c r="JU81" s="110"/>
      <c r="JV81" s="110"/>
      <c r="JW81" s="110"/>
      <c r="JX81" s="110"/>
      <c r="JY81" s="110"/>
      <c r="JZ81" s="110"/>
      <c r="KA81" s="110"/>
      <c r="KB81" s="110"/>
      <c r="KC81" s="110"/>
      <c r="KD81" s="110"/>
      <c r="KE81" s="110"/>
      <c r="KF81" s="110"/>
      <c r="KG81" s="110"/>
      <c r="KH81" s="110"/>
      <c r="KI81" s="110"/>
      <c r="KJ81" s="110"/>
      <c r="KK81" s="110"/>
      <c r="KL81" s="110"/>
      <c r="KM81" s="110"/>
      <c r="KN81" s="110"/>
    </row>
    <row r="82" spans="1:300" ht="19.2" customHeight="1" x14ac:dyDescent="0.3">
      <c r="A82" s="110"/>
      <c r="B82" s="110"/>
      <c r="C82" s="110"/>
      <c r="D82" s="110"/>
      <c r="E82" s="110"/>
      <c r="F82" s="110"/>
      <c r="G82" s="112" t="str">
        <v xml:space="preserve">79 </v>
      </c>
      <c r="L82" s="92"/>
      <c r="M82" s="95"/>
      <c r="N82" s="95"/>
      <c r="O82" s="95"/>
      <c r="P82" s="95"/>
      <c r="Q82" s="103"/>
      <c r="R82" s="92"/>
      <c r="S82" s="94"/>
      <c r="T82" s="94"/>
      <c r="U82" s="94"/>
      <c r="V82" s="94"/>
      <c r="W82" s="94"/>
      <c r="X82" s="99"/>
      <c r="Y82" s="99"/>
      <c r="Z82" s="99"/>
      <c r="AA82" s="99"/>
      <c r="AB82" s="99"/>
      <c r="AC82" s="99"/>
      <c r="AD82" s="100"/>
      <c r="AE82" s="96"/>
      <c r="AS82" s="92"/>
      <c r="AT82" s="95"/>
      <c r="AU82" s="95"/>
      <c r="AV82" s="95"/>
      <c r="AW82" s="95"/>
      <c r="AX82" s="103"/>
      <c r="AY82" s="103"/>
      <c r="AZ82" s="94"/>
      <c r="BA82" s="94"/>
      <c r="BB82" s="94"/>
      <c r="BC82" s="94"/>
      <c r="BD82" s="99"/>
      <c r="BE82" s="99"/>
      <c r="BF82" s="99"/>
      <c r="BG82" s="99"/>
      <c r="BH82" s="99"/>
      <c r="BI82" s="100"/>
      <c r="BJ82" s="100"/>
      <c r="BK82" s="100"/>
      <c r="BL82" s="96"/>
      <c r="BY82" s="92"/>
      <c r="BZ82" s="95"/>
      <c r="CA82" s="95"/>
      <c r="CB82" s="95"/>
      <c r="CC82" s="95"/>
      <c r="CD82" s="103"/>
      <c r="CE82" s="103"/>
      <c r="CF82" s="94"/>
      <c r="CG82" s="94"/>
      <c r="CH82" s="94"/>
      <c r="CI82" s="94"/>
      <c r="CJ82" s="99"/>
      <c r="CK82" s="99"/>
      <c r="CL82" s="99"/>
      <c r="CM82" s="99"/>
      <c r="CN82" s="99"/>
      <c r="CO82" s="100"/>
      <c r="CP82" s="100"/>
      <c r="CQ82" s="100"/>
      <c r="CR82" s="96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  <c r="GG82" s="110"/>
      <c r="GH82" s="110"/>
      <c r="GI82" s="110"/>
      <c r="GJ82" s="110"/>
      <c r="GK82" s="110"/>
      <c r="GL82" s="110"/>
      <c r="GM82" s="110"/>
      <c r="GN82" s="110"/>
      <c r="GO82" s="110"/>
      <c r="GP82" s="110"/>
      <c r="GQ82" s="110"/>
      <c r="GR82" s="110"/>
      <c r="GS82" s="110"/>
      <c r="GT82" s="110"/>
      <c r="GU82" s="110"/>
      <c r="GV82" s="110"/>
      <c r="GW82" s="110"/>
      <c r="GX82" s="110"/>
      <c r="GY82" s="110"/>
      <c r="GZ82" s="110"/>
      <c r="HA82" s="110"/>
      <c r="HB82" s="110"/>
      <c r="HC82" s="110"/>
      <c r="HD82" s="110"/>
      <c r="HE82" s="110"/>
      <c r="HF82" s="110"/>
      <c r="HG82" s="110"/>
      <c r="HH82" s="110"/>
      <c r="HI82" s="110"/>
      <c r="HJ82" s="110"/>
      <c r="HK82" s="110"/>
      <c r="HL82" s="110"/>
      <c r="HM82" s="110"/>
      <c r="HN82" s="110"/>
      <c r="HO82" s="110"/>
      <c r="HP82" s="110"/>
      <c r="HQ82" s="110"/>
      <c r="HR82" s="110"/>
      <c r="HS82" s="110"/>
      <c r="HT82" s="110"/>
      <c r="HU82" s="110"/>
      <c r="HV82" s="110"/>
      <c r="HW82" s="110"/>
      <c r="HX82" s="110"/>
      <c r="HY82" s="110"/>
      <c r="HZ82" s="110"/>
      <c r="IA82" s="110"/>
      <c r="IB82" s="110"/>
      <c r="IC82" s="110"/>
      <c r="ID82" s="110"/>
      <c r="IE82" s="110"/>
      <c r="IF82" s="110"/>
      <c r="IG82" s="110"/>
      <c r="IH82" s="110"/>
      <c r="II82" s="110"/>
      <c r="IJ82" s="110"/>
      <c r="IK82" s="110"/>
      <c r="IL82" s="110"/>
      <c r="IM82" s="110"/>
      <c r="IN82" s="110"/>
      <c r="IO82" s="110"/>
      <c r="IP82" s="110"/>
      <c r="IQ82" s="110"/>
      <c r="IR82" s="110"/>
      <c r="IS82" s="110"/>
      <c r="IT82" s="110"/>
      <c r="IU82" s="110"/>
      <c r="IV82" s="110"/>
      <c r="IW82" s="110"/>
      <c r="IX82" s="110"/>
      <c r="IY82" s="110"/>
      <c r="IZ82" s="110"/>
      <c r="JA82" s="110"/>
      <c r="JB82" s="110"/>
      <c r="JC82" s="110"/>
      <c r="JD82" s="110"/>
      <c r="JE82" s="110"/>
      <c r="JF82" s="110"/>
      <c r="JG82" s="110"/>
      <c r="JH82" s="110"/>
      <c r="JI82" s="110"/>
      <c r="JJ82" s="110"/>
      <c r="JK82" s="110"/>
      <c r="JL82" s="110"/>
      <c r="JM82" s="110"/>
      <c r="JN82" s="110"/>
      <c r="JO82" s="110"/>
      <c r="JP82" s="110"/>
      <c r="JQ82" s="110"/>
      <c r="JR82" s="110"/>
      <c r="JS82" s="110"/>
      <c r="JT82" s="110"/>
      <c r="JU82" s="110"/>
      <c r="JV82" s="110"/>
      <c r="JW82" s="110"/>
      <c r="JX82" s="110"/>
      <c r="JY82" s="110"/>
      <c r="JZ82" s="110"/>
      <c r="KA82" s="110"/>
      <c r="KB82" s="110"/>
      <c r="KC82" s="110"/>
      <c r="KD82" s="110"/>
      <c r="KE82" s="110"/>
      <c r="KF82" s="110"/>
      <c r="KG82" s="110"/>
      <c r="KH82" s="110"/>
      <c r="KI82" s="110"/>
      <c r="KJ82" s="110"/>
      <c r="KK82" s="110"/>
      <c r="KL82" s="110"/>
      <c r="KM82" s="110"/>
      <c r="KN82" s="110"/>
    </row>
    <row r="83" spans="1:300" ht="19.2" customHeight="1" x14ac:dyDescent="0.3">
      <c r="A83" s="110"/>
      <c r="B83" s="110"/>
      <c r="C83" s="110"/>
      <c r="D83" s="110"/>
      <c r="E83" s="110"/>
      <c r="F83" s="110"/>
      <c r="G83" s="112" t="str">
        <v xml:space="preserve">80 </v>
      </c>
      <c r="M83" s="92"/>
      <c r="N83" s="95"/>
      <c r="O83" s="95"/>
      <c r="P83" s="95"/>
      <c r="Q83" s="95"/>
      <c r="R83" s="103"/>
      <c r="S83" s="103"/>
      <c r="T83" s="94"/>
      <c r="U83" s="94"/>
      <c r="V83" s="94"/>
      <c r="W83" s="94"/>
      <c r="X83" s="99"/>
      <c r="Y83" s="99"/>
      <c r="Z83" s="99"/>
      <c r="AA83" s="99"/>
      <c r="AB83" s="99"/>
      <c r="AC83" s="100"/>
      <c r="AD83" s="100"/>
      <c r="AE83" s="100"/>
      <c r="AF83" s="96"/>
      <c r="AT83" s="92"/>
      <c r="AU83" s="92"/>
      <c r="AV83" s="92"/>
      <c r="AW83" s="92"/>
      <c r="AX83" s="92"/>
      <c r="AY83" s="92"/>
      <c r="AZ83" s="96"/>
      <c r="BA83" s="98"/>
      <c r="BB83" s="100"/>
      <c r="BC83" s="92"/>
      <c r="BD83" s="100"/>
      <c r="BE83" s="100"/>
      <c r="BF83" s="92"/>
      <c r="BG83" s="100"/>
      <c r="BH83" s="100"/>
      <c r="BI83" s="100"/>
      <c r="BJ83" s="100"/>
      <c r="BK83" s="100"/>
      <c r="BL83" s="94"/>
      <c r="BM83" s="96"/>
      <c r="BZ83" s="92"/>
      <c r="CA83" s="92"/>
      <c r="CB83" s="92"/>
      <c r="CC83" s="92"/>
      <c r="CD83" s="92"/>
      <c r="CE83" s="92"/>
      <c r="CF83" s="96"/>
      <c r="CG83" s="98"/>
      <c r="CH83" s="100"/>
      <c r="CI83" s="92"/>
      <c r="CJ83" s="100"/>
      <c r="CK83" s="100"/>
      <c r="CL83" s="92"/>
      <c r="CM83" s="100"/>
      <c r="CN83" s="100"/>
      <c r="CO83" s="100"/>
      <c r="CP83" s="100"/>
      <c r="CQ83" s="100"/>
      <c r="CR83" s="94"/>
      <c r="CS83" s="96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  <c r="GG83" s="110"/>
      <c r="GH83" s="110"/>
      <c r="GI83" s="110"/>
      <c r="GJ83" s="110"/>
      <c r="GK83" s="110"/>
      <c r="GL83" s="110"/>
      <c r="GM83" s="110"/>
      <c r="GN83" s="110"/>
      <c r="GO83" s="110"/>
      <c r="GP83" s="110"/>
      <c r="GQ83" s="110"/>
      <c r="GR83" s="110"/>
      <c r="GS83" s="110"/>
      <c r="GT83" s="110"/>
      <c r="GU83" s="110"/>
      <c r="GV83" s="110"/>
      <c r="GW83" s="110"/>
      <c r="GX83" s="110"/>
      <c r="GY83" s="110"/>
      <c r="GZ83" s="110"/>
      <c r="HA83" s="110"/>
      <c r="HB83" s="110"/>
      <c r="HC83" s="110"/>
      <c r="HD83" s="110"/>
      <c r="HE83" s="110"/>
      <c r="HF83" s="110"/>
      <c r="HG83" s="110"/>
      <c r="HH83" s="110"/>
      <c r="HI83" s="110"/>
      <c r="HJ83" s="110"/>
      <c r="HK83" s="110"/>
      <c r="HL83" s="110"/>
      <c r="HM83" s="110"/>
      <c r="HN83" s="110"/>
      <c r="HO83" s="110"/>
      <c r="HP83" s="110"/>
      <c r="HQ83" s="110"/>
      <c r="HR83" s="110"/>
      <c r="HS83" s="110"/>
      <c r="HT83" s="110"/>
      <c r="HU83" s="110"/>
      <c r="HV83" s="110"/>
      <c r="HW83" s="110"/>
      <c r="HX83" s="110"/>
      <c r="HY83" s="110"/>
      <c r="HZ83" s="110"/>
      <c r="IA83" s="110"/>
      <c r="IB83" s="110"/>
      <c r="IC83" s="110"/>
      <c r="ID83" s="110"/>
      <c r="IE83" s="110"/>
      <c r="IF83" s="110"/>
      <c r="IG83" s="110"/>
      <c r="IH83" s="110"/>
      <c r="II83" s="110"/>
      <c r="IJ83" s="110"/>
      <c r="IK83" s="110"/>
      <c r="IL83" s="110"/>
      <c r="IM83" s="110"/>
      <c r="IN83" s="110"/>
      <c r="IO83" s="110"/>
      <c r="IP83" s="110"/>
      <c r="IQ83" s="110"/>
      <c r="IR83" s="110"/>
      <c r="IS83" s="110"/>
      <c r="IT83" s="110"/>
      <c r="IU83" s="110"/>
      <c r="IV83" s="110"/>
      <c r="IW83" s="110"/>
      <c r="IX83" s="110"/>
      <c r="IY83" s="110"/>
      <c r="IZ83" s="110"/>
      <c r="JA83" s="110"/>
      <c r="JB83" s="110"/>
      <c r="JC83" s="110"/>
      <c r="JD83" s="110"/>
      <c r="JE83" s="110"/>
      <c r="JF83" s="110"/>
      <c r="JG83" s="110"/>
      <c r="JH83" s="110"/>
      <c r="JI83" s="110"/>
      <c r="JJ83" s="110"/>
      <c r="JK83" s="110"/>
      <c r="JL83" s="110"/>
      <c r="JM83" s="110"/>
      <c r="JN83" s="110"/>
      <c r="JO83" s="110"/>
      <c r="JP83" s="110"/>
      <c r="JQ83" s="110"/>
      <c r="JR83" s="110"/>
      <c r="JS83" s="110"/>
      <c r="JT83" s="110"/>
      <c r="JU83" s="110"/>
      <c r="JV83" s="110"/>
      <c r="JW83" s="110"/>
      <c r="JX83" s="110"/>
      <c r="JY83" s="110"/>
      <c r="JZ83" s="110"/>
      <c r="KA83" s="110"/>
      <c r="KB83" s="110"/>
      <c r="KC83" s="110"/>
      <c r="KD83" s="110"/>
      <c r="KE83" s="110"/>
      <c r="KF83" s="110"/>
      <c r="KG83" s="110"/>
      <c r="KH83" s="110"/>
      <c r="KI83" s="110"/>
      <c r="KJ83" s="110"/>
      <c r="KK83" s="110"/>
      <c r="KL83" s="110"/>
      <c r="KM83" s="110"/>
      <c r="KN83" s="110"/>
    </row>
    <row r="84" spans="1:300" ht="19.2" customHeight="1" x14ac:dyDescent="0.3">
      <c r="A84" s="110"/>
      <c r="B84" s="110"/>
      <c r="C84" s="110"/>
      <c r="D84" s="110"/>
      <c r="E84" s="110"/>
      <c r="F84" s="110"/>
      <c r="G84" s="112" t="str">
        <v xml:space="preserve">81 </v>
      </c>
      <c r="N84" s="92"/>
      <c r="O84" s="92"/>
      <c r="P84" s="92"/>
      <c r="Q84" s="92"/>
      <c r="R84" s="92"/>
      <c r="S84" s="92"/>
      <c r="T84" s="96"/>
      <c r="U84" s="98"/>
      <c r="V84" s="100"/>
      <c r="W84" s="92"/>
      <c r="X84" s="100"/>
      <c r="Y84" s="100"/>
      <c r="Z84" s="92"/>
      <c r="AA84" s="100"/>
      <c r="AB84" s="100"/>
      <c r="AC84" s="100"/>
      <c r="AD84" s="100"/>
      <c r="AE84" s="100"/>
      <c r="AF84" s="94"/>
      <c r="AG84" s="96"/>
      <c r="AW84" s="100"/>
      <c r="AX84" s="106"/>
      <c r="AY84" s="106"/>
      <c r="AZ84" s="96"/>
      <c r="BA84" s="98"/>
      <c r="BB84" s="104"/>
      <c r="BC84" s="92"/>
      <c r="BD84" s="92"/>
      <c r="BE84" s="100"/>
      <c r="BF84" s="100"/>
      <c r="BG84" s="92"/>
      <c r="BH84" s="100"/>
      <c r="BI84" s="100"/>
      <c r="BJ84" s="100"/>
      <c r="BK84" s="96"/>
      <c r="BL84" s="96"/>
      <c r="CC84" s="100"/>
      <c r="CD84" s="106"/>
      <c r="CE84" s="106"/>
      <c r="CF84" s="96"/>
      <c r="CG84" s="98"/>
      <c r="CH84" s="104"/>
      <c r="CI84" s="92"/>
      <c r="CJ84" s="92"/>
      <c r="CK84" s="100"/>
      <c r="CL84" s="100"/>
      <c r="CM84" s="92"/>
      <c r="CN84" s="100"/>
      <c r="CO84" s="100"/>
      <c r="CP84" s="100"/>
      <c r="CQ84" s="96"/>
      <c r="CR84" s="96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  <c r="GG84" s="110"/>
      <c r="GH84" s="110"/>
      <c r="GI84" s="110"/>
      <c r="GJ84" s="110"/>
      <c r="GK84" s="110"/>
      <c r="GL84" s="110"/>
      <c r="GM84" s="110"/>
      <c r="GN84" s="110"/>
      <c r="GO84" s="110"/>
      <c r="GP84" s="110"/>
      <c r="GQ84" s="110"/>
      <c r="GR84" s="110"/>
      <c r="GS84" s="110"/>
      <c r="GT84" s="110"/>
      <c r="GU84" s="110"/>
      <c r="GV84" s="110"/>
      <c r="GW84" s="110"/>
      <c r="GX84" s="110"/>
      <c r="GY84" s="110"/>
      <c r="GZ84" s="110"/>
      <c r="HA84" s="110"/>
      <c r="HB84" s="110"/>
      <c r="HC84" s="110"/>
      <c r="HD84" s="110"/>
      <c r="HE84" s="110"/>
      <c r="HF84" s="110"/>
      <c r="HG84" s="110"/>
      <c r="HH84" s="110"/>
      <c r="HI84" s="110"/>
      <c r="HJ84" s="110"/>
      <c r="HK84" s="110"/>
      <c r="HL84" s="110"/>
      <c r="HM84" s="110"/>
      <c r="HN84" s="110"/>
      <c r="HO84" s="110"/>
      <c r="HP84" s="110"/>
      <c r="HQ84" s="110"/>
      <c r="HR84" s="110"/>
      <c r="HS84" s="110"/>
      <c r="HT84" s="110"/>
      <c r="HU84" s="110"/>
      <c r="HV84" s="110"/>
      <c r="HW84" s="110"/>
      <c r="HX84" s="110"/>
      <c r="HY84" s="110"/>
      <c r="HZ84" s="110"/>
      <c r="IA84" s="110"/>
      <c r="IB84" s="110"/>
      <c r="IC84" s="110"/>
      <c r="ID84" s="110"/>
      <c r="IE84" s="110"/>
      <c r="IF84" s="110"/>
      <c r="IG84" s="110"/>
      <c r="IH84" s="110"/>
      <c r="II84" s="110"/>
      <c r="IJ84" s="110"/>
      <c r="IK84" s="110"/>
      <c r="IL84" s="110"/>
      <c r="IM84" s="110"/>
      <c r="IN84" s="110"/>
      <c r="IO84" s="110"/>
      <c r="IP84" s="110"/>
      <c r="IQ84" s="110"/>
      <c r="IR84" s="110"/>
      <c r="IS84" s="110"/>
      <c r="IT84" s="110"/>
      <c r="IU84" s="110"/>
      <c r="IV84" s="110"/>
      <c r="IW84" s="110"/>
      <c r="IX84" s="110"/>
      <c r="IY84" s="110"/>
      <c r="IZ84" s="110"/>
      <c r="JA84" s="110"/>
      <c r="JB84" s="110"/>
      <c r="JC84" s="110"/>
      <c r="JD84" s="110"/>
      <c r="JE84" s="110"/>
      <c r="JF84" s="110"/>
      <c r="JG84" s="110"/>
      <c r="JH84" s="110"/>
      <c r="JI84" s="110"/>
      <c r="JJ84" s="110"/>
      <c r="JK84" s="110"/>
      <c r="JL84" s="110"/>
      <c r="JM84" s="110"/>
      <c r="JN84" s="110"/>
      <c r="JO84" s="110"/>
      <c r="JP84" s="110"/>
      <c r="JQ84" s="110"/>
      <c r="JR84" s="110"/>
      <c r="JS84" s="110"/>
      <c r="JT84" s="110"/>
      <c r="JU84" s="110"/>
      <c r="JV84" s="110"/>
      <c r="JW84" s="110"/>
      <c r="JX84" s="110"/>
      <c r="JY84" s="110"/>
      <c r="JZ84" s="110"/>
      <c r="KA84" s="110"/>
      <c r="KB84" s="110"/>
      <c r="KC84" s="110"/>
      <c r="KD84" s="110"/>
      <c r="KE84" s="110"/>
      <c r="KF84" s="110"/>
      <c r="KG84" s="110"/>
      <c r="KH84" s="110"/>
      <c r="KI84" s="110"/>
      <c r="KJ84" s="110"/>
      <c r="KK84" s="110"/>
      <c r="KL84" s="110"/>
      <c r="KM84" s="110"/>
      <c r="KN84" s="110"/>
    </row>
    <row r="85" spans="1:300" ht="19.2" customHeight="1" x14ac:dyDescent="0.3">
      <c r="A85" s="110"/>
      <c r="B85" s="110"/>
      <c r="C85" s="110"/>
      <c r="D85" s="110"/>
      <c r="E85" s="110"/>
      <c r="F85" s="110"/>
      <c r="G85" s="112" t="str">
        <v xml:space="preserve">82 </v>
      </c>
      <c r="Q85" s="100"/>
      <c r="R85" s="106"/>
      <c r="S85" s="106"/>
      <c r="T85" s="96"/>
      <c r="U85" s="98"/>
      <c r="V85" s="104"/>
      <c r="W85" s="92"/>
      <c r="X85" s="92"/>
      <c r="Y85" s="100"/>
      <c r="Z85" s="100"/>
      <c r="AA85" s="92"/>
      <c r="AB85" s="100"/>
      <c r="AC85" s="100"/>
      <c r="AD85" s="100"/>
      <c r="AE85" s="96"/>
      <c r="AF85" s="96"/>
      <c r="AW85" s="104"/>
      <c r="AX85" s="106"/>
      <c r="AY85" s="106"/>
      <c r="AZ85" s="106"/>
      <c r="BA85" s="106"/>
      <c r="BB85" s="104"/>
      <c r="BC85" s="104"/>
      <c r="BD85" s="92"/>
      <c r="BE85" s="92"/>
      <c r="BF85" s="92"/>
      <c r="BG85" s="100"/>
      <c r="BH85" s="100"/>
      <c r="BI85" s="96"/>
      <c r="BJ85" s="96"/>
      <c r="CC85" s="104"/>
      <c r="CD85" s="106"/>
      <c r="CE85" s="106"/>
      <c r="CF85" s="106"/>
      <c r="CG85" s="106"/>
      <c r="CH85" s="104"/>
      <c r="CI85" s="104"/>
      <c r="CJ85" s="92"/>
      <c r="CK85" s="92"/>
      <c r="CL85" s="92"/>
      <c r="CM85" s="100"/>
      <c r="CN85" s="100"/>
      <c r="CO85" s="96"/>
      <c r="CP85" s="96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  <c r="GG85" s="110"/>
      <c r="GH85" s="110"/>
      <c r="GI85" s="110"/>
      <c r="GJ85" s="110"/>
      <c r="GK85" s="110"/>
      <c r="GL85" s="110"/>
      <c r="GM85" s="110"/>
      <c r="GN85" s="110"/>
      <c r="GO85" s="110"/>
      <c r="GP85" s="110"/>
      <c r="GQ85" s="110"/>
      <c r="GR85" s="110"/>
      <c r="GS85" s="110"/>
      <c r="GT85" s="110"/>
      <c r="GU85" s="110"/>
      <c r="GV85" s="110"/>
      <c r="GW85" s="110"/>
      <c r="GX85" s="110"/>
      <c r="GY85" s="110"/>
      <c r="GZ85" s="110"/>
      <c r="HA85" s="110"/>
      <c r="HB85" s="110"/>
      <c r="HC85" s="110"/>
      <c r="HD85" s="110"/>
      <c r="HE85" s="110"/>
      <c r="HF85" s="110"/>
      <c r="HG85" s="110"/>
      <c r="HH85" s="110"/>
      <c r="HI85" s="110"/>
      <c r="HJ85" s="110"/>
      <c r="HK85" s="110"/>
      <c r="HL85" s="110"/>
      <c r="HM85" s="110"/>
      <c r="HN85" s="110"/>
      <c r="HO85" s="110"/>
      <c r="HP85" s="110"/>
      <c r="HQ85" s="110"/>
      <c r="HR85" s="110"/>
      <c r="HS85" s="110"/>
      <c r="HT85" s="110"/>
      <c r="HU85" s="110"/>
      <c r="HV85" s="110"/>
      <c r="HW85" s="110"/>
      <c r="HX85" s="110"/>
      <c r="HY85" s="110"/>
      <c r="HZ85" s="110"/>
      <c r="IA85" s="110"/>
      <c r="IB85" s="110"/>
      <c r="IC85" s="110"/>
      <c r="ID85" s="110"/>
      <c r="IE85" s="110"/>
      <c r="IF85" s="110"/>
      <c r="IG85" s="110"/>
      <c r="IH85" s="110"/>
      <c r="II85" s="110"/>
      <c r="IJ85" s="110"/>
      <c r="IK85" s="110"/>
      <c r="IL85" s="110"/>
      <c r="IM85" s="110"/>
      <c r="IN85" s="110"/>
      <c r="IO85" s="110"/>
      <c r="IP85" s="110"/>
      <c r="IQ85" s="110"/>
      <c r="IR85" s="110"/>
      <c r="IS85" s="110"/>
      <c r="IT85" s="110"/>
      <c r="IU85" s="110"/>
      <c r="IV85" s="110"/>
      <c r="IW85" s="110"/>
      <c r="IX85" s="110"/>
      <c r="IY85" s="110"/>
      <c r="IZ85" s="110"/>
      <c r="JA85" s="110"/>
      <c r="JB85" s="110"/>
      <c r="JC85" s="110"/>
      <c r="JD85" s="110"/>
      <c r="JE85" s="110"/>
      <c r="JF85" s="110"/>
      <c r="JG85" s="110"/>
      <c r="JH85" s="110"/>
      <c r="JI85" s="110"/>
      <c r="JJ85" s="110"/>
      <c r="JK85" s="110"/>
      <c r="JL85" s="110"/>
      <c r="JM85" s="110"/>
      <c r="JN85" s="110"/>
      <c r="JO85" s="110"/>
      <c r="JP85" s="110"/>
      <c r="JQ85" s="110"/>
      <c r="JR85" s="110"/>
      <c r="JS85" s="110"/>
      <c r="JT85" s="110"/>
      <c r="JU85" s="110"/>
      <c r="JV85" s="110"/>
      <c r="JW85" s="110"/>
      <c r="JX85" s="110"/>
      <c r="JY85" s="110"/>
      <c r="JZ85" s="110"/>
      <c r="KA85" s="110"/>
      <c r="KB85" s="110"/>
      <c r="KC85" s="110"/>
      <c r="KD85" s="110"/>
      <c r="KE85" s="110"/>
      <c r="KF85" s="110"/>
      <c r="KG85" s="110"/>
      <c r="KH85" s="110"/>
      <c r="KI85" s="110"/>
      <c r="KJ85" s="110"/>
      <c r="KK85" s="110"/>
      <c r="KL85" s="110"/>
      <c r="KM85" s="110"/>
      <c r="KN85" s="110"/>
    </row>
    <row r="86" spans="1:300" ht="19.2" customHeight="1" x14ac:dyDescent="0.3">
      <c r="A86" s="110"/>
      <c r="B86" s="110"/>
      <c r="C86" s="110"/>
      <c r="D86" s="110"/>
      <c r="E86" s="110"/>
      <c r="F86" s="110"/>
      <c r="G86" s="112" t="str">
        <v xml:space="preserve">83 </v>
      </c>
      <c r="Q86" s="104"/>
      <c r="R86" s="106"/>
      <c r="S86" s="106"/>
      <c r="T86" s="106"/>
      <c r="U86" s="106"/>
      <c r="V86" s="104"/>
      <c r="W86" s="104"/>
      <c r="X86" s="92"/>
      <c r="Y86" s="92"/>
      <c r="Z86" s="92"/>
      <c r="AA86" s="100"/>
      <c r="AB86" s="100"/>
      <c r="AC86" s="96"/>
      <c r="AD86" s="96"/>
      <c r="AX86" s="100"/>
      <c r="AY86" s="104"/>
      <c r="AZ86" s="106"/>
      <c r="BA86" s="104"/>
      <c r="BB86" s="92"/>
      <c r="BC86" s="92"/>
      <c r="BD86" s="100"/>
      <c r="BE86" s="100"/>
      <c r="BF86" s="100"/>
      <c r="BG86" s="96"/>
      <c r="BH86" s="100"/>
      <c r="BI86" s="100"/>
      <c r="BJ86" s="96"/>
      <c r="CD86" s="100"/>
      <c r="CE86" s="104"/>
      <c r="CF86" s="106"/>
      <c r="CG86" s="104"/>
      <c r="CH86" s="92"/>
      <c r="CI86" s="92"/>
      <c r="CJ86" s="100"/>
      <c r="CK86" s="100"/>
      <c r="CL86" s="100"/>
      <c r="CM86" s="96"/>
      <c r="CN86" s="100"/>
      <c r="CO86" s="100"/>
      <c r="CP86" s="96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  <c r="GG86" s="110"/>
      <c r="GH86" s="110"/>
      <c r="GI86" s="110"/>
      <c r="GJ86" s="110"/>
      <c r="GK86" s="110"/>
      <c r="GL86" s="110"/>
      <c r="GM86" s="110"/>
      <c r="GN86" s="110"/>
      <c r="GO86" s="110"/>
      <c r="GP86" s="110"/>
      <c r="GQ86" s="110"/>
      <c r="GR86" s="110"/>
      <c r="GS86" s="110"/>
      <c r="GT86" s="110"/>
      <c r="GU86" s="110"/>
      <c r="GV86" s="110"/>
      <c r="GW86" s="110"/>
      <c r="GX86" s="110"/>
      <c r="GY86" s="110"/>
      <c r="GZ86" s="110"/>
      <c r="HA86" s="110"/>
      <c r="HB86" s="110"/>
      <c r="HC86" s="110"/>
      <c r="HD86" s="110"/>
      <c r="HE86" s="110"/>
      <c r="HF86" s="110"/>
      <c r="HG86" s="110"/>
      <c r="HH86" s="110"/>
      <c r="HI86" s="110"/>
      <c r="HJ86" s="110"/>
      <c r="HK86" s="110"/>
      <c r="HL86" s="110"/>
      <c r="HM86" s="110"/>
      <c r="HN86" s="110"/>
      <c r="HO86" s="110"/>
      <c r="HP86" s="110"/>
      <c r="HQ86" s="110"/>
      <c r="HR86" s="110"/>
      <c r="HS86" s="110"/>
      <c r="HT86" s="110"/>
      <c r="HU86" s="110"/>
      <c r="HV86" s="110"/>
      <c r="HW86" s="110"/>
      <c r="HX86" s="110"/>
      <c r="HY86" s="110"/>
      <c r="HZ86" s="110"/>
      <c r="IA86" s="110"/>
      <c r="IB86" s="110"/>
      <c r="IC86" s="110"/>
      <c r="ID86" s="110"/>
      <c r="IE86" s="110"/>
      <c r="IF86" s="110"/>
      <c r="IG86" s="110"/>
      <c r="IH86" s="110"/>
      <c r="II86" s="110"/>
      <c r="IJ86" s="110"/>
      <c r="IK86" s="110"/>
      <c r="IL86" s="110"/>
      <c r="IM86" s="110"/>
      <c r="IN86" s="110"/>
      <c r="IO86" s="110"/>
      <c r="IP86" s="110"/>
      <c r="IQ86" s="110"/>
      <c r="IR86" s="110"/>
      <c r="IS86" s="110"/>
      <c r="IT86" s="110"/>
      <c r="IU86" s="110"/>
      <c r="IV86" s="110"/>
      <c r="IW86" s="110"/>
      <c r="IX86" s="110"/>
      <c r="IY86" s="110"/>
      <c r="IZ86" s="110"/>
      <c r="JA86" s="110"/>
      <c r="JB86" s="110"/>
      <c r="JC86" s="110"/>
      <c r="JD86" s="110"/>
      <c r="JE86" s="110"/>
      <c r="JF86" s="110"/>
      <c r="JG86" s="110"/>
      <c r="JH86" s="110"/>
      <c r="JI86" s="110"/>
      <c r="JJ86" s="110"/>
      <c r="JK86" s="110"/>
      <c r="JL86" s="110"/>
      <c r="JM86" s="110"/>
      <c r="JN86" s="110"/>
      <c r="JO86" s="110"/>
      <c r="JP86" s="110"/>
      <c r="JQ86" s="110"/>
      <c r="JR86" s="110"/>
      <c r="JS86" s="110"/>
      <c r="JT86" s="110"/>
      <c r="JU86" s="110"/>
      <c r="JV86" s="110"/>
      <c r="JW86" s="110"/>
      <c r="JX86" s="110"/>
      <c r="JY86" s="110"/>
      <c r="JZ86" s="110"/>
      <c r="KA86" s="110"/>
      <c r="KB86" s="110"/>
      <c r="KC86" s="110"/>
      <c r="KD86" s="110"/>
      <c r="KE86" s="110"/>
      <c r="KF86" s="110"/>
      <c r="KG86" s="110"/>
      <c r="KH86" s="110"/>
      <c r="KI86" s="110"/>
      <c r="KJ86" s="110"/>
      <c r="KK86" s="110"/>
      <c r="KL86" s="110"/>
      <c r="KM86" s="110"/>
      <c r="KN86" s="110"/>
    </row>
    <row r="87" spans="1:300" ht="19.2" customHeight="1" x14ac:dyDescent="0.3">
      <c r="A87" s="110"/>
      <c r="B87" s="110"/>
      <c r="C87" s="110"/>
      <c r="D87" s="110"/>
      <c r="E87" s="110"/>
      <c r="F87" s="110"/>
      <c r="G87" s="112" t="str">
        <v xml:space="preserve">84 </v>
      </c>
      <c r="R87" s="100"/>
      <c r="S87" s="104"/>
      <c r="T87" s="106"/>
      <c r="U87" s="104"/>
      <c r="V87" s="92"/>
      <c r="W87" s="92"/>
      <c r="X87" s="100"/>
      <c r="Y87" s="100"/>
      <c r="Z87" s="100"/>
      <c r="AA87" s="96"/>
      <c r="AB87" s="100"/>
      <c r="AC87" s="100"/>
      <c r="AD87" s="96"/>
      <c r="AY87" s="96"/>
      <c r="AZ87" s="96"/>
      <c r="BA87" s="100"/>
      <c r="BB87" s="96"/>
      <c r="BC87" s="92"/>
      <c r="BD87" s="92"/>
      <c r="BE87" s="96"/>
      <c r="BF87" s="96"/>
      <c r="BH87" s="96"/>
      <c r="BI87" s="96"/>
      <c r="CE87" s="96"/>
      <c r="CF87" s="96"/>
      <c r="CG87" s="100"/>
      <c r="CH87" s="96"/>
      <c r="CI87" s="92"/>
      <c r="CJ87" s="92"/>
      <c r="CK87" s="96"/>
      <c r="CL87" s="96"/>
      <c r="CM87" s="96"/>
      <c r="CN87" s="96"/>
      <c r="CO87" s="96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  <c r="GG87" s="110"/>
      <c r="GH87" s="110"/>
      <c r="GI87" s="110"/>
      <c r="GJ87" s="110"/>
      <c r="GK87" s="110"/>
      <c r="GL87" s="110"/>
      <c r="GM87" s="110"/>
      <c r="GN87" s="110"/>
      <c r="GO87" s="110"/>
      <c r="GP87" s="110"/>
      <c r="GQ87" s="110"/>
      <c r="GR87" s="110"/>
      <c r="GS87" s="110"/>
      <c r="GT87" s="110"/>
      <c r="GU87" s="110"/>
      <c r="GV87" s="110"/>
      <c r="GW87" s="110"/>
      <c r="GX87" s="110"/>
      <c r="GY87" s="110"/>
      <c r="GZ87" s="110"/>
      <c r="HA87" s="110"/>
      <c r="HB87" s="110"/>
      <c r="HC87" s="110"/>
      <c r="HD87" s="110"/>
      <c r="HE87" s="110"/>
      <c r="HF87" s="110"/>
      <c r="HG87" s="110"/>
      <c r="HH87" s="110"/>
      <c r="HI87" s="110"/>
      <c r="HJ87" s="110"/>
      <c r="HK87" s="110"/>
      <c r="HL87" s="110"/>
      <c r="HM87" s="110"/>
      <c r="HN87" s="110"/>
      <c r="HO87" s="110"/>
      <c r="HP87" s="110"/>
      <c r="HQ87" s="110"/>
      <c r="HR87" s="110"/>
      <c r="HS87" s="110"/>
      <c r="HT87" s="110"/>
      <c r="HU87" s="110"/>
      <c r="HV87" s="110"/>
      <c r="HW87" s="110"/>
      <c r="HX87" s="110"/>
      <c r="HY87" s="110"/>
      <c r="HZ87" s="110"/>
      <c r="IA87" s="110"/>
      <c r="IB87" s="110"/>
      <c r="IC87" s="110"/>
      <c r="ID87" s="110"/>
      <c r="IE87" s="110"/>
      <c r="IF87" s="110"/>
      <c r="IG87" s="110"/>
      <c r="IH87" s="110"/>
      <c r="II87" s="110"/>
      <c r="IJ87" s="110"/>
      <c r="IK87" s="110"/>
      <c r="IL87" s="110"/>
      <c r="IM87" s="110"/>
      <c r="IN87" s="110"/>
      <c r="IO87" s="110"/>
      <c r="IP87" s="110"/>
      <c r="IQ87" s="110"/>
      <c r="IR87" s="110"/>
      <c r="IS87" s="110"/>
      <c r="IT87" s="110"/>
      <c r="IU87" s="110"/>
      <c r="IV87" s="110"/>
      <c r="IW87" s="110"/>
      <c r="IX87" s="110"/>
      <c r="IY87" s="110"/>
      <c r="IZ87" s="110"/>
      <c r="JA87" s="110"/>
      <c r="JB87" s="110"/>
      <c r="JC87" s="110"/>
      <c r="JD87" s="110"/>
      <c r="JE87" s="110"/>
      <c r="JF87" s="110"/>
      <c r="JG87" s="110"/>
      <c r="JH87" s="110"/>
      <c r="JI87" s="110"/>
      <c r="JJ87" s="110"/>
      <c r="JK87" s="110"/>
      <c r="JL87" s="110"/>
      <c r="JM87" s="110"/>
      <c r="JN87" s="110"/>
      <c r="JO87" s="110"/>
      <c r="JP87" s="110"/>
      <c r="JQ87" s="110"/>
      <c r="JR87" s="110"/>
      <c r="JS87" s="110"/>
      <c r="JT87" s="110"/>
      <c r="JU87" s="110"/>
      <c r="JV87" s="110"/>
      <c r="JW87" s="110"/>
      <c r="JX87" s="110"/>
      <c r="JY87" s="110"/>
      <c r="JZ87" s="110"/>
      <c r="KA87" s="110"/>
      <c r="KB87" s="110"/>
      <c r="KC87" s="110"/>
      <c r="KD87" s="110"/>
      <c r="KE87" s="110"/>
      <c r="KF87" s="110"/>
      <c r="KG87" s="110"/>
      <c r="KH87" s="110"/>
      <c r="KI87" s="110"/>
      <c r="KJ87" s="110"/>
      <c r="KK87" s="110"/>
      <c r="KL87" s="110"/>
      <c r="KM87" s="110"/>
      <c r="KN87" s="110"/>
    </row>
    <row r="88" spans="1:300" ht="19.2" customHeight="1" x14ac:dyDescent="0.3">
      <c r="A88" s="110"/>
      <c r="B88" s="110"/>
      <c r="C88" s="110"/>
      <c r="D88" s="110"/>
      <c r="E88" s="110"/>
      <c r="F88" s="110"/>
      <c r="G88" s="112" t="str">
        <v xml:space="preserve">85 </v>
      </c>
      <c r="S88" s="96"/>
      <c r="T88" s="96"/>
      <c r="U88" s="100"/>
      <c r="V88" s="96"/>
      <c r="W88" s="92"/>
      <c r="X88" s="92"/>
      <c r="Y88" s="96"/>
      <c r="Z88" s="96"/>
      <c r="AB88" s="96"/>
      <c r="AC88" s="96"/>
      <c r="AY88" s="96"/>
      <c r="AZ88" s="104"/>
      <c r="BA88" s="96"/>
      <c r="BB88" s="99"/>
      <c r="BC88" s="101"/>
      <c r="BD88" s="101"/>
      <c r="BE88" s="96"/>
      <c r="CH88" s="96"/>
      <c r="CI88" s="101"/>
      <c r="CJ88" s="101"/>
      <c r="CK88" s="92"/>
      <c r="CL88" s="101"/>
      <c r="CM88" s="100"/>
      <c r="CN88" s="96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  <c r="GG88" s="110"/>
      <c r="GH88" s="110"/>
      <c r="GI88" s="110"/>
      <c r="GJ88" s="110"/>
      <c r="GK88" s="110"/>
      <c r="GL88" s="110"/>
      <c r="GM88" s="110"/>
      <c r="GN88" s="110"/>
      <c r="GO88" s="110"/>
      <c r="GP88" s="110"/>
      <c r="GQ88" s="110"/>
      <c r="GR88" s="110"/>
      <c r="GS88" s="110"/>
      <c r="GT88" s="110"/>
      <c r="GU88" s="110"/>
      <c r="GV88" s="110"/>
      <c r="GW88" s="110"/>
      <c r="GX88" s="110"/>
      <c r="GY88" s="110"/>
      <c r="GZ88" s="110"/>
      <c r="HA88" s="110"/>
      <c r="HB88" s="110"/>
      <c r="HC88" s="110"/>
      <c r="HD88" s="110"/>
      <c r="HE88" s="110"/>
      <c r="HF88" s="110"/>
      <c r="HG88" s="110"/>
      <c r="HH88" s="110"/>
      <c r="HI88" s="110"/>
      <c r="HJ88" s="110"/>
      <c r="HK88" s="110"/>
      <c r="HL88" s="110"/>
      <c r="HM88" s="110"/>
      <c r="HN88" s="110"/>
      <c r="HO88" s="110"/>
      <c r="HP88" s="110"/>
      <c r="HQ88" s="110"/>
      <c r="HR88" s="110"/>
      <c r="HS88" s="110"/>
      <c r="HT88" s="110"/>
      <c r="HU88" s="110"/>
      <c r="HV88" s="110"/>
      <c r="HW88" s="110"/>
      <c r="HX88" s="110"/>
      <c r="HY88" s="110"/>
      <c r="HZ88" s="110"/>
      <c r="IA88" s="110"/>
      <c r="IB88" s="110"/>
      <c r="IC88" s="110"/>
      <c r="ID88" s="110"/>
      <c r="IE88" s="110"/>
      <c r="IF88" s="110"/>
      <c r="IG88" s="110"/>
      <c r="IH88" s="110"/>
      <c r="II88" s="110"/>
      <c r="IJ88" s="110"/>
      <c r="IK88" s="110"/>
      <c r="IL88" s="110"/>
      <c r="IM88" s="110"/>
      <c r="IN88" s="110"/>
      <c r="IO88" s="110"/>
      <c r="IP88" s="110"/>
      <c r="IQ88" s="110"/>
      <c r="IR88" s="110"/>
      <c r="IS88" s="110"/>
      <c r="IT88" s="110"/>
      <c r="IU88" s="110"/>
      <c r="IV88" s="110"/>
      <c r="IW88" s="110"/>
      <c r="IX88" s="110"/>
      <c r="IY88" s="110"/>
      <c r="IZ88" s="110"/>
      <c r="JA88" s="110"/>
      <c r="JB88" s="110"/>
      <c r="JC88" s="110"/>
      <c r="JD88" s="110"/>
      <c r="JE88" s="110"/>
      <c r="JF88" s="110"/>
      <c r="JG88" s="110"/>
      <c r="JH88" s="110"/>
      <c r="JI88" s="110"/>
      <c r="JJ88" s="110"/>
      <c r="JK88" s="110"/>
      <c r="JL88" s="110"/>
      <c r="JM88" s="110"/>
      <c r="JN88" s="110"/>
      <c r="JO88" s="110"/>
      <c r="JP88" s="110"/>
      <c r="JQ88" s="110"/>
      <c r="JR88" s="110"/>
      <c r="JS88" s="110"/>
      <c r="JT88" s="110"/>
      <c r="JU88" s="110"/>
      <c r="JV88" s="110"/>
      <c r="JW88" s="110"/>
      <c r="JX88" s="110"/>
      <c r="JY88" s="110"/>
      <c r="JZ88" s="110"/>
      <c r="KA88" s="110"/>
      <c r="KB88" s="110"/>
      <c r="KC88" s="110"/>
      <c r="KD88" s="110"/>
      <c r="KE88" s="110"/>
      <c r="KF88" s="110"/>
      <c r="KG88" s="110"/>
      <c r="KH88" s="110"/>
      <c r="KI88" s="110"/>
      <c r="KJ88" s="110"/>
      <c r="KK88" s="110"/>
      <c r="KL88" s="110"/>
      <c r="KM88" s="110"/>
      <c r="KN88" s="110"/>
    </row>
    <row r="89" spans="1:300" ht="19.2" customHeight="1" x14ac:dyDescent="0.3">
      <c r="A89" s="110"/>
      <c r="B89" s="110"/>
      <c r="C89" s="110"/>
      <c r="D89" s="110"/>
      <c r="E89" s="110"/>
      <c r="F89" s="110"/>
      <c r="G89" s="112" t="str">
        <v xml:space="preserve">86 </v>
      </c>
      <c r="U89" s="96"/>
      <c r="V89" s="99"/>
      <c r="W89" s="101"/>
      <c r="X89" s="101"/>
      <c r="Y89" s="96"/>
      <c r="AZ89" s="96"/>
      <c r="BA89" s="96"/>
      <c r="BB89" s="101"/>
      <c r="BC89" s="103"/>
      <c r="BD89" s="102"/>
      <c r="BE89" s="101"/>
      <c r="BF89" s="96"/>
      <c r="CG89" s="96"/>
      <c r="CH89" s="102"/>
      <c r="CI89" s="105"/>
      <c r="CJ89" s="96"/>
      <c r="CK89" s="92"/>
      <c r="CL89" s="96"/>
      <c r="CM89" s="104"/>
      <c r="CN89" s="96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  <c r="GG89" s="110"/>
      <c r="GH89" s="110"/>
      <c r="GI89" s="110"/>
      <c r="GJ89" s="110"/>
      <c r="GK89" s="110"/>
      <c r="GL89" s="110"/>
      <c r="GM89" s="110"/>
      <c r="GN89" s="110"/>
      <c r="GO89" s="110"/>
      <c r="GP89" s="110"/>
      <c r="GQ89" s="110"/>
      <c r="GR89" s="110"/>
      <c r="GS89" s="110"/>
      <c r="GT89" s="110"/>
      <c r="GU89" s="110"/>
      <c r="GV89" s="110"/>
      <c r="GW89" s="110"/>
      <c r="GX89" s="110"/>
      <c r="GY89" s="110"/>
      <c r="GZ89" s="110"/>
      <c r="HA89" s="110"/>
      <c r="HB89" s="110"/>
      <c r="HC89" s="110"/>
      <c r="HD89" s="110"/>
      <c r="HE89" s="110"/>
      <c r="HF89" s="110"/>
      <c r="HG89" s="110"/>
      <c r="HH89" s="110"/>
      <c r="HI89" s="110"/>
      <c r="HJ89" s="110"/>
      <c r="HK89" s="110"/>
      <c r="HL89" s="110"/>
      <c r="HM89" s="110"/>
      <c r="HN89" s="110"/>
      <c r="HO89" s="110"/>
      <c r="HP89" s="110"/>
      <c r="HQ89" s="110"/>
      <c r="HR89" s="110"/>
      <c r="HS89" s="110"/>
      <c r="HT89" s="110"/>
      <c r="HU89" s="110"/>
      <c r="HV89" s="110"/>
      <c r="HW89" s="110"/>
      <c r="HX89" s="110"/>
      <c r="HY89" s="110"/>
      <c r="HZ89" s="110"/>
      <c r="IA89" s="110"/>
      <c r="IB89" s="110"/>
      <c r="IC89" s="110"/>
      <c r="ID89" s="110"/>
      <c r="IE89" s="110"/>
      <c r="IF89" s="110"/>
      <c r="IG89" s="110"/>
      <c r="IH89" s="110"/>
      <c r="II89" s="110"/>
      <c r="IJ89" s="110"/>
      <c r="IK89" s="110"/>
      <c r="IL89" s="110"/>
      <c r="IM89" s="110"/>
      <c r="IN89" s="110"/>
      <c r="IO89" s="110"/>
      <c r="IP89" s="110"/>
      <c r="IQ89" s="110"/>
      <c r="IR89" s="110"/>
      <c r="IS89" s="110"/>
      <c r="IT89" s="110"/>
      <c r="IU89" s="110"/>
      <c r="IV89" s="110"/>
      <c r="IW89" s="110"/>
      <c r="IX89" s="110"/>
      <c r="IY89" s="110"/>
      <c r="IZ89" s="110"/>
      <c r="JA89" s="110"/>
      <c r="JB89" s="110"/>
      <c r="JC89" s="110"/>
      <c r="JD89" s="110"/>
      <c r="JE89" s="110"/>
      <c r="JF89" s="110"/>
      <c r="JG89" s="110"/>
      <c r="JH89" s="110"/>
      <c r="JI89" s="110"/>
      <c r="JJ89" s="110"/>
      <c r="JK89" s="110"/>
      <c r="JL89" s="110"/>
      <c r="JM89" s="110"/>
      <c r="JN89" s="110"/>
      <c r="JO89" s="110"/>
      <c r="JP89" s="110"/>
      <c r="JQ89" s="110"/>
      <c r="JR89" s="110"/>
      <c r="JS89" s="110"/>
      <c r="JT89" s="110"/>
      <c r="JU89" s="110"/>
      <c r="JV89" s="110"/>
      <c r="JW89" s="110"/>
      <c r="JX89" s="110"/>
      <c r="JY89" s="110"/>
      <c r="JZ89" s="110"/>
      <c r="KA89" s="110"/>
      <c r="KB89" s="110"/>
      <c r="KC89" s="110"/>
      <c r="KD89" s="110"/>
      <c r="KE89" s="110"/>
      <c r="KF89" s="110"/>
      <c r="KG89" s="110"/>
      <c r="KH89" s="110"/>
      <c r="KI89" s="110"/>
      <c r="KJ89" s="110"/>
      <c r="KK89" s="110"/>
      <c r="KL89" s="110"/>
      <c r="KM89" s="110"/>
      <c r="KN89" s="110"/>
    </row>
    <row r="90" spans="1:300" ht="19.2" customHeight="1" x14ac:dyDescent="0.3">
      <c r="A90" s="110"/>
      <c r="B90" s="110"/>
      <c r="C90" s="110"/>
      <c r="D90" s="110"/>
      <c r="E90" s="110"/>
      <c r="F90" s="110"/>
      <c r="G90" s="112" t="str">
        <v xml:space="preserve">87 </v>
      </c>
      <c r="U90" s="96"/>
      <c r="V90" s="101"/>
      <c r="W90" s="103"/>
      <c r="X90" s="102"/>
      <c r="Y90" s="101"/>
      <c r="Z90" s="96"/>
      <c r="BA90" s="99"/>
      <c r="BB90" s="101"/>
      <c r="BC90" s="92"/>
      <c r="BD90" s="92"/>
      <c r="BE90" s="102"/>
      <c r="BF90" s="96"/>
      <c r="CE90" s="96"/>
      <c r="CF90" s="96"/>
      <c r="CG90" s="105"/>
      <c r="CH90" s="102"/>
      <c r="CI90" s="96"/>
      <c r="CJ90" s="101"/>
      <c r="CK90" s="101"/>
      <c r="CL90" s="96"/>
      <c r="CM90" s="96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  <c r="GG90" s="110"/>
      <c r="GH90" s="110"/>
      <c r="GI90" s="110"/>
      <c r="GJ90" s="110"/>
      <c r="GK90" s="110"/>
      <c r="GL90" s="110"/>
      <c r="GM90" s="110"/>
      <c r="GN90" s="110"/>
      <c r="GO90" s="110"/>
      <c r="GP90" s="110"/>
      <c r="GQ90" s="110"/>
      <c r="GR90" s="110"/>
      <c r="GS90" s="110"/>
      <c r="GT90" s="110"/>
      <c r="GU90" s="110"/>
      <c r="GV90" s="110"/>
      <c r="GW90" s="110"/>
      <c r="GX90" s="110"/>
      <c r="GY90" s="110"/>
      <c r="GZ90" s="110"/>
      <c r="HA90" s="110"/>
      <c r="HB90" s="110"/>
      <c r="HC90" s="110"/>
      <c r="HD90" s="110"/>
      <c r="HE90" s="110"/>
      <c r="HF90" s="110"/>
      <c r="HG90" s="110"/>
      <c r="HH90" s="110"/>
      <c r="HI90" s="110"/>
      <c r="HJ90" s="110"/>
      <c r="HK90" s="110"/>
      <c r="HL90" s="110"/>
      <c r="HM90" s="110"/>
      <c r="HN90" s="110"/>
      <c r="HO90" s="110"/>
      <c r="HP90" s="110"/>
      <c r="HQ90" s="110"/>
      <c r="HR90" s="110"/>
      <c r="HS90" s="110"/>
      <c r="HT90" s="110"/>
      <c r="HU90" s="110"/>
      <c r="HV90" s="110"/>
      <c r="HW90" s="110"/>
      <c r="HX90" s="110"/>
      <c r="HY90" s="110"/>
      <c r="HZ90" s="110"/>
      <c r="IA90" s="110"/>
      <c r="IB90" s="110"/>
      <c r="IC90" s="110"/>
      <c r="ID90" s="110"/>
      <c r="IE90" s="110"/>
      <c r="IF90" s="110"/>
      <c r="IG90" s="110"/>
      <c r="IH90" s="110"/>
      <c r="II90" s="110"/>
      <c r="IJ90" s="110"/>
      <c r="IK90" s="110"/>
      <c r="IL90" s="110"/>
      <c r="IM90" s="110"/>
      <c r="IN90" s="110"/>
      <c r="IO90" s="110"/>
      <c r="IP90" s="110"/>
      <c r="IQ90" s="110"/>
      <c r="IR90" s="110"/>
      <c r="IS90" s="110"/>
      <c r="IT90" s="110"/>
      <c r="IU90" s="110"/>
      <c r="IV90" s="110"/>
      <c r="IW90" s="110"/>
      <c r="IX90" s="110"/>
      <c r="IY90" s="110"/>
      <c r="IZ90" s="110"/>
      <c r="JA90" s="110"/>
      <c r="JB90" s="110"/>
      <c r="JC90" s="110"/>
      <c r="JD90" s="110"/>
      <c r="JE90" s="110"/>
      <c r="JF90" s="110"/>
      <c r="JG90" s="110"/>
      <c r="JH90" s="110"/>
      <c r="JI90" s="110"/>
      <c r="JJ90" s="110"/>
      <c r="JK90" s="110"/>
      <c r="JL90" s="110"/>
      <c r="JM90" s="110"/>
      <c r="JN90" s="110"/>
      <c r="JO90" s="110"/>
      <c r="JP90" s="110"/>
      <c r="JQ90" s="110"/>
      <c r="JR90" s="110"/>
      <c r="JS90" s="110"/>
      <c r="JT90" s="110"/>
      <c r="JU90" s="110"/>
      <c r="JV90" s="110"/>
      <c r="JW90" s="110"/>
      <c r="JX90" s="110"/>
      <c r="JY90" s="110"/>
      <c r="JZ90" s="110"/>
      <c r="KA90" s="110"/>
      <c r="KB90" s="110"/>
      <c r="KC90" s="110"/>
      <c r="KD90" s="110"/>
      <c r="KE90" s="110"/>
      <c r="KF90" s="110"/>
      <c r="KG90" s="110"/>
      <c r="KH90" s="110"/>
      <c r="KI90" s="110"/>
      <c r="KJ90" s="110"/>
      <c r="KK90" s="110"/>
      <c r="KL90" s="110"/>
      <c r="KM90" s="110"/>
      <c r="KN90" s="110"/>
    </row>
    <row r="91" spans="1:300" ht="19.2" customHeight="1" x14ac:dyDescent="0.3">
      <c r="A91" s="110"/>
      <c r="B91" s="110"/>
      <c r="C91" s="110"/>
      <c r="D91" s="110"/>
      <c r="E91" s="110"/>
      <c r="F91" s="110"/>
      <c r="G91" s="112" t="str">
        <v xml:space="preserve">88 </v>
      </c>
      <c r="U91" s="99"/>
      <c r="V91" s="101"/>
      <c r="W91" s="92"/>
      <c r="X91" s="102"/>
      <c r="Y91" s="101"/>
      <c r="Z91" s="96"/>
      <c r="BA91" s="92"/>
      <c r="BB91" s="92"/>
      <c r="BC91" s="92"/>
      <c r="BD91" s="92"/>
      <c r="BE91" s="103"/>
      <c r="BF91" s="103"/>
      <c r="BG91" s="96"/>
      <c r="CD91" s="96"/>
      <c r="CE91" s="106"/>
      <c r="CF91" s="103"/>
      <c r="CG91" s="103"/>
      <c r="CH91" s="96"/>
      <c r="CI91" s="103"/>
      <c r="CJ91" s="103"/>
      <c r="CK91" s="103"/>
      <c r="CL91" s="103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  <c r="GG91" s="110"/>
      <c r="GH91" s="110"/>
      <c r="GI91" s="110"/>
      <c r="GJ91" s="110"/>
      <c r="GK91" s="110"/>
      <c r="GL91" s="110"/>
      <c r="GM91" s="110"/>
      <c r="GN91" s="110"/>
      <c r="GO91" s="110"/>
      <c r="GP91" s="110"/>
      <c r="GQ91" s="110"/>
      <c r="GR91" s="110"/>
      <c r="GS91" s="110"/>
      <c r="GT91" s="110"/>
      <c r="GU91" s="110"/>
      <c r="GV91" s="110"/>
      <c r="GW91" s="110"/>
      <c r="GX91" s="110"/>
      <c r="GY91" s="110"/>
      <c r="GZ91" s="110"/>
      <c r="HA91" s="110"/>
      <c r="HB91" s="110"/>
      <c r="HC91" s="110"/>
      <c r="HD91" s="110"/>
      <c r="HE91" s="110"/>
      <c r="HF91" s="110"/>
      <c r="HG91" s="110"/>
      <c r="HH91" s="110"/>
      <c r="HI91" s="110"/>
      <c r="HJ91" s="110"/>
      <c r="HK91" s="110"/>
      <c r="HL91" s="110"/>
      <c r="HM91" s="110"/>
      <c r="HN91" s="110"/>
      <c r="HO91" s="110"/>
      <c r="HP91" s="110"/>
      <c r="HQ91" s="110"/>
      <c r="HR91" s="110"/>
      <c r="HS91" s="110"/>
      <c r="HT91" s="110"/>
      <c r="HU91" s="110"/>
      <c r="HV91" s="110"/>
      <c r="HW91" s="110"/>
      <c r="HX91" s="110"/>
      <c r="HY91" s="110"/>
      <c r="HZ91" s="110"/>
      <c r="IA91" s="110"/>
      <c r="IB91" s="110"/>
      <c r="IC91" s="110"/>
      <c r="ID91" s="110"/>
      <c r="IE91" s="110"/>
      <c r="IF91" s="110"/>
      <c r="IG91" s="110"/>
      <c r="IH91" s="110"/>
      <c r="II91" s="110"/>
      <c r="IJ91" s="110"/>
      <c r="IK91" s="110"/>
      <c r="IL91" s="110"/>
      <c r="IM91" s="110"/>
      <c r="IN91" s="110"/>
      <c r="IO91" s="110"/>
      <c r="IP91" s="110"/>
      <c r="IQ91" s="110"/>
      <c r="IR91" s="110"/>
      <c r="IS91" s="110"/>
      <c r="IT91" s="110"/>
      <c r="IU91" s="110"/>
      <c r="IV91" s="110"/>
      <c r="IW91" s="110"/>
      <c r="IX91" s="110"/>
      <c r="IY91" s="110"/>
      <c r="IZ91" s="110"/>
      <c r="JA91" s="110"/>
      <c r="JB91" s="110"/>
      <c r="JC91" s="110"/>
      <c r="JD91" s="110"/>
      <c r="JE91" s="110"/>
      <c r="JF91" s="110"/>
      <c r="JG91" s="110"/>
      <c r="JH91" s="110"/>
      <c r="JI91" s="110"/>
      <c r="JJ91" s="110"/>
      <c r="JK91" s="110"/>
      <c r="JL91" s="110"/>
      <c r="JM91" s="110"/>
      <c r="JN91" s="110"/>
      <c r="JO91" s="110"/>
      <c r="JP91" s="110"/>
      <c r="JQ91" s="110"/>
      <c r="JR91" s="110"/>
      <c r="JS91" s="110"/>
      <c r="JT91" s="110"/>
      <c r="JU91" s="110"/>
      <c r="JV91" s="110"/>
      <c r="JW91" s="110"/>
      <c r="JX91" s="110"/>
      <c r="JY91" s="110"/>
      <c r="JZ91" s="110"/>
      <c r="KA91" s="110"/>
      <c r="KB91" s="110"/>
      <c r="KC91" s="110"/>
      <c r="KD91" s="110"/>
      <c r="KE91" s="110"/>
      <c r="KF91" s="110"/>
      <c r="KG91" s="110"/>
      <c r="KH91" s="110"/>
      <c r="KI91" s="110"/>
      <c r="KJ91" s="110"/>
      <c r="KK91" s="110"/>
      <c r="KL91" s="110"/>
      <c r="KM91" s="110"/>
      <c r="KN91" s="110"/>
    </row>
    <row r="92" spans="1:300" ht="19.2" customHeight="1" x14ac:dyDescent="0.3">
      <c r="A92" s="110"/>
      <c r="B92" s="110"/>
      <c r="C92" s="110"/>
      <c r="D92" s="110"/>
      <c r="E92" s="110"/>
      <c r="F92" s="110"/>
      <c r="G92" s="112" t="str">
        <v xml:space="preserve">89 </v>
      </c>
      <c r="U92" s="92"/>
      <c r="V92" s="92"/>
      <c r="W92" s="92"/>
      <c r="X92" s="103"/>
      <c r="Y92" s="92"/>
      <c r="Z92" s="96"/>
      <c r="AZ92" s="96"/>
      <c r="BA92" s="97"/>
      <c r="BB92" s="105"/>
      <c r="BC92" s="105"/>
      <c r="BD92" s="103"/>
      <c r="BE92" s="92"/>
      <c r="BF92" s="103"/>
      <c r="BG92" s="106"/>
      <c r="BH92" s="96"/>
      <c r="CD92" s="96"/>
      <c r="CE92" s="104"/>
      <c r="CF92" s="106"/>
      <c r="CG92" s="96"/>
      <c r="CH92" s="105"/>
      <c r="CI92" s="105"/>
      <c r="CJ92" s="105"/>
      <c r="CK92" s="105"/>
      <c r="CL92" s="99"/>
      <c r="CM92" s="96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  <c r="GG92" s="110"/>
      <c r="GH92" s="110"/>
      <c r="GI92" s="110"/>
      <c r="GJ92" s="110"/>
      <c r="GK92" s="110"/>
      <c r="GL92" s="110"/>
      <c r="GM92" s="110"/>
      <c r="GN92" s="110"/>
      <c r="GO92" s="110"/>
      <c r="GP92" s="110"/>
      <c r="GQ92" s="110"/>
      <c r="GR92" s="110"/>
      <c r="GS92" s="110"/>
      <c r="GT92" s="110"/>
      <c r="GU92" s="110"/>
      <c r="GV92" s="110"/>
      <c r="GW92" s="110"/>
      <c r="GX92" s="110"/>
      <c r="GY92" s="110"/>
      <c r="GZ92" s="110"/>
      <c r="HA92" s="110"/>
      <c r="HB92" s="110"/>
      <c r="HC92" s="110"/>
      <c r="HD92" s="110"/>
      <c r="HE92" s="110"/>
      <c r="HF92" s="110"/>
      <c r="HG92" s="110"/>
      <c r="HH92" s="110"/>
      <c r="HI92" s="110"/>
      <c r="HJ92" s="110"/>
      <c r="HK92" s="110"/>
      <c r="HL92" s="110"/>
      <c r="HM92" s="110"/>
      <c r="HN92" s="110"/>
      <c r="HO92" s="110"/>
      <c r="HP92" s="110"/>
      <c r="HQ92" s="110"/>
      <c r="HR92" s="110"/>
      <c r="HS92" s="110"/>
      <c r="HT92" s="110"/>
      <c r="HU92" s="110"/>
      <c r="HV92" s="110"/>
      <c r="HW92" s="110"/>
      <c r="HX92" s="110"/>
      <c r="HY92" s="110"/>
      <c r="HZ92" s="110"/>
      <c r="IA92" s="110"/>
      <c r="IB92" s="110"/>
      <c r="IC92" s="110"/>
      <c r="ID92" s="110"/>
      <c r="IE92" s="110"/>
      <c r="IF92" s="110"/>
      <c r="IG92" s="110"/>
      <c r="IH92" s="110"/>
      <c r="II92" s="110"/>
      <c r="IJ92" s="110"/>
      <c r="IK92" s="110"/>
      <c r="IL92" s="110"/>
      <c r="IM92" s="110"/>
      <c r="IN92" s="110"/>
      <c r="IO92" s="110"/>
      <c r="IP92" s="110"/>
      <c r="IQ92" s="110"/>
      <c r="IR92" s="110"/>
      <c r="IS92" s="110"/>
      <c r="IT92" s="110"/>
      <c r="IU92" s="110"/>
      <c r="IV92" s="110"/>
      <c r="IW92" s="110"/>
      <c r="IX92" s="110"/>
      <c r="IY92" s="110"/>
      <c r="IZ92" s="110"/>
      <c r="JA92" s="110"/>
      <c r="JB92" s="110"/>
      <c r="JC92" s="110"/>
      <c r="JD92" s="110"/>
      <c r="JE92" s="110"/>
      <c r="JF92" s="110"/>
      <c r="JG92" s="110"/>
      <c r="JH92" s="110"/>
      <c r="JI92" s="110"/>
      <c r="JJ92" s="110"/>
      <c r="JK92" s="110"/>
      <c r="JL92" s="110"/>
      <c r="JM92" s="110"/>
      <c r="JN92" s="110"/>
      <c r="JO92" s="110"/>
      <c r="JP92" s="110"/>
      <c r="JQ92" s="110"/>
      <c r="JR92" s="110"/>
      <c r="JS92" s="110"/>
      <c r="JT92" s="110"/>
      <c r="JU92" s="110"/>
      <c r="JV92" s="110"/>
      <c r="JW92" s="110"/>
      <c r="JX92" s="110"/>
      <c r="JY92" s="110"/>
      <c r="JZ92" s="110"/>
      <c r="KA92" s="110"/>
      <c r="KB92" s="110"/>
      <c r="KC92" s="110"/>
      <c r="KD92" s="110"/>
      <c r="KE92" s="110"/>
      <c r="KF92" s="110"/>
      <c r="KG92" s="110"/>
      <c r="KH92" s="110"/>
      <c r="KI92" s="110"/>
      <c r="KJ92" s="110"/>
      <c r="KK92" s="110"/>
      <c r="KL92" s="110"/>
      <c r="KM92" s="110"/>
      <c r="KN92" s="110"/>
    </row>
    <row r="93" spans="1:300" ht="19.2" customHeight="1" x14ac:dyDescent="0.3">
      <c r="A93" s="110"/>
      <c r="B93" s="110"/>
      <c r="C93" s="110"/>
      <c r="D93" s="110"/>
      <c r="E93" s="110"/>
      <c r="F93" s="110"/>
      <c r="G93" s="112" t="str">
        <v xml:space="preserve">90 </v>
      </c>
      <c r="T93" s="96"/>
      <c r="U93" s="97"/>
      <c r="V93" s="103"/>
      <c r="W93" s="106"/>
      <c r="X93" s="103"/>
      <c r="Y93" s="95"/>
      <c r="Z93" s="99"/>
      <c r="AA93" s="96"/>
      <c r="AZ93" s="96"/>
      <c r="BA93" s="97"/>
      <c r="BB93" s="105"/>
      <c r="BC93" s="105"/>
      <c r="BD93" s="105"/>
      <c r="BE93" s="92"/>
      <c r="BF93" s="106"/>
      <c r="BG93" s="104"/>
      <c r="BH93" s="96"/>
      <c r="CE93" s="96"/>
      <c r="CF93" s="96"/>
      <c r="CG93" s="99"/>
      <c r="CH93" s="105"/>
      <c r="CI93" s="105"/>
      <c r="CJ93" s="105"/>
      <c r="CK93" s="105"/>
      <c r="CL93" s="99"/>
      <c r="CM93" s="96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  <c r="GG93" s="110"/>
      <c r="GH93" s="110"/>
      <c r="GI93" s="110"/>
      <c r="GJ93" s="110"/>
      <c r="GK93" s="110"/>
      <c r="GL93" s="110"/>
      <c r="GM93" s="110"/>
      <c r="GN93" s="110"/>
      <c r="GO93" s="110"/>
      <c r="GP93" s="110"/>
      <c r="GQ93" s="110"/>
      <c r="GR93" s="110"/>
      <c r="GS93" s="110"/>
      <c r="GT93" s="110"/>
      <c r="GU93" s="110"/>
      <c r="GV93" s="110"/>
      <c r="GW93" s="110"/>
      <c r="GX93" s="110"/>
      <c r="GY93" s="110"/>
      <c r="GZ93" s="110"/>
      <c r="HA93" s="110"/>
      <c r="HB93" s="110"/>
      <c r="HC93" s="110"/>
      <c r="HD93" s="110"/>
      <c r="HE93" s="110"/>
      <c r="HF93" s="110"/>
      <c r="HG93" s="110"/>
      <c r="HH93" s="110"/>
      <c r="HI93" s="110"/>
      <c r="HJ93" s="110"/>
      <c r="HK93" s="110"/>
      <c r="HL93" s="110"/>
      <c r="HM93" s="110"/>
      <c r="HN93" s="110"/>
      <c r="HO93" s="110"/>
      <c r="HP93" s="110"/>
      <c r="HQ93" s="110"/>
      <c r="HR93" s="110"/>
      <c r="HS93" s="110"/>
      <c r="HT93" s="110"/>
      <c r="HU93" s="110"/>
      <c r="HV93" s="110"/>
      <c r="HW93" s="110"/>
      <c r="HX93" s="110"/>
      <c r="HY93" s="110"/>
      <c r="HZ93" s="110"/>
      <c r="IA93" s="110"/>
      <c r="IB93" s="110"/>
      <c r="IC93" s="110"/>
      <c r="ID93" s="110"/>
      <c r="IE93" s="110"/>
      <c r="IF93" s="110"/>
      <c r="IG93" s="110"/>
      <c r="IH93" s="110"/>
      <c r="II93" s="110"/>
      <c r="IJ93" s="110"/>
      <c r="IK93" s="110"/>
      <c r="IL93" s="110"/>
      <c r="IM93" s="110"/>
      <c r="IN93" s="110"/>
      <c r="IO93" s="110"/>
      <c r="IP93" s="110"/>
      <c r="IQ93" s="110"/>
      <c r="IR93" s="110"/>
      <c r="IS93" s="110"/>
      <c r="IT93" s="110"/>
      <c r="IU93" s="110"/>
      <c r="IV93" s="110"/>
      <c r="IW93" s="110"/>
      <c r="IX93" s="110"/>
      <c r="IY93" s="110"/>
      <c r="IZ93" s="110"/>
      <c r="JA93" s="110"/>
      <c r="JB93" s="110"/>
      <c r="JC93" s="110"/>
      <c r="JD93" s="110"/>
      <c r="JE93" s="110"/>
      <c r="JF93" s="110"/>
      <c r="JG93" s="110"/>
      <c r="JH93" s="110"/>
      <c r="JI93" s="110"/>
      <c r="JJ93" s="110"/>
      <c r="JK93" s="110"/>
      <c r="JL93" s="110"/>
      <c r="JM93" s="110"/>
      <c r="JN93" s="110"/>
      <c r="JO93" s="110"/>
      <c r="JP93" s="110"/>
      <c r="JQ93" s="110"/>
      <c r="JR93" s="110"/>
      <c r="JS93" s="110"/>
      <c r="JT93" s="110"/>
      <c r="JU93" s="110"/>
      <c r="JV93" s="110"/>
      <c r="JW93" s="110"/>
      <c r="JX93" s="110"/>
      <c r="JY93" s="110"/>
      <c r="JZ93" s="110"/>
      <c r="KA93" s="110"/>
      <c r="KB93" s="110"/>
      <c r="KC93" s="110"/>
      <c r="KD93" s="110"/>
      <c r="KE93" s="110"/>
      <c r="KF93" s="110"/>
      <c r="KG93" s="110"/>
      <c r="KH93" s="110"/>
      <c r="KI93" s="110"/>
      <c r="KJ93" s="110"/>
      <c r="KK93" s="110"/>
      <c r="KL93" s="110"/>
      <c r="KM93" s="110"/>
      <c r="KN93" s="110"/>
    </row>
    <row r="94" spans="1:300" ht="19.2" customHeight="1" x14ac:dyDescent="0.3">
      <c r="A94" s="110"/>
      <c r="B94" s="110"/>
      <c r="C94" s="110"/>
      <c r="D94" s="110"/>
      <c r="E94" s="110"/>
      <c r="F94" s="110"/>
      <c r="G94" s="112" t="str">
        <v xml:space="preserve">91 </v>
      </c>
      <c r="T94" s="96"/>
      <c r="U94" s="99"/>
      <c r="V94" s="95"/>
      <c r="W94" s="104"/>
      <c r="X94" s="106"/>
      <c r="Y94" s="95"/>
      <c r="Z94" s="99"/>
      <c r="AA94" s="96"/>
      <c r="BA94" s="96"/>
      <c r="BB94" s="97"/>
      <c r="BC94" s="97"/>
      <c r="BD94" s="97"/>
      <c r="BE94" s="96"/>
      <c r="BF94" s="96"/>
      <c r="BG94" s="92"/>
      <c r="CF94" s="92"/>
      <c r="CG94" s="96"/>
      <c r="CH94" s="99"/>
      <c r="CI94" s="99"/>
      <c r="CJ94" s="99"/>
      <c r="CK94" s="99"/>
      <c r="CL94" s="92"/>
      <c r="CM94" s="96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  <c r="GG94" s="110"/>
      <c r="GH94" s="110"/>
      <c r="GI94" s="110"/>
      <c r="GJ94" s="110"/>
      <c r="GK94" s="110"/>
      <c r="GL94" s="110"/>
      <c r="GM94" s="110"/>
      <c r="GN94" s="110"/>
      <c r="GO94" s="110"/>
      <c r="GP94" s="110"/>
      <c r="GQ94" s="110"/>
      <c r="GR94" s="110"/>
      <c r="GS94" s="110"/>
      <c r="GT94" s="110"/>
      <c r="GU94" s="110"/>
      <c r="GV94" s="110"/>
      <c r="GW94" s="110"/>
      <c r="GX94" s="110"/>
      <c r="GY94" s="110"/>
      <c r="GZ94" s="110"/>
      <c r="HA94" s="110"/>
      <c r="HB94" s="110"/>
      <c r="HC94" s="110"/>
      <c r="HD94" s="110"/>
      <c r="HE94" s="110"/>
      <c r="HF94" s="110"/>
      <c r="HG94" s="110"/>
      <c r="HH94" s="110"/>
      <c r="HI94" s="110"/>
      <c r="HJ94" s="110"/>
      <c r="HK94" s="110"/>
      <c r="HL94" s="110"/>
      <c r="HM94" s="110"/>
      <c r="HN94" s="110"/>
      <c r="HO94" s="110"/>
      <c r="HP94" s="110"/>
      <c r="HQ94" s="110"/>
      <c r="HR94" s="110"/>
      <c r="HS94" s="110"/>
      <c r="HT94" s="110"/>
      <c r="HU94" s="110"/>
      <c r="HV94" s="110"/>
      <c r="HW94" s="110"/>
      <c r="HX94" s="110"/>
      <c r="HY94" s="110"/>
      <c r="HZ94" s="110"/>
      <c r="IA94" s="110"/>
      <c r="IB94" s="110"/>
      <c r="IC94" s="110"/>
      <c r="ID94" s="110"/>
      <c r="IE94" s="110"/>
      <c r="IF94" s="110"/>
      <c r="IG94" s="110"/>
      <c r="IH94" s="110"/>
      <c r="II94" s="110"/>
      <c r="IJ94" s="110"/>
      <c r="IK94" s="110"/>
      <c r="IL94" s="110"/>
      <c r="IM94" s="110"/>
      <c r="IN94" s="110"/>
      <c r="IO94" s="110"/>
      <c r="IP94" s="110"/>
      <c r="IQ94" s="110"/>
      <c r="IR94" s="110"/>
      <c r="IS94" s="110"/>
      <c r="IT94" s="110"/>
      <c r="IU94" s="110"/>
      <c r="IV94" s="110"/>
      <c r="IW94" s="110"/>
      <c r="IX94" s="110"/>
      <c r="IY94" s="110"/>
      <c r="IZ94" s="110"/>
      <c r="JA94" s="110"/>
      <c r="JB94" s="110"/>
      <c r="JC94" s="110"/>
      <c r="JD94" s="110"/>
      <c r="JE94" s="110"/>
      <c r="JF94" s="110"/>
      <c r="JG94" s="110"/>
      <c r="JH94" s="110"/>
      <c r="JI94" s="110"/>
      <c r="JJ94" s="110"/>
      <c r="JK94" s="110"/>
      <c r="JL94" s="110"/>
      <c r="JM94" s="110"/>
      <c r="JN94" s="110"/>
      <c r="JO94" s="110"/>
      <c r="JP94" s="110"/>
      <c r="JQ94" s="110"/>
      <c r="JR94" s="110"/>
      <c r="JS94" s="110"/>
      <c r="JT94" s="110"/>
      <c r="JU94" s="110"/>
      <c r="JV94" s="110"/>
      <c r="JW94" s="110"/>
      <c r="JX94" s="110"/>
      <c r="JY94" s="110"/>
      <c r="JZ94" s="110"/>
      <c r="KA94" s="110"/>
      <c r="KB94" s="110"/>
      <c r="KC94" s="110"/>
      <c r="KD94" s="110"/>
      <c r="KE94" s="110"/>
      <c r="KF94" s="110"/>
      <c r="KG94" s="110"/>
      <c r="KH94" s="110"/>
      <c r="KI94" s="110"/>
      <c r="KJ94" s="110"/>
      <c r="KK94" s="110"/>
      <c r="KL94" s="110"/>
      <c r="KM94" s="110"/>
      <c r="KN94" s="110"/>
    </row>
    <row r="95" spans="1:300" ht="19.2" customHeight="1" x14ac:dyDescent="0.3">
      <c r="A95" s="110"/>
      <c r="B95" s="110"/>
      <c r="C95" s="110"/>
      <c r="D95" s="110"/>
      <c r="E95" s="110"/>
      <c r="F95" s="110"/>
      <c r="G95" s="112" t="str">
        <v xml:space="preserve">92 </v>
      </c>
      <c r="U95" s="92"/>
      <c r="V95" s="99"/>
      <c r="W95" s="95"/>
      <c r="X95" s="95"/>
      <c r="Y95" s="99"/>
      <c r="Z95" s="96"/>
      <c r="AZ95" s="96"/>
      <c r="BA95" s="92"/>
      <c r="BB95" s="92"/>
      <c r="BC95" s="92"/>
      <c r="BD95" s="96"/>
      <c r="BE95" s="96"/>
      <c r="BF95" s="92"/>
      <c r="BG95" s="96"/>
      <c r="BH95" s="96"/>
      <c r="CE95" s="96"/>
      <c r="CF95" s="92"/>
      <c r="CG95" s="92"/>
      <c r="CH95" s="96"/>
      <c r="CI95" s="96"/>
      <c r="CJ95" s="96"/>
      <c r="CK95" s="92"/>
      <c r="CL95" s="92"/>
      <c r="CM95" s="103"/>
      <c r="CN95" s="96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  <c r="GG95" s="110"/>
      <c r="GH95" s="110"/>
      <c r="GI95" s="110"/>
      <c r="GJ95" s="110"/>
      <c r="GK95" s="110"/>
      <c r="GL95" s="110"/>
      <c r="GM95" s="110"/>
      <c r="GN95" s="110"/>
      <c r="GO95" s="110"/>
      <c r="GP95" s="110"/>
      <c r="GQ95" s="110"/>
      <c r="GR95" s="110"/>
      <c r="GS95" s="110"/>
      <c r="GT95" s="110"/>
      <c r="GU95" s="110"/>
      <c r="GV95" s="110"/>
      <c r="GW95" s="110"/>
      <c r="GX95" s="110"/>
      <c r="GY95" s="110"/>
      <c r="GZ95" s="110"/>
      <c r="HA95" s="110"/>
      <c r="HB95" s="110"/>
      <c r="HC95" s="110"/>
      <c r="HD95" s="110"/>
      <c r="HE95" s="110"/>
      <c r="HF95" s="110"/>
      <c r="HG95" s="110"/>
      <c r="HH95" s="110"/>
      <c r="HI95" s="110"/>
      <c r="HJ95" s="110"/>
      <c r="HK95" s="110"/>
      <c r="HL95" s="110"/>
      <c r="HM95" s="110"/>
      <c r="HN95" s="110"/>
      <c r="HO95" s="110"/>
      <c r="HP95" s="110"/>
      <c r="HQ95" s="110"/>
      <c r="HR95" s="110"/>
      <c r="HS95" s="110"/>
      <c r="HT95" s="110"/>
      <c r="HU95" s="110"/>
      <c r="HV95" s="110"/>
      <c r="HW95" s="110"/>
      <c r="HX95" s="110"/>
      <c r="HY95" s="110"/>
      <c r="HZ95" s="110"/>
      <c r="IA95" s="110"/>
      <c r="IB95" s="110"/>
      <c r="IC95" s="110"/>
      <c r="ID95" s="110"/>
      <c r="IE95" s="110"/>
      <c r="IF95" s="110"/>
      <c r="IG95" s="110"/>
      <c r="IH95" s="110"/>
      <c r="II95" s="110"/>
      <c r="IJ95" s="110"/>
      <c r="IK95" s="110"/>
      <c r="IL95" s="110"/>
      <c r="IM95" s="110"/>
      <c r="IN95" s="110"/>
      <c r="IO95" s="110"/>
      <c r="IP95" s="110"/>
      <c r="IQ95" s="110"/>
      <c r="IR95" s="110"/>
      <c r="IS95" s="110"/>
      <c r="IT95" s="110"/>
      <c r="IU95" s="110"/>
      <c r="IV95" s="110"/>
      <c r="IW95" s="110"/>
      <c r="IX95" s="110"/>
      <c r="IY95" s="110"/>
      <c r="IZ95" s="110"/>
      <c r="JA95" s="110"/>
      <c r="JB95" s="110"/>
      <c r="JC95" s="110"/>
      <c r="JD95" s="110"/>
      <c r="JE95" s="110"/>
      <c r="JF95" s="110"/>
      <c r="JG95" s="110"/>
      <c r="JH95" s="110"/>
      <c r="JI95" s="110"/>
      <c r="JJ95" s="110"/>
      <c r="JK95" s="110"/>
      <c r="JL95" s="110"/>
      <c r="JM95" s="110"/>
      <c r="JN95" s="110"/>
      <c r="JO95" s="110"/>
      <c r="JP95" s="110"/>
      <c r="JQ95" s="110"/>
      <c r="JR95" s="110"/>
      <c r="JS95" s="110"/>
      <c r="JT95" s="110"/>
      <c r="JU95" s="110"/>
      <c r="JV95" s="110"/>
      <c r="JW95" s="110"/>
      <c r="JX95" s="110"/>
      <c r="JY95" s="110"/>
      <c r="JZ95" s="110"/>
      <c r="KA95" s="110"/>
      <c r="KB95" s="110"/>
      <c r="KC95" s="110"/>
      <c r="KD95" s="110"/>
      <c r="KE95" s="110"/>
      <c r="KF95" s="110"/>
      <c r="KG95" s="110"/>
      <c r="KH95" s="110"/>
      <c r="KI95" s="110"/>
      <c r="KJ95" s="110"/>
      <c r="KK95" s="110"/>
      <c r="KL95" s="110"/>
      <c r="KM95" s="110"/>
      <c r="KN95" s="110"/>
    </row>
    <row r="96" spans="1:300" ht="19.2" customHeight="1" x14ac:dyDescent="0.3">
      <c r="A96" s="110"/>
      <c r="B96" s="110"/>
      <c r="C96" s="110"/>
      <c r="D96" s="110"/>
      <c r="E96" s="110"/>
      <c r="F96" s="110"/>
      <c r="G96" s="112" t="str">
        <v xml:space="preserve">93 </v>
      </c>
      <c r="V96" s="96"/>
      <c r="W96" s="92"/>
      <c r="X96" s="92"/>
      <c r="Y96" s="96"/>
      <c r="AX96" s="96"/>
      <c r="AY96" s="94"/>
      <c r="AZ96" s="92"/>
      <c r="BA96" s="92"/>
      <c r="BB96" s="92"/>
      <c r="BC96" s="96"/>
      <c r="BF96" s="96"/>
      <c r="BG96" s="96"/>
      <c r="CF96" s="96"/>
      <c r="CG96" s="96"/>
      <c r="CH96" s="96"/>
      <c r="CL96" s="96"/>
      <c r="CM96" s="103"/>
      <c r="CN96" s="96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  <c r="GG96" s="110"/>
      <c r="GH96" s="110"/>
      <c r="GI96" s="110"/>
      <c r="GJ96" s="110"/>
      <c r="GK96" s="110"/>
      <c r="GL96" s="110"/>
      <c r="GM96" s="110"/>
      <c r="GN96" s="110"/>
      <c r="GO96" s="110"/>
      <c r="GP96" s="110"/>
      <c r="GQ96" s="110"/>
      <c r="GR96" s="110"/>
      <c r="GS96" s="110"/>
      <c r="GT96" s="110"/>
      <c r="GU96" s="110"/>
      <c r="GV96" s="110"/>
      <c r="GW96" s="110"/>
      <c r="GX96" s="110"/>
      <c r="GY96" s="110"/>
      <c r="GZ96" s="110"/>
      <c r="HA96" s="110"/>
      <c r="HB96" s="110"/>
      <c r="HC96" s="110"/>
      <c r="HD96" s="110"/>
      <c r="HE96" s="110"/>
      <c r="HF96" s="110"/>
      <c r="HG96" s="110"/>
      <c r="HH96" s="110"/>
      <c r="HI96" s="110"/>
      <c r="HJ96" s="110"/>
      <c r="HK96" s="110"/>
      <c r="HL96" s="110"/>
      <c r="HM96" s="110"/>
      <c r="HN96" s="110"/>
      <c r="HO96" s="110"/>
      <c r="HP96" s="110"/>
      <c r="HQ96" s="110"/>
      <c r="HR96" s="110"/>
      <c r="HS96" s="110"/>
      <c r="HT96" s="110"/>
      <c r="HU96" s="110"/>
      <c r="HV96" s="110"/>
      <c r="HW96" s="110"/>
      <c r="HX96" s="110"/>
      <c r="HY96" s="110"/>
      <c r="HZ96" s="110"/>
      <c r="IA96" s="110"/>
      <c r="IB96" s="110"/>
      <c r="IC96" s="110"/>
      <c r="ID96" s="110"/>
      <c r="IE96" s="110"/>
      <c r="IF96" s="110"/>
      <c r="IG96" s="110"/>
      <c r="IH96" s="110"/>
      <c r="II96" s="110"/>
      <c r="IJ96" s="110"/>
      <c r="IK96" s="110"/>
      <c r="IL96" s="110"/>
      <c r="IM96" s="110"/>
      <c r="IN96" s="110"/>
      <c r="IO96" s="110"/>
      <c r="IP96" s="110"/>
      <c r="IQ96" s="110"/>
      <c r="IR96" s="110"/>
      <c r="IS96" s="110"/>
      <c r="IT96" s="110"/>
      <c r="IU96" s="110"/>
      <c r="IV96" s="110"/>
      <c r="IW96" s="110"/>
      <c r="IX96" s="110"/>
      <c r="IY96" s="110"/>
      <c r="IZ96" s="110"/>
      <c r="JA96" s="110"/>
      <c r="JB96" s="110"/>
      <c r="JC96" s="110"/>
      <c r="JD96" s="110"/>
      <c r="JE96" s="110"/>
      <c r="JF96" s="110"/>
      <c r="JG96" s="110"/>
      <c r="JH96" s="110"/>
      <c r="JI96" s="110"/>
      <c r="JJ96" s="110"/>
      <c r="JK96" s="110"/>
      <c r="JL96" s="110"/>
      <c r="JM96" s="110"/>
      <c r="JN96" s="110"/>
      <c r="JO96" s="110"/>
      <c r="JP96" s="110"/>
      <c r="JQ96" s="110"/>
      <c r="JR96" s="110"/>
      <c r="JS96" s="110"/>
      <c r="JT96" s="110"/>
      <c r="JU96" s="110"/>
      <c r="JV96" s="110"/>
      <c r="JW96" s="110"/>
      <c r="JX96" s="110"/>
      <c r="JY96" s="110"/>
      <c r="JZ96" s="110"/>
      <c r="KA96" s="110"/>
      <c r="KB96" s="110"/>
      <c r="KC96" s="110"/>
      <c r="KD96" s="110"/>
      <c r="KE96" s="110"/>
      <c r="KF96" s="110"/>
      <c r="KG96" s="110"/>
      <c r="KH96" s="110"/>
      <c r="KI96" s="110"/>
      <c r="KJ96" s="110"/>
      <c r="KK96" s="110"/>
      <c r="KL96" s="110"/>
      <c r="KM96" s="110"/>
      <c r="KN96" s="110"/>
    </row>
    <row r="97" spans="1:300" ht="19.2" customHeight="1" x14ac:dyDescent="0.3">
      <c r="A97" s="110"/>
      <c r="B97" s="110"/>
      <c r="C97" s="110"/>
      <c r="D97" s="110"/>
      <c r="E97" s="110"/>
      <c r="F97" s="110"/>
      <c r="G97" s="112" t="str">
        <v xml:space="preserve">94 </v>
      </c>
      <c r="U97" s="96"/>
      <c r="V97" s="94"/>
      <c r="W97" s="94"/>
      <c r="X97" s="92"/>
      <c r="Y97" s="96"/>
      <c r="AX97" s="96"/>
      <c r="AY97" s="92"/>
      <c r="AZ97" s="94"/>
      <c r="BA97" s="92"/>
      <c r="BB97" s="96"/>
      <c r="CK97" s="96"/>
      <c r="CL97" s="94"/>
      <c r="CM97" s="94"/>
      <c r="CN97" s="96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  <c r="GG97" s="110"/>
      <c r="GH97" s="110"/>
      <c r="GI97" s="110"/>
      <c r="GJ97" s="110"/>
      <c r="GK97" s="110"/>
      <c r="GL97" s="110"/>
      <c r="GM97" s="110"/>
      <c r="GN97" s="110"/>
      <c r="GO97" s="110"/>
      <c r="GP97" s="110"/>
      <c r="GQ97" s="110"/>
      <c r="GR97" s="110"/>
      <c r="GS97" s="110"/>
      <c r="GT97" s="110"/>
      <c r="GU97" s="110"/>
      <c r="GV97" s="110"/>
      <c r="GW97" s="110"/>
      <c r="GX97" s="110"/>
      <c r="GY97" s="110"/>
      <c r="GZ97" s="110"/>
      <c r="HA97" s="110"/>
      <c r="HB97" s="110"/>
      <c r="HC97" s="110"/>
      <c r="HD97" s="110"/>
      <c r="HE97" s="110"/>
      <c r="HF97" s="110"/>
      <c r="HG97" s="110"/>
      <c r="HH97" s="110"/>
      <c r="HI97" s="110"/>
      <c r="HJ97" s="110"/>
      <c r="HK97" s="110"/>
      <c r="HL97" s="110"/>
      <c r="HM97" s="110"/>
      <c r="HN97" s="110"/>
      <c r="HO97" s="110"/>
      <c r="HP97" s="110"/>
      <c r="HQ97" s="110"/>
      <c r="HR97" s="110"/>
      <c r="HS97" s="110"/>
      <c r="HT97" s="110"/>
      <c r="HU97" s="110"/>
      <c r="HV97" s="110"/>
      <c r="HW97" s="110"/>
      <c r="HX97" s="110"/>
      <c r="HY97" s="110"/>
      <c r="HZ97" s="110"/>
      <c r="IA97" s="110"/>
      <c r="IB97" s="110"/>
      <c r="IC97" s="110"/>
      <c r="ID97" s="110"/>
      <c r="IE97" s="110"/>
      <c r="IF97" s="110"/>
      <c r="IG97" s="110"/>
      <c r="IH97" s="110"/>
      <c r="II97" s="110"/>
      <c r="IJ97" s="110"/>
      <c r="IK97" s="110"/>
      <c r="IL97" s="110"/>
      <c r="IM97" s="110"/>
      <c r="IN97" s="110"/>
      <c r="IO97" s="110"/>
      <c r="IP97" s="110"/>
      <c r="IQ97" s="110"/>
      <c r="IR97" s="110"/>
      <c r="IS97" s="110"/>
      <c r="IT97" s="110"/>
      <c r="IU97" s="110"/>
      <c r="IV97" s="110"/>
      <c r="IW97" s="110"/>
      <c r="IX97" s="110"/>
      <c r="IY97" s="110"/>
      <c r="IZ97" s="110"/>
      <c r="JA97" s="110"/>
      <c r="JB97" s="110"/>
      <c r="JC97" s="110"/>
      <c r="JD97" s="110"/>
      <c r="JE97" s="110"/>
      <c r="JF97" s="110"/>
      <c r="JG97" s="110"/>
      <c r="JH97" s="110"/>
      <c r="JI97" s="110"/>
      <c r="JJ97" s="110"/>
      <c r="JK97" s="110"/>
      <c r="JL97" s="110"/>
      <c r="JM97" s="110"/>
      <c r="JN97" s="110"/>
      <c r="JO97" s="110"/>
      <c r="JP97" s="110"/>
      <c r="JQ97" s="110"/>
      <c r="JR97" s="110"/>
      <c r="JS97" s="110"/>
      <c r="JT97" s="110"/>
      <c r="JU97" s="110"/>
      <c r="JV97" s="110"/>
      <c r="JW97" s="110"/>
      <c r="JX97" s="110"/>
      <c r="JY97" s="110"/>
      <c r="JZ97" s="110"/>
      <c r="KA97" s="110"/>
      <c r="KB97" s="110"/>
      <c r="KC97" s="110"/>
      <c r="KD97" s="110"/>
      <c r="KE97" s="110"/>
      <c r="KF97" s="110"/>
      <c r="KG97" s="110"/>
      <c r="KH97" s="110"/>
      <c r="KI97" s="110"/>
      <c r="KJ97" s="110"/>
      <c r="KK97" s="110"/>
      <c r="KL97" s="110"/>
      <c r="KM97" s="110"/>
      <c r="KN97" s="110"/>
    </row>
    <row r="98" spans="1:300" ht="19.2" customHeight="1" x14ac:dyDescent="0.3">
      <c r="A98" s="110"/>
      <c r="B98" s="110"/>
      <c r="C98" s="110"/>
      <c r="D98" s="110"/>
      <c r="E98" s="110"/>
      <c r="F98" s="110"/>
      <c r="G98" s="112" t="str">
        <v xml:space="preserve">95 </v>
      </c>
      <c r="V98" s="96"/>
      <c r="W98" s="96"/>
      <c r="X98" s="96"/>
      <c r="AZ98" s="96"/>
      <c r="BA98" s="96"/>
      <c r="CL98" s="96"/>
      <c r="CM98" s="96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  <c r="GG98" s="110"/>
      <c r="GH98" s="110"/>
      <c r="GI98" s="110"/>
      <c r="GJ98" s="110"/>
      <c r="GK98" s="110"/>
      <c r="GL98" s="110"/>
      <c r="GM98" s="110"/>
      <c r="GN98" s="110"/>
      <c r="GO98" s="110"/>
      <c r="GP98" s="110"/>
      <c r="GQ98" s="110"/>
      <c r="GR98" s="110"/>
      <c r="GS98" s="110"/>
      <c r="GT98" s="110"/>
      <c r="GU98" s="110"/>
      <c r="GV98" s="110"/>
      <c r="GW98" s="110"/>
      <c r="GX98" s="110"/>
      <c r="GY98" s="110"/>
      <c r="GZ98" s="110"/>
      <c r="HA98" s="110"/>
      <c r="HB98" s="110"/>
      <c r="HC98" s="110"/>
      <c r="HD98" s="110"/>
      <c r="HE98" s="110"/>
      <c r="HF98" s="110"/>
      <c r="HG98" s="110"/>
      <c r="HH98" s="110"/>
      <c r="HI98" s="110"/>
      <c r="HJ98" s="110"/>
      <c r="HK98" s="110"/>
      <c r="HL98" s="110"/>
      <c r="HM98" s="110"/>
      <c r="HN98" s="110"/>
      <c r="HO98" s="110"/>
      <c r="HP98" s="110"/>
      <c r="HQ98" s="110"/>
      <c r="HR98" s="110"/>
      <c r="HS98" s="110"/>
      <c r="HT98" s="110"/>
      <c r="HU98" s="110"/>
      <c r="HV98" s="110"/>
      <c r="HW98" s="110"/>
      <c r="HX98" s="110"/>
      <c r="HY98" s="110"/>
      <c r="HZ98" s="110"/>
      <c r="IA98" s="110"/>
      <c r="IB98" s="110"/>
      <c r="IC98" s="110"/>
      <c r="ID98" s="110"/>
      <c r="IE98" s="110"/>
      <c r="IF98" s="110"/>
      <c r="IG98" s="110"/>
      <c r="IH98" s="110"/>
      <c r="II98" s="110"/>
      <c r="IJ98" s="110"/>
      <c r="IK98" s="110"/>
      <c r="IL98" s="110"/>
      <c r="IM98" s="110"/>
      <c r="IN98" s="110"/>
      <c r="IO98" s="110"/>
      <c r="IP98" s="110"/>
      <c r="IQ98" s="110"/>
      <c r="IR98" s="110"/>
      <c r="IS98" s="110"/>
      <c r="IT98" s="110"/>
      <c r="IU98" s="110"/>
      <c r="IV98" s="110"/>
      <c r="IW98" s="110"/>
      <c r="IX98" s="110"/>
      <c r="IY98" s="110"/>
      <c r="IZ98" s="110"/>
      <c r="JA98" s="110"/>
      <c r="JB98" s="110"/>
      <c r="JC98" s="110"/>
      <c r="JD98" s="110"/>
      <c r="JE98" s="110"/>
      <c r="JF98" s="110"/>
      <c r="JG98" s="110"/>
      <c r="JH98" s="110"/>
      <c r="JI98" s="110"/>
      <c r="JJ98" s="110"/>
      <c r="JK98" s="110"/>
      <c r="JL98" s="110"/>
      <c r="JM98" s="110"/>
      <c r="JN98" s="110"/>
      <c r="JO98" s="110"/>
      <c r="JP98" s="110"/>
      <c r="JQ98" s="110"/>
      <c r="JR98" s="110"/>
      <c r="JS98" s="110"/>
      <c r="JT98" s="110"/>
      <c r="JU98" s="110"/>
      <c r="JV98" s="110"/>
      <c r="JW98" s="110"/>
      <c r="JX98" s="110"/>
      <c r="JY98" s="110"/>
      <c r="JZ98" s="110"/>
      <c r="KA98" s="110"/>
      <c r="KB98" s="110"/>
      <c r="KC98" s="110"/>
      <c r="KD98" s="110"/>
      <c r="KE98" s="110"/>
      <c r="KF98" s="110"/>
      <c r="KG98" s="110"/>
      <c r="KH98" s="110"/>
      <c r="KI98" s="110"/>
      <c r="KJ98" s="110"/>
      <c r="KK98" s="110"/>
      <c r="KL98" s="110"/>
      <c r="KM98" s="110"/>
      <c r="KN98" s="110"/>
    </row>
    <row r="99" spans="1:300" ht="19.2" customHeight="1" x14ac:dyDescent="0.3">
      <c r="A99" s="110"/>
      <c r="B99" s="110"/>
      <c r="C99" s="110"/>
      <c r="D99" s="110"/>
      <c r="E99" s="110"/>
      <c r="F99" s="110"/>
      <c r="G99" s="112" t="str">
        <v xml:space="preserve">96 </v>
      </c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  <c r="GG99" s="110"/>
      <c r="GH99" s="110"/>
      <c r="GI99" s="110"/>
      <c r="GJ99" s="110"/>
      <c r="GK99" s="110"/>
      <c r="GL99" s="110"/>
      <c r="GM99" s="110"/>
      <c r="GN99" s="110"/>
      <c r="GO99" s="110"/>
      <c r="GP99" s="110"/>
      <c r="GQ99" s="110"/>
      <c r="GR99" s="110"/>
      <c r="GS99" s="110"/>
      <c r="GT99" s="110"/>
      <c r="GU99" s="110"/>
      <c r="GV99" s="110"/>
      <c r="GW99" s="110"/>
      <c r="GX99" s="110"/>
      <c r="GY99" s="110"/>
      <c r="GZ99" s="110"/>
      <c r="HA99" s="110"/>
      <c r="HB99" s="110"/>
      <c r="HC99" s="110"/>
      <c r="HD99" s="110"/>
      <c r="HE99" s="110"/>
      <c r="HF99" s="110"/>
      <c r="HG99" s="110"/>
      <c r="HH99" s="110"/>
      <c r="HI99" s="110"/>
      <c r="HJ99" s="110"/>
      <c r="HK99" s="110"/>
      <c r="HL99" s="110"/>
      <c r="HM99" s="110"/>
      <c r="HN99" s="110"/>
      <c r="HO99" s="110"/>
      <c r="HP99" s="110"/>
      <c r="HQ99" s="110"/>
      <c r="HR99" s="110"/>
      <c r="HS99" s="110"/>
      <c r="HT99" s="110"/>
      <c r="HU99" s="110"/>
      <c r="HV99" s="110"/>
      <c r="HW99" s="110"/>
      <c r="HX99" s="110"/>
      <c r="HY99" s="110"/>
      <c r="HZ99" s="110"/>
      <c r="IA99" s="110"/>
      <c r="IB99" s="110"/>
      <c r="IC99" s="110"/>
      <c r="ID99" s="110"/>
      <c r="IE99" s="110"/>
      <c r="IF99" s="110"/>
      <c r="IG99" s="110"/>
      <c r="IH99" s="110"/>
      <c r="II99" s="110"/>
      <c r="IJ99" s="110"/>
      <c r="IK99" s="110"/>
      <c r="IL99" s="110"/>
      <c r="IM99" s="110"/>
      <c r="IN99" s="110"/>
      <c r="IO99" s="110"/>
      <c r="IP99" s="110"/>
      <c r="IQ99" s="110"/>
      <c r="IR99" s="110"/>
      <c r="IS99" s="110"/>
      <c r="IT99" s="110"/>
      <c r="IU99" s="110"/>
      <c r="IV99" s="110"/>
      <c r="IW99" s="110"/>
      <c r="IX99" s="110"/>
      <c r="IY99" s="110"/>
      <c r="IZ99" s="110"/>
      <c r="JA99" s="110"/>
      <c r="JB99" s="110"/>
      <c r="JC99" s="110"/>
      <c r="JD99" s="110"/>
      <c r="JE99" s="110"/>
      <c r="JF99" s="110"/>
      <c r="JG99" s="110"/>
      <c r="JH99" s="110"/>
      <c r="JI99" s="110"/>
      <c r="JJ99" s="110"/>
      <c r="JK99" s="110"/>
      <c r="JL99" s="110"/>
      <c r="JM99" s="110"/>
      <c r="JN99" s="110"/>
      <c r="JO99" s="110"/>
      <c r="JP99" s="110"/>
      <c r="JQ99" s="110"/>
      <c r="JR99" s="110"/>
      <c r="JS99" s="110"/>
      <c r="JT99" s="110"/>
      <c r="JU99" s="110"/>
      <c r="JV99" s="110"/>
      <c r="JW99" s="110"/>
      <c r="JX99" s="110"/>
      <c r="JY99" s="110"/>
      <c r="JZ99" s="110"/>
      <c r="KA99" s="110"/>
      <c r="KB99" s="110"/>
      <c r="KC99" s="110"/>
      <c r="KD99" s="110"/>
      <c r="KE99" s="110"/>
      <c r="KF99" s="110"/>
      <c r="KG99" s="110"/>
      <c r="KH99" s="110"/>
      <c r="KI99" s="110"/>
      <c r="KJ99" s="110"/>
      <c r="KK99" s="110"/>
      <c r="KL99" s="110"/>
      <c r="KM99" s="110"/>
      <c r="KN99" s="110"/>
    </row>
    <row r="100" spans="1:300" ht="19.2" customHeight="1" x14ac:dyDescent="0.3">
      <c r="A100" s="110"/>
      <c r="B100" s="110"/>
      <c r="C100" s="110"/>
      <c r="D100" s="110"/>
      <c r="E100" s="110"/>
      <c r="F100" s="110"/>
      <c r="G100" s="112" t="str">
        <v xml:space="preserve">97 </v>
      </c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  <c r="GG100" s="110"/>
      <c r="GH100" s="110"/>
      <c r="GI100" s="110"/>
      <c r="GJ100" s="110"/>
      <c r="GK100" s="110"/>
      <c r="GL100" s="110"/>
      <c r="GM100" s="110"/>
      <c r="GN100" s="110"/>
      <c r="GO100" s="110"/>
      <c r="GP100" s="110"/>
      <c r="GQ100" s="110"/>
      <c r="GR100" s="110"/>
      <c r="GS100" s="110"/>
      <c r="GT100" s="110"/>
      <c r="GU100" s="110"/>
      <c r="GV100" s="110"/>
      <c r="GW100" s="110"/>
      <c r="GX100" s="110"/>
      <c r="GY100" s="110"/>
      <c r="GZ100" s="110"/>
      <c r="HA100" s="110"/>
      <c r="HB100" s="110"/>
      <c r="HC100" s="110"/>
      <c r="HD100" s="110"/>
      <c r="HE100" s="110"/>
      <c r="HF100" s="110"/>
      <c r="HG100" s="110"/>
      <c r="HH100" s="110"/>
      <c r="HI100" s="110"/>
      <c r="HJ100" s="110"/>
      <c r="HK100" s="110"/>
      <c r="HL100" s="110"/>
      <c r="HM100" s="110"/>
      <c r="HN100" s="110"/>
      <c r="HO100" s="110"/>
      <c r="HP100" s="110"/>
      <c r="HQ100" s="110"/>
      <c r="HR100" s="110"/>
      <c r="HS100" s="110"/>
      <c r="HT100" s="110"/>
      <c r="HU100" s="110"/>
      <c r="HV100" s="110"/>
      <c r="HW100" s="110"/>
      <c r="HX100" s="110"/>
      <c r="HY100" s="110"/>
      <c r="HZ100" s="110"/>
      <c r="IA100" s="110"/>
      <c r="IB100" s="110"/>
      <c r="IC100" s="110"/>
      <c r="ID100" s="110"/>
      <c r="IE100" s="110"/>
      <c r="IF100" s="110"/>
      <c r="IG100" s="110"/>
      <c r="IH100" s="110"/>
      <c r="II100" s="110"/>
      <c r="IJ100" s="110"/>
      <c r="IK100" s="110"/>
      <c r="IL100" s="110"/>
      <c r="IM100" s="110"/>
      <c r="IN100" s="110"/>
      <c r="IO100" s="110"/>
      <c r="IP100" s="110"/>
      <c r="IQ100" s="110"/>
      <c r="IR100" s="110"/>
      <c r="IS100" s="110"/>
      <c r="IT100" s="110"/>
      <c r="IU100" s="110"/>
      <c r="IV100" s="110"/>
      <c r="IW100" s="110"/>
      <c r="IX100" s="110"/>
      <c r="IY100" s="110"/>
      <c r="IZ100" s="110"/>
      <c r="JA100" s="110"/>
      <c r="JB100" s="110"/>
      <c r="JC100" s="110"/>
      <c r="JD100" s="110"/>
      <c r="JE100" s="110"/>
      <c r="JF100" s="110"/>
      <c r="JG100" s="110"/>
      <c r="JH100" s="110"/>
      <c r="JI100" s="110"/>
      <c r="JJ100" s="110"/>
      <c r="JK100" s="110"/>
      <c r="JL100" s="110"/>
      <c r="JM100" s="110"/>
      <c r="JN100" s="110"/>
      <c r="JO100" s="110"/>
      <c r="JP100" s="110"/>
      <c r="JQ100" s="110"/>
      <c r="JR100" s="110"/>
      <c r="JS100" s="110"/>
      <c r="JT100" s="110"/>
      <c r="JU100" s="110"/>
      <c r="JV100" s="110"/>
      <c r="JW100" s="110"/>
      <c r="JX100" s="110"/>
      <c r="JY100" s="110"/>
      <c r="JZ100" s="110"/>
      <c r="KA100" s="110"/>
      <c r="KB100" s="110"/>
      <c r="KC100" s="110"/>
      <c r="KD100" s="110"/>
      <c r="KE100" s="110"/>
      <c r="KF100" s="110"/>
      <c r="KG100" s="110"/>
      <c r="KH100" s="110"/>
      <c r="KI100" s="110"/>
      <c r="KJ100" s="110"/>
      <c r="KK100" s="110"/>
      <c r="KL100" s="110"/>
      <c r="KM100" s="110"/>
      <c r="KN100" s="110"/>
    </row>
    <row r="101" spans="1:300" ht="19.2" customHeight="1" x14ac:dyDescent="0.3">
      <c r="A101" s="110"/>
      <c r="B101" s="110"/>
      <c r="C101" s="110"/>
      <c r="D101" s="110"/>
      <c r="E101" s="110"/>
      <c r="F101" s="110"/>
      <c r="G101" s="112" t="str">
        <v xml:space="preserve">98 </v>
      </c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  <c r="GG101" s="110"/>
      <c r="GH101" s="110"/>
      <c r="GI101" s="110"/>
      <c r="GJ101" s="110"/>
      <c r="GK101" s="110"/>
      <c r="GL101" s="110"/>
      <c r="GM101" s="110"/>
      <c r="GN101" s="110"/>
      <c r="GO101" s="110"/>
      <c r="GP101" s="110"/>
      <c r="GQ101" s="110"/>
      <c r="GR101" s="110"/>
      <c r="GS101" s="110"/>
      <c r="GT101" s="110"/>
      <c r="GU101" s="110"/>
      <c r="GV101" s="110"/>
      <c r="GW101" s="110"/>
      <c r="GX101" s="110"/>
      <c r="GY101" s="110"/>
      <c r="GZ101" s="110"/>
      <c r="HA101" s="110"/>
      <c r="HB101" s="110"/>
      <c r="HC101" s="110"/>
      <c r="HD101" s="110"/>
      <c r="HE101" s="110"/>
      <c r="HF101" s="110"/>
      <c r="HG101" s="110"/>
      <c r="HH101" s="110"/>
      <c r="HI101" s="110"/>
      <c r="HJ101" s="110"/>
      <c r="HK101" s="110"/>
      <c r="HL101" s="110"/>
      <c r="HM101" s="110"/>
      <c r="HN101" s="110"/>
      <c r="HO101" s="110"/>
      <c r="HP101" s="110"/>
      <c r="HQ101" s="110"/>
      <c r="HR101" s="110"/>
      <c r="HS101" s="110"/>
      <c r="HT101" s="110"/>
      <c r="HU101" s="110"/>
      <c r="HV101" s="110"/>
      <c r="HW101" s="110"/>
      <c r="HX101" s="110"/>
      <c r="HY101" s="110"/>
      <c r="HZ101" s="110"/>
      <c r="IA101" s="110"/>
      <c r="IB101" s="110"/>
      <c r="IC101" s="110"/>
      <c r="ID101" s="110"/>
      <c r="IE101" s="110"/>
      <c r="IF101" s="110"/>
      <c r="IG101" s="110"/>
      <c r="IH101" s="110"/>
      <c r="II101" s="110"/>
      <c r="IJ101" s="110"/>
      <c r="IK101" s="110"/>
      <c r="IL101" s="110"/>
      <c r="IM101" s="110"/>
      <c r="IN101" s="110"/>
      <c r="IO101" s="110"/>
      <c r="IP101" s="110"/>
      <c r="IQ101" s="110"/>
      <c r="IR101" s="110"/>
      <c r="IS101" s="110"/>
      <c r="IT101" s="110"/>
      <c r="IU101" s="110"/>
      <c r="IV101" s="110"/>
      <c r="IW101" s="110"/>
      <c r="IX101" s="110"/>
      <c r="IY101" s="110"/>
      <c r="IZ101" s="110"/>
      <c r="JA101" s="110"/>
      <c r="JB101" s="110"/>
      <c r="JC101" s="110"/>
      <c r="JD101" s="110"/>
      <c r="JE101" s="110"/>
      <c r="JF101" s="110"/>
      <c r="JG101" s="110"/>
      <c r="JH101" s="110"/>
      <c r="JI101" s="110"/>
      <c r="JJ101" s="110"/>
      <c r="JK101" s="110"/>
      <c r="JL101" s="110"/>
      <c r="JM101" s="110"/>
      <c r="JN101" s="110"/>
      <c r="JO101" s="110"/>
      <c r="JP101" s="110"/>
      <c r="JQ101" s="110"/>
      <c r="JR101" s="110"/>
      <c r="JS101" s="110"/>
      <c r="JT101" s="110"/>
      <c r="JU101" s="110"/>
      <c r="JV101" s="110"/>
      <c r="JW101" s="110"/>
      <c r="JX101" s="110"/>
      <c r="JY101" s="110"/>
      <c r="JZ101" s="110"/>
      <c r="KA101" s="110"/>
      <c r="KB101" s="110"/>
      <c r="KC101" s="110"/>
      <c r="KD101" s="110"/>
      <c r="KE101" s="110"/>
      <c r="KF101" s="110"/>
      <c r="KG101" s="110"/>
      <c r="KH101" s="110"/>
      <c r="KI101" s="110"/>
      <c r="KJ101" s="110"/>
      <c r="KK101" s="110"/>
      <c r="KL101" s="110"/>
      <c r="KM101" s="110"/>
      <c r="KN101" s="110"/>
    </row>
    <row r="102" spans="1:300" ht="19.2" customHeight="1" x14ac:dyDescent="0.3">
      <c r="A102" s="110"/>
      <c r="B102" s="110"/>
      <c r="C102" s="110"/>
      <c r="D102" s="110"/>
      <c r="E102" s="110"/>
      <c r="F102" s="110"/>
      <c r="G102" s="112" t="str">
        <v xml:space="preserve">99 </v>
      </c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  <c r="GG102" s="110"/>
      <c r="GH102" s="110"/>
      <c r="GI102" s="110"/>
      <c r="GJ102" s="110"/>
      <c r="GK102" s="110"/>
      <c r="GL102" s="110"/>
      <c r="GM102" s="110"/>
      <c r="GN102" s="110"/>
      <c r="GO102" s="110"/>
      <c r="GP102" s="110"/>
      <c r="GQ102" s="110"/>
      <c r="GR102" s="110"/>
      <c r="GS102" s="110"/>
      <c r="GT102" s="110"/>
      <c r="GU102" s="110"/>
      <c r="GV102" s="110"/>
      <c r="GW102" s="110"/>
      <c r="GX102" s="110"/>
      <c r="GY102" s="110"/>
      <c r="GZ102" s="110"/>
      <c r="HA102" s="110"/>
      <c r="HB102" s="110"/>
      <c r="HC102" s="110"/>
      <c r="HD102" s="110"/>
      <c r="HE102" s="110"/>
      <c r="HF102" s="110"/>
      <c r="HG102" s="110"/>
      <c r="HH102" s="110"/>
      <c r="HI102" s="110"/>
      <c r="HJ102" s="110"/>
      <c r="HK102" s="110"/>
      <c r="HL102" s="110"/>
      <c r="HM102" s="110"/>
      <c r="HN102" s="110"/>
      <c r="HO102" s="110"/>
      <c r="HP102" s="110"/>
      <c r="HQ102" s="110"/>
      <c r="HR102" s="110"/>
      <c r="HS102" s="110"/>
      <c r="HT102" s="110"/>
      <c r="HU102" s="110"/>
      <c r="HV102" s="110"/>
      <c r="HW102" s="110"/>
      <c r="HX102" s="110"/>
      <c r="HY102" s="110"/>
      <c r="HZ102" s="110"/>
      <c r="IA102" s="110"/>
      <c r="IB102" s="110"/>
      <c r="IC102" s="110"/>
      <c r="ID102" s="110"/>
      <c r="IE102" s="110"/>
      <c r="IF102" s="110"/>
      <c r="IG102" s="110"/>
      <c r="IH102" s="110"/>
      <c r="II102" s="110"/>
      <c r="IJ102" s="110"/>
      <c r="IK102" s="110"/>
      <c r="IL102" s="110"/>
      <c r="IM102" s="110"/>
      <c r="IN102" s="110"/>
      <c r="IO102" s="110"/>
      <c r="IP102" s="110"/>
      <c r="IQ102" s="110"/>
      <c r="IR102" s="110"/>
      <c r="IS102" s="110"/>
      <c r="IT102" s="110"/>
      <c r="IU102" s="110"/>
      <c r="IV102" s="110"/>
      <c r="IW102" s="110"/>
      <c r="IX102" s="110"/>
      <c r="IY102" s="110"/>
      <c r="IZ102" s="110"/>
      <c r="JA102" s="110"/>
      <c r="JB102" s="110"/>
      <c r="JC102" s="110"/>
      <c r="JD102" s="110"/>
      <c r="JE102" s="110"/>
      <c r="JF102" s="110"/>
      <c r="JG102" s="110"/>
      <c r="JH102" s="110"/>
      <c r="JI102" s="110"/>
      <c r="JJ102" s="110"/>
      <c r="JK102" s="110"/>
      <c r="JL102" s="110"/>
      <c r="JM102" s="110"/>
      <c r="JN102" s="110"/>
      <c r="JO102" s="110"/>
      <c r="JP102" s="110"/>
      <c r="JQ102" s="110"/>
      <c r="JR102" s="110"/>
      <c r="JS102" s="110"/>
      <c r="JT102" s="110"/>
      <c r="JU102" s="110"/>
      <c r="JV102" s="110"/>
      <c r="JW102" s="110"/>
      <c r="JX102" s="110"/>
      <c r="JY102" s="110"/>
      <c r="JZ102" s="110"/>
      <c r="KA102" s="110"/>
      <c r="KB102" s="110"/>
      <c r="KC102" s="110"/>
      <c r="KD102" s="110"/>
      <c r="KE102" s="110"/>
      <c r="KF102" s="110"/>
      <c r="KG102" s="110"/>
      <c r="KH102" s="110"/>
      <c r="KI102" s="110"/>
      <c r="KJ102" s="110"/>
      <c r="KK102" s="110"/>
      <c r="KL102" s="110"/>
      <c r="KM102" s="110"/>
      <c r="KN102" s="110"/>
    </row>
    <row r="103" spans="1:300" ht="19.2" customHeight="1" x14ac:dyDescent="0.3">
      <c r="A103" s="110"/>
      <c r="B103" s="110"/>
      <c r="C103" s="110"/>
      <c r="D103" s="110"/>
      <c r="E103" s="110"/>
      <c r="F103" s="110"/>
      <c r="G103" s="112" t="str">
        <v xml:space="preserve">100 </v>
      </c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  <c r="GG103" s="110"/>
      <c r="GH103" s="110"/>
      <c r="GI103" s="110"/>
      <c r="GJ103" s="110"/>
      <c r="GK103" s="110"/>
      <c r="GL103" s="110"/>
      <c r="GM103" s="110"/>
      <c r="GN103" s="110"/>
      <c r="GO103" s="110"/>
      <c r="GP103" s="110"/>
      <c r="GQ103" s="110"/>
      <c r="GR103" s="110"/>
      <c r="GS103" s="110"/>
      <c r="GT103" s="110"/>
      <c r="GU103" s="110"/>
      <c r="GV103" s="110"/>
      <c r="GW103" s="110"/>
      <c r="GX103" s="110"/>
      <c r="GY103" s="110"/>
      <c r="GZ103" s="110"/>
      <c r="HA103" s="110"/>
      <c r="HB103" s="110"/>
      <c r="HC103" s="110"/>
      <c r="HD103" s="110"/>
      <c r="HE103" s="110"/>
      <c r="HF103" s="110"/>
      <c r="HG103" s="110"/>
      <c r="HH103" s="110"/>
      <c r="HI103" s="110"/>
      <c r="HJ103" s="110"/>
      <c r="HK103" s="110"/>
      <c r="HL103" s="110"/>
      <c r="HM103" s="110"/>
      <c r="HN103" s="110"/>
      <c r="HO103" s="110"/>
      <c r="HP103" s="110"/>
      <c r="HQ103" s="110"/>
      <c r="HR103" s="110"/>
      <c r="HS103" s="110"/>
      <c r="HT103" s="110"/>
      <c r="HU103" s="110"/>
      <c r="HV103" s="110"/>
      <c r="HW103" s="110"/>
      <c r="HX103" s="110"/>
      <c r="HY103" s="110"/>
      <c r="HZ103" s="110"/>
      <c r="IA103" s="110"/>
      <c r="IB103" s="110"/>
      <c r="IC103" s="110"/>
      <c r="ID103" s="110"/>
      <c r="IE103" s="110"/>
      <c r="IF103" s="110"/>
      <c r="IG103" s="110"/>
      <c r="IH103" s="110"/>
      <c r="II103" s="110"/>
      <c r="IJ103" s="110"/>
      <c r="IK103" s="110"/>
      <c r="IL103" s="110"/>
      <c r="IM103" s="110"/>
      <c r="IN103" s="110"/>
      <c r="IO103" s="110"/>
      <c r="IP103" s="110"/>
      <c r="IQ103" s="110"/>
      <c r="IR103" s="110"/>
      <c r="IS103" s="110"/>
      <c r="IT103" s="110"/>
      <c r="IU103" s="110"/>
      <c r="IV103" s="110"/>
      <c r="IW103" s="110"/>
      <c r="IX103" s="110"/>
      <c r="IY103" s="110"/>
      <c r="IZ103" s="110"/>
      <c r="JA103" s="110"/>
      <c r="JB103" s="110"/>
      <c r="JC103" s="110"/>
      <c r="JD103" s="110"/>
      <c r="JE103" s="110"/>
      <c r="JF103" s="110"/>
      <c r="JG103" s="110"/>
      <c r="JH103" s="110"/>
      <c r="JI103" s="110"/>
      <c r="JJ103" s="110"/>
      <c r="JK103" s="110"/>
      <c r="JL103" s="110"/>
      <c r="JM103" s="110"/>
      <c r="JN103" s="110"/>
      <c r="JO103" s="110"/>
      <c r="JP103" s="110"/>
      <c r="JQ103" s="110"/>
      <c r="JR103" s="110"/>
      <c r="JS103" s="110"/>
      <c r="JT103" s="110"/>
      <c r="JU103" s="110"/>
      <c r="JV103" s="110"/>
      <c r="JW103" s="110"/>
      <c r="JX103" s="110"/>
      <c r="JY103" s="110"/>
      <c r="JZ103" s="110"/>
      <c r="KA103" s="110"/>
      <c r="KB103" s="110"/>
      <c r="KC103" s="110"/>
      <c r="KD103" s="110"/>
      <c r="KE103" s="110"/>
      <c r="KF103" s="110"/>
      <c r="KG103" s="110"/>
      <c r="KH103" s="110"/>
      <c r="KI103" s="110"/>
      <c r="KJ103" s="110"/>
      <c r="KK103" s="110"/>
      <c r="KL103" s="110"/>
      <c r="KM103" s="110"/>
      <c r="KN103" s="110"/>
    </row>
    <row r="104" spans="1:300" ht="19.2" customHeight="1" x14ac:dyDescent="0.3">
      <c r="A104" s="110"/>
      <c r="B104" s="110"/>
      <c r="C104" s="110"/>
      <c r="D104" s="110"/>
      <c r="E104" s="110"/>
      <c r="F104" s="110"/>
      <c r="G104" s="112" t="str">
        <v xml:space="preserve">101 </v>
      </c>
      <c r="BA104" s="103"/>
      <c r="BB104" s="103"/>
      <c r="BC104" s="103"/>
      <c r="BD104" s="92"/>
      <c r="BE104" s="92"/>
      <c r="BF104" s="92"/>
      <c r="CG104" s="103"/>
      <c r="CH104" s="103"/>
      <c r="CI104" s="103"/>
      <c r="CJ104" s="92"/>
      <c r="CK104" s="92"/>
      <c r="CL104" s="92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  <c r="GG104" s="110"/>
      <c r="GH104" s="110"/>
      <c r="GI104" s="110"/>
      <c r="GJ104" s="110"/>
      <c r="GK104" s="110"/>
      <c r="GL104" s="110"/>
      <c r="GM104" s="110"/>
      <c r="GN104" s="110"/>
      <c r="GO104" s="110"/>
      <c r="GP104" s="110"/>
      <c r="GQ104" s="110"/>
      <c r="GR104" s="110"/>
      <c r="GS104" s="110"/>
      <c r="GT104" s="110"/>
      <c r="GU104" s="110"/>
      <c r="GV104" s="110"/>
      <c r="GW104" s="110"/>
      <c r="GX104" s="110"/>
      <c r="GY104" s="110"/>
      <c r="GZ104" s="110"/>
      <c r="HA104" s="110"/>
      <c r="HB104" s="110"/>
      <c r="HC104" s="110"/>
      <c r="HD104" s="110"/>
      <c r="HE104" s="110"/>
      <c r="HF104" s="110"/>
      <c r="HG104" s="110"/>
      <c r="HH104" s="110"/>
      <c r="HI104" s="110"/>
      <c r="HJ104" s="110"/>
      <c r="HK104" s="110"/>
      <c r="HL104" s="110"/>
      <c r="HM104" s="110"/>
      <c r="HN104" s="110"/>
      <c r="HO104" s="110"/>
      <c r="HP104" s="110"/>
      <c r="HQ104" s="110"/>
      <c r="HR104" s="110"/>
      <c r="HS104" s="110"/>
      <c r="HT104" s="110"/>
      <c r="HU104" s="110"/>
      <c r="HV104" s="110"/>
      <c r="HW104" s="110"/>
      <c r="HX104" s="110"/>
      <c r="HY104" s="110"/>
      <c r="HZ104" s="110"/>
      <c r="IA104" s="110"/>
      <c r="IB104" s="110"/>
      <c r="IC104" s="110"/>
      <c r="ID104" s="110"/>
      <c r="IE104" s="110"/>
      <c r="IF104" s="110"/>
      <c r="IG104" s="110"/>
      <c r="IH104" s="110"/>
      <c r="II104" s="110"/>
      <c r="IJ104" s="110"/>
      <c r="IK104" s="110"/>
      <c r="IL104" s="110"/>
      <c r="IM104" s="110"/>
      <c r="IN104" s="110"/>
      <c r="IO104" s="110"/>
      <c r="IP104" s="110"/>
      <c r="IQ104" s="110"/>
      <c r="IR104" s="110"/>
      <c r="IS104" s="110"/>
      <c r="IT104" s="110"/>
      <c r="IU104" s="110"/>
      <c r="IV104" s="110"/>
      <c r="IW104" s="110"/>
      <c r="IX104" s="110"/>
      <c r="IY104" s="110"/>
      <c r="IZ104" s="110"/>
      <c r="JA104" s="110"/>
      <c r="JB104" s="110"/>
      <c r="JC104" s="110"/>
      <c r="JD104" s="110"/>
      <c r="JE104" s="110"/>
      <c r="JF104" s="110"/>
      <c r="JG104" s="110"/>
      <c r="JH104" s="110"/>
      <c r="JI104" s="110"/>
      <c r="JJ104" s="110"/>
      <c r="JK104" s="110"/>
      <c r="JL104" s="110"/>
      <c r="JM104" s="110"/>
      <c r="JN104" s="110"/>
      <c r="JO104" s="110"/>
      <c r="JP104" s="110"/>
      <c r="JQ104" s="110"/>
      <c r="JR104" s="110"/>
      <c r="JS104" s="110"/>
      <c r="JT104" s="110"/>
      <c r="JU104" s="110"/>
      <c r="JV104" s="110"/>
      <c r="JW104" s="110"/>
      <c r="JX104" s="110"/>
      <c r="JY104" s="110"/>
      <c r="JZ104" s="110"/>
      <c r="KA104" s="110"/>
      <c r="KB104" s="110"/>
      <c r="KC104" s="110"/>
      <c r="KD104" s="110"/>
      <c r="KE104" s="110"/>
      <c r="KF104" s="110"/>
      <c r="KG104" s="110"/>
      <c r="KH104" s="110"/>
      <c r="KI104" s="110"/>
      <c r="KJ104" s="110"/>
      <c r="KK104" s="110"/>
      <c r="KL104" s="110"/>
      <c r="KM104" s="110"/>
      <c r="KN104" s="110"/>
    </row>
    <row r="105" spans="1:300" ht="19.2" customHeight="1" x14ac:dyDescent="0.3">
      <c r="A105" s="110"/>
      <c r="B105" s="110"/>
      <c r="C105" s="110"/>
      <c r="D105" s="110"/>
      <c r="E105" s="110"/>
      <c r="F105" s="110"/>
      <c r="G105" s="112" t="str">
        <v xml:space="preserve">102 </v>
      </c>
      <c r="U105" s="103"/>
      <c r="V105" s="103"/>
      <c r="W105" s="103"/>
      <c r="X105" s="92"/>
      <c r="Y105" s="92"/>
      <c r="Z105" s="92"/>
      <c r="AY105" s="103"/>
      <c r="AZ105" s="103"/>
      <c r="BA105" s="99"/>
      <c r="BB105" s="98"/>
      <c r="BC105" s="98"/>
      <c r="BD105" s="93"/>
      <c r="BE105" s="93"/>
      <c r="BF105" s="93"/>
      <c r="BG105" s="92"/>
      <c r="BH105" s="92"/>
      <c r="CE105" s="103"/>
      <c r="CF105" s="103"/>
      <c r="CG105" s="99"/>
      <c r="CH105" s="98"/>
      <c r="CI105" s="98"/>
      <c r="CJ105" s="93"/>
      <c r="CK105" s="93"/>
      <c r="CL105" s="93"/>
      <c r="CM105" s="92"/>
      <c r="CN105" s="92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  <c r="GG105" s="110"/>
      <c r="GH105" s="110"/>
      <c r="GI105" s="110"/>
      <c r="GJ105" s="110"/>
      <c r="GK105" s="110"/>
      <c r="GL105" s="110"/>
      <c r="GM105" s="110"/>
      <c r="GN105" s="110"/>
      <c r="GO105" s="110"/>
      <c r="GP105" s="110"/>
      <c r="GQ105" s="110"/>
      <c r="GR105" s="110"/>
      <c r="GS105" s="110"/>
      <c r="GT105" s="110"/>
      <c r="GU105" s="110"/>
      <c r="GV105" s="110"/>
      <c r="GW105" s="110"/>
      <c r="GX105" s="110"/>
      <c r="GY105" s="110"/>
      <c r="GZ105" s="110"/>
      <c r="HA105" s="110"/>
      <c r="HB105" s="110"/>
      <c r="HC105" s="110"/>
      <c r="HD105" s="110"/>
      <c r="HE105" s="110"/>
      <c r="HF105" s="110"/>
      <c r="HG105" s="110"/>
      <c r="HH105" s="110"/>
      <c r="HI105" s="110"/>
      <c r="HJ105" s="110"/>
      <c r="HK105" s="110"/>
      <c r="HL105" s="110"/>
      <c r="HM105" s="110"/>
      <c r="HN105" s="110"/>
      <c r="HO105" s="110"/>
      <c r="HP105" s="110"/>
      <c r="HQ105" s="110"/>
      <c r="HR105" s="110"/>
      <c r="HS105" s="110"/>
      <c r="HT105" s="110"/>
      <c r="HU105" s="110"/>
      <c r="HV105" s="110"/>
      <c r="HW105" s="110"/>
      <c r="HX105" s="110"/>
      <c r="HY105" s="110"/>
      <c r="HZ105" s="110"/>
      <c r="IA105" s="110"/>
      <c r="IB105" s="110"/>
      <c r="IC105" s="110"/>
      <c r="ID105" s="110"/>
      <c r="IE105" s="110"/>
      <c r="IF105" s="110"/>
      <c r="IG105" s="110"/>
      <c r="IH105" s="110"/>
      <c r="II105" s="110"/>
      <c r="IJ105" s="110"/>
      <c r="IK105" s="110"/>
      <c r="IL105" s="110"/>
      <c r="IM105" s="110"/>
      <c r="IN105" s="110"/>
      <c r="IO105" s="110"/>
      <c r="IP105" s="110"/>
      <c r="IQ105" s="110"/>
      <c r="IR105" s="110"/>
      <c r="IS105" s="110"/>
      <c r="IT105" s="110"/>
      <c r="IU105" s="110"/>
      <c r="IV105" s="110"/>
      <c r="IW105" s="110"/>
      <c r="IX105" s="110"/>
      <c r="IY105" s="110"/>
      <c r="IZ105" s="110"/>
      <c r="JA105" s="110"/>
      <c r="JB105" s="110"/>
      <c r="JC105" s="110"/>
      <c r="JD105" s="110"/>
      <c r="JE105" s="110"/>
      <c r="JF105" s="110"/>
      <c r="JG105" s="110"/>
      <c r="JH105" s="110"/>
      <c r="JI105" s="110"/>
      <c r="JJ105" s="110"/>
      <c r="JK105" s="110"/>
      <c r="JL105" s="110"/>
      <c r="JM105" s="110"/>
      <c r="JN105" s="110"/>
      <c r="JO105" s="110"/>
      <c r="JP105" s="110"/>
      <c r="JQ105" s="110"/>
      <c r="JR105" s="110"/>
      <c r="JS105" s="110"/>
      <c r="JT105" s="110"/>
      <c r="JU105" s="110"/>
      <c r="JV105" s="110"/>
      <c r="JW105" s="110"/>
      <c r="JX105" s="110"/>
      <c r="JY105" s="110"/>
      <c r="JZ105" s="110"/>
      <c r="KA105" s="110"/>
      <c r="KB105" s="110"/>
      <c r="KC105" s="110"/>
      <c r="KD105" s="110"/>
      <c r="KE105" s="110"/>
      <c r="KF105" s="110"/>
      <c r="KG105" s="110"/>
      <c r="KH105" s="110"/>
      <c r="KI105" s="110"/>
      <c r="KJ105" s="110"/>
      <c r="KK105" s="110"/>
      <c r="KL105" s="110"/>
      <c r="KM105" s="110"/>
      <c r="KN105" s="110"/>
    </row>
    <row r="106" spans="1:300" ht="19.2" customHeight="1" x14ac:dyDescent="0.3">
      <c r="A106" s="110"/>
      <c r="B106" s="110"/>
      <c r="C106" s="110"/>
      <c r="D106" s="110"/>
      <c r="E106" s="110"/>
      <c r="F106" s="110"/>
      <c r="G106" s="112" t="str">
        <v xml:space="preserve">103 </v>
      </c>
      <c r="S106" s="103"/>
      <c r="T106" s="103"/>
      <c r="U106" s="99"/>
      <c r="V106" s="98"/>
      <c r="W106" s="98"/>
      <c r="X106" s="93"/>
      <c r="Y106" s="93"/>
      <c r="Z106" s="93"/>
      <c r="AA106" s="92"/>
      <c r="AB106" s="92"/>
      <c r="AX106" s="103"/>
      <c r="AY106" s="97"/>
      <c r="AZ106" s="98"/>
      <c r="BA106" s="98"/>
      <c r="BB106" s="98"/>
      <c r="BC106" s="95"/>
      <c r="BD106" s="95"/>
      <c r="BE106" s="93"/>
      <c r="BF106" s="93"/>
      <c r="BG106" s="93"/>
      <c r="BH106" s="93"/>
      <c r="BI106" s="92"/>
      <c r="CD106" s="103"/>
      <c r="CE106" s="99"/>
      <c r="CF106" s="98"/>
      <c r="CG106" s="98"/>
      <c r="CH106" s="98"/>
      <c r="CI106" s="95"/>
      <c r="CJ106" s="95"/>
      <c r="CK106" s="93"/>
      <c r="CL106" s="93"/>
      <c r="CM106" s="93"/>
      <c r="CN106" s="93"/>
      <c r="CO106" s="92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  <c r="GG106" s="110"/>
      <c r="GH106" s="110"/>
      <c r="GI106" s="110"/>
      <c r="GJ106" s="110"/>
      <c r="GK106" s="110"/>
      <c r="GL106" s="110"/>
      <c r="GM106" s="110"/>
      <c r="GN106" s="110"/>
      <c r="GO106" s="110"/>
      <c r="GP106" s="110"/>
      <c r="GQ106" s="110"/>
      <c r="GR106" s="110"/>
      <c r="GS106" s="110"/>
      <c r="GT106" s="110"/>
      <c r="GU106" s="110"/>
      <c r="GV106" s="110"/>
      <c r="GW106" s="110"/>
      <c r="GX106" s="110"/>
      <c r="GY106" s="110"/>
      <c r="GZ106" s="110"/>
      <c r="HA106" s="110"/>
      <c r="HB106" s="110"/>
      <c r="HC106" s="110"/>
      <c r="HD106" s="110"/>
      <c r="HE106" s="110"/>
      <c r="HF106" s="110"/>
      <c r="HG106" s="110"/>
      <c r="HH106" s="110"/>
      <c r="HI106" s="110"/>
      <c r="HJ106" s="110"/>
      <c r="HK106" s="110"/>
      <c r="HL106" s="110"/>
      <c r="HM106" s="110"/>
      <c r="HN106" s="110"/>
      <c r="HO106" s="110"/>
      <c r="HP106" s="110"/>
      <c r="HQ106" s="110"/>
      <c r="HR106" s="110"/>
      <c r="HS106" s="110"/>
      <c r="HT106" s="110"/>
      <c r="HU106" s="110"/>
      <c r="HV106" s="110"/>
      <c r="HW106" s="110"/>
      <c r="HX106" s="110"/>
      <c r="HY106" s="110"/>
      <c r="HZ106" s="110"/>
      <c r="IA106" s="110"/>
      <c r="IB106" s="110"/>
      <c r="IC106" s="110"/>
      <c r="ID106" s="110"/>
      <c r="IE106" s="110"/>
      <c r="IF106" s="110"/>
      <c r="IG106" s="110"/>
      <c r="IH106" s="110"/>
      <c r="II106" s="110"/>
      <c r="IJ106" s="110"/>
      <c r="IK106" s="110"/>
      <c r="IL106" s="110"/>
      <c r="IM106" s="110"/>
      <c r="IN106" s="110"/>
      <c r="IO106" s="110"/>
      <c r="IP106" s="110"/>
      <c r="IQ106" s="110"/>
      <c r="IR106" s="110"/>
      <c r="IS106" s="110"/>
      <c r="IT106" s="110"/>
      <c r="IU106" s="110"/>
      <c r="IV106" s="110"/>
      <c r="IW106" s="110"/>
      <c r="IX106" s="110"/>
      <c r="IY106" s="110"/>
      <c r="IZ106" s="110"/>
      <c r="JA106" s="110"/>
      <c r="JB106" s="110"/>
      <c r="JC106" s="110"/>
      <c r="JD106" s="110"/>
      <c r="JE106" s="110"/>
      <c r="JF106" s="110"/>
      <c r="JG106" s="110"/>
      <c r="JH106" s="110"/>
      <c r="JI106" s="110"/>
      <c r="JJ106" s="110"/>
      <c r="JK106" s="110"/>
      <c r="JL106" s="110"/>
      <c r="JM106" s="110"/>
      <c r="JN106" s="110"/>
      <c r="JO106" s="110"/>
      <c r="JP106" s="110"/>
      <c r="JQ106" s="110"/>
      <c r="JR106" s="110"/>
      <c r="JS106" s="110"/>
      <c r="JT106" s="110"/>
      <c r="JU106" s="110"/>
      <c r="JV106" s="110"/>
      <c r="JW106" s="110"/>
      <c r="JX106" s="110"/>
      <c r="JY106" s="110"/>
      <c r="JZ106" s="110"/>
      <c r="KA106" s="110"/>
      <c r="KB106" s="110"/>
      <c r="KC106" s="110"/>
      <c r="KD106" s="110"/>
      <c r="KE106" s="110"/>
      <c r="KF106" s="110"/>
      <c r="KG106" s="110"/>
      <c r="KH106" s="110"/>
      <c r="KI106" s="110"/>
      <c r="KJ106" s="110"/>
      <c r="KK106" s="110"/>
      <c r="KL106" s="110"/>
      <c r="KM106" s="110"/>
      <c r="KN106" s="110"/>
    </row>
    <row r="107" spans="1:300" ht="19.2" customHeight="1" x14ac:dyDescent="0.3">
      <c r="A107" s="110"/>
      <c r="B107" s="110"/>
      <c r="C107" s="110"/>
      <c r="D107" s="110"/>
      <c r="E107" s="110"/>
      <c r="F107" s="110"/>
      <c r="G107" s="112" t="str">
        <v xml:space="preserve">104 </v>
      </c>
      <c r="R107" s="103"/>
      <c r="S107" s="99"/>
      <c r="T107" s="98"/>
      <c r="U107" s="98"/>
      <c r="V107" s="98"/>
      <c r="W107" s="95"/>
      <c r="X107" s="95"/>
      <c r="Y107" s="93"/>
      <c r="Z107" s="93"/>
      <c r="AA107" s="93"/>
      <c r="AB107" s="93"/>
      <c r="AC107" s="92"/>
      <c r="AW107" s="96"/>
      <c r="AX107" s="99"/>
      <c r="AY107" s="97"/>
      <c r="AZ107" s="98"/>
      <c r="BA107" s="98"/>
      <c r="BB107" s="98"/>
      <c r="BC107" s="95"/>
      <c r="BD107" s="95"/>
      <c r="BE107" s="93"/>
      <c r="BF107" s="93"/>
      <c r="BG107" s="93"/>
      <c r="BH107" s="93"/>
      <c r="BI107" s="94"/>
      <c r="BJ107" s="96"/>
      <c r="CC107" s="96"/>
      <c r="CD107" s="99"/>
      <c r="CE107" s="97"/>
      <c r="CF107" s="98"/>
      <c r="CG107" s="98"/>
      <c r="CH107" s="98"/>
      <c r="CI107" s="95"/>
      <c r="CJ107" s="95"/>
      <c r="CK107" s="93"/>
      <c r="CL107" s="93"/>
      <c r="CM107" s="93"/>
      <c r="CN107" s="93"/>
      <c r="CO107" s="94"/>
      <c r="CP107" s="96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  <c r="GG107" s="110"/>
      <c r="GH107" s="110"/>
      <c r="GI107" s="110"/>
      <c r="GJ107" s="110"/>
      <c r="GK107" s="110"/>
      <c r="GL107" s="110"/>
      <c r="GM107" s="110"/>
      <c r="GN107" s="110"/>
      <c r="GO107" s="110"/>
      <c r="GP107" s="110"/>
      <c r="GQ107" s="110"/>
      <c r="GR107" s="110"/>
      <c r="GS107" s="110"/>
      <c r="GT107" s="110"/>
      <c r="GU107" s="110"/>
      <c r="GV107" s="110"/>
      <c r="GW107" s="110"/>
      <c r="GX107" s="110"/>
      <c r="GY107" s="110"/>
      <c r="GZ107" s="110"/>
      <c r="HA107" s="110"/>
      <c r="HB107" s="110"/>
      <c r="HC107" s="110"/>
      <c r="HD107" s="110"/>
      <c r="HE107" s="110"/>
      <c r="HF107" s="110"/>
      <c r="HG107" s="110"/>
      <c r="HH107" s="110"/>
      <c r="HI107" s="110"/>
      <c r="HJ107" s="110"/>
      <c r="HK107" s="110"/>
      <c r="HL107" s="110"/>
      <c r="HM107" s="110"/>
      <c r="HN107" s="110"/>
      <c r="HO107" s="110"/>
      <c r="HP107" s="110"/>
      <c r="HQ107" s="110"/>
      <c r="HR107" s="110"/>
      <c r="HS107" s="110"/>
      <c r="HT107" s="110"/>
      <c r="HU107" s="110"/>
      <c r="HV107" s="110"/>
      <c r="HW107" s="110"/>
      <c r="HX107" s="110"/>
      <c r="HY107" s="110"/>
      <c r="HZ107" s="110"/>
      <c r="IA107" s="110"/>
      <c r="IB107" s="110"/>
      <c r="IC107" s="110"/>
      <c r="ID107" s="110"/>
      <c r="IE107" s="110"/>
      <c r="IF107" s="110"/>
      <c r="IG107" s="110"/>
      <c r="IH107" s="110"/>
      <c r="II107" s="110"/>
      <c r="IJ107" s="110"/>
      <c r="IK107" s="110"/>
      <c r="IL107" s="110"/>
      <c r="IM107" s="110"/>
      <c r="IN107" s="110"/>
      <c r="IO107" s="110"/>
      <c r="IP107" s="110"/>
      <c r="IQ107" s="110"/>
      <c r="IR107" s="110"/>
      <c r="IS107" s="110"/>
      <c r="IT107" s="110"/>
      <c r="IU107" s="110"/>
      <c r="IV107" s="110"/>
      <c r="IW107" s="110"/>
      <c r="IX107" s="110"/>
      <c r="IY107" s="110"/>
      <c r="IZ107" s="110"/>
      <c r="JA107" s="110"/>
      <c r="JB107" s="110"/>
      <c r="JC107" s="110"/>
      <c r="JD107" s="110"/>
      <c r="JE107" s="110"/>
      <c r="JF107" s="110"/>
      <c r="JG107" s="110"/>
      <c r="JH107" s="110"/>
      <c r="JI107" s="110"/>
      <c r="JJ107" s="110"/>
      <c r="JK107" s="110"/>
      <c r="JL107" s="110"/>
      <c r="JM107" s="110"/>
      <c r="JN107" s="110"/>
      <c r="JO107" s="110"/>
      <c r="JP107" s="110"/>
      <c r="JQ107" s="110"/>
      <c r="JR107" s="110"/>
      <c r="JS107" s="110"/>
      <c r="JT107" s="110"/>
      <c r="JU107" s="110"/>
      <c r="JV107" s="110"/>
      <c r="JW107" s="110"/>
      <c r="JX107" s="110"/>
      <c r="JY107" s="110"/>
      <c r="JZ107" s="110"/>
      <c r="KA107" s="110"/>
      <c r="KB107" s="110"/>
      <c r="KC107" s="110"/>
      <c r="KD107" s="110"/>
      <c r="KE107" s="110"/>
      <c r="KF107" s="110"/>
      <c r="KG107" s="110"/>
      <c r="KH107" s="110"/>
      <c r="KI107" s="110"/>
      <c r="KJ107" s="110"/>
      <c r="KK107" s="110"/>
      <c r="KL107" s="110"/>
      <c r="KM107" s="110"/>
      <c r="KN107" s="110"/>
    </row>
    <row r="108" spans="1:300" ht="19.2" customHeight="1" x14ac:dyDescent="0.3">
      <c r="A108" s="110"/>
      <c r="B108" s="110"/>
      <c r="C108" s="110"/>
      <c r="D108" s="110"/>
      <c r="E108" s="110"/>
      <c r="F108" s="110"/>
      <c r="G108" s="112" t="str">
        <v xml:space="preserve">105 </v>
      </c>
      <c r="Q108" s="96"/>
      <c r="R108" s="99"/>
      <c r="S108" s="97"/>
      <c r="T108" s="98"/>
      <c r="U108" s="98"/>
      <c r="V108" s="98"/>
      <c r="W108" s="95"/>
      <c r="X108" s="95"/>
      <c r="Y108" s="93"/>
      <c r="Z108" s="93"/>
      <c r="AA108" s="93"/>
      <c r="AB108" s="93"/>
      <c r="AC108" s="94"/>
      <c r="AD108" s="96"/>
      <c r="AW108" s="96"/>
      <c r="AX108" s="99"/>
      <c r="AY108" s="97"/>
      <c r="AZ108" s="98"/>
      <c r="BA108" s="98"/>
      <c r="BB108" s="98"/>
      <c r="BC108" s="98"/>
      <c r="BD108" s="93"/>
      <c r="BE108" s="93"/>
      <c r="BF108" s="93"/>
      <c r="BG108" s="93"/>
      <c r="BH108" s="93"/>
      <c r="BI108" s="94"/>
      <c r="BJ108" s="96"/>
      <c r="CC108" s="96"/>
      <c r="CD108" s="99"/>
      <c r="CE108" s="97"/>
      <c r="CF108" s="98"/>
      <c r="CG108" s="98"/>
      <c r="CH108" s="98"/>
      <c r="CI108" s="98"/>
      <c r="CJ108" s="93"/>
      <c r="CK108" s="93"/>
      <c r="CL108" s="93"/>
      <c r="CM108" s="93"/>
      <c r="CN108" s="93"/>
      <c r="CO108" s="94"/>
      <c r="CP108" s="96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  <c r="GG108" s="110"/>
      <c r="GH108" s="110"/>
      <c r="GI108" s="110"/>
      <c r="GJ108" s="110"/>
      <c r="GK108" s="110"/>
      <c r="GL108" s="110"/>
      <c r="GM108" s="110"/>
      <c r="GN108" s="110"/>
      <c r="GO108" s="110"/>
      <c r="GP108" s="110"/>
      <c r="GQ108" s="110"/>
      <c r="GR108" s="110"/>
      <c r="GS108" s="110"/>
      <c r="GT108" s="110"/>
      <c r="GU108" s="110"/>
      <c r="GV108" s="110"/>
      <c r="GW108" s="110"/>
      <c r="GX108" s="110"/>
      <c r="GY108" s="110"/>
      <c r="GZ108" s="110"/>
      <c r="HA108" s="110"/>
      <c r="HB108" s="110"/>
      <c r="HC108" s="110"/>
      <c r="HD108" s="110"/>
      <c r="HE108" s="110"/>
      <c r="HF108" s="110"/>
      <c r="HG108" s="110"/>
      <c r="HH108" s="110"/>
      <c r="HI108" s="110"/>
      <c r="HJ108" s="110"/>
      <c r="HK108" s="110"/>
      <c r="HL108" s="110"/>
      <c r="HM108" s="110"/>
      <c r="HN108" s="110"/>
      <c r="HO108" s="110"/>
      <c r="HP108" s="110"/>
      <c r="HQ108" s="110"/>
      <c r="HR108" s="110"/>
      <c r="HS108" s="110"/>
      <c r="HT108" s="110"/>
      <c r="HU108" s="110"/>
      <c r="HV108" s="110"/>
      <c r="HW108" s="110"/>
      <c r="HX108" s="110"/>
      <c r="HY108" s="110"/>
      <c r="HZ108" s="110"/>
      <c r="IA108" s="110"/>
      <c r="IB108" s="110"/>
      <c r="IC108" s="110"/>
      <c r="ID108" s="110"/>
      <c r="IE108" s="110"/>
      <c r="IF108" s="110"/>
      <c r="IG108" s="110"/>
      <c r="IH108" s="110"/>
      <c r="II108" s="110"/>
      <c r="IJ108" s="110"/>
      <c r="IK108" s="110"/>
      <c r="IL108" s="110"/>
      <c r="IM108" s="110"/>
      <c r="IN108" s="110"/>
      <c r="IO108" s="110"/>
      <c r="IP108" s="110"/>
      <c r="IQ108" s="110"/>
      <c r="IR108" s="110"/>
      <c r="IS108" s="110"/>
      <c r="IT108" s="110"/>
      <c r="IU108" s="110"/>
      <c r="IV108" s="110"/>
      <c r="IW108" s="110"/>
      <c r="IX108" s="110"/>
      <c r="IY108" s="110"/>
      <c r="IZ108" s="110"/>
      <c r="JA108" s="110"/>
      <c r="JB108" s="110"/>
      <c r="JC108" s="110"/>
      <c r="JD108" s="110"/>
      <c r="JE108" s="110"/>
      <c r="JF108" s="110"/>
      <c r="JG108" s="110"/>
      <c r="JH108" s="110"/>
      <c r="JI108" s="110"/>
      <c r="JJ108" s="110"/>
      <c r="JK108" s="110"/>
      <c r="JL108" s="110"/>
      <c r="JM108" s="110"/>
      <c r="JN108" s="110"/>
      <c r="JO108" s="110"/>
      <c r="JP108" s="110"/>
      <c r="JQ108" s="110"/>
      <c r="JR108" s="110"/>
      <c r="JS108" s="110"/>
      <c r="JT108" s="110"/>
      <c r="JU108" s="110"/>
      <c r="JV108" s="110"/>
      <c r="JW108" s="110"/>
      <c r="JX108" s="110"/>
      <c r="JY108" s="110"/>
      <c r="JZ108" s="110"/>
      <c r="KA108" s="110"/>
      <c r="KB108" s="110"/>
      <c r="KC108" s="110"/>
      <c r="KD108" s="110"/>
      <c r="KE108" s="110"/>
      <c r="KF108" s="110"/>
      <c r="KG108" s="110"/>
      <c r="KH108" s="110"/>
      <c r="KI108" s="110"/>
      <c r="KJ108" s="110"/>
      <c r="KK108" s="110"/>
      <c r="KL108" s="110"/>
      <c r="KM108" s="110"/>
      <c r="KN108" s="110"/>
    </row>
    <row r="109" spans="1:300" ht="19.2" customHeight="1" x14ac:dyDescent="0.3">
      <c r="A109" s="110"/>
      <c r="B109" s="110"/>
      <c r="C109" s="110"/>
      <c r="D109" s="110"/>
      <c r="E109" s="110"/>
      <c r="F109" s="110"/>
      <c r="G109" s="112" t="str">
        <v xml:space="preserve">106 </v>
      </c>
      <c r="Q109" s="96"/>
      <c r="R109" s="99"/>
      <c r="S109" s="97"/>
      <c r="T109" s="98"/>
      <c r="U109" s="98"/>
      <c r="V109" s="98"/>
      <c r="W109" s="98"/>
      <c r="X109" s="93"/>
      <c r="Y109" s="93"/>
      <c r="Z109" s="93"/>
      <c r="AA109" s="93"/>
      <c r="AB109" s="93"/>
      <c r="AC109" s="94"/>
      <c r="AD109" s="96"/>
      <c r="AV109" s="96"/>
      <c r="AW109" s="95"/>
      <c r="AX109" s="99"/>
      <c r="AY109" s="99"/>
      <c r="AZ109" s="98"/>
      <c r="BA109" s="98"/>
      <c r="BB109" s="98"/>
      <c r="BC109" s="98"/>
      <c r="BD109" s="93"/>
      <c r="BE109" s="93"/>
      <c r="BF109" s="93"/>
      <c r="BG109" s="93"/>
      <c r="BH109" s="94"/>
      <c r="BI109" s="95"/>
      <c r="BJ109" s="95"/>
      <c r="BK109" s="96"/>
      <c r="CB109" s="96"/>
      <c r="CC109" s="95"/>
      <c r="CD109" s="99"/>
      <c r="CE109" s="99"/>
      <c r="CF109" s="98"/>
      <c r="CG109" s="98"/>
      <c r="CH109" s="98"/>
      <c r="CI109" s="98"/>
      <c r="CJ109" s="93"/>
      <c r="CK109" s="93"/>
      <c r="CL109" s="93"/>
      <c r="CM109" s="93"/>
      <c r="CN109" s="94"/>
      <c r="CO109" s="95"/>
      <c r="CP109" s="95"/>
      <c r="CQ109" s="96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  <c r="GG109" s="110"/>
      <c r="GH109" s="110"/>
      <c r="GI109" s="110"/>
      <c r="GJ109" s="110"/>
      <c r="GK109" s="110"/>
      <c r="GL109" s="110"/>
      <c r="GM109" s="110"/>
      <c r="GN109" s="110"/>
      <c r="GO109" s="110"/>
      <c r="GP109" s="110"/>
      <c r="GQ109" s="110"/>
      <c r="GR109" s="110"/>
      <c r="GS109" s="110"/>
      <c r="GT109" s="110"/>
      <c r="GU109" s="110"/>
      <c r="GV109" s="110"/>
      <c r="GW109" s="110"/>
      <c r="GX109" s="110"/>
      <c r="GY109" s="110"/>
      <c r="GZ109" s="110"/>
      <c r="HA109" s="110"/>
      <c r="HB109" s="110"/>
      <c r="HC109" s="110"/>
      <c r="HD109" s="110"/>
      <c r="HE109" s="110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110"/>
      <c r="JK109" s="110"/>
      <c r="JL109" s="110"/>
      <c r="JM109" s="110"/>
      <c r="JN109" s="110"/>
      <c r="JO109" s="110"/>
      <c r="JP109" s="110"/>
      <c r="JQ109" s="110"/>
      <c r="JR109" s="110"/>
      <c r="JS109" s="110"/>
      <c r="JT109" s="110"/>
      <c r="JU109" s="110"/>
      <c r="JV109" s="110"/>
      <c r="JW109" s="110"/>
      <c r="JX109" s="110"/>
      <c r="JY109" s="110"/>
      <c r="JZ109" s="110"/>
      <c r="KA109" s="110"/>
      <c r="KB109" s="110"/>
      <c r="KC109" s="110"/>
      <c r="KD109" s="110"/>
      <c r="KE109" s="110"/>
      <c r="KF109" s="110"/>
      <c r="KG109" s="110"/>
      <c r="KH109" s="110"/>
      <c r="KI109" s="110"/>
      <c r="KJ109" s="110"/>
      <c r="KK109" s="110"/>
      <c r="KL109" s="110"/>
      <c r="KM109" s="110"/>
      <c r="KN109" s="110"/>
    </row>
    <row r="110" spans="1:300" ht="19.2" customHeight="1" x14ac:dyDescent="0.3">
      <c r="A110" s="110"/>
      <c r="B110" s="110"/>
      <c r="C110" s="110"/>
      <c r="D110" s="110"/>
      <c r="E110" s="110"/>
      <c r="F110" s="110"/>
      <c r="G110" s="112" t="str">
        <v xml:space="preserve">107 </v>
      </c>
      <c r="P110" s="96"/>
      <c r="Q110" s="95"/>
      <c r="R110" s="99"/>
      <c r="S110" s="99"/>
      <c r="T110" s="98"/>
      <c r="U110" s="98"/>
      <c r="V110" s="98"/>
      <c r="W110" s="98"/>
      <c r="X110" s="93"/>
      <c r="Y110" s="93"/>
      <c r="Z110" s="93"/>
      <c r="AA110" s="93"/>
      <c r="AB110" s="94"/>
      <c r="AC110" s="95"/>
      <c r="AD110" s="95"/>
      <c r="AE110" s="96"/>
      <c r="AU110" s="92"/>
      <c r="AV110" s="100"/>
      <c r="AW110" s="92"/>
      <c r="AX110" s="95"/>
      <c r="AY110" s="99"/>
      <c r="AZ110" s="97"/>
      <c r="BA110" s="98"/>
      <c r="BB110" s="98"/>
      <c r="BC110" s="98"/>
      <c r="BD110" s="93"/>
      <c r="BE110" s="93"/>
      <c r="BF110" s="93"/>
      <c r="BG110" s="94"/>
      <c r="BH110" s="95"/>
      <c r="BI110" s="92"/>
      <c r="BJ110" s="94"/>
      <c r="BK110" s="96"/>
      <c r="BL110" s="92"/>
      <c r="BM110" s="92"/>
      <c r="CA110" s="92"/>
      <c r="CB110" s="100"/>
      <c r="CC110" s="92"/>
      <c r="CD110" s="95"/>
      <c r="CE110" s="99"/>
      <c r="CF110" s="97"/>
      <c r="CG110" s="98"/>
      <c r="CH110" s="98"/>
      <c r="CI110" s="98"/>
      <c r="CJ110" s="93"/>
      <c r="CK110" s="93"/>
      <c r="CL110" s="93"/>
      <c r="CM110" s="94"/>
      <c r="CN110" s="95"/>
      <c r="CO110" s="92"/>
      <c r="CP110" s="94"/>
      <c r="CQ110" s="96"/>
      <c r="CR110" s="92"/>
      <c r="CS110" s="92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  <c r="GG110" s="110"/>
      <c r="GH110" s="110"/>
      <c r="GI110" s="110"/>
      <c r="GJ110" s="110"/>
      <c r="GK110" s="110"/>
      <c r="GL110" s="110"/>
      <c r="GM110" s="110"/>
      <c r="GN110" s="110"/>
      <c r="GO110" s="110"/>
      <c r="GP110" s="110"/>
      <c r="GQ110" s="110"/>
      <c r="GR110" s="110"/>
      <c r="GS110" s="110"/>
      <c r="GT110" s="110"/>
      <c r="GU110" s="110"/>
      <c r="GV110" s="110"/>
      <c r="GW110" s="110"/>
      <c r="GX110" s="110"/>
      <c r="GY110" s="110"/>
      <c r="GZ110" s="110"/>
      <c r="HA110" s="110"/>
      <c r="HB110" s="110"/>
      <c r="HC110" s="110"/>
      <c r="HD110" s="110"/>
      <c r="HE110" s="110"/>
      <c r="HF110" s="110"/>
      <c r="HG110" s="110"/>
      <c r="HH110" s="110"/>
      <c r="HI110" s="110"/>
      <c r="HJ110" s="110"/>
      <c r="HK110" s="110"/>
      <c r="HL110" s="110"/>
      <c r="HM110" s="110"/>
      <c r="HN110" s="110"/>
      <c r="HO110" s="110"/>
      <c r="HP110" s="110"/>
      <c r="HQ110" s="110"/>
      <c r="HR110" s="110"/>
      <c r="HS110" s="110"/>
      <c r="HT110" s="110"/>
      <c r="HU110" s="110"/>
      <c r="HV110" s="110"/>
      <c r="HW110" s="110"/>
      <c r="HX110" s="110"/>
      <c r="HY110" s="110"/>
      <c r="HZ110" s="110"/>
      <c r="IA110" s="110"/>
      <c r="IB110" s="110"/>
      <c r="IC110" s="110"/>
      <c r="ID110" s="110"/>
      <c r="IE110" s="110"/>
      <c r="IF110" s="110"/>
      <c r="IG110" s="110"/>
      <c r="IH110" s="110"/>
      <c r="II110" s="110"/>
      <c r="IJ110" s="110"/>
      <c r="IK110" s="110"/>
      <c r="IL110" s="110"/>
      <c r="IM110" s="110"/>
      <c r="IN110" s="110"/>
      <c r="IO110" s="110"/>
      <c r="IP110" s="110"/>
      <c r="IQ110" s="110"/>
      <c r="IR110" s="110"/>
      <c r="IS110" s="110"/>
      <c r="IT110" s="110"/>
      <c r="IU110" s="110"/>
      <c r="IV110" s="110"/>
      <c r="IW110" s="110"/>
      <c r="IX110" s="110"/>
      <c r="IY110" s="110"/>
      <c r="IZ110" s="110"/>
      <c r="JA110" s="110"/>
      <c r="JB110" s="110"/>
      <c r="JC110" s="110"/>
      <c r="JD110" s="110"/>
      <c r="JE110" s="110"/>
      <c r="JF110" s="110"/>
      <c r="JG110" s="110"/>
      <c r="JH110" s="110"/>
      <c r="JI110" s="110"/>
      <c r="JJ110" s="110"/>
      <c r="JK110" s="110"/>
      <c r="JL110" s="110"/>
      <c r="JM110" s="110"/>
      <c r="JN110" s="110"/>
      <c r="JO110" s="110"/>
      <c r="JP110" s="110"/>
      <c r="JQ110" s="110"/>
      <c r="JR110" s="110"/>
      <c r="JS110" s="110"/>
      <c r="JT110" s="110"/>
      <c r="JU110" s="110"/>
      <c r="JV110" s="110"/>
      <c r="JW110" s="110"/>
      <c r="JX110" s="110"/>
      <c r="JY110" s="110"/>
      <c r="JZ110" s="110"/>
      <c r="KA110" s="110"/>
      <c r="KB110" s="110"/>
      <c r="KC110" s="110"/>
      <c r="KD110" s="110"/>
      <c r="KE110" s="110"/>
      <c r="KF110" s="110"/>
      <c r="KG110" s="110"/>
      <c r="KH110" s="110"/>
      <c r="KI110" s="110"/>
      <c r="KJ110" s="110"/>
      <c r="KK110" s="110"/>
      <c r="KL110" s="110"/>
      <c r="KM110" s="110"/>
      <c r="KN110" s="110"/>
    </row>
    <row r="111" spans="1:300" ht="19.2" customHeight="1" x14ac:dyDescent="0.3">
      <c r="A111" s="110"/>
      <c r="B111" s="110"/>
      <c r="C111" s="110"/>
      <c r="D111" s="110"/>
      <c r="E111" s="110"/>
      <c r="F111" s="110"/>
      <c r="G111" s="112" t="str">
        <v xml:space="preserve">108 </v>
      </c>
      <c r="O111" s="92"/>
      <c r="P111" s="100"/>
      <c r="Q111" s="92"/>
      <c r="R111" s="95"/>
      <c r="S111" s="99"/>
      <c r="T111" s="97"/>
      <c r="U111" s="98"/>
      <c r="V111" s="98"/>
      <c r="W111" s="98"/>
      <c r="X111" s="93"/>
      <c r="Y111" s="93"/>
      <c r="Z111" s="93"/>
      <c r="AA111" s="94"/>
      <c r="AB111" s="95"/>
      <c r="AC111" s="92"/>
      <c r="AD111" s="94"/>
      <c r="AE111" s="96"/>
      <c r="AF111" s="92"/>
      <c r="AG111" s="92"/>
      <c r="AV111" s="96"/>
      <c r="AW111" s="99"/>
      <c r="AX111" s="92"/>
      <c r="AY111" s="99"/>
      <c r="AZ111" s="99"/>
      <c r="BA111" s="99"/>
      <c r="BB111" s="99"/>
      <c r="BC111" s="99"/>
      <c r="BD111" s="94"/>
      <c r="BE111" s="94"/>
      <c r="BF111" s="94"/>
      <c r="BG111" s="94"/>
      <c r="BH111" s="92"/>
      <c r="BI111" s="94"/>
      <c r="BJ111" s="92"/>
      <c r="BK111" s="103"/>
      <c r="BL111" s="95"/>
      <c r="BM111" s="95"/>
      <c r="BN111" s="92"/>
      <c r="CB111" s="96"/>
      <c r="CC111" s="99"/>
      <c r="CD111" s="92"/>
      <c r="CE111" s="99"/>
      <c r="CF111" s="99"/>
      <c r="CG111" s="99"/>
      <c r="CH111" s="99"/>
      <c r="CI111" s="99"/>
      <c r="CJ111" s="94"/>
      <c r="CK111" s="94"/>
      <c r="CL111" s="94"/>
      <c r="CM111" s="94"/>
      <c r="CN111" s="92"/>
      <c r="CO111" s="94"/>
      <c r="CP111" s="92"/>
      <c r="CQ111" s="103"/>
      <c r="CR111" s="95"/>
      <c r="CS111" s="95"/>
      <c r="CT111" s="92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  <c r="GG111" s="110"/>
      <c r="GH111" s="110"/>
      <c r="GI111" s="110"/>
      <c r="GJ111" s="110"/>
      <c r="GK111" s="110"/>
      <c r="GL111" s="110"/>
      <c r="GM111" s="110"/>
      <c r="GN111" s="110"/>
      <c r="GO111" s="110"/>
      <c r="GP111" s="110"/>
      <c r="GQ111" s="110"/>
      <c r="GR111" s="110"/>
      <c r="GS111" s="110"/>
      <c r="GT111" s="110"/>
      <c r="GU111" s="110"/>
      <c r="GV111" s="110"/>
      <c r="GW111" s="110"/>
      <c r="GX111" s="110"/>
      <c r="GY111" s="110"/>
      <c r="GZ111" s="110"/>
      <c r="HA111" s="110"/>
      <c r="HB111" s="110"/>
      <c r="HC111" s="110"/>
      <c r="HD111" s="110"/>
      <c r="HE111" s="110"/>
      <c r="HF111" s="110"/>
      <c r="HG111" s="110"/>
      <c r="HH111" s="110"/>
      <c r="HI111" s="110"/>
      <c r="HJ111" s="110"/>
      <c r="HK111" s="110"/>
      <c r="HL111" s="110"/>
      <c r="HM111" s="110"/>
      <c r="HN111" s="110"/>
      <c r="HO111" s="110"/>
      <c r="HP111" s="110"/>
      <c r="HQ111" s="110"/>
      <c r="HR111" s="110"/>
      <c r="HS111" s="110"/>
      <c r="HT111" s="110"/>
      <c r="HU111" s="110"/>
      <c r="HV111" s="110"/>
      <c r="HW111" s="110"/>
      <c r="HX111" s="110"/>
      <c r="HY111" s="110"/>
      <c r="HZ111" s="110"/>
      <c r="IA111" s="110"/>
      <c r="IB111" s="110"/>
      <c r="IC111" s="110"/>
      <c r="ID111" s="110"/>
      <c r="IE111" s="110"/>
      <c r="IF111" s="110"/>
      <c r="IG111" s="110"/>
      <c r="IH111" s="110"/>
      <c r="II111" s="110"/>
      <c r="IJ111" s="110"/>
      <c r="IK111" s="110"/>
      <c r="IL111" s="110"/>
      <c r="IM111" s="110"/>
      <c r="IN111" s="110"/>
      <c r="IO111" s="110"/>
      <c r="IP111" s="110"/>
      <c r="IQ111" s="110"/>
      <c r="IR111" s="110"/>
      <c r="IS111" s="110"/>
      <c r="IT111" s="110"/>
      <c r="IU111" s="110"/>
      <c r="IV111" s="110"/>
      <c r="IW111" s="110"/>
      <c r="IX111" s="110"/>
      <c r="IY111" s="110"/>
      <c r="IZ111" s="110"/>
      <c r="JA111" s="110"/>
      <c r="JB111" s="110"/>
      <c r="JC111" s="110"/>
      <c r="JD111" s="110"/>
      <c r="JE111" s="110"/>
      <c r="JF111" s="110"/>
      <c r="JG111" s="110"/>
      <c r="JH111" s="110"/>
      <c r="JI111" s="110"/>
      <c r="JJ111" s="110"/>
      <c r="JK111" s="110"/>
      <c r="JL111" s="110"/>
      <c r="JM111" s="110"/>
      <c r="JN111" s="110"/>
      <c r="JO111" s="110"/>
      <c r="JP111" s="110"/>
      <c r="JQ111" s="110"/>
      <c r="JR111" s="110"/>
      <c r="JS111" s="110"/>
      <c r="JT111" s="110"/>
      <c r="JU111" s="110"/>
      <c r="JV111" s="110"/>
      <c r="JW111" s="110"/>
      <c r="JX111" s="110"/>
      <c r="JY111" s="110"/>
      <c r="JZ111" s="110"/>
      <c r="KA111" s="110"/>
      <c r="KB111" s="110"/>
      <c r="KC111" s="110"/>
      <c r="KD111" s="110"/>
      <c r="KE111" s="110"/>
      <c r="KF111" s="110"/>
      <c r="KG111" s="110"/>
      <c r="KH111" s="110"/>
      <c r="KI111" s="110"/>
      <c r="KJ111" s="110"/>
      <c r="KK111" s="110"/>
      <c r="KL111" s="110"/>
      <c r="KM111" s="110"/>
      <c r="KN111" s="110"/>
    </row>
    <row r="112" spans="1:300" ht="19.2" customHeight="1" x14ac:dyDescent="0.3">
      <c r="A112" s="110"/>
      <c r="B112" s="110"/>
      <c r="C112" s="110"/>
      <c r="D112" s="110"/>
      <c r="E112" s="110"/>
      <c r="F112" s="110"/>
      <c r="G112" s="112" t="str">
        <v xml:space="preserve">109 </v>
      </c>
      <c r="P112" s="96"/>
      <c r="Q112" s="99"/>
      <c r="R112" s="92"/>
      <c r="S112" s="99"/>
      <c r="T112" s="99"/>
      <c r="U112" s="99"/>
      <c r="V112" s="99"/>
      <c r="W112" s="99"/>
      <c r="X112" s="94"/>
      <c r="Y112" s="94"/>
      <c r="Z112" s="94"/>
      <c r="AA112" s="94"/>
      <c r="AB112" s="92"/>
      <c r="AC112" s="94"/>
      <c r="AD112" s="92"/>
      <c r="AE112" s="103"/>
      <c r="AF112" s="95"/>
      <c r="AG112" s="95"/>
      <c r="AH112" s="92"/>
      <c r="AU112" s="96"/>
      <c r="AV112" s="92"/>
      <c r="AW112" s="99"/>
      <c r="AX112" s="95"/>
      <c r="AY112" s="99"/>
      <c r="AZ112" s="99"/>
      <c r="BA112" s="99"/>
      <c r="BB112" s="99"/>
      <c r="BC112" s="99"/>
      <c r="BD112" s="94"/>
      <c r="BE112" s="94"/>
      <c r="BF112" s="94"/>
      <c r="BG112" s="94"/>
      <c r="BH112" s="92"/>
      <c r="BI112" s="100"/>
      <c r="BJ112" s="94"/>
      <c r="BK112" s="103"/>
      <c r="BL112" s="95"/>
      <c r="BM112" s="95"/>
      <c r="BN112" s="95"/>
      <c r="BO112" s="92"/>
      <c r="CA112" s="96"/>
      <c r="CB112" s="92"/>
      <c r="CC112" s="99"/>
      <c r="CD112" s="95"/>
      <c r="CE112" s="99"/>
      <c r="CF112" s="99"/>
      <c r="CG112" s="99"/>
      <c r="CH112" s="99"/>
      <c r="CI112" s="99"/>
      <c r="CJ112" s="94"/>
      <c r="CK112" s="94"/>
      <c r="CL112" s="94"/>
      <c r="CM112" s="94"/>
      <c r="CN112" s="92"/>
      <c r="CO112" s="100"/>
      <c r="CP112" s="94"/>
      <c r="CQ112" s="103"/>
      <c r="CR112" s="95"/>
      <c r="CS112" s="95"/>
      <c r="CT112" s="95"/>
      <c r="CU112" s="92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  <c r="GG112" s="110"/>
      <c r="GH112" s="110"/>
      <c r="GI112" s="110"/>
      <c r="GJ112" s="110"/>
      <c r="GK112" s="110"/>
      <c r="GL112" s="110"/>
      <c r="GM112" s="110"/>
      <c r="GN112" s="110"/>
      <c r="GO112" s="110"/>
      <c r="GP112" s="110"/>
      <c r="GQ112" s="110"/>
      <c r="GR112" s="110"/>
      <c r="GS112" s="110"/>
      <c r="GT112" s="110"/>
      <c r="GU112" s="110"/>
      <c r="GV112" s="110"/>
      <c r="GW112" s="110"/>
      <c r="GX112" s="110"/>
      <c r="GY112" s="110"/>
      <c r="GZ112" s="110"/>
      <c r="HA112" s="110"/>
      <c r="HB112" s="110"/>
      <c r="HC112" s="110"/>
      <c r="HD112" s="110"/>
      <c r="HE112" s="110"/>
      <c r="HF112" s="110"/>
      <c r="HG112" s="110"/>
      <c r="HH112" s="110"/>
      <c r="HI112" s="110"/>
      <c r="HJ112" s="110"/>
      <c r="HK112" s="110"/>
      <c r="HL112" s="110"/>
      <c r="HM112" s="110"/>
      <c r="HN112" s="110"/>
      <c r="HO112" s="110"/>
      <c r="HP112" s="110"/>
      <c r="HQ112" s="110"/>
      <c r="HR112" s="110"/>
      <c r="HS112" s="110"/>
      <c r="HT112" s="110"/>
      <c r="HU112" s="110"/>
      <c r="HV112" s="110"/>
      <c r="HW112" s="110"/>
      <c r="HX112" s="110"/>
      <c r="HY112" s="110"/>
      <c r="HZ112" s="110"/>
      <c r="IA112" s="110"/>
      <c r="IB112" s="110"/>
      <c r="IC112" s="110"/>
      <c r="ID112" s="110"/>
      <c r="IE112" s="110"/>
      <c r="IF112" s="110"/>
      <c r="IG112" s="110"/>
      <c r="IH112" s="110"/>
      <c r="II112" s="110"/>
      <c r="IJ112" s="110"/>
      <c r="IK112" s="110"/>
      <c r="IL112" s="110"/>
      <c r="IM112" s="110"/>
      <c r="IN112" s="110"/>
      <c r="IO112" s="110"/>
      <c r="IP112" s="110"/>
      <c r="IQ112" s="110"/>
      <c r="IR112" s="110"/>
      <c r="IS112" s="110"/>
      <c r="IT112" s="110"/>
      <c r="IU112" s="110"/>
      <c r="IV112" s="110"/>
      <c r="IW112" s="110"/>
      <c r="IX112" s="110"/>
      <c r="IY112" s="110"/>
      <c r="IZ112" s="110"/>
      <c r="JA112" s="110"/>
      <c r="JB112" s="110"/>
      <c r="JC112" s="110"/>
      <c r="JD112" s="110"/>
      <c r="JE112" s="110"/>
      <c r="JF112" s="110"/>
      <c r="JG112" s="110"/>
      <c r="JH112" s="110"/>
      <c r="JI112" s="110"/>
      <c r="JJ112" s="110"/>
      <c r="JK112" s="110"/>
      <c r="JL112" s="110"/>
      <c r="JM112" s="110"/>
      <c r="JN112" s="110"/>
      <c r="JO112" s="110"/>
      <c r="JP112" s="110"/>
      <c r="JQ112" s="110"/>
      <c r="JR112" s="110"/>
      <c r="JS112" s="110"/>
      <c r="JT112" s="110"/>
      <c r="JU112" s="110"/>
      <c r="JV112" s="110"/>
      <c r="JW112" s="110"/>
      <c r="JX112" s="110"/>
      <c r="JY112" s="110"/>
      <c r="JZ112" s="110"/>
      <c r="KA112" s="110"/>
      <c r="KB112" s="110"/>
      <c r="KC112" s="110"/>
      <c r="KD112" s="110"/>
      <c r="KE112" s="110"/>
      <c r="KF112" s="110"/>
      <c r="KG112" s="110"/>
      <c r="KH112" s="110"/>
      <c r="KI112" s="110"/>
      <c r="KJ112" s="110"/>
      <c r="KK112" s="110"/>
      <c r="KL112" s="110"/>
      <c r="KM112" s="110"/>
      <c r="KN112" s="110"/>
    </row>
    <row r="113" spans="1:300" ht="19.2" customHeight="1" x14ac:dyDescent="0.3">
      <c r="A113" s="110"/>
      <c r="B113" s="110"/>
      <c r="C113" s="110"/>
      <c r="D113" s="110"/>
      <c r="E113" s="110"/>
      <c r="F113" s="110"/>
      <c r="G113" s="112" t="str">
        <v xml:space="preserve">110 </v>
      </c>
      <c r="O113" s="96"/>
      <c r="P113" s="92"/>
      <c r="Q113" s="99"/>
      <c r="R113" s="95"/>
      <c r="S113" s="99"/>
      <c r="T113" s="99"/>
      <c r="U113" s="99"/>
      <c r="V113" s="99"/>
      <c r="W113" s="99"/>
      <c r="X113" s="94"/>
      <c r="Y113" s="94"/>
      <c r="Z113" s="94"/>
      <c r="AA113" s="94"/>
      <c r="AB113" s="92"/>
      <c r="AC113" s="100"/>
      <c r="AD113" s="94"/>
      <c r="AE113" s="103"/>
      <c r="AF113" s="95"/>
      <c r="AG113" s="95"/>
      <c r="AH113" s="95"/>
      <c r="AI113" s="92"/>
      <c r="AV113" s="96"/>
      <c r="AW113" s="100"/>
      <c r="AX113" s="99"/>
      <c r="AY113" s="99"/>
      <c r="AZ113" s="99"/>
      <c r="BA113" s="99"/>
      <c r="BB113" s="99"/>
      <c r="BC113" s="99"/>
      <c r="BD113" s="94"/>
      <c r="BE113" s="94"/>
      <c r="BF113" s="94"/>
      <c r="BG113" s="94"/>
      <c r="BH113" s="94"/>
      <c r="BI113" s="92"/>
      <c r="BJ113" s="103"/>
      <c r="BK113" s="95"/>
      <c r="BL113" s="95"/>
      <c r="BM113" s="95"/>
      <c r="BN113" s="95"/>
      <c r="BO113" s="92"/>
      <c r="CB113" s="96"/>
      <c r="CC113" s="100"/>
      <c r="CD113" s="99"/>
      <c r="CE113" s="99"/>
      <c r="CF113" s="99"/>
      <c r="CG113" s="99"/>
      <c r="CH113" s="99"/>
      <c r="CI113" s="99"/>
      <c r="CJ113" s="94"/>
      <c r="CK113" s="94"/>
      <c r="CL113" s="94"/>
      <c r="CM113" s="94"/>
      <c r="CN113" s="94"/>
      <c r="CO113" s="92"/>
      <c r="CP113" s="103"/>
      <c r="CQ113" s="95"/>
      <c r="CR113" s="95"/>
      <c r="CS113" s="95"/>
      <c r="CT113" s="95"/>
      <c r="CU113" s="92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  <c r="GG113" s="110"/>
      <c r="GH113" s="110"/>
      <c r="GI113" s="110"/>
      <c r="GJ113" s="110"/>
      <c r="GK113" s="110"/>
      <c r="GL113" s="110"/>
      <c r="GM113" s="110"/>
      <c r="GN113" s="110"/>
      <c r="GO113" s="110"/>
      <c r="GP113" s="110"/>
      <c r="GQ113" s="110"/>
      <c r="GR113" s="110"/>
      <c r="GS113" s="110"/>
      <c r="GT113" s="110"/>
      <c r="GU113" s="110"/>
      <c r="GV113" s="110"/>
      <c r="GW113" s="110"/>
      <c r="GX113" s="110"/>
      <c r="GY113" s="110"/>
      <c r="GZ113" s="110"/>
      <c r="HA113" s="110"/>
      <c r="HB113" s="110"/>
      <c r="HC113" s="110"/>
      <c r="HD113" s="110"/>
      <c r="HE113" s="110"/>
      <c r="HF113" s="110"/>
      <c r="HG113" s="110"/>
      <c r="HH113" s="110"/>
      <c r="HI113" s="110"/>
      <c r="HJ113" s="110"/>
      <c r="HK113" s="110"/>
      <c r="HL113" s="110"/>
      <c r="HM113" s="110"/>
      <c r="HN113" s="110"/>
      <c r="HO113" s="110"/>
      <c r="HP113" s="110"/>
      <c r="HQ113" s="110"/>
      <c r="HR113" s="110"/>
      <c r="HS113" s="110"/>
      <c r="HT113" s="110"/>
      <c r="HU113" s="110"/>
      <c r="HV113" s="110"/>
      <c r="HW113" s="110"/>
      <c r="HX113" s="110"/>
      <c r="HY113" s="110"/>
      <c r="HZ113" s="110"/>
      <c r="IA113" s="110"/>
      <c r="IB113" s="110"/>
      <c r="IC113" s="110"/>
      <c r="ID113" s="110"/>
      <c r="IE113" s="110"/>
      <c r="IF113" s="110"/>
      <c r="IG113" s="110"/>
      <c r="IH113" s="110"/>
      <c r="II113" s="110"/>
      <c r="IJ113" s="110"/>
      <c r="IK113" s="110"/>
      <c r="IL113" s="110"/>
      <c r="IM113" s="110"/>
      <c r="IN113" s="110"/>
      <c r="IO113" s="110"/>
      <c r="IP113" s="110"/>
      <c r="IQ113" s="110"/>
      <c r="IR113" s="110"/>
      <c r="IS113" s="110"/>
      <c r="IT113" s="110"/>
      <c r="IU113" s="110"/>
      <c r="IV113" s="110"/>
      <c r="IW113" s="110"/>
      <c r="IX113" s="110"/>
      <c r="IY113" s="110"/>
      <c r="IZ113" s="110"/>
      <c r="JA113" s="110"/>
      <c r="JB113" s="110"/>
      <c r="JC113" s="110"/>
      <c r="JD113" s="110"/>
      <c r="JE113" s="110"/>
      <c r="JF113" s="110"/>
      <c r="JG113" s="110"/>
      <c r="JH113" s="110"/>
      <c r="JI113" s="110"/>
      <c r="JJ113" s="110"/>
      <c r="JK113" s="110"/>
      <c r="JL113" s="110"/>
      <c r="JM113" s="110"/>
      <c r="JN113" s="110"/>
      <c r="JO113" s="110"/>
      <c r="JP113" s="110"/>
      <c r="JQ113" s="110"/>
      <c r="JR113" s="110"/>
      <c r="JS113" s="110"/>
      <c r="JT113" s="110"/>
      <c r="JU113" s="110"/>
      <c r="JV113" s="110"/>
      <c r="JW113" s="110"/>
      <c r="JX113" s="110"/>
      <c r="JY113" s="110"/>
      <c r="JZ113" s="110"/>
      <c r="KA113" s="110"/>
      <c r="KB113" s="110"/>
      <c r="KC113" s="110"/>
      <c r="KD113" s="110"/>
      <c r="KE113" s="110"/>
      <c r="KF113" s="110"/>
      <c r="KG113" s="110"/>
      <c r="KH113" s="110"/>
      <c r="KI113" s="110"/>
      <c r="KJ113" s="110"/>
      <c r="KK113" s="110"/>
      <c r="KL113" s="110"/>
      <c r="KM113" s="110"/>
      <c r="KN113" s="110"/>
    </row>
    <row r="114" spans="1:300" ht="19.2" customHeight="1" x14ac:dyDescent="0.3">
      <c r="A114" s="110"/>
      <c r="B114" s="110"/>
      <c r="C114" s="110"/>
      <c r="D114" s="110"/>
      <c r="E114" s="110"/>
      <c r="F114" s="110"/>
      <c r="G114" s="112" t="str">
        <v xml:space="preserve">111 </v>
      </c>
      <c r="P114" s="96"/>
      <c r="Q114" s="100"/>
      <c r="R114" s="99"/>
      <c r="S114" s="99"/>
      <c r="T114" s="99"/>
      <c r="U114" s="99"/>
      <c r="V114" s="99"/>
      <c r="W114" s="99"/>
      <c r="X114" s="94"/>
      <c r="Y114" s="94"/>
      <c r="Z114" s="94"/>
      <c r="AA114" s="94"/>
      <c r="AB114" s="94"/>
      <c r="AC114" s="92"/>
      <c r="AD114" s="103"/>
      <c r="AE114" s="95"/>
      <c r="AF114" s="95"/>
      <c r="AG114" s="95"/>
      <c r="AH114" s="95"/>
      <c r="AI114" s="92"/>
      <c r="AU114" s="96"/>
      <c r="AV114" s="100"/>
      <c r="AW114" s="100"/>
      <c r="AX114" s="100"/>
      <c r="AY114" s="99"/>
      <c r="AZ114" s="99"/>
      <c r="BA114" s="99"/>
      <c r="BB114" s="99"/>
      <c r="BC114" s="99"/>
      <c r="BD114" s="94"/>
      <c r="BE114" s="94"/>
      <c r="BF114" s="94"/>
      <c r="BG114" s="94"/>
      <c r="BH114" s="103"/>
      <c r="BI114" s="103"/>
      <c r="BJ114" s="95"/>
      <c r="BK114" s="95"/>
      <c r="BL114" s="95"/>
      <c r="BM114" s="95"/>
      <c r="BN114" s="92"/>
      <c r="CA114" s="96"/>
      <c r="CB114" s="100"/>
      <c r="CC114" s="100"/>
      <c r="CD114" s="100"/>
      <c r="CE114" s="99"/>
      <c r="CF114" s="99"/>
      <c r="CG114" s="99"/>
      <c r="CH114" s="99"/>
      <c r="CI114" s="99"/>
      <c r="CJ114" s="94"/>
      <c r="CK114" s="94"/>
      <c r="CL114" s="94"/>
      <c r="CM114" s="94"/>
      <c r="CN114" s="103"/>
      <c r="CO114" s="103"/>
      <c r="CP114" s="95"/>
      <c r="CQ114" s="95"/>
      <c r="CR114" s="95"/>
      <c r="CS114" s="95"/>
      <c r="CT114" s="92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  <c r="GG114" s="110"/>
      <c r="GH114" s="110"/>
      <c r="GI114" s="110"/>
      <c r="GJ114" s="110"/>
      <c r="GK114" s="110"/>
      <c r="GL114" s="110"/>
      <c r="GM114" s="110"/>
      <c r="GN114" s="110"/>
      <c r="GO114" s="110"/>
      <c r="GP114" s="110"/>
      <c r="GQ114" s="110"/>
      <c r="GR114" s="110"/>
      <c r="GS114" s="110"/>
      <c r="GT114" s="110"/>
      <c r="GU114" s="110"/>
      <c r="GV114" s="110"/>
      <c r="GW114" s="110"/>
      <c r="GX114" s="110"/>
      <c r="GY114" s="110"/>
      <c r="GZ114" s="110"/>
      <c r="HA114" s="110"/>
      <c r="HB114" s="110"/>
      <c r="HC114" s="110"/>
      <c r="HD114" s="110"/>
      <c r="HE114" s="110"/>
      <c r="HF114" s="110"/>
      <c r="HG114" s="110"/>
      <c r="HH114" s="110"/>
      <c r="HI114" s="110"/>
      <c r="HJ114" s="110"/>
      <c r="HK114" s="110"/>
      <c r="HL114" s="110"/>
      <c r="HM114" s="110"/>
      <c r="HN114" s="110"/>
      <c r="HO114" s="110"/>
      <c r="HP114" s="110"/>
      <c r="HQ114" s="110"/>
      <c r="HR114" s="110"/>
      <c r="HS114" s="110"/>
      <c r="HT114" s="110"/>
      <c r="HU114" s="110"/>
      <c r="HV114" s="110"/>
      <c r="HW114" s="110"/>
      <c r="HX114" s="110"/>
      <c r="HY114" s="110"/>
      <c r="HZ114" s="110"/>
      <c r="IA114" s="110"/>
      <c r="IB114" s="110"/>
      <c r="IC114" s="110"/>
      <c r="ID114" s="110"/>
      <c r="IE114" s="110"/>
      <c r="IF114" s="110"/>
      <c r="IG114" s="110"/>
      <c r="IH114" s="110"/>
      <c r="II114" s="110"/>
      <c r="IJ114" s="110"/>
      <c r="IK114" s="110"/>
      <c r="IL114" s="110"/>
      <c r="IM114" s="110"/>
      <c r="IN114" s="110"/>
      <c r="IO114" s="110"/>
      <c r="IP114" s="110"/>
      <c r="IQ114" s="110"/>
      <c r="IR114" s="110"/>
      <c r="IS114" s="110"/>
      <c r="IT114" s="110"/>
      <c r="IU114" s="110"/>
      <c r="IV114" s="110"/>
      <c r="IW114" s="110"/>
      <c r="IX114" s="110"/>
      <c r="IY114" s="110"/>
      <c r="IZ114" s="110"/>
      <c r="JA114" s="110"/>
      <c r="JB114" s="110"/>
      <c r="JC114" s="110"/>
      <c r="JD114" s="110"/>
      <c r="JE114" s="110"/>
      <c r="JF114" s="110"/>
      <c r="JG114" s="110"/>
      <c r="JH114" s="110"/>
      <c r="JI114" s="110"/>
      <c r="JJ114" s="110"/>
      <c r="JK114" s="110"/>
      <c r="JL114" s="110"/>
      <c r="JM114" s="110"/>
      <c r="JN114" s="110"/>
      <c r="JO114" s="110"/>
      <c r="JP114" s="110"/>
      <c r="JQ114" s="110"/>
      <c r="JR114" s="110"/>
      <c r="JS114" s="110"/>
      <c r="JT114" s="110"/>
      <c r="JU114" s="110"/>
      <c r="JV114" s="110"/>
      <c r="JW114" s="110"/>
      <c r="JX114" s="110"/>
      <c r="JY114" s="110"/>
      <c r="JZ114" s="110"/>
      <c r="KA114" s="110"/>
      <c r="KB114" s="110"/>
      <c r="KC114" s="110"/>
      <c r="KD114" s="110"/>
      <c r="KE114" s="110"/>
      <c r="KF114" s="110"/>
      <c r="KG114" s="110"/>
      <c r="KH114" s="110"/>
      <c r="KI114" s="110"/>
      <c r="KJ114" s="110"/>
      <c r="KK114" s="110"/>
      <c r="KL114" s="110"/>
      <c r="KM114" s="110"/>
      <c r="KN114" s="110"/>
    </row>
    <row r="115" spans="1:300" ht="19.2" customHeight="1" x14ac:dyDescent="0.3">
      <c r="A115" s="110"/>
      <c r="B115" s="110"/>
      <c r="C115" s="110"/>
      <c r="D115" s="110"/>
      <c r="E115" s="110"/>
      <c r="F115" s="110"/>
      <c r="G115" s="112" t="str">
        <v xml:space="preserve">112 </v>
      </c>
      <c r="O115" s="96"/>
      <c r="P115" s="100"/>
      <c r="Q115" s="100"/>
      <c r="R115" s="100"/>
      <c r="S115" s="99"/>
      <c r="T115" s="99"/>
      <c r="U115" s="99"/>
      <c r="V115" s="99"/>
      <c r="W115" s="99"/>
      <c r="X115" s="94"/>
      <c r="Y115" s="94"/>
      <c r="Z115" s="94"/>
      <c r="AA115" s="94"/>
      <c r="AB115" s="103"/>
      <c r="AC115" s="103"/>
      <c r="AD115" s="95"/>
      <c r="AE115" s="95"/>
      <c r="AF115" s="95"/>
      <c r="AG115" s="95"/>
      <c r="AH115" s="92"/>
      <c r="AT115" s="96"/>
      <c r="AU115" s="94"/>
      <c r="AV115" s="100"/>
      <c r="AW115" s="100"/>
      <c r="AX115" s="100"/>
      <c r="AY115" s="100"/>
      <c r="AZ115" s="100"/>
      <c r="BA115" s="92"/>
      <c r="BB115" s="100"/>
      <c r="BC115" s="100"/>
      <c r="BD115" s="92"/>
      <c r="BE115" s="100"/>
      <c r="BF115" s="98"/>
      <c r="BG115" s="96"/>
      <c r="BH115" s="92"/>
      <c r="BI115" s="92"/>
      <c r="BJ115" s="92"/>
      <c r="BK115" s="92"/>
      <c r="BL115" s="92"/>
      <c r="BM115" s="92"/>
      <c r="BZ115" s="96"/>
      <c r="CA115" s="94"/>
      <c r="CB115" s="100"/>
      <c r="CC115" s="100"/>
      <c r="CD115" s="100"/>
      <c r="CE115" s="100"/>
      <c r="CF115" s="100"/>
      <c r="CG115" s="92"/>
      <c r="CH115" s="100"/>
      <c r="CI115" s="100"/>
      <c r="CJ115" s="92"/>
      <c r="CK115" s="100"/>
      <c r="CL115" s="98"/>
      <c r="CM115" s="96"/>
      <c r="CN115" s="92"/>
      <c r="CO115" s="92"/>
      <c r="CP115" s="92"/>
      <c r="CQ115" s="92"/>
      <c r="CR115" s="92"/>
      <c r="CS115" s="92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  <c r="GG115" s="110"/>
      <c r="GH115" s="110"/>
      <c r="GI115" s="110"/>
      <c r="GJ115" s="110"/>
      <c r="GK115" s="110"/>
      <c r="GL115" s="110"/>
      <c r="GM115" s="110"/>
      <c r="GN115" s="110"/>
      <c r="GO115" s="110"/>
      <c r="GP115" s="110"/>
      <c r="GQ115" s="110"/>
      <c r="GR115" s="110"/>
      <c r="GS115" s="110"/>
      <c r="GT115" s="110"/>
      <c r="GU115" s="110"/>
      <c r="GV115" s="110"/>
      <c r="GW115" s="110"/>
      <c r="GX115" s="110"/>
      <c r="GY115" s="110"/>
      <c r="GZ115" s="110"/>
      <c r="HA115" s="110"/>
      <c r="HB115" s="110"/>
      <c r="HC115" s="110"/>
      <c r="HD115" s="110"/>
      <c r="HE115" s="110"/>
      <c r="HF115" s="110"/>
      <c r="HG115" s="110"/>
      <c r="HH115" s="110"/>
      <c r="HI115" s="110"/>
      <c r="HJ115" s="110"/>
      <c r="HK115" s="110"/>
      <c r="HL115" s="110"/>
      <c r="HM115" s="110"/>
      <c r="HN115" s="110"/>
      <c r="HO115" s="110"/>
      <c r="HP115" s="110"/>
      <c r="HQ115" s="110"/>
      <c r="HR115" s="110"/>
      <c r="HS115" s="110"/>
      <c r="HT115" s="110"/>
      <c r="HU115" s="110"/>
      <c r="HV115" s="110"/>
      <c r="HW115" s="110"/>
      <c r="HX115" s="110"/>
      <c r="HY115" s="110"/>
      <c r="HZ115" s="110"/>
      <c r="IA115" s="110"/>
      <c r="IB115" s="110"/>
      <c r="IC115" s="110"/>
      <c r="ID115" s="110"/>
      <c r="IE115" s="110"/>
      <c r="IF115" s="110"/>
      <c r="IG115" s="110"/>
      <c r="IH115" s="110"/>
      <c r="II115" s="110"/>
      <c r="IJ115" s="110"/>
      <c r="IK115" s="110"/>
      <c r="IL115" s="110"/>
      <c r="IM115" s="110"/>
      <c r="IN115" s="110"/>
      <c r="IO115" s="110"/>
      <c r="IP115" s="110"/>
      <c r="IQ115" s="110"/>
      <c r="IR115" s="110"/>
      <c r="IS115" s="110"/>
      <c r="IT115" s="110"/>
      <c r="IU115" s="110"/>
      <c r="IV115" s="110"/>
      <c r="IW115" s="110"/>
      <c r="IX115" s="110"/>
      <c r="IY115" s="110"/>
      <c r="IZ115" s="110"/>
      <c r="JA115" s="110"/>
      <c r="JB115" s="110"/>
      <c r="JC115" s="110"/>
      <c r="JD115" s="110"/>
      <c r="JE115" s="110"/>
      <c r="JF115" s="110"/>
      <c r="JG115" s="110"/>
      <c r="JH115" s="110"/>
      <c r="JI115" s="110"/>
      <c r="JJ115" s="110"/>
      <c r="JK115" s="110"/>
      <c r="JL115" s="110"/>
      <c r="JM115" s="110"/>
      <c r="JN115" s="110"/>
      <c r="JO115" s="110"/>
      <c r="JP115" s="110"/>
      <c r="JQ115" s="110"/>
      <c r="JR115" s="110"/>
      <c r="JS115" s="110"/>
      <c r="JT115" s="110"/>
      <c r="JU115" s="110"/>
      <c r="JV115" s="110"/>
      <c r="JW115" s="110"/>
      <c r="JX115" s="110"/>
      <c r="JY115" s="110"/>
      <c r="JZ115" s="110"/>
      <c r="KA115" s="110"/>
      <c r="KB115" s="110"/>
      <c r="KC115" s="110"/>
      <c r="KD115" s="110"/>
      <c r="KE115" s="110"/>
      <c r="KF115" s="110"/>
      <c r="KG115" s="110"/>
      <c r="KH115" s="110"/>
      <c r="KI115" s="110"/>
      <c r="KJ115" s="110"/>
      <c r="KK115" s="110"/>
      <c r="KL115" s="110"/>
      <c r="KM115" s="110"/>
      <c r="KN115" s="110"/>
    </row>
    <row r="116" spans="1:300" ht="19.2" customHeight="1" x14ac:dyDescent="0.3">
      <c r="A116" s="110"/>
      <c r="B116" s="110"/>
      <c r="C116" s="110"/>
      <c r="D116" s="110"/>
      <c r="E116" s="110"/>
      <c r="F116" s="110"/>
      <c r="G116" s="112" t="str">
        <v xml:space="preserve">113 </v>
      </c>
      <c r="N116" s="96"/>
      <c r="O116" s="94"/>
      <c r="P116" s="100"/>
      <c r="Q116" s="100"/>
      <c r="R116" s="100"/>
      <c r="S116" s="100"/>
      <c r="T116" s="100"/>
      <c r="U116" s="92"/>
      <c r="V116" s="100"/>
      <c r="W116" s="100"/>
      <c r="X116" s="92"/>
      <c r="Y116" s="100"/>
      <c r="Z116" s="98"/>
      <c r="AA116" s="96"/>
      <c r="AB116" s="92"/>
      <c r="AC116" s="92"/>
      <c r="AD116" s="92"/>
      <c r="AE116" s="92"/>
      <c r="AF116" s="92"/>
      <c r="AG116" s="92"/>
      <c r="AU116" s="96"/>
      <c r="AV116" s="96"/>
      <c r="AW116" s="100"/>
      <c r="AX116" s="100"/>
      <c r="AY116" s="100"/>
      <c r="AZ116" s="92"/>
      <c r="BA116" s="100"/>
      <c r="BB116" s="100"/>
      <c r="BC116" s="92"/>
      <c r="BD116" s="92"/>
      <c r="BE116" s="104"/>
      <c r="BF116" s="98"/>
      <c r="BG116" s="96"/>
      <c r="BH116" s="106"/>
      <c r="BI116" s="106"/>
      <c r="BJ116" s="100"/>
      <c r="CA116" s="96"/>
      <c r="CB116" s="96"/>
      <c r="CC116" s="100"/>
      <c r="CD116" s="100"/>
      <c r="CE116" s="100"/>
      <c r="CF116" s="92"/>
      <c r="CG116" s="100"/>
      <c r="CH116" s="100"/>
      <c r="CI116" s="92"/>
      <c r="CJ116" s="92"/>
      <c r="CK116" s="104"/>
      <c r="CL116" s="98"/>
      <c r="CM116" s="96"/>
      <c r="CN116" s="106"/>
      <c r="CO116" s="106"/>
      <c r="CP116" s="10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  <c r="GG116" s="110"/>
      <c r="GH116" s="110"/>
      <c r="GI116" s="110"/>
      <c r="GJ116" s="110"/>
      <c r="GK116" s="110"/>
      <c r="GL116" s="110"/>
      <c r="GM116" s="110"/>
      <c r="GN116" s="110"/>
      <c r="GO116" s="110"/>
      <c r="GP116" s="110"/>
      <c r="GQ116" s="110"/>
      <c r="GR116" s="110"/>
      <c r="GS116" s="110"/>
      <c r="GT116" s="110"/>
      <c r="GU116" s="110"/>
      <c r="GV116" s="110"/>
      <c r="GW116" s="110"/>
      <c r="GX116" s="110"/>
      <c r="GY116" s="110"/>
      <c r="GZ116" s="110"/>
      <c r="HA116" s="110"/>
      <c r="HB116" s="110"/>
      <c r="HC116" s="110"/>
      <c r="HD116" s="110"/>
      <c r="HE116" s="110"/>
      <c r="HF116" s="110"/>
      <c r="HG116" s="110"/>
      <c r="HH116" s="110"/>
      <c r="HI116" s="110"/>
      <c r="HJ116" s="110"/>
      <c r="HK116" s="110"/>
      <c r="HL116" s="110"/>
      <c r="HM116" s="110"/>
      <c r="HN116" s="110"/>
      <c r="HO116" s="110"/>
      <c r="HP116" s="110"/>
      <c r="HQ116" s="110"/>
      <c r="HR116" s="110"/>
      <c r="HS116" s="110"/>
      <c r="HT116" s="110"/>
      <c r="HU116" s="110"/>
      <c r="HV116" s="110"/>
      <c r="HW116" s="110"/>
      <c r="HX116" s="110"/>
      <c r="HY116" s="110"/>
      <c r="HZ116" s="110"/>
      <c r="IA116" s="110"/>
      <c r="IB116" s="110"/>
      <c r="IC116" s="110"/>
      <c r="ID116" s="110"/>
      <c r="IE116" s="110"/>
      <c r="IF116" s="110"/>
      <c r="IG116" s="110"/>
      <c r="IH116" s="110"/>
      <c r="II116" s="110"/>
      <c r="IJ116" s="110"/>
      <c r="IK116" s="110"/>
      <c r="IL116" s="110"/>
      <c r="IM116" s="110"/>
      <c r="IN116" s="110"/>
      <c r="IO116" s="110"/>
      <c r="IP116" s="110"/>
      <c r="IQ116" s="110"/>
      <c r="IR116" s="110"/>
      <c r="IS116" s="110"/>
      <c r="IT116" s="110"/>
      <c r="IU116" s="110"/>
      <c r="IV116" s="110"/>
      <c r="IW116" s="110"/>
      <c r="IX116" s="110"/>
      <c r="IY116" s="110"/>
      <c r="IZ116" s="110"/>
      <c r="JA116" s="110"/>
      <c r="JB116" s="110"/>
      <c r="JC116" s="110"/>
      <c r="JD116" s="110"/>
      <c r="JE116" s="110"/>
      <c r="JF116" s="110"/>
      <c r="JG116" s="110"/>
      <c r="JH116" s="110"/>
      <c r="JI116" s="110"/>
      <c r="JJ116" s="110"/>
      <c r="JK116" s="110"/>
      <c r="JL116" s="110"/>
      <c r="JM116" s="110"/>
      <c r="JN116" s="110"/>
      <c r="JO116" s="110"/>
      <c r="JP116" s="110"/>
      <c r="JQ116" s="110"/>
      <c r="JR116" s="110"/>
      <c r="JS116" s="110"/>
      <c r="JT116" s="110"/>
      <c r="JU116" s="110"/>
      <c r="JV116" s="110"/>
      <c r="JW116" s="110"/>
      <c r="JX116" s="110"/>
      <c r="JY116" s="110"/>
      <c r="JZ116" s="110"/>
      <c r="KA116" s="110"/>
      <c r="KB116" s="110"/>
      <c r="KC116" s="110"/>
      <c r="KD116" s="110"/>
      <c r="KE116" s="110"/>
      <c r="KF116" s="110"/>
      <c r="KG116" s="110"/>
      <c r="KH116" s="110"/>
      <c r="KI116" s="110"/>
      <c r="KJ116" s="110"/>
      <c r="KK116" s="110"/>
      <c r="KL116" s="110"/>
      <c r="KM116" s="110"/>
      <c r="KN116" s="110"/>
    </row>
    <row r="117" spans="1:300" ht="19.2" customHeight="1" x14ac:dyDescent="0.3">
      <c r="A117" s="110"/>
      <c r="B117" s="110"/>
      <c r="C117" s="110"/>
      <c r="D117" s="110"/>
      <c r="E117" s="110"/>
      <c r="F117" s="110"/>
      <c r="G117" s="112" t="str">
        <v xml:space="preserve">114 </v>
      </c>
      <c r="O117" s="96"/>
      <c r="P117" s="96"/>
      <c r="Q117" s="100"/>
      <c r="R117" s="100"/>
      <c r="S117" s="100"/>
      <c r="T117" s="92"/>
      <c r="U117" s="100"/>
      <c r="V117" s="100"/>
      <c r="W117" s="92"/>
      <c r="X117" s="92"/>
      <c r="Y117" s="104"/>
      <c r="Z117" s="98"/>
      <c r="AA117" s="96"/>
      <c r="AB117" s="106"/>
      <c r="AC117" s="106"/>
      <c r="AD117" s="100"/>
      <c r="AW117" s="96"/>
      <c r="AX117" s="96"/>
      <c r="AY117" s="100"/>
      <c r="AZ117" s="100"/>
      <c r="BA117" s="92"/>
      <c r="BB117" s="92"/>
      <c r="BC117" s="92"/>
      <c r="BD117" s="104"/>
      <c r="BE117" s="104"/>
      <c r="BF117" s="106"/>
      <c r="BG117" s="106"/>
      <c r="BH117" s="106"/>
      <c r="BI117" s="106"/>
      <c r="BJ117" s="104"/>
      <c r="CC117" s="96"/>
      <c r="CD117" s="96"/>
      <c r="CE117" s="100"/>
      <c r="CF117" s="100"/>
      <c r="CG117" s="92"/>
      <c r="CH117" s="92"/>
      <c r="CI117" s="92"/>
      <c r="CJ117" s="104"/>
      <c r="CK117" s="104"/>
      <c r="CL117" s="106"/>
      <c r="CM117" s="106"/>
      <c r="CN117" s="106"/>
      <c r="CO117" s="106"/>
      <c r="CP117" s="104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  <c r="GG117" s="110"/>
      <c r="GH117" s="110"/>
      <c r="GI117" s="110"/>
      <c r="GJ117" s="110"/>
      <c r="GK117" s="110"/>
      <c r="GL117" s="110"/>
      <c r="GM117" s="110"/>
      <c r="GN117" s="110"/>
      <c r="GO117" s="110"/>
      <c r="GP117" s="110"/>
      <c r="GQ117" s="110"/>
      <c r="GR117" s="110"/>
      <c r="GS117" s="110"/>
      <c r="GT117" s="110"/>
      <c r="GU117" s="110"/>
      <c r="GV117" s="110"/>
      <c r="GW117" s="110"/>
      <c r="GX117" s="110"/>
      <c r="GY117" s="110"/>
      <c r="GZ117" s="110"/>
      <c r="HA117" s="110"/>
      <c r="HB117" s="110"/>
      <c r="HC117" s="110"/>
      <c r="HD117" s="110"/>
      <c r="HE117" s="110"/>
      <c r="HF117" s="110"/>
      <c r="HG117" s="110"/>
      <c r="HH117" s="110"/>
      <c r="HI117" s="110"/>
      <c r="HJ117" s="110"/>
      <c r="HK117" s="110"/>
      <c r="HL117" s="110"/>
      <c r="HM117" s="110"/>
      <c r="HN117" s="110"/>
      <c r="HO117" s="110"/>
      <c r="HP117" s="110"/>
      <c r="HQ117" s="110"/>
      <c r="HR117" s="110"/>
      <c r="HS117" s="110"/>
      <c r="HT117" s="110"/>
      <c r="HU117" s="110"/>
      <c r="HV117" s="110"/>
      <c r="HW117" s="110"/>
      <c r="HX117" s="110"/>
      <c r="HY117" s="110"/>
      <c r="HZ117" s="110"/>
      <c r="IA117" s="110"/>
      <c r="IB117" s="110"/>
      <c r="IC117" s="110"/>
      <c r="ID117" s="110"/>
      <c r="IE117" s="110"/>
      <c r="IF117" s="110"/>
      <c r="IG117" s="110"/>
      <c r="IH117" s="110"/>
      <c r="II117" s="110"/>
      <c r="IJ117" s="110"/>
      <c r="IK117" s="110"/>
      <c r="IL117" s="110"/>
      <c r="IM117" s="110"/>
      <c r="IN117" s="110"/>
      <c r="IO117" s="110"/>
      <c r="IP117" s="110"/>
      <c r="IQ117" s="110"/>
      <c r="IR117" s="110"/>
      <c r="IS117" s="110"/>
      <c r="IT117" s="110"/>
      <c r="IU117" s="110"/>
      <c r="IV117" s="110"/>
      <c r="IW117" s="110"/>
      <c r="IX117" s="110"/>
      <c r="IY117" s="110"/>
      <c r="IZ117" s="110"/>
      <c r="JA117" s="110"/>
      <c r="JB117" s="110"/>
      <c r="JC117" s="110"/>
      <c r="JD117" s="110"/>
      <c r="JE117" s="110"/>
      <c r="JF117" s="110"/>
      <c r="JG117" s="110"/>
      <c r="JH117" s="110"/>
      <c r="JI117" s="110"/>
      <c r="JJ117" s="110"/>
      <c r="JK117" s="110"/>
      <c r="JL117" s="110"/>
      <c r="JM117" s="110"/>
      <c r="JN117" s="110"/>
      <c r="JO117" s="110"/>
      <c r="JP117" s="110"/>
      <c r="JQ117" s="110"/>
      <c r="JR117" s="110"/>
      <c r="JS117" s="110"/>
      <c r="JT117" s="110"/>
      <c r="JU117" s="110"/>
      <c r="JV117" s="110"/>
      <c r="JW117" s="110"/>
      <c r="JX117" s="110"/>
      <c r="JY117" s="110"/>
      <c r="JZ117" s="110"/>
      <c r="KA117" s="110"/>
      <c r="KB117" s="110"/>
      <c r="KC117" s="110"/>
      <c r="KD117" s="110"/>
      <c r="KE117" s="110"/>
      <c r="KF117" s="110"/>
      <c r="KG117" s="110"/>
      <c r="KH117" s="110"/>
      <c r="KI117" s="110"/>
      <c r="KJ117" s="110"/>
      <c r="KK117" s="110"/>
      <c r="KL117" s="110"/>
      <c r="KM117" s="110"/>
      <c r="KN117" s="110"/>
    </row>
    <row r="118" spans="1:300" ht="19.2" customHeight="1" x14ac:dyDescent="0.3">
      <c r="A118" s="110"/>
      <c r="B118" s="110"/>
      <c r="C118" s="110"/>
      <c r="D118" s="110"/>
      <c r="E118" s="110"/>
      <c r="F118" s="110"/>
      <c r="G118" s="112" t="str">
        <v xml:space="preserve">115 </v>
      </c>
      <c r="Q118" s="96"/>
      <c r="R118" s="96"/>
      <c r="S118" s="100"/>
      <c r="T118" s="100"/>
      <c r="U118" s="92"/>
      <c r="V118" s="92"/>
      <c r="W118" s="92"/>
      <c r="X118" s="104"/>
      <c r="Y118" s="104"/>
      <c r="Z118" s="106"/>
      <c r="AA118" s="106"/>
      <c r="AB118" s="106"/>
      <c r="AC118" s="106"/>
      <c r="AD118" s="104"/>
      <c r="AW118" s="96"/>
      <c r="AX118" s="100"/>
      <c r="AY118" s="100"/>
      <c r="AZ118" s="96"/>
      <c r="BA118" s="100"/>
      <c r="BB118" s="100"/>
      <c r="BC118" s="100"/>
      <c r="BD118" s="92"/>
      <c r="BE118" s="92"/>
      <c r="BF118" s="104"/>
      <c r="BG118" s="106"/>
      <c r="BH118" s="104"/>
      <c r="BI118" s="100"/>
      <c r="CC118" s="96"/>
      <c r="CD118" s="100"/>
      <c r="CE118" s="100"/>
      <c r="CF118" s="96"/>
      <c r="CG118" s="100"/>
      <c r="CH118" s="100"/>
      <c r="CI118" s="100"/>
      <c r="CJ118" s="92"/>
      <c r="CK118" s="92"/>
      <c r="CL118" s="104"/>
      <c r="CM118" s="106"/>
      <c r="CN118" s="104"/>
      <c r="CO118" s="10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  <c r="GG118" s="110"/>
      <c r="GH118" s="110"/>
      <c r="GI118" s="110"/>
      <c r="GJ118" s="110"/>
      <c r="GK118" s="110"/>
      <c r="GL118" s="110"/>
      <c r="GM118" s="110"/>
      <c r="GN118" s="110"/>
      <c r="GO118" s="110"/>
      <c r="GP118" s="110"/>
      <c r="GQ118" s="110"/>
      <c r="GR118" s="110"/>
      <c r="GS118" s="110"/>
      <c r="GT118" s="110"/>
      <c r="GU118" s="110"/>
      <c r="GV118" s="110"/>
      <c r="GW118" s="110"/>
      <c r="GX118" s="110"/>
      <c r="GY118" s="110"/>
      <c r="GZ118" s="110"/>
      <c r="HA118" s="110"/>
      <c r="HB118" s="110"/>
      <c r="HC118" s="110"/>
      <c r="HD118" s="110"/>
      <c r="HE118" s="110"/>
      <c r="HF118" s="110"/>
      <c r="HG118" s="110"/>
      <c r="HH118" s="110"/>
      <c r="HI118" s="110"/>
      <c r="HJ118" s="110"/>
      <c r="HK118" s="110"/>
      <c r="HL118" s="110"/>
      <c r="HM118" s="110"/>
      <c r="HN118" s="110"/>
      <c r="HO118" s="110"/>
      <c r="HP118" s="110"/>
      <c r="HQ118" s="110"/>
      <c r="HR118" s="110"/>
      <c r="HS118" s="110"/>
      <c r="HT118" s="110"/>
      <c r="HU118" s="110"/>
      <c r="HV118" s="110"/>
      <c r="HW118" s="110"/>
      <c r="HX118" s="110"/>
      <c r="HY118" s="110"/>
      <c r="HZ118" s="110"/>
      <c r="IA118" s="110"/>
      <c r="IB118" s="110"/>
      <c r="IC118" s="110"/>
      <c r="ID118" s="110"/>
      <c r="IE118" s="110"/>
      <c r="IF118" s="110"/>
      <c r="IG118" s="110"/>
      <c r="IH118" s="110"/>
      <c r="II118" s="110"/>
      <c r="IJ118" s="110"/>
      <c r="IK118" s="110"/>
      <c r="IL118" s="110"/>
      <c r="IM118" s="110"/>
      <c r="IN118" s="110"/>
      <c r="IO118" s="110"/>
      <c r="IP118" s="110"/>
      <c r="IQ118" s="110"/>
      <c r="IR118" s="110"/>
      <c r="IS118" s="110"/>
      <c r="IT118" s="110"/>
      <c r="IU118" s="110"/>
      <c r="IV118" s="110"/>
      <c r="IW118" s="110"/>
      <c r="IX118" s="110"/>
      <c r="IY118" s="110"/>
      <c r="IZ118" s="110"/>
      <c r="JA118" s="110"/>
      <c r="JB118" s="110"/>
      <c r="JC118" s="110"/>
      <c r="JD118" s="110"/>
      <c r="JE118" s="110"/>
      <c r="JF118" s="110"/>
      <c r="JG118" s="110"/>
      <c r="JH118" s="110"/>
      <c r="JI118" s="110"/>
      <c r="JJ118" s="110"/>
      <c r="JK118" s="110"/>
      <c r="JL118" s="110"/>
      <c r="JM118" s="110"/>
      <c r="JN118" s="110"/>
      <c r="JO118" s="110"/>
      <c r="JP118" s="110"/>
      <c r="JQ118" s="110"/>
      <c r="JR118" s="110"/>
      <c r="JS118" s="110"/>
      <c r="JT118" s="110"/>
      <c r="JU118" s="110"/>
      <c r="JV118" s="110"/>
      <c r="JW118" s="110"/>
      <c r="JX118" s="110"/>
      <c r="JY118" s="110"/>
      <c r="JZ118" s="110"/>
      <c r="KA118" s="110"/>
      <c r="KB118" s="110"/>
      <c r="KC118" s="110"/>
      <c r="KD118" s="110"/>
      <c r="KE118" s="110"/>
      <c r="KF118" s="110"/>
      <c r="KG118" s="110"/>
      <c r="KH118" s="110"/>
      <c r="KI118" s="110"/>
      <c r="KJ118" s="110"/>
      <c r="KK118" s="110"/>
      <c r="KL118" s="110"/>
      <c r="KM118" s="110"/>
      <c r="KN118" s="110"/>
    </row>
    <row r="119" spans="1:300" ht="19.2" customHeight="1" x14ac:dyDescent="0.3">
      <c r="A119" s="110"/>
      <c r="B119" s="110"/>
      <c r="C119" s="110"/>
      <c r="D119" s="110"/>
      <c r="E119" s="110"/>
      <c r="F119" s="110"/>
      <c r="G119" s="112" t="str">
        <v xml:space="preserve">116 </v>
      </c>
      <c r="Q119" s="96"/>
      <c r="R119" s="100"/>
      <c r="S119" s="100"/>
      <c r="T119" s="96"/>
      <c r="U119" s="100"/>
      <c r="V119" s="100"/>
      <c r="W119" s="100"/>
      <c r="X119" s="92"/>
      <c r="Y119" s="92"/>
      <c r="Z119" s="104"/>
      <c r="AA119" s="106"/>
      <c r="AB119" s="104"/>
      <c r="AC119" s="100"/>
      <c r="AX119" s="96"/>
      <c r="AY119" s="96"/>
      <c r="BA119" s="96"/>
      <c r="BB119" s="96"/>
      <c r="BC119" s="92"/>
      <c r="BD119" s="92"/>
      <c r="BE119" s="96"/>
      <c r="BF119" s="100"/>
      <c r="BG119" s="96"/>
      <c r="BH119" s="96"/>
      <c r="CD119" s="96"/>
      <c r="CE119" s="96"/>
      <c r="CF119" s="96"/>
      <c r="CG119" s="96"/>
      <c r="CH119" s="96"/>
      <c r="CI119" s="92"/>
      <c r="CJ119" s="92"/>
      <c r="CK119" s="96"/>
      <c r="CL119" s="100"/>
      <c r="CM119" s="96"/>
      <c r="CN119" s="96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  <c r="GG119" s="110"/>
      <c r="GH119" s="110"/>
      <c r="GI119" s="110"/>
      <c r="GJ119" s="110"/>
      <c r="GK119" s="110"/>
      <c r="GL119" s="110"/>
      <c r="GM119" s="110"/>
      <c r="GN119" s="110"/>
      <c r="GO119" s="110"/>
      <c r="GP119" s="110"/>
      <c r="GQ119" s="110"/>
      <c r="GR119" s="110"/>
      <c r="GS119" s="110"/>
      <c r="GT119" s="110"/>
      <c r="GU119" s="110"/>
      <c r="GV119" s="110"/>
      <c r="GW119" s="110"/>
      <c r="GX119" s="110"/>
      <c r="GY119" s="110"/>
      <c r="GZ119" s="110"/>
      <c r="HA119" s="110"/>
      <c r="HB119" s="110"/>
      <c r="HC119" s="110"/>
      <c r="HD119" s="110"/>
      <c r="HE119" s="110"/>
      <c r="HF119" s="110"/>
      <c r="HG119" s="110"/>
      <c r="HH119" s="110"/>
      <c r="HI119" s="110"/>
      <c r="HJ119" s="110"/>
      <c r="HK119" s="110"/>
      <c r="HL119" s="110"/>
      <c r="HM119" s="110"/>
      <c r="HN119" s="110"/>
      <c r="HO119" s="110"/>
      <c r="HP119" s="110"/>
      <c r="HQ119" s="110"/>
      <c r="HR119" s="110"/>
      <c r="HS119" s="110"/>
      <c r="HT119" s="110"/>
      <c r="HU119" s="110"/>
      <c r="HV119" s="110"/>
      <c r="HW119" s="110"/>
      <c r="HX119" s="110"/>
      <c r="HY119" s="110"/>
      <c r="HZ119" s="110"/>
      <c r="IA119" s="110"/>
      <c r="IB119" s="110"/>
      <c r="IC119" s="110"/>
      <c r="ID119" s="110"/>
      <c r="IE119" s="110"/>
      <c r="IF119" s="110"/>
      <c r="IG119" s="110"/>
      <c r="IH119" s="110"/>
      <c r="II119" s="110"/>
      <c r="IJ119" s="110"/>
      <c r="IK119" s="110"/>
      <c r="IL119" s="110"/>
      <c r="IM119" s="110"/>
      <c r="IN119" s="110"/>
      <c r="IO119" s="110"/>
      <c r="IP119" s="110"/>
      <c r="IQ119" s="110"/>
      <c r="IR119" s="110"/>
      <c r="IS119" s="110"/>
      <c r="IT119" s="110"/>
      <c r="IU119" s="110"/>
      <c r="IV119" s="110"/>
      <c r="IW119" s="110"/>
      <c r="IX119" s="110"/>
      <c r="IY119" s="110"/>
      <c r="IZ119" s="110"/>
      <c r="JA119" s="110"/>
      <c r="JB119" s="110"/>
      <c r="JC119" s="110"/>
      <c r="JD119" s="110"/>
      <c r="JE119" s="110"/>
      <c r="JF119" s="110"/>
      <c r="JG119" s="110"/>
      <c r="JH119" s="110"/>
      <c r="JI119" s="110"/>
      <c r="JJ119" s="110"/>
      <c r="JK119" s="110"/>
      <c r="JL119" s="110"/>
      <c r="JM119" s="110"/>
      <c r="JN119" s="110"/>
      <c r="JO119" s="110"/>
      <c r="JP119" s="110"/>
      <c r="JQ119" s="110"/>
      <c r="JR119" s="110"/>
      <c r="JS119" s="110"/>
      <c r="JT119" s="110"/>
      <c r="JU119" s="110"/>
      <c r="JV119" s="110"/>
      <c r="JW119" s="110"/>
      <c r="JX119" s="110"/>
      <c r="JY119" s="110"/>
      <c r="JZ119" s="110"/>
      <c r="KA119" s="110"/>
      <c r="KB119" s="110"/>
      <c r="KC119" s="110"/>
      <c r="KD119" s="110"/>
      <c r="KE119" s="110"/>
      <c r="KF119" s="110"/>
      <c r="KG119" s="110"/>
      <c r="KH119" s="110"/>
      <c r="KI119" s="110"/>
      <c r="KJ119" s="110"/>
      <c r="KK119" s="110"/>
      <c r="KL119" s="110"/>
      <c r="KM119" s="110"/>
      <c r="KN119" s="110"/>
    </row>
    <row r="120" spans="1:300" ht="19.2" customHeight="1" x14ac:dyDescent="0.3">
      <c r="A120" s="110"/>
      <c r="B120" s="110"/>
      <c r="C120" s="110"/>
      <c r="D120" s="110"/>
      <c r="E120" s="110"/>
      <c r="F120" s="110"/>
      <c r="G120" s="112" t="str">
        <v xml:space="preserve">117 </v>
      </c>
      <c r="R120" s="96"/>
      <c r="S120" s="96"/>
      <c r="U120" s="96"/>
      <c r="V120" s="96"/>
      <c r="W120" s="92"/>
      <c r="X120" s="92"/>
      <c r="Y120" s="96"/>
      <c r="Z120" s="100"/>
      <c r="AA120" s="96"/>
      <c r="AB120" s="96"/>
      <c r="BB120" s="96"/>
      <c r="BC120" s="101"/>
      <c r="BD120" s="101"/>
      <c r="BE120" s="99"/>
      <c r="BF120" s="96"/>
      <c r="BG120" s="104"/>
      <c r="BH120" s="96"/>
      <c r="CE120" s="96"/>
      <c r="CF120" s="100"/>
      <c r="CG120" s="101"/>
      <c r="CH120" s="92"/>
      <c r="CI120" s="101"/>
      <c r="CJ120" s="101"/>
      <c r="CK120" s="96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  <c r="GG120" s="110"/>
      <c r="GH120" s="110"/>
      <c r="GI120" s="110"/>
      <c r="GJ120" s="110"/>
      <c r="GK120" s="110"/>
      <c r="GL120" s="110"/>
      <c r="GM120" s="110"/>
      <c r="GN120" s="110"/>
      <c r="GO120" s="110"/>
      <c r="GP120" s="110"/>
      <c r="GQ120" s="110"/>
      <c r="GR120" s="110"/>
      <c r="GS120" s="110"/>
      <c r="GT120" s="110"/>
      <c r="GU120" s="110"/>
      <c r="GV120" s="110"/>
      <c r="GW120" s="110"/>
      <c r="GX120" s="110"/>
      <c r="GY120" s="110"/>
      <c r="GZ120" s="110"/>
      <c r="HA120" s="110"/>
      <c r="HB120" s="110"/>
      <c r="HC120" s="110"/>
      <c r="HD120" s="110"/>
      <c r="HE120" s="110"/>
      <c r="HF120" s="110"/>
      <c r="HG120" s="110"/>
      <c r="HH120" s="110"/>
      <c r="HI120" s="110"/>
      <c r="HJ120" s="110"/>
      <c r="HK120" s="110"/>
      <c r="HL120" s="110"/>
      <c r="HM120" s="110"/>
      <c r="HN120" s="110"/>
      <c r="HO120" s="110"/>
      <c r="HP120" s="110"/>
      <c r="HQ120" s="110"/>
      <c r="HR120" s="110"/>
      <c r="HS120" s="110"/>
      <c r="HT120" s="110"/>
      <c r="HU120" s="110"/>
      <c r="HV120" s="110"/>
      <c r="HW120" s="110"/>
      <c r="HX120" s="110"/>
      <c r="HY120" s="110"/>
      <c r="HZ120" s="110"/>
      <c r="IA120" s="110"/>
      <c r="IB120" s="110"/>
      <c r="IC120" s="110"/>
      <c r="ID120" s="110"/>
      <c r="IE120" s="110"/>
      <c r="IF120" s="110"/>
      <c r="IG120" s="110"/>
      <c r="IH120" s="110"/>
      <c r="II120" s="110"/>
      <c r="IJ120" s="110"/>
      <c r="IK120" s="110"/>
      <c r="IL120" s="110"/>
      <c r="IM120" s="110"/>
      <c r="IN120" s="110"/>
      <c r="IO120" s="110"/>
      <c r="IP120" s="110"/>
      <c r="IQ120" s="110"/>
      <c r="IR120" s="110"/>
      <c r="IS120" s="110"/>
      <c r="IT120" s="110"/>
      <c r="IU120" s="110"/>
      <c r="IV120" s="110"/>
      <c r="IW120" s="110"/>
      <c r="IX120" s="110"/>
      <c r="IY120" s="110"/>
      <c r="IZ120" s="110"/>
      <c r="JA120" s="110"/>
      <c r="JB120" s="110"/>
      <c r="JC120" s="110"/>
      <c r="JD120" s="110"/>
      <c r="JE120" s="110"/>
      <c r="JF120" s="110"/>
      <c r="JG120" s="110"/>
      <c r="JH120" s="110"/>
      <c r="JI120" s="110"/>
      <c r="JJ120" s="110"/>
      <c r="JK120" s="110"/>
      <c r="JL120" s="110"/>
      <c r="JM120" s="110"/>
      <c r="JN120" s="110"/>
      <c r="JO120" s="110"/>
      <c r="JP120" s="110"/>
      <c r="JQ120" s="110"/>
      <c r="JR120" s="110"/>
      <c r="JS120" s="110"/>
      <c r="JT120" s="110"/>
      <c r="JU120" s="110"/>
      <c r="JV120" s="110"/>
      <c r="JW120" s="110"/>
      <c r="JX120" s="110"/>
      <c r="JY120" s="110"/>
      <c r="JZ120" s="110"/>
      <c r="KA120" s="110"/>
      <c r="KB120" s="110"/>
      <c r="KC120" s="110"/>
      <c r="KD120" s="110"/>
      <c r="KE120" s="110"/>
      <c r="KF120" s="110"/>
      <c r="KG120" s="110"/>
      <c r="KH120" s="110"/>
      <c r="KI120" s="110"/>
      <c r="KJ120" s="110"/>
      <c r="KK120" s="110"/>
      <c r="KL120" s="110"/>
      <c r="KM120" s="110"/>
      <c r="KN120" s="110"/>
    </row>
    <row r="121" spans="1:300" ht="19.2" customHeight="1" x14ac:dyDescent="0.3">
      <c r="A121" s="110"/>
      <c r="B121" s="110"/>
      <c r="C121" s="110"/>
      <c r="D121" s="110"/>
      <c r="E121" s="110"/>
      <c r="F121" s="110"/>
      <c r="G121" s="112" t="str">
        <v xml:space="preserve">118 </v>
      </c>
      <c r="V121" s="96"/>
      <c r="W121" s="101"/>
      <c r="X121" s="101"/>
      <c r="Y121" s="99"/>
      <c r="Z121" s="96"/>
      <c r="BA121" s="96"/>
      <c r="BB121" s="101"/>
      <c r="BC121" s="102"/>
      <c r="BD121" s="103"/>
      <c r="BE121" s="101"/>
      <c r="BF121" s="96"/>
      <c r="BG121" s="96"/>
      <c r="CE121" s="96"/>
      <c r="CF121" s="104"/>
      <c r="CG121" s="96"/>
      <c r="CH121" s="92"/>
      <c r="CI121" s="96"/>
      <c r="CJ121" s="102"/>
      <c r="CK121" s="102"/>
      <c r="CL121" s="96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  <c r="GG121" s="110"/>
      <c r="GH121" s="110"/>
      <c r="GI121" s="110"/>
      <c r="GJ121" s="110"/>
      <c r="GK121" s="110"/>
      <c r="GL121" s="110"/>
      <c r="GM121" s="110"/>
      <c r="GN121" s="110"/>
      <c r="GO121" s="110"/>
      <c r="GP121" s="110"/>
      <c r="GQ121" s="110"/>
      <c r="GR121" s="110"/>
      <c r="GS121" s="110"/>
      <c r="GT121" s="110"/>
      <c r="GU121" s="110"/>
      <c r="GV121" s="110"/>
      <c r="GW121" s="110"/>
      <c r="GX121" s="110"/>
      <c r="GY121" s="110"/>
      <c r="GZ121" s="110"/>
      <c r="HA121" s="110"/>
      <c r="HB121" s="110"/>
      <c r="HC121" s="110"/>
      <c r="HD121" s="110"/>
      <c r="HE121" s="110"/>
      <c r="HF121" s="110"/>
      <c r="HG121" s="110"/>
      <c r="HH121" s="110"/>
      <c r="HI121" s="110"/>
      <c r="HJ121" s="110"/>
      <c r="HK121" s="110"/>
      <c r="HL121" s="110"/>
      <c r="HM121" s="110"/>
      <c r="HN121" s="110"/>
      <c r="HO121" s="110"/>
      <c r="HP121" s="110"/>
      <c r="HQ121" s="110"/>
      <c r="HR121" s="110"/>
      <c r="HS121" s="110"/>
      <c r="HT121" s="110"/>
      <c r="HU121" s="110"/>
      <c r="HV121" s="110"/>
      <c r="HW121" s="110"/>
      <c r="HX121" s="110"/>
      <c r="HY121" s="110"/>
      <c r="HZ121" s="110"/>
      <c r="IA121" s="110"/>
      <c r="IB121" s="110"/>
      <c r="IC121" s="110"/>
      <c r="ID121" s="110"/>
      <c r="IE121" s="110"/>
      <c r="IF121" s="110"/>
      <c r="IG121" s="110"/>
      <c r="IH121" s="110"/>
      <c r="II121" s="110"/>
      <c r="IJ121" s="110"/>
      <c r="IK121" s="110"/>
      <c r="IL121" s="110"/>
      <c r="IM121" s="110"/>
      <c r="IN121" s="110"/>
      <c r="IO121" s="110"/>
      <c r="IP121" s="110"/>
      <c r="IQ121" s="110"/>
      <c r="IR121" s="110"/>
      <c r="IS121" s="110"/>
      <c r="IT121" s="110"/>
      <c r="IU121" s="110"/>
      <c r="IV121" s="110"/>
      <c r="IW121" s="110"/>
      <c r="IX121" s="110"/>
      <c r="IY121" s="110"/>
      <c r="IZ121" s="110"/>
      <c r="JA121" s="110"/>
      <c r="JB121" s="110"/>
      <c r="JC121" s="110"/>
      <c r="JD121" s="110"/>
      <c r="JE121" s="110"/>
      <c r="JF121" s="110"/>
      <c r="JG121" s="110"/>
      <c r="JH121" s="110"/>
      <c r="JI121" s="110"/>
      <c r="JJ121" s="110"/>
      <c r="JK121" s="110"/>
      <c r="JL121" s="110"/>
      <c r="JM121" s="110"/>
      <c r="JN121" s="110"/>
      <c r="JO121" s="110"/>
      <c r="JP121" s="110"/>
      <c r="JQ121" s="110"/>
      <c r="JR121" s="110"/>
      <c r="JS121" s="110"/>
      <c r="JT121" s="110"/>
      <c r="JU121" s="110"/>
      <c r="JV121" s="110"/>
      <c r="JW121" s="110"/>
      <c r="JX121" s="110"/>
      <c r="JY121" s="110"/>
      <c r="JZ121" s="110"/>
      <c r="KA121" s="110"/>
      <c r="KB121" s="110"/>
      <c r="KC121" s="110"/>
      <c r="KD121" s="110"/>
      <c r="KE121" s="110"/>
      <c r="KF121" s="110"/>
      <c r="KG121" s="110"/>
      <c r="KH121" s="110"/>
      <c r="KI121" s="110"/>
      <c r="KJ121" s="110"/>
      <c r="KK121" s="110"/>
      <c r="KL121" s="110"/>
      <c r="KM121" s="110"/>
      <c r="KN121" s="110"/>
    </row>
    <row r="122" spans="1:300" ht="19.2" customHeight="1" x14ac:dyDescent="0.3">
      <c r="A122" s="110"/>
      <c r="B122" s="110"/>
      <c r="C122" s="110"/>
      <c r="D122" s="110"/>
      <c r="E122" s="110"/>
      <c r="F122" s="110"/>
      <c r="G122" s="112" t="str">
        <v xml:space="preserve">119 </v>
      </c>
      <c r="U122" s="96"/>
      <c r="V122" s="101"/>
      <c r="W122" s="102"/>
      <c r="X122" s="103"/>
      <c r="Y122" s="101"/>
      <c r="Z122" s="96"/>
      <c r="BA122" s="96"/>
      <c r="BB122" s="102"/>
      <c r="BC122" s="102"/>
      <c r="BD122" s="92"/>
      <c r="BE122" s="105"/>
      <c r="BF122" s="95"/>
      <c r="CF122" s="96"/>
      <c r="CG122" s="96"/>
      <c r="CH122" s="101"/>
      <c r="CI122" s="105"/>
      <c r="CJ122" s="96"/>
      <c r="CK122" s="102"/>
      <c r="CL122" s="105"/>
      <c r="CM122" s="96"/>
      <c r="CN122" s="96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  <c r="GG122" s="110"/>
      <c r="GH122" s="110"/>
      <c r="GI122" s="110"/>
      <c r="GJ122" s="110"/>
      <c r="GK122" s="110"/>
      <c r="GL122" s="110"/>
      <c r="GM122" s="110"/>
      <c r="GN122" s="110"/>
      <c r="GO122" s="110"/>
      <c r="GP122" s="110"/>
      <c r="GQ122" s="110"/>
      <c r="GR122" s="110"/>
      <c r="GS122" s="110"/>
      <c r="GT122" s="110"/>
      <c r="GU122" s="110"/>
      <c r="GV122" s="110"/>
      <c r="GW122" s="110"/>
      <c r="GX122" s="110"/>
      <c r="GY122" s="110"/>
      <c r="GZ122" s="110"/>
      <c r="HA122" s="110"/>
      <c r="HB122" s="110"/>
      <c r="HC122" s="110"/>
      <c r="HD122" s="110"/>
      <c r="HE122" s="110"/>
      <c r="HF122" s="110"/>
      <c r="HG122" s="110"/>
      <c r="HH122" s="110"/>
      <c r="HI122" s="110"/>
      <c r="HJ122" s="110"/>
      <c r="HK122" s="110"/>
      <c r="HL122" s="110"/>
      <c r="HM122" s="110"/>
      <c r="HN122" s="110"/>
      <c r="HO122" s="110"/>
      <c r="HP122" s="110"/>
      <c r="HQ122" s="110"/>
      <c r="HR122" s="110"/>
      <c r="HS122" s="110"/>
      <c r="HT122" s="110"/>
      <c r="HU122" s="110"/>
      <c r="HV122" s="110"/>
      <c r="HW122" s="110"/>
      <c r="HX122" s="110"/>
      <c r="HY122" s="110"/>
      <c r="HZ122" s="110"/>
      <c r="IA122" s="110"/>
      <c r="IB122" s="110"/>
      <c r="IC122" s="110"/>
      <c r="ID122" s="110"/>
      <c r="IE122" s="110"/>
      <c r="IF122" s="110"/>
      <c r="IG122" s="110"/>
      <c r="IH122" s="110"/>
      <c r="II122" s="110"/>
      <c r="IJ122" s="110"/>
      <c r="IK122" s="110"/>
      <c r="IL122" s="110"/>
      <c r="IM122" s="110"/>
      <c r="IN122" s="110"/>
      <c r="IO122" s="110"/>
      <c r="IP122" s="110"/>
      <c r="IQ122" s="110"/>
      <c r="IR122" s="110"/>
      <c r="IS122" s="110"/>
      <c r="IT122" s="110"/>
      <c r="IU122" s="110"/>
      <c r="IV122" s="110"/>
      <c r="IW122" s="110"/>
      <c r="IX122" s="110"/>
      <c r="IY122" s="110"/>
      <c r="IZ122" s="110"/>
      <c r="JA122" s="110"/>
      <c r="JB122" s="110"/>
      <c r="JC122" s="110"/>
      <c r="JD122" s="110"/>
      <c r="JE122" s="110"/>
      <c r="JF122" s="110"/>
      <c r="JG122" s="110"/>
      <c r="JH122" s="110"/>
      <c r="JI122" s="110"/>
      <c r="JJ122" s="110"/>
      <c r="JK122" s="110"/>
      <c r="JL122" s="110"/>
      <c r="JM122" s="110"/>
      <c r="JN122" s="110"/>
      <c r="JO122" s="110"/>
      <c r="JP122" s="110"/>
      <c r="JQ122" s="110"/>
      <c r="JR122" s="110"/>
      <c r="JS122" s="110"/>
      <c r="JT122" s="110"/>
      <c r="JU122" s="110"/>
      <c r="JV122" s="110"/>
      <c r="JW122" s="110"/>
      <c r="JX122" s="110"/>
      <c r="JY122" s="110"/>
      <c r="JZ122" s="110"/>
      <c r="KA122" s="110"/>
      <c r="KB122" s="110"/>
      <c r="KC122" s="110"/>
      <c r="KD122" s="110"/>
      <c r="KE122" s="110"/>
      <c r="KF122" s="110"/>
      <c r="KG122" s="110"/>
      <c r="KH122" s="110"/>
      <c r="KI122" s="110"/>
      <c r="KJ122" s="110"/>
      <c r="KK122" s="110"/>
      <c r="KL122" s="110"/>
      <c r="KM122" s="110"/>
      <c r="KN122" s="110"/>
    </row>
    <row r="123" spans="1:300" ht="19.2" customHeight="1" x14ac:dyDescent="0.3">
      <c r="A123" s="110"/>
      <c r="B123" s="110"/>
      <c r="C123" s="110"/>
      <c r="D123" s="110"/>
      <c r="E123" s="110"/>
      <c r="F123" s="110"/>
      <c r="G123" s="112" t="str">
        <v xml:space="preserve">120 </v>
      </c>
      <c r="U123" s="96"/>
      <c r="V123" s="101"/>
      <c r="W123" s="102"/>
      <c r="X123" s="92"/>
      <c r="Y123" s="105"/>
      <c r="Z123" s="95"/>
      <c r="AZ123" s="96"/>
      <c r="BA123" s="103"/>
      <c r="BB123" s="103"/>
      <c r="BC123" s="92"/>
      <c r="BD123" s="105"/>
      <c r="BE123" s="105"/>
      <c r="BF123" s="99"/>
      <c r="BG123" s="96"/>
      <c r="CG123" s="96"/>
      <c r="CH123" s="105"/>
      <c r="CI123" s="105"/>
      <c r="CJ123" s="105"/>
      <c r="CK123" s="96"/>
      <c r="CL123" s="103"/>
      <c r="CM123" s="103"/>
      <c r="CN123" s="106"/>
      <c r="CO123" s="96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  <c r="GG123" s="110"/>
      <c r="GH123" s="110"/>
      <c r="GI123" s="110"/>
      <c r="GJ123" s="110"/>
      <c r="GK123" s="110"/>
      <c r="GL123" s="110"/>
      <c r="GM123" s="110"/>
      <c r="GN123" s="110"/>
      <c r="GO123" s="110"/>
      <c r="GP123" s="110"/>
      <c r="GQ123" s="110"/>
      <c r="GR123" s="110"/>
      <c r="GS123" s="110"/>
      <c r="GT123" s="110"/>
      <c r="GU123" s="110"/>
      <c r="GV123" s="110"/>
      <c r="GW123" s="110"/>
      <c r="GX123" s="110"/>
      <c r="GY123" s="110"/>
      <c r="GZ123" s="110"/>
      <c r="HA123" s="110"/>
      <c r="HB123" s="110"/>
      <c r="HC123" s="110"/>
      <c r="HD123" s="110"/>
      <c r="HE123" s="110"/>
      <c r="HF123" s="110"/>
      <c r="HG123" s="110"/>
      <c r="HH123" s="110"/>
      <c r="HI123" s="110"/>
      <c r="HJ123" s="110"/>
      <c r="HK123" s="110"/>
      <c r="HL123" s="110"/>
      <c r="HM123" s="110"/>
      <c r="HN123" s="110"/>
      <c r="HO123" s="110"/>
      <c r="HP123" s="110"/>
      <c r="HQ123" s="110"/>
      <c r="HR123" s="110"/>
      <c r="HS123" s="110"/>
      <c r="HT123" s="110"/>
      <c r="HU123" s="110"/>
      <c r="HV123" s="110"/>
      <c r="HW123" s="110"/>
      <c r="HX123" s="110"/>
      <c r="HY123" s="110"/>
      <c r="HZ123" s="110"/>
      <c r="IA123" s="110"/>
      <c r="IB123" s="110"/>
      <c r="IC123" s="110"/>
      <c r="ID123" s="110"/>
      <c r="IE123" s="110"/>
      <c r="IF123" s="110"/>
      <c r="IG123" s="110"/>
      <c r="IH123" s="110"/>
      <c r="II123" s="110"/>
      <c r="IJ123" s="110"/>
      <c r="IK123" s="110"/>
      <c r="IL123" s="110"/>
      <c r="IM123" s="110"/>
      <c r="IN123" s="110"/>
      <c r="IO123" s="110"/>
      <c r="IP123" s="110"/>
      <c r="IQ123" s="110"/>
      <c r="IR123" s="110"/>
      <c r="IS123" s="110"/>
      <c r="IT123" s="110"/>
      <c r="IU123" s="110"/>
      <c r="IV123" s="110"/>
      <c r="IW123" s="110"/>
      <c r="IX123" s="110"/>
      <c r="IY123" s="110"/>
      <c r="IZ123" s="110"/>
      <c r="JA123" s="110"/>
      <c r="JB123" s="110"/>
      <c r="JC123" s="110"/>
      <c r="JD123" s="110"/>
      <c r="JE123" s="110"/>
      <c r="JF123" s="110"/>
      <c r="JG123" s="110"/>
      <c r="JH123" s="110"/>
      <c r="JI123" s="110"/>
      <c r="JJ123" s="110"/>
      <c r="JK123" s="110"/>
      <c r="JL123" s="110"/>
      <c r="JM123" s="110"/>
      <c r="JN123" s="110"/>
      <c r="JO123" s="110"/>
      <c r="JP123" s="110"/>
      <c r="JQ123" s="110"/>
      <c r="JR123" s="110"/>
      <c r="JS123" s="110"/>
      <c r="JT123" s="110"/>
      <c r="JU123" s="110"/>
      <c r="JV123" s="110"/>
      <c r="JW123" s="110"/>
      <c r="JX123" s="110"/>
      <c r="JY123" s="110"/>
      <c r="JZ123" s="110"/>
      <c r="KA123" s="110"/>
      <c r="KB123" s="110"/>
      <c r="KC123" s="110"/>
      <c r="KD123" s="110"/>
      <c r="KE123" s="110"/>
      <c r="KF123" s="110"/>
      <c r="KG123" s="110"/>
      <c r="KH123" s="110"/>
      <c r="KI123" s="110"/>
      <c r="KJ123" s="110"/>
      <c r="KK123" s="110"/>
      <c r="KL123" s="110"/>
      <c r="KM123" s="110"/>
      <c r="KN123" s="110"/>
    </row>
    <row r="124" spans="1:300" ht="19.2" customHeight="1" x14ac:dyDescent="0.3">
      <c r="A124" s="110"/>
      <c r="B124" s="110"/>
      <c r="C124" s="110"/>
      <c r="D124" s="110"/>
      <c r="E124" s="110"/>
      <c r="F124" s="110"/>
      <c r="G124" s="112" t="str">
        <v xml:space="preserve">121 </v>
      </c>
      <c r="T124" s="96"/>
      <c r="U124" s="101"/>
      <c r="V124" s="92"/>
      <c r="W124" s="103"/>
      <c r="X124" s="92"/>
      <c r="Y124" s="105"/>
      <c r="Z124" s="99"/>
      <c r="AA124" s="96"/>
      <c r="AY124" s="96"/>
      <c r="AZ124" s="106"/>
      <c r="BA124" s="103"/>
      <c r="BB124" s="92"/>
      <c r="BC124" s="103"/>
      <c r="BD124" s="105"/>
      <c r="BE124" s="105"/>
      <c r="BF124" s="99"/>
      <c r="BG124" s="96"/>
      <c r="CF124" s="96"/>
      <c r="CG124" s="101"/>
      <c r="CH124" s="105"/>
      <c r="CI124" s="105"/>
      <c r="CJ124" s="105"/>
      <c r="CK124" s="96"/>
      <c r="CL124" s="92"/>
      <c r="CM124" s="106"/>
      <c r="CN124" s="104"/>
      <c r="CO124" s="96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  <c r="GG124" s="110"/>
      <c r="GH124" s="110"/>
      <c r="GI124" s="110"/>
      <c r="GJ124" s="110"/>
      <c r="GK124" s="110"/>
      <c r="GL124" s="110"/>
      <c r="GM124" s="110"/>
      <c r="GN124" s="110"/>
      <c r="GO124" s="110"/>
      <c r="GP124" s="110"/>
      <c r="GQ124" s="110"/>
      <c r="GR124" s="110"/>
      <c r="GS124" s="110"/>
      <c r="GT124" s="110"/>
      <c r="GU124" s="110"/>
      <c r="GV124" s="110"/>
      <c r="GW124" s="110"/>
      <c r="GX124" s="110"/>
      <c r="GY124" s="110"/>
      <c r="GZ124" s="110"/>
      <c r="HA124" s="110"/>
      <c r="HB124" s="110"/>
      <c r="HC124" s="110"/>
      <c r="HD124" s="110"/>
      <c r="HE124" s="110"/>
      <c r="HF124" s="110"/>
      <c r="HG124" s="110"/>
      <c r="HH124" s="110"/>
      <c r="HI124" s="110"/>
      <c r="HJ124" s="110"/>
      <c r="HK124" s="110"/>
      <c r="HL124" s="110"/>
      <c r="HM124" s="110"/>
      <c r="HN124" s="110"/>
      <c r="HO124" s="110"/>
      <c r="HP124" s="110"/>
      <c r="HQ124" s="110"/>
      <c r="HR124" s="110"/>
      <c r="HS124" s="110"/>
      <c r="HT124" s="110"/>
      <c r="HU124" s="110"/>
      <c r="HV124" s="110"/>
      <c r="HW124" s="110"/>
      <c r="HX124" s="110"/>
      <c r="HY124" s="110"/>
      <c r="HZ124" s="110"/>
      <c r="IA124" s="110"/>
      <c r="IB124" s="110"/>
      <c r="IC124" s="110"/>
      <c r="ID124" s="110"/>
      <c r="IE124" s="110"/>
      <c r="IF124" s="110"/>
      <c r="IG124" s="110"/>
      <c r="IH124" s="110"/>
      <c r="II124" s="110"/>
      <c r="IJ124" s="110"/>
      <c r="IK124" s="110"/>
      <c r="IL124" s="110"/>
      <c r="IM124" s="110"/>
      <c r="IN124" s="110"/>
      <c r="IO124" s="110"/>
      <c r="IP124" s="110"/>
      <c r="IQ124" s="110"/>
      <c r="IR124" s="110"/>
      <c r="IS124" s="110"/>
      <c r="IT124" s="110"/>
      <c r="IU124" s="110"/>
      <c r="IV124" s="110"/>
      <c r="IW124" s="110"/>
      <c r="IX124" s="110"/>
      <c r="IY124" s="110"/>
      <c r="IZ124" s="110"/>
      <c r="JA124" s="110"/>
      <c r="JB124" s="110"/>
      <c r="JC124" s="110"/>
      <c r="JD124" s="110"/>
      <c r="JE124" s="110"/>
      <c r="JF124" s="110"/>
      <c r="JG124" s="110"/>
      <c r="JH124" s="110"/>
      <c r="JI124" s="110"/>
      <c r="JJ124" s="110"/>
      <c r="JK124" s="110"/>
      <c r="JL124" s="110"/>
      <c r="JM124" s="110"/>
      <c r="JN124" s="110"/>
      <c r="JO124" s="110"/>
      <c r="JP124" s="110"/>
      <c r="JQ124" s="110"/>
      <c r="JR124" s="110"/>
      <c r="JS124" s="110"/>
      <c r="JT124" s="110"/>
      <c r="JU124" s="110"/>
      <c r="JV124" s="110"/>
      <c r="JW124" s="110"/>
      <c r="JX124" s="110"/>
      <c r="JY124" s="110"/>
      <c r="JZ124" s="110"/>
      <c r="KA124" s="110"/>
      <c r="KB124" s="110"/>
      <c r="KC124" s="110"/>
      <c r="KD124" s="110"/>
      <c r="KE124" s="110"/>
      <c r="KF124" s="110"/>
      <c r="KG124" s="110"/>
      <c r="KH124" s="110"/>
      <c r="KI124" s="110"/>
      <c r="KJ124" s="110"/>
      <c r="KK124" s="110"/>
      <c r="KL124" s="110"/>
      <c r="KM124" s="110"/>
      <c r="KN124" s="110"/>
    </row>
    <row r="125" spans="1:300" ht="19.2" customHeight="1" x14ac:dyDescent="0.3">
      <c r="A125" s="110"/>
      <c r="B125" s="110"/>
      <c r="C125" s="110"/>
      <c r="D125" s="110"/>
      <c r="E125" s="110"/>
      <c r="F125" s="110"/>
      <c r="G125" s="112" t="str">
        <v xml:space="preserve">122 </v>
      </c>
      <c r="T125" s="96"/>
      <c r="U125" s="92"/>
      <c r="V125" s="92"/>
      <c r="W125" s="103"/>
      <c r="X125" s="106"/>
      <c r="Y125" s="103"/>
      <c r="Z125" s="99"/>
      <c r="AA125" s="96"/>
      <c r="AY125" s="96"/>
      <c r="AZ125" s="104"/>
      <c r="BA125" s="106"/>
      <c r="BB125" s="92"/>
      <c r="BC125" s="105"/>
      <c r="BD125" s="105"/>
      <c r="BE125" s="105"/>
      <c r="BF125" s="92"/>
      <c r="BG125" s="96"/>
      <c r="CF125" s="96"/>
      <c r="CG125" s="92"/>
      <c r="CH125" s="101"/>
      <c r="CI125" s="105"/>
      <c r="CJ125" s="105"/>
      <c r="CK125" s="105"/>
      <c r="CL125" s="92"/>
      <c r="CM125" s="96"/>
      <c r="CN125" s="96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  <c r="GG125" s="110"/>
      <c r="GH125" s="110"/>
      <c r="GI125" s="110"/>
      <c r="GJ125" s="110"/>
      <c r="GK125" s="110"/>
      <c r="GL125" s="110"/>
      <c r="GM125" s="110"/>
      <c r="GN125" s="110"/>
      <c r="GO125" s="110"/>
      <c r="GP125" s="110"/>
      <c r="GQ125" s="110"/>
      <c r="GR125" s="110"/>
      <c r="GS125" s="110"/>
      <c r="GT125" s="110"/>
      <c r="GU125" s="110"/>
      <c r="GV125" s="110"/>
      <c r="GW125" s="110"/>
      <c r="GX125" s="110"/>
      <c r="GY125" s="110"/>
      <c r="GZ125" s="110"/>
      <c r="HA125" s="110"/>
      <c r="HB125" s="110"/>
      <c r="HC125" s="110"/>
      <c r="HD125" s="110"/>
      <c r="HE125" s="110"/>
      <c r="HF125" s="110"/>
      <c r="HG125" s="110"/>
      <c r="HH125" s="110"/>
      <c r="HI125" s="110"/>
      <c r="HJ125" s="110"/>
      <c r="HK125" s="110"/>
      <c r="HL125" s="110"/>
      <c r="HM125" s="110"/>
      <c r="HN125" s="110"/>
      <c r="HO125" s="110"/>
      <c r="HP125" s="110"/>
      <c r="HQ125" s="110"/>
      <c r="HR125" s="110"/>
      <c r="HS125" s="110"/>
      <c r="HT125" s="110"/>
      <c r="HU125" s="110"/>
      <c r="HV125" s="110"/>
      <c r="HW125" s="110"/>
      <c r="HX125" s="110"/>
      <c r="HY125" s="110"/>
      <c r="HZ125" s="110"/>
      <c r="IA125" s="110"/>
      <c r="IB125" s="110"/>
      <c r="IC125" s="110"/>
      <c r="ID125" s="110"/>
      <c r="IE125" s="110"/>
      <c r="IF125" s="110"/>
      <c r="IG125" s="110"/>
      <c r="IH125" s="110"/>
      <c r="II125" s="110"/>
      <c r="IJ125" s="110"/>
      <c r="IK125" s="110"/>
      <c r="IL125" s="110"/>
      <c r="IM125" s="110"/>
      <c r="IN125" s="110"/>
      <c r="IO125" s="110"/>
      <c r="IP125" s="110"/>
      <c r="IQ125" s="110"/>
      <c r="IR125" s="110"/>
      <c r="IS125" s="110"/>
      <c r="IT125" s="110"/>
      <c r="IU125" s="110"/>
      <c r="IV125" s="110"/>
      <c r="IW125" s="110"/>
      <c r="IX125" s="110"/>
      <c r="IY125" s="110"/>
      <c r="IZ125" s="110"/>
      <c r="JA125" s="110"/>
      <c r="JB125" s="110"/>
      <c r="JC125" s="110"/>
      <c r="JD125" s="110"/>
      <c r="JE125" s="110"/>
      <c r="JF125" s="110"/>
      <c r="JG125" s="110"/>
      <c r="JH125" s="110"/>
      <c r="JI125" s="110"/>
      <c r="JJ125" s="110"/>
      <c r="JK125" s="110"/>
      <c r="JL125" s="110"/>
      <c r="JM125" s="110"/>
      <c r="JN125" s="110"/>
      <c r="JO125" s="110"/>
      <c r="JP125" s="110"/>
      <c r="JQ125" s="110"/>
      <c r="JR125" s="110"/>
      <c r="JS125" s="110"/>
      <c r="JT125" s="110"/>
      <c r="JU125" s="110"/>
      <c r="JV125" s="110"/>
      <c r="JW125" s="110"/>
      <c r="JX125" s="110"/>
      <c r="JY125" s="110"/>
      <c r="JZ125" s="110"/>
      <c r="KA125" s="110"/>
      <c r="KB125" s="110"/>
      <c r="KC125" s="110"/>
      <c r="KD125" s="110"/>
      <c r="KE125" s="110"/>
      <c r="KF125" s="110"/>
      <c r="KG125" s="110"/>
      <c r="KH125" s="110"/>
      <c r="KI125" s="110"/>
      <c r="KJ125" s="110"/>
      <c r="KK125" s="110"/>
      <c r="KL125" s="110"/>
      <c r="KM125" s="110"/>
      <c r="KN125" s="110"/>
    </row>
    <row r="126" spans="1:300" ht="19.2" customHeight="1" x14ac:dyDescent="0.3">
      <c r="A126" s="110"/>
      <c r="B126" s="110"/>
      <c r="C126" s="110"/>
      <c r="D126" s="110"/>
      <c r="E126" s="110"/>
      <c r="F126" s="110"/>
      <c r="G126" s="112" t="str">
        <v xml:space="preserve">123 </v>
      </c>
      <c r="T126" s="96"/>
      <c r="U126" s="92"/>
      <c r="V126" s="92"/>
      <c r="W126" s="106"/>
      <c r="X126" s="104"/>
      <c r="Y126" s="92"/>
      <c r="Z126" s="92"/>
      <c r="AA126" s="96"/>
      <c r="AZ126" s="92"/>
      <c r="BA126" s="96"/>
      <c r="BB126" s="96"/>
      <c r="BC126" s="92"/>
      <c r="BD126" s="92"/>
      <c r="BE126" s="92"/>
      <c r="BF126" s="96"/>
      <c r="CF126" s="96"/>
      <c r="CG126" s="92"/>
      <c r="CH126" s="92"/>
      <c r="CI126" s="92"/>
      <c r="CJ126" s="92"/>
      <c r="CK126" s="92"/>
      <c r="CL126" s="96"/>
      <c r="CM126" s="92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  <c r="GG126" s="110"/>
      <c r="GH126" s="110"/>
      <c r="GI126" s="110"/>
      <c r="GJ126" s="110"/>
      <c r="GK126" s="110"/>
      <c r="GL126" s="110"/>
      <c r="GM126" s="110"/>
      <c r="GN126" s="110"/>
      <c r="GO126" s="110"/>
      <c r="GP126" s="110"/>
      <c r="GQ126" s="110"/>
      <c r="GR126" s="110"/>
      <c r="GS126" s="110"/>
      <c r="GT126" s="110"/>
      <c r="GU126" s="110"/>
      <c r="GV126" s="110"/>
      <c r="GW126" s="110"/>
      <c r="GX126" s="110"/>
      <c r="GY126" s="110"/>
      <c r="GZ126" s="110"/>
      <c r="HA126" s="110"/>
      <c r="HB126" s="110"/>
      <c r="HC126" s="110"/>
      <c r="HD126" s="110"/>
      <c r="HE126" s="110"/>
      <c r="HF126" s="110"/>
      <c r="HG126" s="110"/>
      <c r="HH126" s="110"/>
      <c r="HI126" s="110"/>
      <c r="HJ126" s="110"/>
      <c r="HK126" s="110"/>
      <c r="HL126" s="110"/>
      <c r="HM126" s="110"/>
      <c r="HN126" s="110"/>
      <c r="HO126" s="110"/>
      <c r="HP126" s="110"/>
      <c r="HQ126" s="110"/>
      <c r="HR126" s="110"/>
      <c r="HS126" s="110"/>
      <c r="HT126" s="110"/>
      <c r="HU126" s="110"/>
      <c r="HV126" s="110"/>
      <c r="HW126" s="110"/>
      <c r="HX126" s="110"/>
      <c r="HY126" s="110"/>
      <c r="HZ126" s="110"/>
      <c r="IA126" s="110"/>
      <c r="IB126" s="110"/>
      <c r="IC126" s="110"/>
      <c r="ID126" s="110"/>
      <c r="IE126" s="110"/>
      <c r="IF126" s="110"/>
      <c r="IG126" s="110"/>
      <c r="IH126" s="110"/>
      <c r="II126" s="110"/>
      <c r="IJ126" s="110"/>
      <c r="IK126" s="110"/>
      <c r="IL126" s="110"/>
      <c r="IM126" s="110"/>
      <c r="IN126" s="110"/>
      <c r="IO126" s="110"/>
      <c r="IP126" s="110"/>
      <c r="IQ126" s="110"/>
      <c r="IR126" s="110"/>
      <c r="IS126" s="110"/>
      <c r="IT126" s="110"/>
      <c r="IU126" s="110"/>
      <c r="IV126" s="110"/>
      <c r="IW126" s="110"/>
      <c r="IX126" s="110"/>
      <c r="IY126" s="110"/>
      <c r="IZ126" s="110"/>
      <c r="JA126" s="110"/>
      <c r="JB126" s="110"/>
      <c r="JC126" s="110"/>
      <c r="JD126" s="110"/>
      <c r="JE126" s="110"/>
      <c r="JF126" s="110"/>
      <c r="JG126" s="110"/>
      <c r="JH126" s="110"/>
      <c r="JI126" s="110"/>
      <c r="JJ126" s="110"/>
      <c r="JK126" s="110"/>
      <c r="JL126" s="110"/>
      <c r="JM126" s="110"/>
      <c r="JN126" s="110"/>
      <c r="JO126" s="110"/>
      <c r="JP126" s="110"/>
      <c r="JQ126" s="110"/>
      <c r="JR126" s="110"/>
      <c r="JS126" s="110"/>
      <c r="JT126" s="110"/>
      <c r="JU126" s="110"/>
      <c r="JV126" s="110"/>
      <c r="JW126" s="110"/>
      <c r="JX126" s="110"/>
      <c r="JY126" s="110"/>
      <c r="JZ126" s="110"/>
      <c r="KA126" s="110"/>
      <c r="KB126" s="110"/>
      <c r="KC126" s="110"/>
      <c r="KD126" s="110"/>
      <c r="KE126" s="110"/>
      <c r="KF126" s="110"/>
      <c r="KG126" s="110"/>
      <c r="KH126" s="110"/>
      <c r="KI126" s="110"/>
      <c r="KJ126" s="110"/>
      <c r="KK126" s="110"/>
      <c r="KL126" s="110"/>
      <c r="KM126" s="110"/>
      <c r="KN126" s="110"/>
    </row>
    <row r="127" spans="1:300" ht="19.2" customHeight="1" x14ac:dyDescent="0.3">
      <c r="A127" s="110"/>
      <c r="B127" s="110"/>
      <c r="C127" s="110"/>
      <c r="D127" s="110"/>
      <c r="E127" s="110"/>
      <c r="F127" s="110"/>
      <c r="G127" s="112" t="str">
        <v xml:space="preserve">124 </v>
      </c>
      <c r="U127" s="96"/>
      <c r="V127" s="96"/>
      <c r="W127" s="92"/>
      <c r="X127" s="92"/>
      <c r="Y127" s="103"/>
      <c r="Z127" s="92"/>
      <c r="AY127" s="96"/>
      <c r="AZ127" s="96"/>
      <c r="BA127" s="92"/>
      <c r="BB127" s="96"/>
      <c r="BC127" s="96"/>
      <c r="BD127" s="92"/>
      <c r="BE127" s="92"/>
      <c r="BF127" s="92"/>
      <c r="BG127" s="96"/>
      <c r="CE127" s="96"/>
      <c r="CF127" s="103"/>
      <c r="CG127" s="92"/>
      <c r="CH127" s="92"/>
      <c r="CI127" s="96"/>
      <c r="CJ127" s="96"/>
      <c r="CK127" s="96"/>
      <c r="CL127" s="92"/>
      <c r="CM127" s="92"/>
      <c r="CN127" s="96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  <c r="GG127" s="110"/>
      <c r="GH127" s="110"/>
      <c r="GI127" s="110"/>
      <c r="GJ127" s="110"/>
      <c r="GK127" s="110"/>
      <c r="GL127" s="110"/>
      <c r="GM127" s="110"/>
      <c r="GN127" s="110"/>
      <c r="GO127" s="110"/>
      <c r="GP127" s="110"/>
      <c r="GQ127" s="110"/>
      <c r="GR127" s="110"/>
      <c r="GS127" s="110"/>
      <c r="GT127" s="110"/>
      <c r="GU127" s="110"/>
      <c r="GV127" s="110"/>
      <c r="GW127" s="110"/>
      <c r="GX127" s="110"/>
      <c r="GY127" s="110"/>
      <c r="GZ127" s="110"/>
      <c r="HA127" s="110"/>
      <c r="HB127" s="110"/>
      <c r="HC127" s="110"/>
      <c r="HD127" s="110"/>
      <c r="HE127" s="110"/>
      <c r="HF127" s="110"/>
      <c r="HG127" s="110"/>
      <c r="HH127" s="110"/>
      <c r="HI127" s="110"/>
      <c r="HJ127" s="110"/>
      <c r="HK127" s="110"/>
      <c r="HL127" s="110"/>
      <c r="HM127" s="110"/>
      <c r="HN127" s="110"/>
      <c r="HO127" s="110"/>
      <c r="HP127" s="110"/>
      <c r="HQ127" s="110"/>
      <c r="HR127" s="110"/>
      <c r="HS127" s="110"/>
      <c r="HT127" s="110"/>
      <c r="HU127" s="110"/>
      <c r="HV127" s="110"/>
      <c r="HW127" s="110"/>
      <c r="HX127" s="110"/>
      <c r="HY127" s="110"/>
      <c r="HZ127" s="110"/>
      <c r="IA127" s="110"/>
      <c r="IB127" s="110"/>
      <c r="IC127" s="110"/>
      <c r="ID127" s="110"/>
      <c r="IE127" s="110"/>
      <c r="IF127" s="110"/>
      <c r="IG127" s="110"/>
      <c r="IH127" s="110"/>
      <c r="II127" s="110"/>
      <c r="IJ127" s="110"/>
      <c r="IK127" s="110"/>
      <c r="IL127" s="110"/>
      <c r="IM127" s="110"/>
      <c r="IN127" s="110"/>
      <c r="IO127" s="110"/>
      <c r="IP127" s="110"/>
      <c r="IQ127" s="110"/>
      <c r="IR127" s="110"/>
      <c r="IS127" s="110"/>
      <c r="IT127" s="110"/>
      <c r="IU127" s="110"/>
      <c r="IV127" s="110"/>
      <c r="IW127" s="110"/>
      <c r="IX127" s="110"/>
      <c r="IY127" s="110"/>
      <c r="IZ127" s="110"/>
      <c r="JA127" s="110"/>
      <c r="JB127" s="110"/>
      <c r="JC127" s="110"/>
      <c r="JD127" s="110"/>
      <c r="JE127" s="110"/>
      <c r="JF127" s="110"/>
      <c r="JG127" s="110"/>
      <c r="JH127" s="110"/>
      <c r="JI127" s="110"/>
      <c r="JJ127" s="110"/>
      <c r="JK127" s="110"/>
      <c r="JL127" s="110"/>
      <c r="JM127" s="110"/>
      <c r="JN127" s="110"/>
      <c r="JO127" s="110"/>
      <c r="JP127" s="110"/>
      <c r="JQ127" s="110"/>
      <c r="JR127" s="110"/>
      <c r="JS127" s="110"/>
      <c r="JT127" s="110"/>
      <c r="JU127" s="110"/>
      <c r="JV127" s="110"/>
      <c r="JW127" s="110"/>
      <c r="JX127" s="110"/>
      <c r="JY127" s="110"/>
      <c r="JZ127" s="110"/>
      <c r="KA127" s="110"/>
      <c r="KB127" s="110"/>
      <c r="KC127" s="110"/>
      <c r="KD127" s="110"/>
      <c r="KE127" s="110"/>
      <c r="KF127" s="110"/>
      <c r="KG127" s="110"/>
      <c r="KH127" s="110"/>
      <c r="KI127" s="110"/>
      <c r="KJ127" s="110"/>
      <c r="KK127" s="110"/>
      <c r="KL127" s="110"/>
      <c r="KM127" s="110"/>
      <c r="KN127" s="110"/>
    </row>
    <row r="128" spans="1:300" ht="19.2" customHeight="1" x14ac:dyDescent="0.3">
      <c r="A128" s="110"/>
      <c r="B128" s="110"/>
      <c r="C128" s="110"/>
      <c r="D128" s="110"/>
      <c r="E128" s="110"/>
      <c r="F128" s="110"/>
      <c r="G128" s="112" t="str">
        <v xml:space="preserve">125 </v>
      </c>
      <c r="V128" s="96"/>
      <c r="W128" s="92"/>
      <c r="X128" s="92"/>
      <c r="Y128" s="96"/>
      <c r="AZ128" s="96"/>
      <c r="BA128" s="96"/>
      <c r="BD128" s="96"/>
      <c r="BE128" s="92"/>
      <c r="BF128" s="92"/>
      <c r="BG128" s="92"/>
      <c r="BH128" s="94"/>
      <c r="BI128" s="96"/>
      <c r="CE128" s="96"/>
      <c r="CF128" s="103"/>
      <c r="CG128" s="96"/>
      <c r="CK128" s="96"/>
      <c r="CL128" s="96"/>
      <c r="CM128" s="96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  <c r="GG128" s="110"/>
      <c r="GH128" s="110"/>
      <c r="GI128" s="110"/>
      <c r="GJ128" s="110"/>
      <c r="GK128" s="110"/>
      <c r="GL128" s="110"/>
      <c r="GM128" s="110"/>
      <c r="GN128" s="110"/>
      <c r="GO128" s="110"/>
      <c r="GP128" s="110"/>
      <c r="GQ128" s="110"/>
      <c r="GR128" s="110"/>
      <c r="GS128" s="110"/>
      <c r="GT128" s="110"/>
      <c r="GU128" s="110"/>
      <c r="GV128" s="110"/>
      <c r="GW128" s="110"/>
      <c r="GX128" s="110"/>
      <c r="GY128" s="110"/>
      <c r="GZ128" s="110"/>
      <c r="HA128" s="110"/>
      <c r="HB128" s="110"/>
      <c r="HC128" s="110"/>
      <c r="HD128" s="110"/>
      <c r="HE128" s="110"/>
      <c r="HF128" s="110"/>
      <c r="HG128" s="110"/>
      <c r="HH128" s="110"/>
      <c r="HI128" s="110"/>
      <c r="HJ128" s="110"/>
      <c r="HK128" s="110"/>
      <c r="HL128" s="110"/>
      <c r="HM128" s="110"/>
      <c r="HN128" s="110"/>
      <c r="HO128" s="110"/>
      <c r="HP128" s="110"/>
      <c r="HQ128" s="110"/>
      <c r="HR128" s="110"/>
      <c r="HS128" s="110"/>
      <c r="HT128" s="110"/>
      <c r="HU128" s="110"/>
      <c r="HV128" s="110"/>
      <c r="HW128" s="110"/>
      <c r="HX128" s="110"/>
      <c r="HY128" s="110"/>
      <c r="HZ128" s="110"/>
      <c r="IA128" s="110"/>
      <c r="IB128" s="110"/>
      <c r="IC128" s="110"/>
      <c r="ID128" s="110"/>
      <c r="IE128" s="110"/>
      <c r="IF128" s="110"/>
      <c r="IG128" s="110"/>
      <c r="IH128" s="110"/>
      <c r="II128" s="110"/>
      <c r="IJ128" s="110"/>
      <c r="IK128" s="110"/>
      <c r="IL128" s="110"/>
      <c r="IM128" s="110"/>
      <c r="IN128" s="110"/>
      <c r="IO128" s="110"/>
      <c r="IP128" s="110"/>
      <c r="IQ128" s="110"/>
      <c r="IR128" s="110"/>
      <c r="IS128" s="110"/>
      <c r="IT128" s="110"/>
      <c r="IU128" s="110"/>
      <c r="IV128" s="110"/>
      <c r="IW128" s="110"/>
      <c r="IX128" s="110"/>
      <c r="IY128" s="110"/>
      <c r="IZ128" s="110"/>
      <c r="JA128" s="110"/>
      <c r="JB128" s="110"/>
      <c r="JC128" s="110"/>
      <c r="JD128" s="110"/>
      <c r="JE128" s="110"/>
      <c r="JF128" s="110"/>
      <c r="JG128" s="110"/>
      <c r="JH128" s="110"/>
      <c r="JI128" s="110"/>
      <c r="JJ128" s="110"/>
      <c r="JK128" s="110"/>
      <c r="JL128" s="110"/>
      <c r="JM128" s="110"/>
      <c r="JN128" s="110"/>
      <c r="JO128" s="110"/>
      <c r="JP128" s="110"/>
      <c r="JQ128" s="110"/>
      <c r="JR128" s="110"/>
      <c r="JS128" s="110"/>
      <c r="JT128" s="110"/>
      <c r="JU128" s="110"/>
      <c r="JV128" s="110"/>
      <c r="JW128" s="110"/>
      <c r="JX128" s="110"/>
      <c r="JY128" s="110"/>
      <c r="JZ128" s="110"/>
      <c r="KA128" s="110"/>
      <c r="KB128" s="110"/>
      <c r="KC128" s="110"/>
      <c r="KD128" s="110"/>
      <c r="KE128" s="110"/>
      <c r="KF128" s="110"/>
      <c r="KG128" s="110"/>
      <c r="KH128" s="110"/>
      <c r="KI128" s="110"/>
      <c r="KJ128" s="110"/>
      <c r="KK128" s="110"/>
      <c r="KL128" s="110"/>
      <c r="KM128" s="110"/>
      <c r="KN128" s="110"/>
    </row>
    <row r="129" spans="1:300" ht="19.2" customHeight="1" x14ac:dyDescent="0.3">
      <c r="A129" s="110"/>
      <c r="B129" s="110"/>
      <c r="C129" s="110"/>
      <c r="D129" s="110"/>
      <c r="E129" s="110"/>
      <c r="F129" s="110"/>
      <c r="G129" s="112" t="str">
        <v xml:space="preserve">126 </v>
      </c>
      <c r="V129" s="96"/>
      <c r="W129" s="92"/>
      <c r="X129" s="94"/>
      <c r="Y129" s="94"/>
      <c r="Z129" s="96"/>
      <c r="BE129" s="96"/>
      <c r="BF129" s="92"/>
      <c r="BG129" s="94"/>
      <c r="BH129" s="92"/>
      <c r="BI129" s="96"/>
      <c r="CE129" s="96"/>
      <c r="CF129" s="94"/>
      <c r="CG129" s="94"/>
      <c r="CH129" s="96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  <c r="GG129" s="110"/>
      <c r="GH129" s="110"/>
      <c r="GI129" s="110"/>
      <c r="GJ129" s="110"/>
      <c r="GK129" s="110"/>
      <c r="GL129" s="110"/>
      <c r="GM129" s="110"/>
      <c r="GN129" s="110"/>
      <c r="GO129" s="110"/>
      <c r="GP129" s="110"/>
      <c r="GQ129" s="110"/>
      <c r="GR129" s="110"/>
      <c r="GS129" s="110"/>
      <c r="GT129" s="110"/>
      <c r="GU129" s="110"/>
      <c r="GV129" s="110"/>
      <c r="GW129" s="110"/>
      <c r="GX129" s="110"/>
      <c r="GY129" s="110"/>
      <c r="GZ129" s="110"/>
      <c r="HA129" s="110"/>
      <c r="HB129" s="110"/>
      <c r="HC129" s="110"/>
      <c r="HD129" s="110"/>
      <c r="HE129" s="110"/>
      <c r="HF129" s="110"/>
      <c r="HG129" s="110"/>
      <c r="HH129" s="110"/>
      <c r="HI129" s="110"/>
      <c r="HJ129" s="110"/>
      <c r="HK129" s="110"/>
      <c r="HL129" s="110"/>
      <c r="HM129" s="110"/>
      <c r="HN129" s="110"/>
      <c r="HO129" s="110"/>
      <c r="HP129" s="110"/>
      <c r="HQ129" s="110"/>
      <c r="HR129" s="110"/>
      <c r="HS129" s="110"/>
      <c r="HT129" s="110"/>
      <c r="HU129" s="110"/>
      <c r="HV129" s="110"/>
      <c r="HW129" s="110"/>
      <c r="HX129" s="110"/>
      <c r="HY129" s="110"/>
      <c r="HZ129" s="110"/>
      <c r="IA129" s="110"/>
      <c r="IB129" s="110"/>
      <c r="IC129" s="110"/>
      <c r="ID129" s="110"/>
      <c r="IE129" s="110"/>
      <c r="IF129" s="110"/>
      <c r="IG129" s="110"/>
      <c r="IH129" s="110"/>
      <c r="II129" s="110"/>
      <c r="IJ129" s="110"/>
      <c r="IK129" s="110"/>
      <c r="IL129" s="110"/>
      <c r="IM129" s="110"/>
      <c r="IN129" s="110"/>
      <c r="IO129" s="110"/>
      <c r="IP129" s="110"/>
      <c r="IQ129" s="110"/>
      <c r="IR129" s="110"/>
      <c r="IS129" s="110"/>
      <c r="IT129" s="110"/>
      <c r="IU129" s="110"/>
      <c r="IV129" s="110"/>
      <c r="IW129" s="110"/>
      <c r="IX129" s="110"/>
      <c r="IY129" s="110"/>
      <c r="IZ129" s="110"/>
      <c r="JA129" s="110"/>
      <c r="JB129" s="110"/>
      <c r="JC129" s="110"/>
      <c r="JD129" s="110"/>
      <c r="JE129" s="110"/>
      <c r="JF129" s="110"/>
      <c r="JG129" s="110"/>
      <c r="JH129" s="110"/>
      <c r="JI129" s="110"/>
      <c r="JJ129" s="110"/>
      <c r="JK129" s="110"/>
      <c r="JL129" s="110"/>
      <c r="JM129" s="110"/>
      <c r="JN129" s="110"/>
      <c r="JO129" s="110"/>
      <c r="JP129" s="110"/>
      <c r="JQ129" s="110"/>
      <c r="JR129" s="110"/>
      <c r="JS129" s="110"/>
      <c r="JT129" s="110"/>
      <c r="JU129" s="110"/>
      <c r="JV129" s="110"/>
      <c r="JW129" s="110"/>
      <c r="JX129" s="110"/>
      <c r="JY129" s="110"/>
      <c r="JZ129" s="110"/>
      <c r="KA129" s="110"/>
      <c r="KB129" s="110"/>
      <c r="KC129" s="110"/>
      <c r="KD129" s="110"/>
      <c r="KE129" s="110"/>
      <c r="KF129" s="110"/>
      <c r="KG129" s="110"/>
      <c r="KH129" s="110"/>
      <c r="KI129" s="110"/>
      <c r="KJ129" s="110"/>
      <c r="KK129" s="110"/>
      <c r="KL129" s="110"/>
      <c r="KM129" s="110"/>
      <c r="KN129" s="110"/>
    </row>
    <row r="130" spans="1:300" ht="19.2" customHeight="1" x14ac:dyDescent="0.3">
      <c r="A130" s="110"/>
      <c r="B130" s="110"/>
      <c r="C130" s="110"/>
      <c r="D130" s="110"/>
      <c r="E130" s="110"/>
      <c r="F130" s="110"/>
      <c r="G130" s="112" t="str">
        <v xml:space="preserve">127 </v>
      </c>
      <c r="W130" s="96"/>
      <c r="X130" s="96"/>
      <c r="Y130" s="96"/>
      <c r="BF130" s="96"/>
      <c r="BG130" s="96"/>
      <c r="CF130" s="96"/>
      <c r="CG130" s="96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  <c r="GG130" s="110"/>
      <c r="GH130" s="110"/>
      <c r="GI130" s="110"/>
      <c r="GJ130" s="110"/>
      <c r="GK130" s="110"/>
      <c r="GL130" s="110"/>
      <c r="GM130" s="110"/>
      <c r="GN130" s="110"/>
      <c r="GO130" s="110"/>
      <c r="GP130" s="110"/>
      <c r="GQ130" s="110"/>
      <c r="GR130" s="110"/>
      <c r="GS130" s="110"/>
      <c r="GT130" s="110"/>
      <c r="GU130" s="110"/>
      <c r="GV130" s="110"/>
      <c r="GW130" s="110"/>
      <c r="GX130" s="110"/>
      <c r="GY130" s="110"/>
      <c r="GZ130" s="110"/>
      <c r="HA130" s="110"/>
      <c r="HB130" s="110"/>
      <c r="HC130" s="110"/>
      <c r="HD130" s="110"/>
      <c r="HE130" s="110"/>
      <c r="HF130" s="110"/>
      <c r="HG130" s="110"/>
      <c r="HH130" s="110"/>
      <c r="HI130" s="110"/>
      <c r="HJ130" s="110"/>
      <c r="HK130" s="110"/>
      <c r="HL130" s="110"/>
      <c r="HM130" s="110"/>
      <c r="HN130" s="110"/>
      <c r="HO130" s="110"/>
      <c r="HP130" s="110"/>
      <c r="HQ130" s="110"/>
      <c r="HR130" s="110"/>
      <c r="HS130" s="110"/>
      <c r="HT130" s="110"/>
      <c r="HU130" s="110"/>
      <c r="HV130" s="110"/>
      <c r="HW130" s="110"/>
      <c r="HX130" s="110"/>
      <c r="HY130" s="110"/>
      <c r="HZ130" s="110"/>
      <c r="IA130" s="110"/>
      <c r="IB130" s="110"/>
      <c r="IC130" s="110"/>
      <c r="ID130" s="110"/>
      <c r="IE130" s="110"/>
      <c r="IF130" s="110"/>
      <c r="IG130" s="110"/>
      <c r="IH130" s="110"/>
      <c r="II130" s="110"/>
      <c r="IJ130" s="110"/>
      <c r="IK130" s="110"/>
      <c r="IL130" s="110"/>
      <c r="IM130" s="110"/>
      <c r="IN130" s="110"/>
      <c r="IO130" s="110"/>
      <c r="IP130" s="110"/>
      <c r="IQ130" s="110"/>
      <c r="IR130" s="110"/>
      <c r="IS130" s="110"/>
      <c r="IT130" s="110"/>
      <c r="IU130" s="110"/>
      <c r="IV130" s="110"/>
      <c r="IW130" s="110"/>
      <c r="IX130" s="110"/>
      <c r="IY130" s="110"/>
      <c r="IZ130" s="110"/>
      <c r="JA130" s="110"/>
      <c r="JB130" s="110"/>
      <c r="JC130" s="110"/>
      <c r="JD130" s="110"/>
      <c r="JE130" s="110"/>
      <c r="JF130" s="110"/>
      <c r="JG130" s="110"/>
      <c r="JH130" s="110"/>
      <c r="JI130" s="110"/>
      <c r="JJ130" s="110"/>
      <c r="JK130" s="110"/>
      <c r="JL130" s="110"/>
      <c r="JM130" s="110"/>
      <c r="JN130" s="110"/>
      <c r="JO130" s="110"/>
      <c r="JP130" s="110"/>
      <c r="JQ130" s="110"/>
      <c r="JR130" s="110"/>
      <c r="JS130" s="110"/>
      <c r="JT130" s="110"/>
      <c r="JU130" s="110"/>
      <c r="JV130" s="110"/>
      <c r="JW130" s="110"/>
      <c r="JX130" s="110"/>
      <c r="JY130" s="110"/>
      <c r="JZ130" s="110"/>
      <c r="KA130" s="110"/>
      <c r="KB130" s="110"/>
      <c r="KC130" s="110"/>
      <c r="KD130" s="110"/>
      <c r="KE130" s="110"/>
      <c r="KF130" s="110"/>
      <c r="KG130" s="110"/>
      <c r="KH130" s="110"/>
      <c r="KI130" s="110"/>
      <c r="KJ130" s="110"/>
      <c r="KK130" s="110"/>
      <c r="KL130" s="110"/>
      <c r="KM130" s="110"/>
      <c r="KN130" s="110"/>
    </row>
    <row r="131" spans="1:300" ht="19.2" customHeight="1" x14ac:dyDescent="0.3">
      <c r="A131" s="110"/>
      <c r="B131" s="110"/>
      <c r="C131" s="110"/>
      <c r="D131" s="110"/>
      <c r="E131" s="110"/>
      <c r="F131" s="110"/>
      <c r="G131" s="112" t="str">
        <v xml:space="preserve">128 </v>
      </c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  <c r="GG131" s="110"/>
      <c r="GH131" s="110"/>
      <c r="GI131" s="110"/>
      <c r="GJ131" s="110"/>
      <c r="GK131" s="110"/>
      <c r="GL131" s="110"/>
      <c r="GM131" s="110"/>
      <c r="GN131" s="110"/>
      <c r="GO131" s="110"/>
      <c r="GP131" s="110"/>
      <c r="GQ131" s="110"/>
      <c r="GR131" s="110"/>
      <c r="GS131" s="110"/>
      <c r="GT131" s="110"/>
      <c r="GU131" s="110"/>
      <c r="GV131" s="110"/>
      <c r="GW131" s="110"/>
      <c r="GX131" s="110"/>
      <c r="GY131" s="110"/>
      <c r="GZ131" s="110"/>
      <c r="HA131" s="110"/>
      <c r="HB131" s="110"/>
      <c r="HC131" s="110"/>
      <c r="HD131" s="110"/>
      <c r="HE131" s="110"/>
      <c r="HF131" s="110"/>
      <c r="HG131" s="110"/>
      <c r="HH131" s="110"/>
      <c r="HI131" s="110"/>
      <c r="HJ131" s="110"/>
      <c r="HK131" s="110"/>
      <c r="HL131" s="110"/>
      <c r="HM131" s="110"/>
      <c r="HN131" s="110"/>
      <c r="HO131" s="110"/>
      <c r="HP131" s="110"/>
      <c r="HQ131" s="110"/>
      <c r="HR131" s="110"/>
      <c r="HS131" s="110"/>
      <c r="HT131" s="110"/>
      <c r="HU131" s="110"/>
      <c r="HV131" s="110"/>
      <c r="HW131" s="110"/>
      <c r="HX131" s="110"/>
      <c r="HY131" s="110"/>
      <c r="HZ131" s="110"/>
      <c r="IA131" s="110"/>
      <c r="IB131" s="110"/>
      <c r="IC131" s="110"/>
      <c r="ID131" s="110"/>
      <c r="IE131" s="110"/>
      <c r="IF131" s="110"/>
      <c r="IG131" s="110"/>
      <c r="IH131" s="110"/>
      <c r="II131" s="110"/>
      <c r="IJ131" s="110"/>
      <c r="IK131" s="110"/>
      <c r="IL131" s="110"/>
      <c r="IM131" s="110"/>
      <c r="IN131" s="110"/>
      <c r="IO131" s="110"/>
      <c r="IP131" s="110"/>
      <c r="IQ131" s="110"/>
      <c r="IR131" s="110"/>
      <c r="IS131" s="110"/>
      <c r="IT131" s="110"/>
      <c r="IU131" s="110"/>
      <c r="IV131" s="110"/>
      <c r="IW131" s="110"/>
      <c r="IX131" s="110"/>
      <c r="IY131" s="110"/>
      <c r="IZ131" s="110"/>
      <c r="JA131" s="110"/>
      <c r="JB131" s="110"/>
      <c r="JC131" s="110"/>
      <c r="JD131" s="110"/>
      <c r="JE131" s="110"/>
      <c r="JF131" s="110"/>
      <c r="JG131" s="110"/>
      <c r="JH131" s="110"/>
      <c r="JI131" s="110"/>
      <c r="JJ131" s="110"/>
      <c r="JK131" s="110"/>
      <c r="JL131" s="110"/>
      <c r="JM131" s="110"/>
      <c r="JN131" s="110"/>
      <c r="JO131" s="110"/>
      <c r="JP131" s="110"/>
      <c r="JQ131" s="110"/>
      <c r="JR131" s="110"/>
      <c r="JS131" s="110"/>
      <c r="JT131" s="110"/>
      <c r="JU131" s="110"/>
      <c r="JV131" s="110"/>
      <c r="JW131" s="110"/>
      <c r="JX131" s="110"/>
      <c r="JY131" s="110"/>
      <c r="JZ131" s="110"/>
      <c r="KA131" s="110"/>
      <c r="KB131" s="110"/>
      <c r="KC131" s="110"/>
      <c r="KD131" s="110"/>
      <c r="KE131" s="110"/>
      <c r="KF131" s="110"/>
      <c r="KG131" s="110"/>
      <c r="KH131" s="110"/>
      <c r="KI131" s="110"/>
      <c r="KJ131" s="110"/>
      <c r="KK131" s="110"/>
      <c r="KL131" s="110"/>
      <c r="KM131" s="110"/>
      <c r="KN131" s="110"/>
    </row>
    <row r="132" spans="1:300" ht="19.2" customHeight="1" x14ac:dyDescent="0.3">
      <c r="A132" s="110"/>
      <c r="B132" s="110"/>
      <c r="C132" s="110"/>
      <c r="D132" s="110"/>
      <c r="E132" s="110"/>
      <c r="F132" s="110"/>
      <c r="G132" s="112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  <c r="GG132" s="110"/>
      <c r="GH132" s="110"/>
      <c r="GI132" s="110"/>
      <c r="GJ132" s="110"/>
      <c r="GK132" s="110"/>
      <c r="GL132" s="110"/>
      <c r="GM132" s="110"/>
      <c r="GN132" s="110"/>
      <c r="GO132" s="110"/>
      <c r="GP132" s="110"/>
      <c r="GQ132" s="110"/>
      <c r="GR132" s="110"/>
      <c r="GS132" s="110"/>
      <c r="GT132" s="110"/>
      <c r="GU132" s="110"/>
      <c r="GV132" s="110"/>
      <c r="GW132" s="110"/>
      <c r="GX132" s="110"/>
      <c r="GY132" s="110"/>
      <c r="GZ132" s="110"/>
      <c r="HA132" s="110"/>
      <c r="HB132" s="110"/>
      <c r="HC132" s="110"/>
      <c r="HD132" s="110"/>
      <c r="HE132" s="110"/>
      <c r="HF132" s="110"/>
      <c r="HG132" s="110"/>
      <c r="HH132" s="110"/>
      <c r="HI132" s="110"/>
      <c r="HJ132" s="110"/>
      <c r="HK132" s="110"/>
      <c r="HL132" s="110"/>
      <c r="HM132" s="110"/>
      <c r="HN132" s="110"/>
      <c r="HO132" s="110"/>
      <c r="HP132" s="110"/>
      <c r="HQ132" s="110"/>
      <c r="HR132" s="110"/>
      <c r="HS132" s="110"/>
      <c r="HT132" s="110"/>
      <c r="HU132" s="110"/>
      <c r="HV132" s="110"/>
      <c r="HW132" s="110"/>
      <c r="HX132" s="110"/>
      <c r="HY132" s="110"/>
      <c r="HZ132" s="110"/>
      <c r="IA132" s="110"/>
      <c r="IB132" s="110"/>
      <c r="IC132" s="110"/>
      <c r="ID132" s="110"/>
      <c r="IE132" s="110"/>
      <c r="IF132" s="110"/>
      <c r="IG132" s="110"/>
      <c r="IH132" s="110"/>
      <c r="II132" s="110"/>
      <c r="IJ132" s="110"/>
      <c r="IK132" s="110"/>
      <c r="IL132" s="110"/>
      <c r="IM132" s="110"/>
      <c r="IN132" s="110"/>
      <c r="IO132" s="110"/>
      <c r="IP132" s="110"/>
      <c r="IQ132" s="110"/>
      <c r="IR132" s="110"/>
      <c r="IS132" s="110"/>
      <c r="IT132" s="110"/>
      <c r="IU132" s="110"/>
      <c r="IV132" s="110"/>
      <c r="IW132" s="110"/>
      <c r="IX132" s="110"/>
      <c r="IY132" s="110"/>
      <c r="IZ132" s="110"/>
      <c r="JA132" s="110"/>
      <c r="JB132" s="110"/>
      <c r="JC132" s="110"/>
      <c r="JD132" s="110"/>
      <c r="JE132" s="110"/>
      <c r="JF132" s="110"/>
      <c r="JG132" s="110"/>
      <c r="JH132" s="110"/>
      <c r="JI132" s="110"/>
      <c r="JJ132" s="110"/>
      <c r="JK132" s="110"/>
      <c r="JL132" s="110"/>
      <c r="JM132" s="110"/>
      <c r="JN132" s="110"/>
      <c r="JO132" s="110"/>
      <c r="JP132" s="110"/>
      <c r="JQ132" s="110"/>
      <c r="JR132" s="110"/>
      <c r="JS132" s="110"/>
      <c r="JT132" s="110"/>
      <c r="JU132" s="110"/>
      <c r="JV132" s="110"/>
      <c r="JW132" s="110"/>
      <c r="JX132" s="110"/>
      <c r="JY132" s="110"/>
      <c r="JZ132" s="110"/>
      <c r="KA132" s="110"/>
      <c r="KB132" s="110"/>
      <c r="KC132" s="110"/>
      <c r="KD132" s="110"/>
      <c r="KE132" s="110"/>
      <c r="KF132" s="110"/>
      <c r="KG132" s="110"/>
      <c r="KH132" s="110"/>
      <c r="KI132" s="110"/>
      <c r="KJ132" s="110"/>
      <c r="KK132" s="110"/>
      <c r="KL132" s="110"/>
      <c r="KM132" s="110"/>
      <c r="KN132" s="110"/>
    </row>
    <row r="133" spans="1:300" ht="19.2" customHeight="1" x14ac:dyDescent="0.3">
      <c r="A133" s="110"/>
      <c r="B133" s="110"/>
      <c r="C133" s="110"/>
      <c r="D133" s="110"/>
      <c r="E133" s="110"/>
      <c r="F133" s="110"/>
      <c r="G133" s="112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  <c r="GG133" s="110"/>
      <c r="GH133" s="110"/>
      <c r="GI133" s="110"/>
      <c r="GJ133" s="110"/>
      <c r="GK133" s="110"/>
      <c r="GL133" s="110"/>
      <c r="GM133" s="110"/>
      <c r="GN133" s="110"/>
      <c r="GO133" s="110"/>
      <c r="GP133" s="110"/>
      <c r="GQ133" s="110"/>
      <c r="GR133" s="110"/>
      <c r="GS133" s="110"/>
      <c r="GT133" s="110"/>
      <c r="GU133" s="110"/>
      <c r="GV133" s="110"/>
      <c r="GW133" s="110"/>
      <c r="GX133" s="110"/>
      <c r="GY133" s="110"/>
      <c r="GZ133" s="110"/>
      <c r="HA133" s="110"/>
      <c r="HB133" s="110"/>
      <c r="HC133" s="110"/>
      <c r="HD133" s="110"/>
      <c r="HE133" s="110"/>
      <c r="HF133" s="110"/>
      <c r="HG133" s="110"/>
      <c r="HH133" s="110"/>
      <c r="HI133" s="110"/>
      <c r="HJ133" s="110"/>
      <c r="HK133" s="110"/>
      <c r="HL133" s="110"/>
      <c r="HM133" s="110"/>
      <c r="HN133" s="110"/>
      <c r="HO133" s="110"/>
      <c r="HP133" s="110"/>
      <c r="HQ133" s="110"/>
      <c r="HR133" s="110"/>
      <c r="HS133" s="110"/>
      <c r="HT133" s="110"/>
      <c r="HU133" s="110"/>
      <c r="HV133" s="110"/>
      <c r="HW133" s="110"/>
      <c r="HX133" s="110"/>
      <c r="HY133" s="110"/>
      <c r="HZ133" s="110"/>
      <c r="IA133" s="110"/>
      <c r="IB133" s="110"/>
      <c r="IC133" s="110"/>
      <c r="ID133" s="110"/>
      <c r="IE133" s="110"/>
      <c r="IF133" s="110"/>
      <c r="IG133" s="110"/>
      <c r="IH133" s="110"/>
      <c r="II133" s="110"/>
      <c r="IJ133" s="110"/>
      <c r="IK133" s="110"/>
      <c r="IL133" s="110"/>
      <c r="IM133" s="110"/>
      <c r="IN133" s="110"/>
      <c r="IO133" s="110"/>
      <c r="IP133" s="110"/>
      <c r="IQ133" s="110"/>
      <c r="IR133" s="110"/>
      <c r="IS133" s="110"/>
      <c r="IT133" s="110"/>
      <c r="IU133" s="110"/>
      <c r="IV133" s="110"/>
      <c r="IW133" s="110"/>
      <c r="IX133" s="110"/>
      <c r="IY133" s="110"/>
      <c r="IZ133" s="110"/>
      <c r="JA133" s="110"/>
      <c r="JB133" s="110"/>
      <c r="JC133" s="110"/>
      <c r="JD133" s="110"/>
      <c r="JE133" s="110"/>
      <c r="JF133" s="110"/>
      <c r="JG133" s="110"/>
      <c r="JH133" s="110"/>
      <c r="JI133" s="110"/>
      <c r="JJ133" s="110"/>
      <c r="JK133" s="110"/>
      <c r="JL133" s="110"/>
      <c r="JM133" s="110"/>
      <c r="JN133" s="110"/>
      <c r="JO133" s="110"/>
      <c r="JP133" s="110"/>
      <c r="JQ133" s="110"/>
      <c r="JR133" s="110"/>
      <c r="JS133" s="110"/>
      <c r="JT133" s="110"/>
      <c r="JU133" s="110"/>
      <c r="JV133" s="110"/>
      <c r="JW133" s="110"/>
      <c r="JX133" s="110"/>
      <c r="JY133" s="110"/>
      <c r="JZ133" s="110"/>
      <c r="KA133" s="110"/>
      <c r="KB133" s="110"/>
      <c r="KC133" s="110"/>
      <c r="KD133" s="110"/>
      <c r="KE133" s="110"/>
      <c r="KF133" s="110"/>
      <c r="KG133" s="110"/>
      <c r="KH133" s="110"/>
      <c r="KI133" s="110"/>
      <c r="KJ133" s="110"/>
      <c r="KK133" s="110"/>
      <c r="KL133" s="110"/>
      <c r="KM133" s="110"/>
      <c r="KN133" s="110"/>
    </row>
    <row r="134" spans="1:300" ht="19.2" customHeight="1" x14ac:dyDescent="0.3">
      <c r="A134" s="110"/>
      <c r="B134" s="110"/>
      <c r="C134" s="110"/>
      <c r="D134" s="110"/>
      <c r="E134" s="110"/>
      <c r="F134" s="110"/>
      <c r="G134" s="112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  <c r="GG134" s="110"/>
      <c r="GH134" s="110"/>
      <c r="GI134" s="110"/>
      <c r="GJ134" s="110"/>
      <c r="GK134" s="110"/>
      <c r="GL134" s="110"/>
      <c r="GM134" s="110"/>
      <c r="GN134" s="110"/>
      <c r="GO134" s="110"/>
      <c r="GP134" s="110"/>
      <c r="GQ134" s="110"/>
      <c r="GR134" s="110"/>
      <c r="GS134" s="110"/>
      <c r="GT134" s="110"/>
      <c r="GU134" s="110"/>
      <c r="GV134" s="110"/>
      <c r="GW134" s="110"/>
      <c r="GX134" s="110"/>
      <c r="GY134" s="110"/>
      <c r="GZ134" s="110"/>
      <c r="HA134" s="110"/>
      <c r="HB134" s="110"/>
      <c r="HC134" s="110"/>
      <c r="HD134" s="110"/>
      <c r="HE134" s="110"/>
      <c r="HF134" s="110"/>
      <c r="HG134" s="110"/>
      <c r="HH134" s="110"/>
      <c r="HI134" s="110"/>
      <c r="HJ134" s="110"/>
      <c r="HK134" s="110"/>
      <c r="HL134" s="110"/>
      <c r="HM134" s="110"/>
      <c r="HN134" s="110"/>
      <c r="HO134" s="110"/>
      <c r="HP134" s="110"/>
      <c r="HQ134" s="110"/>
      <c r="HR134" s="110"/>
      <c r="HS134" s="110"/>
      <c r="HT134" s="110"/>
      <c r="HU134" s="110"/>
      <c r="HV134" s="110"/>
      <c r="HW134" s="110"/>
      <c r="HX134" s="110"/>
      <c r="HY134" s="110"/>
      <c r="HZ134" s="110"/>
      <c r="IA134" s="110"/>
      <c r="IB134" s="110"/>
      <c r="IC134" s="110"/>
      <c r="ID134" s="110"/>
      <c r="IE134" s="110"/>
      <c r="IF134" s="110"/>
      <c r="IG134" s="110"/>
      <c r="IH134" s="110"/>
      <c r="II134" s="110"/>
      <c r="IJ134" s="110"/>
      <c r="IK134" s="110"/>
      <c r="IL134" s="110"/>
      <c r="IM134" s="110"/>
      <c r="IN134" s="110"/>
      <c r="IO134" s="110"/>
      <c r="IP134" s="110"/>
      <c r="IQ134" s="110"/>
      <c r="IR134" s="110"/>
      <c r="IS134" s="110"/>
      <c r="IT134" s="110"/>
      <c r="IU134" s="110"/>
      <c r="IV134" s="110"/>
      <c r="IW134" s="110"/>
      <c r="IX134" s="110"/>
      <c r="IY134" s="110"/>
      <c r="IZ134" s="110"/>
      <c r="JA134" s="110"/>
      <c r="JB134" s="110"/>
      <c r="JC134" s="110"/>
      <c r="JD134" s="110"/>
      <c r="JE134" s="110"/>
      <c r="JF134" s="110"/>
      <c r="JG134" s="110"/>
      <c r="JH134" s="110"/>
      <c r="JI134" s="110"/>
      <c r="JJ134" s="110"/>
      <c r="JK134" s="110"/>
      <c r="JL134" s="110"/>
      <c r="JM134" s="110"/>
      <c r="JN134" s="110"/>
      <c r="JO134" s="110"/>
      <c r="JP134" s="110"/>
      <c r="JQ134" s="110"/>
      <c r="JR134" s="110"/>
      <c r="JS134" s="110"/>
      <c r="JT134" s="110"/>
      <c r="JU134" s="110"/>
      <c r="JV134" s="110"/>
      <c r="JW134" s="110"/>
      <c r="JX134" s="110"/>
      <c r="JY134" s="110"/>
      <c r="JZ134" s="110"/>
      <c r="KA134" s="110"/>
      <c r="KB134" s="110"/>
      <c r="KC134" s="110"/>
      <c r="KD134" s="110"/>
      <c r="KE134" s="110"/>
      <c r="KF134" s="110"/>
      <c r="KG134" s="110"/>
      <c r="KH134" s="110"/>
      <c r="KI134" s="110"/>
      <c r="KJ134" s="110"/>
      <c r="KK134" s="110"/>
      <c r="KL134" s="110"/>
      <c r="KM134" s="110"/>
      <c r="KN134" s="110"/>
    </row>
    <row r="135" spans="1:300" ht="19.2" customHeight="1" x14ac:dyDescent="0.3">
      <c r="A135" s="110"/>
      <c r="B135" s="110"/>
      <c r="C135" s="110"/>
      <c r="D135" s="110"/>
      <c r="E135" s="110"/>
      <c r="F135" s="110"/>
      <c r="G135" s="112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  <c r="GG135" s="110"/>
      <c r="GH135" s="110"/>
      <c r="GI135" s="110"/>
      <c r="GJ135" s="110"/>
      <c r="GK135" s="110"/>
      <c r="GL135" s="110"/>
      <c r="GM135" s="110"/>
      <c r="GN135" s="110"/>
      <c r="GO135" s="110"/>
      <c r="GP135" s="110"/>
      <c r="GQ135" s="110"/>
      <c r="GR135" s="110"/>
      <c r="GS135" s="110"/>
      <c r="GT135" s="110"/>
      <c r="GU135" s="110"/>
      <c r="GV135" s="110"/>
      <c r="GW135" s="110"/>
      <c r="GX135" s="110"/>
      <c r="GY135" s="110"/>
      <c r="GZ135" s="110"/>
      <c r="HA135" s="110"/>
      <c r="HB135" s="110"/>
      <c r="HC135" s="110"/>
      <c r="HD135" s="110"/>
      <c r="HE135" s="110"/>
      <c r="HF135" s="110"/>
      <c r="HG135" s="110"/>
      <c r="HH135" s="110"/>
      <c r="HI135" s="110"/>
      <c r="HJ135" s="110"/>
      <c r="HK135" s="110"/>
      <c r="HL135" s="110"/>
      <c r="HM135" s="110"/>
      <c r="HN135" s="110"/>
      <c r="HO135" s="110"/>
      <c r="HP135" s="110"/>
      <c r="HQ135" s="110"/>
      <c r="HR135" s="110"/>
      <c r="HS135" s="110"/>
      <c r="HT135" s="110"/>
      <c r="HU135" s="110"/>
      <c r="HV135" s="110"/>
      <c r="HW135" s="110"/>
      <c r="HX135" s="110"/>
      <c r="HY135" s="110"/>
      <c r="HZ135" s="110"/>
      <c r="IA135" s="110"/>
      <c r="IB135" s="110"/>
      <c r="IC135" s="110"/>
      <c r="ID135" s="110"/>
      <c r="IE135" s="110"/>
      <c r="IF135" s="110"/>
      <c r="IG135" s="110"/>
      <c r="IH135" s="110"/>
      <c r="II135" s="110"/>
      <c r="IJ135" s="110"/>
      <c r="IK135" s="110"/>
      <c r="IL135" s="110"/>
      <c r="IM135" s="110"/>
      <c r="IN135" s="110"/>
      <c r="IO135" s="110"/>
      <c r="IP135" s="110"/>
      <c r="IQ135" s="110"/>
      <c r="IR135" s="110"/>
      <c r="IS135" s="110"/>
      <c r="IT135" s="110"/>
      <c r="IU135" s="110"/>
      <c r="IV135" s="110"/>
      <c r="IW135" s="110"/>
      <c r="IX135" s="110"/>
      <c r="IY135" s="110"/>
      <c r="IZ135" s="110"/>
      <c r="JA135" s="110"/>
      <c r="JB135" s="110"/>
      <c r="JC135" s="110"/>
      <c r="JD135" s="110"/>
      <c r="JE135" s="110"/>
      <c r="JF135" s="110"/>
      <c r="JG135" s="110"/>
      <c r="JH135" s="110"/>
      <c r="JI135" s="110"/>
      <c r="JJ135" s="110"/>
      <c r="JK135" s="110"/>
      <c r="JL135" s="110"/>
      <c r="JM135" s="110"/>
      <c r="JN135" s="110"/>
      <c r="JO135" s="110"/>
      <c r="JP135" s="110"/>
      <c r="JQ135" s="110"/>
      <c r="JR135" s="110"/>
      <c r="JS135" s="110"/>
      <c r="JT135" s="110"/>
      <c r="JU135" s="110"/>
      <c r="JV135" s="110"/>
      <c r="JW135" s="110"/>
      <c r="JX135" s="110"/>
      <c r="JY135" s="110"/>
      <c r="JZ135" s="110"/>
      <c r="KA135" s="110"/>
      <c r="KB135" s="110"/>
      <c r="KC135" s="110"/>
      <c r="KD135" s="110"/>
      <c r="KE135" s="110"/>
      <c r="KF135" s="110"/>
      <c r="KG135" s="110"/>
      <c r="KH135" s="110"/>
      <c r="KI135" s="110"/>
      <c r="KJ135" s="110"/>
      <c r="KK135" s="110"/>
      <c r="KL135" s="110"/>
      <c r="KM135" s="110"/>
      <c r="KN135" s="110"/>
    </row>
    <row r="136" spans="1:300" ht="19.2" customHeight="1" x14ac:dyDescent="0.3">
      <c r="A136" s="110"/>
      <c r="B136" s="110"/>
      <c r="C136" s="110"/>
      <c r="D136" s="110"/>
      <c r="E136" s="110"/>
      <c r="F136" s="110"/>
      <c r="G136" s="112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  <c r="GG136" s="110"/>
      <c r="GH136" s="110"/>
      <c r="GI136" s="110"/>
      <c r="GJ136" s="110"/>
      <c r="GK136" s="110"/>
      <c r="GL136" s="110"/>
      <c r="GM136" s="110"/>
      <c r="GN136" s="110"/>
      <c r="GO136" s="110"/>
      <c r="GP136" s="110"/>
      <c r="GQ136" s="110"/>
      <c r="GR136" s="110"/>
      <c r="GS136" s="110"/>
      <c r="GT136" s="110"/>
      <c r="GU136" s="110"/>
      <c r="GV136" s="110"/>
      <c r="GW136" s="110"/>
      <c r="GX136" s="110"/>
      <c r="GY136" s="110"/>
      <c r="GZ136" s="110"/>
      <c r="HA136" s="110"/>
      <c r="HB136" s="110"/>
      <c r="HC136" s="110"/>
      <c r="HD136" s="110"/>
      <c r="HE136" s="110"/>
      <c r="HF136" s="110"/>
      <c r="HG136" s="110"/>
      <c r="HH136" s="110"/>
      <c r="HI136" s="110"/>
      <c r="HJ136" s="110"/>
      <c r="HK136" s="110"/>
      <c r="HL136" s="110"/>
      <c r="HM136" s="110"/>
      <c r="HN136" s="110"/>
      <c r="HO136" s="110"/>
      <c r="HP136" s="110"/>
      <c r="HQ136" s="110"/>
      <c r="HR136" s="110"/>
      <c r="HS136" s="110"/>
      <c r="HT136" s="110"/>
      <c r="HU136" s="110"/>
      <c r="HV136" s="110"/>
      <c r="HW136" s="110"/>
      <c r="HX136" s="110"/>
      <c r="HY136" s="110"/>
      <c r="HZ136" s="110"/>
      <c r="IA136" s="110"/>
      <c r="IB136" s="110"/>
      <c r="IC136" s="110"/>
      <c r="ID136" s="110"/>
      <c r="IE136" s="110"/>
      <c r="IF136" s="110"/>
      <c r="IG136" s="110"/>
      <c r="IH136" s="110"/>
      <c r="II136" s="110"/>
      <c r="IJ136" s="110"/>
      <c r="IK136" s="110"/>
      <c r="IL136" s="110"/>
      <c r="IM136" s="110"/>
      <c r="IN136" s="110"/>
      <c r="IO136" s="110"/>
      <c r="IP136" s="110"/>
      <c r="IQ136" s="110"/>
      <c r="IR136" s="110"/>
      <c r="IS136" s="110"/>
      <c r="IT136" s="110"/>
      <c r="IU136" s="110"/>
      <c r="IV136" s="110"/>
      <c r="IW136" s="110"/>
      <c r="IX136" s="110"/>
      <c r="IY136" s="110"/>
      <c r="IZ136" s="110"/>
      <c r="JA136" s="110"/>
      <c r="JB136" s="110"/>
      <c r="JC136" s="110"/>
      <c r="JD136" s="110"/>
      <c r="JE136" s="110"/>
      <c r="JF136" s="110"/>
      <c r="JG136" s="110"/>
      <c r="JH136" s="110"/>
      <c r="JI136" s="110"/>
      <c r="JJ136" s="110"/>
      <c r="JK136" s="110"/>
      <c r="JL136" s="110"/>
      <c r="JM136" s="110"/>
      <c r="JN136" s="110"/>
      <c r="JO136" s="110"/>
      <c r="JP136" s="110"/>
      <c r="JQ136" s="110"/>
      <c r="JR136" s="110"/>
      <c r="JS136" s="110"/>
      <c r="JT136" s="110"/>
      <c r="JU136" s="110"/>
      <c r="JV136" s="110"/>
      <c r="JW136" s="110"/>
      <c r="JX136" s="110"/>
      <c r="JY136" s="110"/>
      <c r="JZ136" s="110"/>
      <c r="KA136" s="110"/>
      <c r="KB136" s="110"/>
      <c r="KC136" s="110"/>
      <c r="KD136" s="110"/>
      <c r="KE136" s="110"/>
      <c r="KF136" s="110"/>
      <c r="KG136" s="110"/>
      <c r="KH136" s="110"/>
      <c r="KI136" s="110"/>
      <c r="KJ136" s="110"/>
      <c r="KK136" s="110"/>
      <c r="KL136" s="110"/>
      <c r="KM136" s="110"/>
      <c r="KN136" s="110"/>
    </row>
    <row r="137" spans="1:300" ht="19.2" customHeight="1" x14ac:dyDescent="0.3">
      <c r="A137" s="110"/>
      <c r="B137" s="110"/>
      <c r="C137" s="110"/>
      <c r="D137" s="110"/>
      <c r="E137" s="110"/>
      <c r="F137" s="110"/>
      <c r="G137" s="112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  <c r="GG137" s="110"/>
      <c r="GH137" s="110"/>
      <c r="GI137" s="110"/>
      <c r="GJ137" s="110"/>
      <c r="GK137" s="110"/>
      <c r="GL137" s="110"/>
      <c r="GM137" s="110"/>
      <c r="GN137" s="110"/>
      <c r="GO137" s="110"/>
      <c r="GP137" s="110"/>
      <c r="GQ137" s="110"/>
      <c r="GR137" s="110"/>
      <c r="GS137" s="110"/>
      <c r="GT137" s="110"/>
      <c r="GU137" s="110"/>
      <c r="GV137" s="110"/>
      <c r="GW137" s="110"/>
      <c r="GX137" s="110"/>
      <c r="GY137" s="110"/>
      <c r="GZ137" s="110"/>
      <c r="HA137" s="110"/>
      <c r="HB137" s="110"/>
      <c r="HC137" s="110"/>
      <c r="HD137" s="110"/>
      <c r="HE137" s="110"/>
      <c r="HF137" s="110"/>
      <c r="HG137" s="110"/>
      <c r="HH137" s="110"/>
      <c r="HI137" s="110"/>
      <c r="HJ137" s="110"/>
      <c r="HK137" s="110"/>
      <c r="HL137" s="110"/>
      <c r="HM137" s="110"/>
      <c r="HN137" s="110"/>
      <c r="HO137" s="110"/>
      <c r="HP137" s="110"/>
      <c r="HQ137" s="110"/>
      <c r="HR137" s="110"/>
      <c r="HS137" s="110"/>
      <c r="HT137" s="110"/>
      <c r="HU137" s="110"/>
      <c r="HV137" s="110"/>
      <c r="HW137" s="110"/>
      <c r="HX137" s="110"/>
      <c r="HY137" s="110"/>
      <c r="HZ137" s="110"/>
      <c r="IA137" s="110"/>
      <c r="IB137" s="110"/>
      <c r="IC137" s="110"/>
      <c r="ID137" s="110"/>
      <c r="IE137" s="110"/>
      <c r="IF137" s="110"/>
      <c r="IG137" s="110"/>
      <c r="IH137" s="110"/>
      <c r="II137" s="110"/>
      <c r="IJ137" s="110"/>
      <c r="IK137" s="110"/>
      <c r="IL137" s="110"/>
      <c r="IM137" s="110"/>
      <c r="IN137" s="110"/>
      <c r="IO137" s="110"/>
      <c r="IP137" s="110"/>
      <c r="IQ137" s="110"/>
      <c r="IR137" s="110"/>
      <c r="IS137" s="110"/>
      <c r="IT137" s="110"/>
      <c r="IU137" s="110"/>
      <c r="IV137" s="110"/>
      <c r="IW137" s="110"/>
      <c r="IX137" s="110"/>
      <c r="IY137" s="110"/>
      <c r="IZ137" s="110"/>
      <c r="JA137" s="110"/>
      <c r="JB137" s="110"/>
      <c r="JC137" s="110"/>
      <c r="JD137" s="110"/>
      <c r="JE137" s="110"/>
      <c r="JF137" s="110"/>
      <c r="JG137" s="110"/>
      <c r="JH137" s="110"/>
      <c r="JI137" s="110"/>
      <c r="JJ137" s="110"/>
      <c r="JK137" s="110"/>
      <c r="JL137" s="110"/>
      <c r="JM137" s="110"/>
      <c r="JN137" s="110"/>
      <c r="JO137" s="110"/>
      <c r="JP137" s="110"/>
      <c r="JQ137" s="110"/>
      <c r="JR137" s="110"/>
      <c r="JS137" s="110"/>
      <c r="JT137" s="110"/>
      <c r="JU137" s="110"/>
      <c r="JV137" s="110"/>
      <c r="JW137" s="110"/>
      <c r="JX137" s="110"/>
      <c r="JY137" s="110"/>
      <c r="JZ137" s="110"/>
      <c r="KA137" s="110"/>
      <c r="KB137" s="110"/>
      <c r="KC137" s="110"/>
      <c r="KD137" s="110"/>
      <c r="KE137" s="110"/>
      <c r="KF137" s="110"/>
      <c r="KG137" s="110"/>
      <c r="KH137" s="110"/>
      <c r="KI137" s="110"/>
      <c r="KJ137" s="110"/>
      <c r="KK137" s="110"/>
      <c r="KL137" s="110"/>
      <c r="KM137" s="110"/>
      <c r="KN137" s="110"/>
    </row>
    <row r="138" spans="1:300" ht="19.2" customHeight="1" x14ac:dyDescent="0.3">
      <c r="A138" s="110"/>
      <c r="B138" s="110"/>
      <c r="C138" s="110"/>
      <c r="D138" s="110"/>
      <c r="E138" s="110"/>
      <c r="F138" s="110"/>
      <c r="G138" s="112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  <c r="GG138" s="110"/>
      <c r="GH138" s="110"/>
      <c r="GI138" s="110"/>
      <c r="GJ138" s="110"/>
      <c r="GK138" s="110"/>
      <c r="GL138" s="110"/>
      <c r="GM138" s="110"/>
      <c r="GN138" s="110"/>
      <c r="GO138" s="110"/>
      <c r="GP138" s="110"/>
      <c r="GQ138" s="110"/>
      <c r="GR138" s="110"/>
      <c r="GS138" s="110"/>
      <c r="GT138" s="110"/>
      <c r="GU138" s="110"/>
      <c r="GV138" s="110"/>
      <c r="GW138" s="110"/>
      <c r="GX138" s="110"/>
      <c r="GY138" s="110"/>
      <c r="GZ138" s="110"/>
      <c r="HA138" s="110"/>
      <c r="HB138" s="110"/>
      <c r="HC138" s="110"/>
      <c r="HD138" s="110"/>
      <c r="HE138" s="110"/>
      <c r="HF138" s="110"/>
      <c r="HG138" s="110"/>
      <c r="HH138" s="110"/>
      <c r="HI138" s="110"/>
      <c r="HJ138" s="110"/>
      <c r="HK138" s="110"/>
      <c r="HL138" s="110"/>
      <c r="HM138" s="110"/>
      <c r="HN138" s="110"/>
      <c r="HO138" s="110"/>
      <c r="HP138" s="110"/>
      <c r="HQ138" s="110"/>
      <c r="HR138" s="110"/>
      <c r="HS138" s="110"/>
      <c r="HT138" s="110"/>
      <c r="HU138" s="110"/>
      <c r="HV138" s="110"/>
      <c r="HW138" s="110"/>
      <c r="HX138" s="110"/>
      <c r="HY138" s="110"/>
      <c r="HZ138" s="110"/>
      <c r="IA138" s="110"/>
      <c r="IB138" s="110"/>
      <c r="IC138" s="110"/>
      <c r="ID138" s="110"/>
      <c r="IE138" s="110"/>
      <c r="IF138" s="110"/>
      <c r="IG138" s="110"/>
      <c r="IH138" s="110"/>
      <c r="II138" s="110"/>
      <c r="IJ138" s="110"/>
      <c r="IK138" s="110"/>
      <c r="IL138" s="110"/>
      <c r="IM138" s="110"/>
      <c r="IN138" s="110"/>
      <c r="IO138" s="110"/>
      <c r="IP138" s="110"/>
      <c r="IQ138" s="110"/>
      <c r="IR138" s="110"/>
      <c r="IS138" s="110"/>
      <c r="IT138" s="110"/>
      <c r="IU138" s="110"/>
      <c r="IV138" s="110"/>
      <c r="IW138" s="110"/>
      <c r="IX138" s="110"/>
      <c r="IY138" s="110"/>
      <c r="IZ138" s="110"/>
      <c r="JA138" s="110"/>
      <c r="JB138" s="110"/>
      <c r="JC138" s="110"/>
      <c r="JD138" s="110"/>
      <c r="JE138" s="110"/>
      <c r="JF138" s="110"/>
      <c r="JG138" s="110"/>
      <c r="JH138" s="110"/>
      <c r="JI138" s="110"/>
      <c r="JJ138" s="110"/>
      <c r="JK138" s="110"/>
      <c r="JL138" s="110"/>
      <c r="JM138" s="110"/>
      <c r="JN138" s="110"/>
      <c r="JO138" s="110"/>
      <c r="JP138" s="110"/>
      <c r="JQ138" s="110"/>
      <c r="JR138" s="110"/>
      <c r="JS138" s="110"/>
      <c r="JT138" s="110"/>
      <c r="JU138" s="110"/>
      <c r="JV138" s="110"/>
      <c r="JW138" s="110"/>
      <c r="JX138" s="110"/>
      <c r="JY138" s="110"/>
      <c r="JZ138" s="110"/>
      <c r="KA138" s="110"/>
      <c r="KB138" s="110"/>
      <c r="KC138" s="110"/>
      <c r="KD138" s="110"/>
      <c r="KE138" s="110"/>
      <c r="KF138" s="110"/>
      <c r="KG138" s="110"/>
      <c r="KH138" s="110"/>
      <c r="KI138" s="110"/>
      <c r="KJ138" s="110"/>
      <c r="KK138" s="110"/>
      <c r="KL138" s="110"/>
      <c r="KM138" s="110"/>
      <c r="KN138" s="110"/>
    </row>
    <row r="139" spans="1:300" ht="19.2" customHeight="1" x14ac:dyDescent="0.3">
      <c r="A139" s="110"/>
      <c r="B139" s="110"/>
      <c r="C139" s="110"/>
      <c r="D139" s="110"/>
      <c r="E139" s="110"/>
      <c r="F139" s="110"/>
      <c r="G139" s="112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  <c r="GG139" s="110"/>
      <c r="GH139" s="110"/>
      <c r="GI139" s="110"/>
      <c r="GJ139" s="110"/>
      <c r="GK139" s="110"/>
      <c r="GL139" s="110"/>
      <c r="GM139" s="110"/>
      <c r="GN139" s="110"/>
      <c r="GO139" s="110"/>
      <c r="GP139" s="110"/>
      <c r="GQ139" s="110"/>
      <c r="GR139" s="110"/>
      <c r="GS139" s="110"/>
      <c r="GT139" s="110"/>
      <c r="GU139" s="110"/>
      <c r="GV139" s="110"/>
      <c r="GW139" s="110"/>
      <c r="GX139" s="110"/>
      <c r="GY139" s="110"/>
      <c r="GZ139" s="110"/>
      <c r="HA139" s="110"/>
      <c r="HB139" s="110"/>
      <c r="HC139" s="110"/>
      <c r="HD139" s="110"/>
      <c r="HE139" s="110"/>
      <c r="HF139" s="110"/>
      <c r="HG139" s="110"/>
      <c r="HH139" s="110"/>
      <c r="HI139" s="110"/>
      <c r="HJ139" s="110"/>
      <c r="HK139" s="110"/>
      <c r="HL139" s="110"/>
      <c r="HM139" s="110"/>
      <c r="HN139" s="110"/>
      <c r="HO139" s="110"/>
      <c r="HP139" s="110"/>
      <c r="HQ139" s="110"/>
      <c r="HR139" s="110"/>
      <c r="HS139" s="110"/>
      <c r="HT139" s="110"/>
      <c r="HU139" s="110"/>
      <c r="HV139" s="110"/>
      <c r="HW139" s="110"/>
      <c r="HX139" s="110"/>
      <c r="HY139" s="110"/>
      <c r="HZ139" s="110"/>
      <c r="IA139" s="110"/>
      <c r="IB139" s="110"/>
      <c r="IC139" s="110"/>
      <c r="ID139" s="110"/>
      <c r="IE139" s="110"/>
      <c r="IF139" s="110"/>
      <c r="IG139" s="110"/>
      <c r="IH139" s="110"/>
      <c r="II139" s="110"/>
      <c r="IJ139" s="110"/>
      <c r="IK139" s="110"/>
      <c r="IL139" s="110"/>
      <c r="IM139" s="110"/>
      <c r="IN139" s="110"/>
      <c r="IO139" s="110"/>
      <c r="IP139" s="110"/>
      <c r="IQ139" s="110"/>
      <c r="IR139" s="110"/>
      <c r="IS139" s="110"/>
      <c r="IT139" s="110"/>
      <c r="IU139" s="110"/>
      <c r="IV139" s="110"/>
      <c r="IW139" s="110"/>
      <c r="IX139" s="110"/>
      <c r="IY139" s="110"/>
      <c r="IZ139" s="110"/>
      <c r="JA139" s="110"/>
      <c r="JB139" s="110"/>
      <c r="JC139" s="110"/>
      <c r="JD139" s="110"/>
      <c r="JE139" s="110"/>
      <c r="JF139" s="110"/>
      <c r="JG139" s="110"/>
      <c r="JH139" s="110"/>
      <c r="JI139" s="110"/>
      <c r="JJ139" s="110"/>
      <c r="JK139" s="110"/>
      <c r="JL139" s="110"/>
      <c r="JM139" s="110"/>
      <c r="JN139" s="110"/>
      <c r="JO139" s="110"/>
      <c r="JP139" s="110"/>
      <c r="JQ139" s="110"/>
      <c r="JR139" s="110"/>
      <c r="JS139" s="110"/>
      <c r="JT139" s="110"/>
      <c r="JU139" s="110"/>
      <c r="JV139" s="110"/>
      <c r="JW139" s="110"/>
      <c r="JX139" s="110"/>
      <c r="JY139" s="110"/>
      <c r="JZ139" s="110"/>
      <c r="KA139" s="110"/>
      <c r="KB139" s="110"/>
      <c r="KC139" s="110"/>
      <c r="KD139" s="110"/>
      <c r="KE139" s="110"/>
      <c r="KF139" s="110"/>
      <c r="KG139" s="110"/>
      <c r="KH139" s="110"/>
      <c r="KI139" s="110"/>
      <c r="KJ139" s="110"/>
      <c r="KK139" s="110"/>
      <c r="KL139" s="110"/>
      <c r="KM139" s="110"/>
      <c r="KN139" s="110"/>
    </row>
    <row r="140" spans="1:300" ht="19.2" customHeight="1" x14ac:dyDescent="0.3">
      <c r="A140" s="110"/>
      <c r="B140" s="110"/>
      <c r="C140" s="110"/>
      <c r="D140" s="110"/>
      <c r="E140" s="110"/>
      <c r="F140" s="110"/>
      <c r="G140" s="112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  <c r="GG140" s="110"/>
      <c r="GH140" s="110"/>
      <c r="GI140" s="110"/>
      <c r="GJ140" s="110"/>
      <c r="GK140" s="110"/>
      <c r="GL140" s="110"/>
      <c r="GM140" s="110"/>
      <c r="GN140" s="110"/>
      <c r="GO140" s="110"/>
      <c r="GP140" s="110"/>
      <c r="GQ140" s="110"/>
      <c r="GR140" s="110"/>
      <c r="GS140" s="110"/>
      <c r="GT140" s="110"/>
      <c r="GU140" s="110"/>
      <c r="GV140" s="110"/>
      <c r="GW140" s="110"/>
      <c r="GX140" s="110"/>
      <c r="GY140" s="110"/>
      <c r="GZ140" s="110"/>
      <c r="HA140" s="110"/>
      <c r="HB140" s="110"/>
      <c r="HC140" s="110"/>
      <c r="HD140" s="110"/>
      <c r="HE140" s="110"/>
      <c r="HF140" s="110"/>
      <c r="HG140" s="110"/>
      <c r="HH140" s="110"/>
      <c r="HI140" s="110"/>
      <c r="HJ140" s="110"/>
      <c r="HK140" s="110"/>
      <c r="HL140" s="110"/>
      <c r="HM140" s="110"/>
      <c r="HN140" s="110"/>
      <c r="HO140" s="110"/>
      <c r="HP140" s="110"/>
      <c r="HQ140" s="110"/>
      <c r="HR140" s="110"/>
      <c r="HS140" s="110"/>
      <c r="HT140" s="110"/>
      <c r="HU140" s="110"/>
      <c r="HV140" s="110"/>
      <c r="HW140" s="110"/>
      <c r="HX140" s="110"/>
      <c r="HY140" s="110"/>
      <c r="HZ140" s="110"/>
      <c r="IA140" s="110"/>
      <c r="IB140" s="110"/>
      <c r="IC140" s="110"/>
      <c r="ID140" s="110"/>
      <c r="IE140" s="110"/>
      <c r="IF140" s="110"/>
      <c r="IG140" s="110"/>
      <c r="IH140" s="110"/>
      <c r="II140" s="110"/>
      <c r="IJ140" s="110"/>
      <c r="IK140" s="110"/>
      <c r="IL140" s="110"/>
      <c r="IM140" s="110"/>
      <c r="IN140" s="110"/>
      <c r="IO140" s="110"/>
      <c r="IP140" s="110"/>
      <c r="IQ140" s="110"/>
      <c r="IR140" s="110"/>
      <c r="IS140" s="110"/>
      <c r="IT140" s="110"/>
      <c r="IU140" s="110"/>
      <c r="IV140" s="110"/>
      <c r="IW140" s="110"/>
      <c r="IX140" s="110"/>
      <c r="IY140" s="110"/>
      <c r="IZ140" s="110"/>
      <c r="JA140" s="110"/>
      <c r="JB140" s="110"/>
      <c r="JC140" s="110"/>
      <c r="JD140" s="110"/>
      <c r="JE140" s="110"/>
      <c r="JF140" s="110"/>
      <c r="JG140" s="110"/>
      <c r="JH140" s="110"/>
      <c r="JI140" s="110"/>
      <c r="JJ140" s="110"/>
      <c r="JK140" s="110"/>
      <c r="JL140" s="110"/>
      <c r="JM140" s="110"/>
      <c r="JN140" s="110"/>
      <c r="JO140" s="110"/>
      <c r="JP140" s="110"/>
      <c r="JQ140" s="110"/>
      <c r="JR140" s="110"/>
      <c r="JS140" s="110"/>
      <c r="JT140" s="110"/>
      <c r="JU140" s="110"/>
      <c r="JV140" s="110"/>
      <c r="JW140" s="110"/>
      <c r="JX140" s="110"/>
      <c r="JY140" s="110"/>
      <c r="JZ140" s="110"/>
      <c r="KA140" s="110"/>
      <c r="KB140" s="110"/>
      <c r="KC140" s="110"/>
      <c r="KD140" s="110"/>
      <c r="KE140" s="110"/>
      <c r="KF140" s="110"/>
      <c r="KG140" s="110"/>
      <c r="KH140" s="110"/>
      <c r="KI140" s="110"/>
      <c r="KJ140" s="110"/>
      <c r="KK140" s="110"/>
      <c r="KL140" s="110"/>
      <c r="KM140" s="110"/>
      <c r="KN140" s="110"/>
    </row>
    <row r="141" spans="1:300" ht="19.2" customHeight="1" x14ac:dyDescent="0.3">
      <c r="A141" s="110"/>
      <c r="B141" s="110"/>
      <c r="C141" s="110"/>
      <c r="D141" s="110"/>
      <c r="E141" s="110"/>
      <c r="F141" s="110"/>
      <c r="G141" s="112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  <c r="GG141" s="110"/>
      <c r="GH141" s="110"/>
      <c r="GI141" s="110"/>
      <c r="GJ141" s="110"/>
      <c r="GK141" s="110"/>
      <c r="GL141" s="110"/>
      <c r="GM141" s="110"/>
      <c r="GN141" s="110"/>
      <c r="GO141" s="110"/>
      <c r="GP141" s="110"/>
      <c r="GQ141" s="110"/>
      <c r="GR141" s="110"/>
      <c r="GS141" s="110"/>
      <c r="GT141" s="110"/>
      <c r="GU141" s="110"/>
      <c r="GV141" s="110"/>
      <c r="GW141" s="110"/>
      <c r="GX141" s="110"/>
      <c r="GY141" s="110"/>
      <c r="GZ141" s="110"/>
      <c r="HA141" s="110"/>
      <c r="HB141" s="110"/>
      <c r="HC141" s="110"/>
      <c r="HD141" s="110"/>
      <c r="HE141" s="110"/>
      <c r="HF141" s="110"/>
      <c r="HG141" s="110"/>
      <c r="HH141" s="110"/>
      <c r="HI141" s="110"/>
      <c r="HJ141" s="110"/>
      <c r="HK141" s="110"/>
      <c r="HL141" s="110"/>
      <c r="HM141" s="110"/>
      <c r="HN141" s="110"/>
      <c r="HO141" s="110"/>
      <c r="HP141" s="110"/>
      <c r="HQ141" s="110"/>
      <c r="HR141" s="110"/>
      <c r="HS141" s="110"/>
      <c r="HT141" s="110"/>
      <c r="HU141" s="110"/>
      <c r="HV141" s="110"/>
      <c r="HW141" s="110"/>
      <c r="HX141" s="110"/>
      <c r="HY141" s="110"/>
      <c r="HZ141" s="110"/>
      <c r="IA141" s="110"/>
      <c r="IB141" s="110"/>
      <c r="IC141" s="110"/>
      <c r="ID141" s="110"/>
      <c r="IE141" s="110"/>
      <c r="IF141" s="110"/>
      <c r="IG141" s="110"/>
      <c r="IH141" s="110"/>
      <c r="II141" s="110"/>
      <c r="IJ141" s="110"/>
      <c r="IK141" s="110"/>
      <c r="IL141" s="110"/>
      <c r="IM141" s="110"/>
      <c r="IN141" s="110"/>
      <c r="IO141" s="110"/>
      <c r="IP141" s="110"/>
      <c r="IQ141" s="110"/>
      <c r="IR141" s="110"/>
      <c r="IS141" s="110"/>
      <c r="IT141" s="110"/>
      <c r="IU141" s="110"/>
      <c r="IV141" s="110"/>
      <c r="IW141" s="110"/>
      <c r="IX141" s="110"/>
      <c r="IY141" s="110"/>
      <c r="IZ141" s="110"/>
      <c r="JA141" s="110"/>
      <c r="JB141" s="110"/>
      <c r="JC141" s="110"/>
      <c r="JD141" s="110"/>
      <c r="JE141" s="110"/>
      <c r="JF141" s="110"/>
      <c r="JG141" s="110"/>
      <c r="JH141" s="110"/>
      <c r="JI141" s="110"/>
      <c r="JJ141" s="110"/>
      <c r="JK141" s="110"/>
      <c r="JL141" s="110"/>
      <c r="JM141" s="110"/>
      <c r="JN141" s="110"/>
      <c r="JO141" s="110"/>
      <c r="JP141" s="110"/>
      <c r="JQ141" s="110"/>
      <c r="JR141" s="110"/>
      <c r="JS141" s="110"/>
      <c r="JT141" s="110"/>
      <c r="JU141" s="110"/>
      <c r="JV141" s="110"/>
      <c r="JW141" s="110"/>
      <c r="JX141" s="110"/>
      <c r="JY141" s="110"/>
      <c r="JZ141" s="110"/>
      <c r="KA141" s="110"/>
      <c r="KB141" s="110"/>
      <c r="KC141" s="110"/>
      <c r="KD141" s="110"/>
      <c r="KE141" s="110"/>
      <c r="KF141" s="110"/>
      <c r="KG141" s="110"/>
      <c r="KH141" s="110"/>
      <c r="KI141" s="110"/>
      <c r="KJ141" s="110"/>
      <c r="KK141" s="110"/>
      <c r="KL141" s="110"/>
      <c r="KM141" s="110"/>
      <c r="KN141" s="110"/>
    </row>
    <row r="142" spans="1:300" ht="19.2" customHeight="1" x14ac:dyDescent="0.3">
      <c r="A142" s="110"/>
      <c r="B142" s="110"/>
      <c r="C142" s="110"/>
      <c r="D142" s="110"/>
      <c r="E142" s="110"/>
      <c r="F142" s="110"/>
      <c r="G142" s="112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  <c r="GG142" s="110"/>
      <c r="GH142" s="110"/>
      <c r="GI142" s="110"/>
      <c r="GJ142" s="110"/>
      <c r="GK142" s="110"/>
      <c r="GL142" s="110"/>
      <c r="GM142" s="110"/>
      <c r="GN142" s="110"/>
      <c r="GO142" s="110"/>
      <c r="GP142" s="110"/>
      <c r="GQ142" s="110"/>
      <c r="GR142" s="110"/>
      <c r="GS142" s="110"/>
      <c r="GT142" s="110"/>
      <c r="GU142" s="110"/>
      <c r="GV142" s="110"/>
      <c r="GW142" s="110"/>
      <c r="GX142" s="110"/>
      <c r="GY142" s="110"/>
      <c r="GZ142" s="110"/>
      <c r="HA142" s="110"/>
      <c r="HB142" s="110"/>
      <c r="HC142" s="110"/>
      <c r="HD142" s="110"/>
      <c r="HE142" s="110"/>
      <c r="HF142" s="110"/>
      <c r="HG142" s="110"/>
      <c r="HH142" s="110"/>
      <c r="HI142" s="110"/>
      <c r="HJ142" s="110"/>
      <c r="HK142" s="110"/>
      <c r="HL142" s="110"/>
      <c r="HM142" s="110"/>
      <c r="HN142" s="110"/>
      <c r="HO142" s="110"/>
      <c r="HP142" s="110"/>
      <c r="HQ142" s="110"/>
      <c r="HR142" s="110"/>
      <c r="HS142" s="110"/>
      <c r="HT142" s="110"/>
      <c r="HU142" s="110"/>
      <c r="HV142" s="110"/>
      <c r="HW142" s="110"/>
      <c r="HX142" s="110"/>
      <c r="HY142" s="110"/>
      <c r="HZ142" s="110"/>
      <c r="IA142" s="110"/>
      <c r="IB142" s="110"/>
      <c r="IC142" s="110"/>
      <c r="ID142" s="110"/>
      <c r="IE142" s="110"/>
      <c r="IF142" s="110"/>
      <c r="IG142" s="110"/>
      <c r="IH142" s="110"/>
      <c r="II142" s="110"/>
      <c r="IJ142" s="110"/>
      <c r="IK142" s="110"/>
      <c r="IL142" s="110"/>
      <c r="IM142" s="110"/>
      <c r="IN142" s="110"/>
      <c r="IO142" s="110"/>
      <c r="IP142" s="110"/>
      <c r="IQ142" s="110"/>
      <c r="IR142" s="110"/>
      <c r="IS142" s="110"/>
      <c r="IT142" s="110"/>
      <c r="IU142" s="110"/>
      <c r="IV142" s="110"/>
      <c r="IW142" s="110"/>
      <c r="IX142" s="110"/>
      <c r="IY142" s="110"/>
      <c r="IZ142" s="110"/>
      <c r="JA142" s="110"/>
      <c r="JB142" s="110"/>
      <c r="JC142" s="110"/>
      <c r="JD142" s="110"/>
      <c r="JE142" s="110"/>
      <c r="JF142" s="110"/>
      <c r="JG142" s="110"/>
      <c r="JH142" s="110"/>
      <c r="JI142" s="110"/>
      <c r="JJ142" s="110"/>
      <c r="JK142" s="110"/>
      <c r="JL142" s="110"/>
      <c r="JM142" s="110"/>
      <c r="JN142" s="110"/>
      <c r="JO142" s="110"/>
      <c r="JP142" s="110"/>
      <c r="JQ142" s="110"/>
      <c r="JR142" s="110"/>
      <c r="JS142" s="110"/>
      <c r="JT142" s="110"/>
      <c r="JU142" s="110"/>
      <c r="JV142" s="110"/>
      <c r="JW142" s="110"/>
      <c r="JX142" s="110"/>
      <c r="JY142" s="110"/>
      <c r="JZ142" s="110"/>
      <c r="KA142" s="110"/>
      <c r="KB142" s="110"/>
      <c r="KC142" s="110"/>
      <c r="KD142" s="110"/>
      <c r="KE142" s="110"/>
      <c r="KF142" s="110"/>
      <c r="KG142" s="110"/>
      <c r="KH142" s="110"/>
      <c r="KI142" s="110"/>
      <c r="KJ142" s="110"/>
      <c r="KK142" s="110"/>
      <c r="KL142" s="110"/>
      <c r="KM142" s="110"/>
      <c r="KN142" s="110"/>
    </row>
    <row r="143" spans="1:300" ht="19.2" customHeight="1" x14ac:dyDescent="0.3">
      <c r="A143" s="110"/>
      <c r="B143" s="110"/>
      <c r="C143" s="110"/>
      <c r="D143" s="110"/>
      <c r="E143" s="110"/>
      <c r="F143" s="110"/>
      <c r="G143" s="112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  <c r="GG143" s="110"/>
      <c r="GH143" s="110"/>
      <c r="GI143" s="110"/>
      <c r="GJ143" s="110"/>
      <c r="GK143" s="110"/>
      <c r="GL143" s="110"/>
      <c r="GM143" s="110"/>
      <c r="GN143" s="110"/>
      <c r="GO143" s="110"/>
      <c r="GP143" s="110"/>
      <c r="GQ143" s="110"/>
      <c r="GR143" s="110"/>
      <c r="GS143" s="110"/>
      <c r="GT143" s="110"/>
      <c r="GU143" s="110"/>
      <c r="GV143" s="110"/>
      <c r="GW143" s="110"/>
      <c r="GX143" s="110"/>
      <c r="GY143" s="110"/>
      <c r="GZ143" s="110"/>
      <c r="HA143" s="110"/>
      <c r="HB143" s="110"/>
      <c r="HC143" s="110"/>
      <c r="HD143" s="110"/>
      <c r="HE143" s="110"/>
      <c r="HF143" s="110"/>
      <c r="HG143" s="110"/>
      <c r="HH143" s="110"/>
      <c r="HI143" s="110"/>
      <c r="HJ143" s="110"/>
      <c r="HK143" s="110"/>
      <c r="HL143" s="110"/>
      <c r="HM143" s="110"/>
      <c r="HN143" s="110"/>
      <c r="HO143" s="110"/>
      <c r="HP143" s="110"/>
      <c r="HQ143" s="110"/>
      <c r="HR143" s="110"/>
      <c r="HS143" s="110"/>
      <c r="HT143" s="110"/>
      <c r="HU143" s="110"/>
      <c r="HV143" s="110"/>
      <c r="HW143" s="110"/>
      <c r="HX143" s="110"/>
      <c r="HY143" s="110"/>
      <c r="HZ143" s="110"/>
      <c r="IA143" s="110"/>
      <c r="IB143" s="110"/>
      <c r="IC143" s="110"/>
      <c r="ID143" s="110"/>
      <c r="IE143" s="110"/>
      <c r="IF143" s="110"/>
      <c r="IG143" s="110"/>
      <c r="IH143" s="110"/>
      <c r="II143" s="110"/>
      <c r="IJ143" s="110"/>
      <c r="IK143" s="110"/>
      <c r="IL143" s="110"/>
      <c r="IM143" s="110"/>
      <c r="IN143" s="110"/>
      <c r="IO143" s="110"/>
      <c r="IP143" s="110"/>
      <c r="IQ143" s="110"/>
      <c r="IR143" s="110"/>
      <c r="IS143" s="110"/>
      <c r="IT143" s="110"/>
      <c r="IU143" s="110"/>
      <c r="IV143" s="110"/>
      <c r="IW143" s="110"/>
      <c r="IX143" s="110"/>
      <c r="IY143" s="110"/>
      <c r="IZ143" s="110"/>
      <c r="JA143" s="110"/>
      <c r="JB143" s="110"/>
      <c r="JC143" s="110"/>
      <c r="JD143" s="110"/>
      <c r="JE143" s="110"/>
      <c r="JF143" s="110"/>
      <c r="JG143" s="110"/>
      <c r="JH143" s="110"/>
      <c r="JI143" s="110"/>
      <c r="JJ143" s="110"/>
      <c r="JK143" s="110"/>
      <c r="JL143" s="110"/>
      <c r="JM143" s="110"/>
      <c r="JN143" s="110"/>
      <c r="JO143" s="110"/>
      <c r="JP143" s="110"/>
      <c r="JQ143" s="110"/>
      <c r="JR143" s="110"/>
      <c r="JS143" s="110"/>
      <c r="JT143" s="110"/>
      <c r="JU143" s="110"/>
      <c r="JV143" s="110"/>
      <c r="JW143" s="110"/>
      <c r="JX143" s="110"/>
      <c r="JY143" s="110"/>
      <c r="JZ143" s="110"/>
      <c r="KA143" s="110"/>
      <c r="KB143" s="110"/>
      <c r="KC143" s="110"/>
      <c r="KD143" s="110"/>
      <c r="KE143" s="110"/>
      <c r="KF143" s="110"/>
      <c r="KG143" s="110"/>
      <c r="KH143" s="110"/>
      <c r="KI143" s="110"/>
      <c r="KJ143" s="110"/>
      <c r="KK143" s="110"/>
      <c r="KL143" s="110"/>
      <c r="KM143" s="110"/>
      <c r="KN143" s="110"/>
    </row>
    <row r="144" spans="1:300" ht="19.2" customHeight="1" x14ac:dyDescent="0.3">
      <c r="A144" s="110"/>
      <c r="B144" s="110"/>
      <c r="C144" s="110"/>
      <c r="D144" s="110"/>
      <c r="E144" s="110"/>
      <c r="F144" s="110"/>
      <c r="G144" s="112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  <c r="GG144" s="110"/>
      <c r="GH144" s="110"/>
      <c r="GI144" s="110"/>
      <c r="GJ144" s="110"/>
      <c r="GK144" s="110"/>
      <c r="GL144" s="110"/>
      <c r="GM144" s="110"/>
      <c r="GN144" s="110"/>
      <c r="GO144" s="110"/>
      <c r="GP144" s="110"/>
      <c r="GQ144" s="110"/>
      <c r="GR144" s="110"/>
      <c r="GS144" s="110"/>
      <c r="GT144" s="110"/>
      <c r="GU144" s="110"/>
      <c r="GV144" s="110"/>
      <c r="GW144" s="110"/>
      <c r="GX144" s="110"/>
      <c r="GY144" s="110"/>
      <c r="GZ144" s="110"/>
      <c r="HA144" s="110"/>
      <c r="HB144" s="110"/>
      <c r="HC144" s="110"/>
      <c r="HD144" s="110"/>
      <c r="HE144" s="110"/>
      <c r="HF144" s="110"/>
      <c r="HG144" s="110"/>
      <c r="HH144" s="110"/>
      <c r="HI144" s="110"/>
      <c r="HJ144" s="110"/>
      <c r="HK144" s="110"/>
      <c r="HL144" s="110"/>
      <c r="HM144" s="110"/>
      <c r="HN144" s="110"/>
      <c r="HO144" s="110"/>
      <c r="HP144" s="110"/>
      <c r="HQ144" s="110"/>
      <c r="HR144" s="110"/>
      <c r="HS144" s="110"/>
      <c r="HT144" s="110"/>
      <c r="HU144" s="110"/>
      <c r="HV144" s="110"/>
      <c r="HW144" s="110"/>
      <c r="HX144" s="110"/>
      <c r="HY144" s="110"/>
      <c r="HZ144" s="110"/>
      <c r="IA144" s="110"/>
      <c r="IB144" s="110"/>
      <c r="IC144" s="110"/>
      <c r="ID144" s="110"/>
      <c r="IE144" s="110"/>
      <c r="IF144" s="110"/>
      <c r="IG144" s="110"/>
      <c r="IH144" s="110"/>
      <c r="II144" s="110"/>
      <c r="IJ144" s="110"/>
      <c r="IK144" s="110"/>
      <c r="IL144" s="110"/>
      <c r="IM144" s="110"/>
      <c r="IN144" s="110"/>
      <c r="IO144" s="110"/>
      <c r="IP144" s="110"/>
      <c r="IQ144" s="110"/>
      <c r="IR144" s="110"/>
      <c r="IS144" s="110"/>
      <c r="IT144" s="110"/>
      <c r="IU144" s="110"/>
      <c r="IV144" s="110"/>
      <c r="IW144" s="110"/>
      <c r="IX144" s="110"/>
      <c r="IY144" s="110"/>
      <c r="IZ144" s="110"/>
      <c r="JA144" s="110"/>
      <c r="JB144" s="110"/>
      <c r="JC144" s="110"/>
      <c r="JD144" s="110"/>
      <c r="JE144" s="110"/>
      <c r="JF144" s="110"/>
      <c r="JG144" s="110"/>
      <c r="JH144" s="110"/>
      <c r="JI144" s="110"/>
      <c r="JJ144" s="110"/>
      <c r="JK144" s="110"/>
      <c r="JL144" s="110"/>
      <c r="JM144" s="110"/>
      <c r="JN144" s="110"/>
      <c r="JO144" s="110"/>
      <c r="JP144" s="110"/>
      <c r="JQ144" s="110"/>
      <c r="JR144" s="110"/>
      <c r="JS144" s="110"/>
      <c r="JT144" s="110"/>
      <c r="JU144" s="110"/>
      <c r="JV144" s="110"/>
      <c r="JW144" s="110"/>
      <c r="JX144" s="110"/>
      <c r="JY144" s="110"/>
      <c r="JZ144" s="110"/>
      <c r="KA144" s="110"/>
      <c r="KB144" s="110"/>
      <c r="KC144" s="110"/>
      <c r="KD144" s="110"/>
      <c r="KE144" s="110"/>
      <c r="KF144" s="110"/>
      <c r="KG144" s="110"/>
      <c r="KH144" s="110"/>
      <c r="KI144" s="110"/>
      <c r="KJ144" s="110"/>
      <c r="KK144" s="110"/>
      <c r="KL144" s="110"/>
      <c r="KM144" s="110"/>
      <c r="KN144" s="110"/>
    </row>
    <row r="145" spans="1:300" ht="19.2" customHeight="1" x14ac:dyDescent="0.3">
      <c r="A145" s="110"/>
      <c r="B145" s="110"/>
      <c r="C145" s="110"/>
      <c r="D145" s="110"/>
      <c r="E145" s="110"/>
      <c r="F145" s="110"/>
      <c r="G145" s="112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  <c r="GG145" s="110"/>
      <c r="GH145" s="110"/>
      <c r="GI145" s="110"/>
      <c r="GJ145" s="110"/>
      <c r="GK145" s="110"/>
      <c r="GL145" s="110"/>
      <c r="GM145" s="110"/>
      <c r="GN145" s="110"/>
      <c r="GO145" s="110"/>
      <c r="GP145" s="110"/>
      <c r="GQ145" s="110"/>
      <c r="GR145" s="110"/>
      <c r="GS145" s="110"/>
      <c r="GT145" s="110"/>
      <c r="GU145" s="110"/>
      <c r="GV145" s="110"/>
      <c r="GW145" s="110"/>
      <c r="GX145" s="110"/>
      <c r="GY145" s="110"/>
      <c r="GZ145" s="110"/>
      <c r="HA145" s="110"/>
      <c r="HB145" s="110"/>
      <c r="HC145" s="110"/>
      <c r="HD145" s="110"/>
      <c r="HE145" s="110"/>
      <c r="HF145" s="110"/>
      <c r="HG145" s="110"/>
      <c r="HH145" s="110"/>
      <c r="HI145" s="110"/>
      <c r="HJ145" s="110"/>
      <c r="HK145" s="110"/>
      <c r="HL145" s="110"/>
      <c r="HM145" s="110"/>
      <c r="HN145" s="110"/>
      <c r="HO145" s="110"/>
      <c r="HP145" s="110"/>
      <c r="HQ145" s="110"/>
      <c r="HR145" s="110"/>
      <c r="HS145" s="110"/>
      <c r="HT145" s="110"/>
      <c r="HU145" s="110"/>
      <c r="HV145" s="110"/>
      <c r="HW145" s="110"/>
      <c r="HX145" s="110"/>
      <c r="HY145" s="110"/>
      <c r="HZ145" s="110"/>
      <c r="IA145" s="110"/>
      <c r="IB145" s="110"/>
      <c r="IC145" s="110"/>
      <c r="ID145" s="110"/>
      <c r="IE145" s="110"/>
      <c r="IF145" s="110"/>
      <c r="IG145" s="110"/>
      <c r="IH145" s="110"/>
      <c r="II145" s="110"/>
      <c r="IJ145" s="110"/>
      <c r="IK145" s="110"/>
      <c r="IL145" s="110"/>
      <c r="IM145" s="110"/>
      <c r="IN145" s="110"/>
      <c r="IO145" s="110"/>
      <c r="IP145" s="110"/>
      <c r="IQ145" s="110"/>
      <c r="IR145" s="110"/>
      <c r="IS145" s="110"/>
      <c r="IT145" s="110"/>
      <c r="IU145" s="110"/>
      <c r="IV145" s="110"/>
      <c r="IW145" s="110"/>
      <c r="IX145" s="110"/>
      <c r="IY145" s="110"/>
      <c r="IZ145" s="110"/>
      <c r="JA145" s="110"/>
      <c r="JB145" s="110"/>
      <c r="JC145" s="110"/>
      <c r="JD145" s="110"/>
      <c r="JE145" s="110"/>
      <c r="JF145" s="110"/>
      <c r="JG145" s="110"/>
      <c r="JH145" s="110"/>
      <c r="JI145" s="110"/>
      <c r="JJ145" s="110"/>
      <c r="JK145" s="110"/>
      <c r="JL145" s="110"/>
      <c r="JM145" s="110"/>
      <c r="JN145" s="110"/>
      <c r="JO145" s="110"/>
      <c r="JP145" s="110"/>
      <c r="JQ145" s="110"/>
      <c r="JR145" s="110"/>
      <c r="JS145" s="110"/>
      <c r="JT145" s="110"/>
      <c r="JU145" s="110"/>
      <c r="JV145" s="110"/>
      <c r="JW145" s="110"/>
      <c r="JX145" s="110"/>
      <c r="JY145" s="110"/>
      <c r="JZ145" s="110"/>
      <c r="KA145" s="110"/>
      <c r="KB145" s="110"/>
      <c r="KC145" s="110"/>
      <c r="KD145" s="110"/>
      <c r="KE145" s="110"/>
      <c r="KF145" s="110"/>
      <c r="KG145" s="110"/>
      <c r="KH145" s="110"/>
      <c r="KI145" s="110"/>
      <c r="KJ145" s="110"/>
      <c r="KK145" s="110"/>
      <c r="KL145" s="110"/>
      <c r="KM145" s="110"/>
      <c r="KN145" s="110"/>
    </row>
    <row r="146" spans="1:300" ht="19.2" customHeight="1" x14ac:dyDescent="0.3">
      <c r="A146" s="110"/>
      <c r="B146" s="110"/>
      <c r="C146" s="110"/>
      <c r="D146" s="110"/>
      <c r="E146" s="110"/>
      <c r="F146" s="110"/>
      <c r="G146" s="112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  <c r="GG146" s="110"/>
      <c r="GH146" s="110"/>
      <c r="GI146" s="110"/>
      <c r="GJ146" s="110"/>
      <c r="GK146" s="110"/>
      <c r="GL146" s="110"/>
      <c r="GM146" s="110"/>
      <c r="GN146" s="110"/>
      <c r="GO146" s="110"/>
      <c r="GP146" s="110"/>
      <c r="GQ146" s="110"/>
      <c r="GR146" s="110"/>
      <c r="GS146" s="110"/>
      <c r="GT146" s="110"/>
      <c r="GU146" s="110"/>
      <c r="GV146" s="110"/>
      <c r="GW146" s="110"/>
      <c r="GX146" s="110"/>
      <c r="GY146" s="110"/>
      <c r="GZ146" s="110"/>
      <c r="HA146" s="110"/>
      <c r="HB146" s="110"/>
      <c r="HC146" s="110"/>
      <c r="HD146" s="110"/>
      <c r="HE146" s="110"/>
      <c r="HF146" s="110"/>
      <c r="HG146" s="110"/>
      <c r="HH146" s="110"/>
      <c r="HI146" s="110"/>
      <c r="HJ146" s="110"/>
      <c r="HK146" s="110"/>
      <c r="HL146" s="110"/>
      <c r="HM146" s="110"/>
      <c r="HN146" s="110"/>
      <c r="HO146" s="110"/>
      <c r="HP146" s="110"/>
      <c r="HQ146" s="110"/>
      <c r="HR146" s="110"/>
      <c r="HS146" s="110"/>
      <c r="HT146" s="110"/>
      <c r="HU146" s="110"/>
      <c r="HV146" s="110"/>
      <c r="HW146" s="110"/>
      <c r="HX146" s="110"/>
      <c r="HY146" s="110"/>
      <c r="HZ146" s="110"/>
      <c r="IA146" s="110"/>
      <c r="IB146" s="110"/>
      <c r="IC146" s="110"/>
      <c r="ID146" s="110"/>
      <c r="IE146" s="110"/>
      <c r="IF146" s="110"/>
      <c r="IG146" s="110"/>
      <c r="IH146" s="110"/>
      <c r="II146" s="110"/>
      <c r="IJ146" s="110"/>
      <c r="IK146" s="110"/>
      <c r="IL146" s="110"/>
      <c r="IM146" s="110"/>
      <c r="IN146" s="110"/>
      <c r="IO146" s="110"/>
      <c r="IP146" s="110"/>
      <c r="IQ146" s="110"/>
      <c r="IR146" s="110"/>
      <c r="IS146" s="110"/>
      <c r="IT146" s="110"/>
      <c r="IU146" s="110"/>
      <c r="IV146" s="110"/>
      <c r="IW146" s="110"/>
      <c r="IX146" s="110"/>
      <c r="IY146" s="110"/>
      <c r="IZ146" s="110"/>
      <c r="JA146" s="110"/>
      <c r="JB146" s="110"/>
      <c r="JC146" s="110"/>
      <c r="JD146" s="110"/>
      <c r="JE146" s="110"/>
      <c r="JF146" s="110"/>
      <c r="JG146" s="110"/>
      <c r="JH146" s="110"/>
      <c r="JI146" s="110"/>
      <c r="JJ146" s="110"/>
      <c r="JK146" s="110"/>
      <c r="JL146" s="110"/>
      <c r="JM146" s="110"/>
      <c r="JN146" s="110"/>
      <c r="JO146" s="110"/>
      <c r="JP146" s="110"/>
      <c r="JQ146" s="110"/>
      <c r="JR146" s="110"/>
      <c r="JS146" s="110"/>
      <c r="JT146" s="110"/>
      <c r="JU146" s="110"/>
      <c r="JV146" s="110"/>
      <c r="JW146" s="110"/>
      <c r="JX146" s="110"/>
      <c r="JY146" s="110"/>
      <c r="JZ146" s="110"/>
      <c r="KA146" s="110"/>
      <c r="KB146" s="110"/>
      <c r="KC146" s="110"/>
      <c r="KD146" s="110"/>
      <c r="KE146" s="110"/>
      <c r="KF146" s="110"/>
      <c r="KG146" s="110"/>
      <c r="KH146" s="110"/>
      <c r="KI146" s="110"/>
      <c r="KJ146" s="110"/>
      <c r="KK146" s="110"/>
      <c r="KL146" s="110"/>
      <c r="KM146" s="110"/>
      <c r="KN146" s="110"/>
    </row>
    <row r="147" spans="1:300" ht="19.2" customHeight="1" x14ac:dyDescent="0.3">
      <c r="A147" s="110"/>
      <c r="B147" s="110"/>
      <c r="C147" s="110"/>
      <c r="D147" s="110"/>
      <c r="E147" s="110"/>
      <c r="F147" s="110"/>
      <c r="G147" s="112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  <c r="GG147" s="110"/>
      <c r="GH147" s="110"/>
      <c r="GI147" s="110"/>
      <c r="GJ147" s="110"/>
      <c r="GK147" s="110"/>
      <c r="GL147" s="110"/>
      <c r="GM147" s="110"/>
      <c r="GN147" s="110"/>
      <c r="GO147" s="110"/>
      <c r="GP147" s="110"/>
      <c r="GQ147" s="110"/>
      <c r="GR147" s="110"/>
      <c r="GS147" s="110"/>
      <c r="GT147" s="110"/>
      <c r="GU147" s="110"/>
      <c r="GV147" s="110"/>
      <c r="GW147" s="110"/>
      <c r="GX147" s="110"/>
      <c r="GY147" s="110"/>
      <c r="GZ147" s="110"/>
      <c r="HA147" s="110"/>
      <c r="HB147" s="110"/>
      <c r="HC147" s="110"/>
      <c r="HD147" s="110"/>
      <c r="HE147" s="110"/>
      <c r="HF147" s="110"/>
      <c r="HG147" s="110"/>
      <c r="HH147" s="110"/>
      <c r="HI147" s="110"/>
      <c r="HJ147" s="110"/>
      <c r="HK147" s="110"/>
      <c r="HL147" s="110"/>
      <c r="HM147" s="110"/>
      <c r="HN147" s="110"/>
      <c r="HO147" s="110"/>
      <c r="HP147" s="110"/>
      <c r="HQ147" s="110"/>
      <c r="HR147" s="110"/>
      <c r="HS147" s="110"/>
      <c r="HT147" s="110"/>
      <c r="HU147" s="110"/>
      <c r="HV147" s="110"/>
      <c r="HW147" s="110"/>
      <c r="HX147" s="110"/>
      <c r="HY147" s="110"/>
      <c r="HZ147" s="110"/>
      <c r="IA147" s="110"/>
      <c r="IB147" s="110"/>
      <c r="IC147" s="110"/>
      <c r="ID147" s="110"/>
      <c r="IE147" s="110"/>
      <c r="IF147" s="110"/>
      <c r="IG147" s="110"/>
      <c r="IH147" s="110"/>
      <c r="II147" s="110"/>
      <c r="IJ147" s="110"/>
      <c r="IK147" s="110"/>
      <c r="IL147" s="110"/>
      <c r="IM147" s="110"/>
      <c r="IN147" s="110"/>
      <c r="IO147" s="110"/>
      <c r="IP147" s="110"/>
      <c r="IQ147" s="110"/>
      <c r="IR147" s="110"/>
      <c r="IS147" s="110"/>
      <c r="IT147" s="110"/>
      <c r="IU147" s="110"/>
      <c r="IV147" s="110"/>
      <c r="IW147" s="110"/>
      <c r="IX147" s="110"/>
      <c r="IY147" s="110"/>
      <c r="IZ147" s="110"/>
      <c r="JA147" s="110"/>
      <c r="JB147" s="110"/>
      <c r="JC147" s="110"/>
      <c r="JD147" s="110"/>
      <c r="JE147" s="110"/>
      <c r="JF147" s="110"/>
      <c r="JG147" s="110"/>
      <c r="JH147" s="110"/>
      <c r="JI147" s="110"/>
      <c r="JJ147" s="110"/>
      <c r="JK147" s="110"/>
      <c r="JL147" s="110"/>
      <c r="JM147" s="110"/>
      <c r="JN147" s="110"/>
      <c r="JO147" s="110"/>
      <c r="JP147" s="110"/>
      <c r="JQ147" s="110"/>
      <c r="JR147" s="110"/>
      <c r="JS147" s="110"/>
      <c r="JT147" s="110"/>
      <c r="JU147" s="110"/>
      <c r="JV147" s="110"/>
      <c r="JW147" s="110"/>
      <c r="JX147" s="110"/>
      <c r="JY147" s="110"/>
      <c r="JZ147" s="110"/>
      <c r="KA147" s="110"/>
      <c r="KB147" s="110"/>
      <c r="KC147" s="110"/>
      <c r="KD147" s="110"/>
      <c r="KE147" s="110"/>
      <c r="KF147" s="110"/>
      <c r="KG147" s="110"/>
      <c r="KH147" s="110"/>
      <c r="KI147" s="110"/>
      <c r="KJ147" s="110"/>
      <c r="KK147" s="110"/>
      <c r="KL147" s="110"/>
      <c r="KM147" s="110"/>
      <c r="KN147" s="110"/>
    </row>
    <row r="148" spans="1:300" ht="19.2" customHeight="1" x14ac:dyDescent="0.3">
      <c r="A148" s="110"/>
      <c r="B148" s="110"/>
      <c r="C148" s="110"/>
      <c r="D148" s="110"/>
      <c r="E148" s="110"/>
      <c r="F148" s="110"/>
      <c r="G148" s="112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  <c r="GG148" s="110"/>
      <c r="GH148" s="110"/>
      <c r="GI148" s="110"/>
      <c r="GJ148" s="110"/>
      <c r="GK148" s="110"/>
      <c r="GL148" s="110"/>
      <c r="GM148" s="110"/>
      <c r="GN148" s="110"/>
      <c r="GO148" s="110"/>
      <c r="GP148" s="110"/>
      <c r="GQ148" s="110"/>
      <c r="GR148" s="110"/>
      <c r="GS148" s="110"/>
      <c r="GT148" s="110"/>
      <c r="GU148" s="110"/>
      <c r="GV148" s="110"/>
      <c r="GW148" s="110"/>
      <c r="GX148" s="110"/>
      <c r="GY148" s="110"/>
      <c r="GZ148" s="110"/>
      <c r="HA148" s="110"/>
      <c r="HB148" s="110"/>
      <c r="HC148" s="110"/>
      <c r="HD148" s="110"/>
      <c r="HE148" s="110"/>
      <c r="HF148" s="110"/>
      <c r="HG148" s="110"/>
      <c r="HH148" s="110"/>
      <c r="HI148" s="110"/>
      <c r="HJ148" s="110"/>
      <c r="HK148" s="110"/>
      <c r="HL148" s="110"/>
      <c r="HM148" s="110"/>
      <c r="HN148" s="110"/>
      <c r="HO148" s="110"/>
      <c r="HP148" s="110"/>
      <c r="HQ148" s="110"/>
      <c r="HR148" s="110"/>
      <c r="HS148" s="110"/>
      <c r="HT148" s="110"/>
      <c r="HU148" s="110"/>
      <c r="HV148" s="110"/>
      <c r="HW148" s="110"/>
      <c r="HX148" s="110"/>
      <c r="HY148" s="110"/>
      <c r="HZ148" s="110"/>
      <c r="IA148" s="110"/>
      <c r="IB148" s="110"/>
      <c r="IC148" s="110"/>
      <c r="ID148" s="110"/>
      <c r="IE148" s="110"/>
      <c r="IF148" s="110"/>
      <c r="IG148" s="110"/>
      <c r="IH148" s="110"/>
      <c r="II148" s="110"/>
      <c r="IJ148" s="110"/>
      <c r="IK148" s="110"/>
      <c r="IL148" s="110"/>
      <c r="IM148" s="110"/>
      <c r="IN148" s="110"/>
      <c r="IO148" s="110"/>
      <c r="IP148" s="110"/>
      <c r="IQ148" s="110"/>
      <c r="IR148" s="110"/>
      <c r="IS148" s="110"/>
      <c r="IT148" s="110"/>
      <c r="IU148" s="110"/>
      <c r="IV148" s="110"/>
      <c r="IW148" s="110"/>
      <c r="IX148" s="110"/>
      <c r="IY148" s="110"/>
      <c r="IZ148" s="110"/>
      <c r="JA148" s="110"/>
      <c r="JB148" s="110"/>
      <c r="JC148" s="110"/>
      <c r="JD148" s="110"/>
      <c r="JE148" s="110"/>
      <c r="JF148" s="110"/>
      <c r="JG148" s="110"/>
      <c r="JH148" s="110"/>
      <c r="JI148" s="110"/>
      <c r="JJ148" s="110"/>
      <c r="JK148" s="110"/>
      <c r="JL148" s="110"/>
      <c r="JM148" s="110"/>
      <c r="JN148" s="110"/>
      <c r="JO148" s="110"/>
      <c r="JP148" s="110"/>
      <c r="JQ148" s="110"/>
      <c r="JR148" s="110"/>
      <c r="JS148" s="110"/>
      <c r="JT148" s="110"/>
      <c r="JU148" s="110"/>
      <c r="JV148" s="110"/>
      <c r="JW148" s="110"/>
      <c r="JX148" s="110"/>
      <c r="JY148" s="110"/>
      <c r="JZ148" s="110"/>
      <c r="KA148" s="110"/>
      <c r="KB148" s="110"/>
      <c r="KC148" s="110"/>
      <c r="KD148" s="110"/>
      <c r="KE148" s="110"/>
      <c r="KF148" s="110"/>
      <c r="KG148" s="110"/>
      <c r="KH148" s="110"/>
      <c r="KI148" s="110"/>
      <c r="KJ148" s="110"/>
      <c r="KK148" s="110"/>
      <c r="KL148" s="110"/>
      <c r="KM148" s="110"/>
      <c r="KN148" s="110"/>
    </row>
    <row r="149" spans="1:300" ht="19.2" customHeight="1" x14ac:dyDescent="0.3">
      <c r="A149" s="110"/>
      <c r="B149" s="110"/>
      <c r="C149" s="110"/>
      <c r="D149" s="110"/>
      <c r="E149" s="110"/>
      <c r="F149" s="110"/>
      <c r="G149" s="112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  <c r="GG149" s="110"/>
      <c r="GH149" s="110"/>
      <c r="GI149" s="110"/>
      <c r="GJ149" s="110"/>
      <c r="GK149" s="110"/>
      <c r="GL149" s="110"/>
      <c r="GM149" s="110"/>
      <c r="GN149" s="110"/>
      <c r="GO149" s="110"/>
      <c r="GP149" s="110"/>
      <c r="GQ149" s="110"/>
      <c r="GR149" s="110"/>
      <c r="GS149" s="110"/>
      <c r="GT149" s="110"/>
      <c r="GU149" s="110"/>
      <c r="GV149" s="110"/>
      <c r="GW149" s="110"/>
      <c r="GX149" s="110"/>
      <c r="GY149" s="110"/>
      <c r="GZ149" s="110"/>
      <c r="HA149" s="110"/>
      <c r="HB149" s="110"/>
      <c r="HC149" s="110"/>
      <c r="HD149" s="110"/>
      <c r="HE149" s="110"/>
      <c r="HF149" s="110"/>
      <c r="HG149" s="110"/>
      <c r="HH149" s="110"/>
      <c r="HI149" s="110"/>
      <c r="HJ149" s="110"/>
      <c r="HK149" s="110"/>
      <c r="HL149" s="110"/>
      <c r="HM149" s="110"/>
      <c r="HN149" s="110"/>
      <c r="HO149" s="110"/>
      <c r="HP149" s="110"/>
      <c r="HQ149" s="110"/>
      <c r="HR149" s="110"/>
      <c r="HS149" s="110"/>
      <c r="HT149" s="110"/>
      <c r="HU149" s="110"/>
      <c r="HV149" s="110"/>
      <c r="HW149" s="110"/>
      <c r="HX149" s="110"/>
      <c r="HY149" s="110"/>
      <c r="HZ149" s="110"/>
      <c r="IA149" s="110"/>
      <c r="IB149" s="110"/>
      <c r="IC149" s="110"/>
      <c r="ID149" s="110"/>
      <c r="IE149" s="110"/>
      <c r="IF149" s="110"/>
      <c r="IG149" s="110"/>
      <c r="IH149" s="110"/>
      <c r="II149" s="110"/>
      <c r="IJ149" s="110"/>
      <c r="IK149" s="110"/>
      <c r="IL149" s="110"/>
      <c r="IM149" s="110"/>
      <c r="IN149" s="110"/>
      <c r="IO149" s="110"/>
      <c r="IP149" s="110"/>
      <c r="IQ149" s="110"/>
      <c r="IR149" s="110"/>
      <c r="IS149" s="110"/>
      <c r="IT149" s="110"/>
      <c r="IU149" s="110"/>
      <c r="IV149" s="110"/>
      <c r="IW149" s="110"/>
      <c r="IX149" s="110"/>
      <c r="IY149" s="110"/>
      <c r="IZ149" s="110"/>
      <c r="JA149" s="110"/>
      <c r="JB149" s="110"/>
      <c r="JC149" s="110"/>
      <c r="JD149" s="110"/>
      <c r="JE149" s="110"/>
      <c r="JF149" s="110"/>
      <c r="JG149" s="110"/>
      <c r="JH149" s="110"/>
      <c r="JI149" s="110"/>
      <c r="JJ149" s="110"/>
      <c r="JK149" s="110"/>
      <c r="JL149" s="110"/>
      <c r="JM149" s="110"/>
      <c r="JN149" s="110"/>
      <c r="JO149" s="110"/>
      <c r="JP149" s="110"/>
      <c r="JQ149" s="110"/>
      <c r="JR149" s="110"/>
      <c r="JS149" s="110"/>
      <c r="JT149" s="110"/>
      <c r="JU149" s="110"/>
      <c r="JV149" s="110"/>
      <c r="JW149" s="110"/>
      <c r="JX149" s="110"/>
      <c r="JY149" s="110"/>
      <c r="JZ149" s="110"/>
      <c r="KA149" s="110"/>
      <c r="KB149" s="110"/>
      <c r="KC149" s="110"/>
      <c r="KD149" s="110"/>
      <c r="KE149" s="110"/>
      <c r="KF149" s="110"/>
      <c r="KG149" s="110"/>
      <c r="KH149" s="110"/>
      <c r="KI149" s="110"/>
      <c r="KJ149" s="110"/>
      <c r="KK149" s="110"/>
      <c r="KL149" s="110"/>
      <c r="KM149" s="110"/>
      <c r="KN149" s="110"/>
    </row>
    <row r="150" spans="1:300" ht="19.2" customHeight="1" x14ac:dyDescent="0.3">
      <c r="A150" s="110"/>
      <c r="B150" s="110"/>
      <c r="C150" s="110"/>
      <c r="D150" s="110"/>
      <c r="E150" s="110"/>
      <c r="F150" s="110"/>
      <c r="G150" s="112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  <c r="GG150" s="110"/>
      <c r="GH150" s="110"/>
      <c r="GI150" s="110"/>
      <c r="GJ150" s="110"/>
      <c r="GK150" s="110"/>
      <c r="GL150" s="110"/>
      <c r="GM150" s="110"/>
      <c r="GN150" s="110"/>
      <c r="GO150" s="110"/>
      <c r="GP150" s="110"/>
      <c r="GQ150" s="110"/>
      <c r="GR150" s="110"/>
      <c r="GS150" s="110"/>
      <c r="GT150" s="110"/>
      <c r="GU150" s="110"/>
      <c r="GV150" s="110"/>
      <c r="GW150" s="110"/>
      <c r="GX150" s="110"/>
      <c r="GY150" s="110"/>
      <c r="GZ150" s="110"/>
      <c r="HA150" s="110"/>
      <c r="HB150" s="110"/>
      <c r="HC150" s="110"/>
      <c r="HD150" s="110"/>
      <c r="HE150" s="110"/>
      <c r="HF150" s="110"/>
      <c r="HG150" s="110"/>
      <c r="HH150" s="110"/>
      <c r="HI150" s="110"/>
      <c r="HJ150" s="110"/>
      <c r="HK150" s="110"/>
      <c r="HL150" s="110"/>
      <c r="HM150" s="110"/>
      <c r="HN150" s="110"/>
      <c r="HO150" s="110"/>
      <c r="HP150" s="110"/>
      <c r="HQ150" s="110"/>
      <c r="HR150" s="110"/>
      <c r="HS150" s="110"/>
      <c r="HT150" s="110"/>
      <c r="HU150" s="110"/>
      <c r="HV150" s="110"/>
      <c r="HW150" s="110"/>
      <c r="HX150" s="110"/>
      <c r="HY150" s="110"/>
      <c r="HZ150" s="110"/>
      <c r="IA150" s="110"/>
      <c r="IB150" s="110"/>
      <c r="IC150" s="110"/>
      <c r="ID150" s="110"/>
      <c r="IE150" s="110"/>
      <c r="IF150" s="110"/>
      <c r="IG150" s="110"/>
      <c r="IH150" s="110"/>
      <c r="II150" s="110"/>
      <c r="IJ150" s="110"/>
      <c r="IK150" s="110"/>
      <c r="IL150" s="110"/>
      <c r="IM150" s="110"/>
      <c r="IN150" s="110"/>
      <c r="IO150" s="110"/>
      <c r="IP150" s="110"/>
      <c r="IQ150" s="110"/>
      <c r="IR150" s="110"/>
      <c r="IS150" s="110"/>
      <c r="IT150" s="110"/>
      <c r="IU150" s="110"/>
      <c r="IV150" s="110"/>
      <c r="IW150" s="110"/>
      <c r="IX150" s="110"/>
      <c r="IY150" s="110"/>
      <c r="IZ150" s="110"/>
      <c r="JA150" s="110"/>
      <c r="JB150" s="110"/>
      <c r="JC150" s="110"/>
      <c r="JD150" s="110"/>
      <c r="JE150" s="110"/>
      <c r="JF150" s="110"/>
      <c r="JG150" s="110"/>
      <c r="JH150" s="110"/>
      <c r="JI150" s="110"/>
      <c r="JJ150" s="110"/>
      <c r="JK150" s="110"/>
      <c r="JL150" s="110"/>
      <c r="JM150" s="110"/>
      <c r="JN150" s="110"/>
      <c r="JO150" s="110"/>
      <c r="JP150" s="110"/>
      <c r="JQ150" s="110"/>
      <c r="JR150" s="110"/>
      <c r="JS150" s="110"/>
      <c r="JT150" s="110"/>
      <c r="JU150" s="110"/>
      <c r="JV150" s="110"/>
      <c r="JW150" s="110"/>
      <c r="JX150" s="110"/>
      <c r="JY150" s="110"/>
      <c r="JZ150" s="110"/>
      <c r="KA150" s="110"/>
      <c r="KB150" s="110"/>
      <c r="KC150" s="110"/>
      <c r="KD150" s="110"/>
      <c r="KE150" s="110"/>
      <c r="KF150" s="110"/>
      <c r="KG150" s="110"/>
      <c r="KH150" s="110"/>
      <c r="KI150" s="110"/>
      <c r="KJ150" s="110"/>
      <c r="KK150" s="110"/>
      <c r="KL150" s="110"/>
      <c r="KM150" s="110"/>
      <c r="KN150" s="110"/>
    </row>
    <row r="151" spans="1:300" ht="19.2" customHeight="1" x14ac:dyDescent="0.3">
      <c r="A151" s="110"/>
      <c r="B151" s="110"/>
      <c r="C151" s="110"/>
      <c r="D151" s="110"/>
      <c r="E151" s="110"/>
      <c r="F151" s="110"/>
      <c r="G151" s="112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  <c r="GG151" s="110"/>
      <c r="GH151" s="110"/>
      <c r="GI151" s="110"/>
      <c r="GJ151" s="110"/>
      <c r="GK151" s="110"/>
      <c r="GL151" s="110"/>
      <c r="GM151" s="110"/>
      <c r="GN151" s="110"/>
      <c r="GO151" s="110"/>
      <c r="GP151" s="110"/>
      <c r="GQ151" s="110"/>
      <c r="GR151" s="110"/>
      <c r="GS151" s="110"/>
      <c r="GT151" s="110"/>
      <c r="GU151" s="110"/>
      <c r="GV151" s="110"/>
      <c r="GW151" s="110"/>
      <c r="GX151" s="110"/>
      <c r="GY151" s="110"/>
      <c r="GZ151" s="110"/>
      <c r="HA151" s="110"/>
      <c r="HB151" s="110"/>
      <c r="HC151" s="110"/>
      <c r="HD151" s="110"/>
      <c r="HE151" s="110"/>
      <c r="HF151" s="110"/>
      <c r="HG151" s="110"/>
      <c r="HH151" s="110"/>
      <c r="HI151" s="110"/>
      <c r="HJ151" s="110"/>
      <c r="HK151" s="110"/>
      <c r="HL151" s="110"/>
      <c r="HM151" s="110"/>
      <c r="HN151" s="110"/>
      <c r="HO151" s="110"/>
      <c r="HP151" s="110"/>
      <c r="HQ151" s="110"/>
      <c r="HR151" s="110"/>
      <c r="HS151" s="110"/>
      <c r="HT151" s="110"/>
      <c r="HU151" s="110"/>
      <c r="HV151" s="110"/>
      <c r="HW151" s="110"/>
      <c r="HX151" s="110"/>
      <c r="HY151" s="110"/>
      <c r="HZ151" s="110"/>
      <c r="IA151" s="110"/>
      <c r="IB151" s="110"/>
      <c r="IC151" s="110"/>
      <c r="ID151" s="110"/>
      <c r="IE151" s="110"/>
      <c r="IF151" s="110"/>
      <c r="IG151" s="110"/>
      <c r="IH151" s="110"/>
      <c r="II151" s="110"/>
      <c r="IJ151" s="110"/>
      <c r="IK151" s="110"/>
      <c r="IL151" s="110"/>
      <c r="IM151" s="110"/>
      <c r="IN151" s="110"/>
      <c r="IO151" s="110"/>
      <c r="IP151" s="110"/>
      <c r="IQ151" s="110"/>
      <c r="IR151" s="110"/>
      <c r="IS151" s="110"/>
      <c r="IT151" s="110"/>
      <c r="IU151" s="110"/>
      <c r="IV151" s="110"/>
      <c r="IW151" s="110"/>
      <c r="IX151" s="110"/>
      <c r="IY151" s="110"/>
      <c r="IZ151" s="110"/>
      <c r="JA151" s="110"/>
      <c r="JB151" s="110"/>
      <c r="JC151" s="110"/>
      <c r="JD151" s="110"/>
      <c r="JE151" s="110"/>
      <c r="JF151" s="110"/>
      <c r="JG151" s="110"/>
      <c r="JH151" s="110"/>
      <c r="JI151" s="110"/>
      <c r="JJ151" s="110"/>
      <c r="JK151" s="110"/>
      <c r="JL151" s="110"/>
      <c r="JM151" s="110"/>
      <c r="JN151" s="110"/>
      <c r="JO151" s="110"/>
      <c r="JP151" s="110"/>
      <c r="JQ151" s="110"/>
      <c r="JR151" s="110"/>
      <c r="JS151" s="110"/>
      <c r="JT151" s="110"/>
      <c r="JU151" s="110"/>
      <c r="JV151" s="110"/>
      <c r="JW151" s="110"/>
      <c r="JX151" s="110"/>
      <c r="JY151" s="110"/>
      <c r="JZ151" s="110"/>
      <c r="KA151" s="110"/>
      <c r="KB151" s="110"/>
      <c r="KC151" s="110"/>
      <c r="KD151" s="110"/>
      <c r="KE151" s="110"/>
      <c r="KF151" s="110"/>
      <c r="KG151" s="110"/>
      <c r="KH151" s="110"/>
      <c r="KI151" s="110"/>
      <c r="KJ151" s="110"/>
      <c r="KK151" s="110"/>
      <c r="KL151" s="110"/>
      <c r="KM151" s="110"/>
      <c r="KN151" s="110"/>
    </row>
    <row r="152" spans="1:300" ht="19.2" customHeight="1" x14ac:dyDescent="0.3">
      <c r="A152" s="110"/>
      <c r="B152" s="110"/>
      <c r="C152" s="110"/>
      <c r="D152" s="110"/>
      <c r="E152" s="110"/>
      <c r="F152" s="110"/>
      <c r="G152" s="112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  <c r="GG152" s="110"/>
      <c r="GH152" s="110"/>
      <c r="GI152" s="110"/>
      <c r="GJ152" s="110"/>
      <c r="GK152" s="110"/>
      <c r="GL152" s="110"/>
      <c r="GM152" s="110"/>
      <c r="GN152" s="110"/>
      <c r="GO152" s="110"/>
      <c r="GP152" s="110"/>
      <c r="GQ152" s="110"/>
      <c r="GR152" s="110"/>
      <c r="GS152" s="110"/>
      <c r="GT152" s="110"/>
      <c r="GU152" s="110"/>
      <c r="GV152" s="110"/>
      <c r="GW152" s="110"/>
      <c r="GX152" s="110"/>
      <c r="GY152" s="110"/>
      <c r="GZ152" s="110"/>
      <c r="HA152" s="110"/>
      <c r="HB152" s="110"/>
      <c r="HC152" s="110"/>
      <c r="HD152" s="110"/>
      <c r="HE152" s="110"/>
      <c r="HF152" s="110"/>
      <c r="HG152" s="110"/>
      <c r="HH152" s="110"/>
      <c r="HI152" s="110"/>
      <c r="HJ152" s="110"/>
      <c r="HK152" s="110"/>
      <c r="HL152" s="110"/>
      <c r="HM152" s="110"/>
      <c r="HN152" s="110"/>
      <c r="HO152" s="110"/>
      <c r="HP152" s="110"/>
      <c r="HQ152" s="110"/>
      <c r="HR152" s="110"/>
      <c r="HS152" s="110"/>
      <c r="HT152" s="110"/>
      <c r="HU152" s="110"/>
      <c r="HV152" s="110"/>
      <c r="HW152" s="110"/>
      <c r="HX152" s="110"/>
      <c r="HY152" s="110"/>
      <c r="HZ152" s="110"/>
      <c r="IA152" s="110"/>
      <c r="IB152" s="110"/>
      <c r="IC152" s="110"/>
      <c r="ID152" s="110"/>
      <c r="IE152" s="110"/>
      <c r="IF152" s="110"/>
      <c r="IG152" s="110"/>
      <c r="IH152" s="110"/>
      <c r="II152" s="110"/>
      <c r="IJ152" s="110"/>
      <c r="IK152" s="110"/>
      <c r="IL152" s="110"/>
      <c r="IM152" s="110"/>
      <c r="IN152" s="110"/>
      <c r="IO152" s="110"/>
      <c r="IP152" s="110"/>
      <c r="IQ152" s="110"/>
      <c r="IR152" s="110"/>
      <c r="IS152" s="110"/>
      <c r="IT152" s="110"/>
      <c r="IU152" s="110"/>
      <c r="IV152" s="110"/>
      <c r="IW152" s="110"/>
      <c r="IX152" s="110"/>
      <c r="IY152" s="110"/>
      <c r="IZ152" s="110"/>
      <c r="JA152" s="110"/>
      <c r="JB152" s="110"/>
      <c r="JC152" s="110"/>
      <c r="JD152" s="110"/>
      <c r="JE152" s="110"/>
      <c r="JF152" s="110"/>
      <c r="JG152" s="110"/>
      <c r="JH152" s="110"/>
      <c r="JI152" s="110"/>
      <c r="JJ152" s="110"/>
      <c r="JK152" s="110"/>
      <c r="JL152" s="110"/>
      <c r="JM152" s="110"/>
      <c r="JN152" s="110"/>
      <c r="JO152" s="110"/>
      <c r="JP152" s="110"/>
      <c r="JQ152" s="110"/>
      <c r="JR152" s="110"/>
      <c r="JS152" s="110"/>
      <c r="JT152" s="110"/>
      <c r="JU152" s="110"/>
      <c r="JV152" s="110"/>
      <c r="JW152" s="110"/>
      <c r="JX152" s="110"/>
      <c r="JY152" s="110"/>
      <c r="JZ152" s="110"/>
      <c r="KA152" s="110"/>
      <c r="KB152" s="110"/>
      <c r="KC152" s="110"/>
      <c r="KD152" s="110"/>
      <c r="KE152" s="110"/>
      <c r="KF152" s="110"/>
      <c r="KG152" s="110"/>
      <c r="KH152" s="110"/>
      <c r="KI152" s="110"/>
      <c r="KJ152" s="110"/>
      <c r="KK152" s="110"/>
      <c r="KL152" s="110"/>
      <c r="KM152" s="110"/>
      <c r="KN152" s="110"/>
    </row>
    <row r="153" spans="1:300" ht="19.2" customHeight="1" x14ac:dyDescent="0.3">
      <c r="A153" s="110"/>
      <c r="B153" s="110"/>
      <c r="C153" s="110"/>
      <c r="D153" s="110"/>
      <c r="E153" s="110"/>
      <c r="F153" s="110"/>
      <c r="G153" s="112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  <c r="GG153" s="110"/>
      <c r="GH153" s="110"/>
      <c r="GI153" s="110"/>
      <c r="GJ153" s="110"/>
      <c r="GK153" s="110"/>
      <c r="GL153" s="110"/>
      <c r="GM153" s="110"/>
      <c r="GN153" s="110"/>
      <c r="GO153" s="110"/>
      <c r="GP153" s="110"/>
      <c r="GQ153" s="110"/>
      <c r="GR153" s="110"/>
      <c r="GS153" s="110"/>
      <c r="GT153" s="110"/>
      <c r="GU153" s="110"/>
      <c r="GV153" s="110"/>
      <c r="GW153" s="110"/>
      <c r="GX153" s="110"/>
      <c r="GY153" s="110"/>
      <c r="GZ153" s="110"/>
      <c r="HA153" s="110"/>
      <c r="HB153" s="110"/>
      <c r="HC153" s="110"/>
      <c r="HD153" s="110"/>
      <c r="HE153" s="110"/>
      <c r="HF153" s="110"/>
      <c r="HG153" s="110"/>
      <c r="HH153" s="110"/>
      <c r="HI153" s="110"/>
      <c r="HJ153" s="110"/>
      <c r="HK153" s="110"/>
      <c r="HL153" s="110"/>
      <c r="HM153" s="110"/>
      <c r="HN153" s="110"/>
      <c r="HO153" s="110"/>
      <c r="HP153" s="110"/>
      <c r="HQ153" s="110"/>
      <c r="HR153" s="110"/>
      <c r="HS153" s="110"/>
      <c r="HT153" s="110"/>
      <c r="HU153" s="110"/>
      <c r="HV153" s="110"/>
      <c r="HW153" s="110"/>
      <c r="HX153" s="110"/>
      <c r="HY153" s="110"/>
      <c r="HZ153" s="110"/>
      <c r="IA153" s="110"/>
      <c r="IB153" s="110"/>
      <c r="IC153" s="110"/>
      <c r="ID153" s="110"/>
      <c r="IE153" s="110"/>
      <c r="IF153" s="110"/>
      <c r="IG153" s="110"/>
      <c r="IH153" s="110"/>
      <c r="II153" s="110"/>
      <c r="IJ153" s="110"/>
      <c r="IK153" s="110"/>
      <c r="IL153" s="110"/>
      <c r="IM153" s="110"/>
      <c r="IN153" s="110"/>
      <c r="IO153" s="110"/>
      <c r="IP153" s="110"/>
      <c r="IQ153" s="110"/>
      <c r="IR153" s="110"/>
      <c r="IS153" s="110"/>
      <c r="IT153" s="110"/>
      <c r="IU153" s="110"/>
      <c r="IV153" s="110"/>
      <c r="IW153" s="110"/>
      <c r="IX153" s="110"/>
      <c r="IY153" s="110"/>
      <c r="IZ153" s="110"/>
      <c r="JA153" s="110"/>
      <c r="JB153" s="110"/>
      <c r="JC153" s="110"/>
      <c r="JD153" s="110"/>
      <c r="JE153" s="110"/>
      <c r="JF153" s="110"/>
      <c r="JG153" s="110"/>
      <c r="JH153" s="110"/>
      <c r="JI153" s="110"/>
      <c r="JJ153" s="110"/>
      <c r="JK153" s="110"/>
      <c r="JL153" s="110"/>
      <c r="JM153" s="110"/>
      <c r="JN153" s="110"/>
      <c r="JO153" s="110"/>
      <c r="JP153" s="110"/>
      <c r="JQ153" s="110"/>
      <c r="JR153" s="110"/>
      <c r="JS153" s="110"/>
      <c r="JT153" s="110"/>
      <c r="JU153" s="110"/>
      <c r="JV153" s="110"/>
      <c r="JW153" s="110"/>
      <c r="JX153" s="110"/>
      <c r="JY153" s="110"/>
      <c r="JZ153" s="110"/>
      <c r="KA153" s="110"/>
      <c r="KB153" s="110"/>
      <c r="KC153" s="110"/>
      <c r="KD153" s="110"/>
      <c r="KE153" s="110"/>
      <c r="KF153" s="110"/>
      <c r="KG153" s="110"/>
      <c r="KH153" s="110"/>
      <c r="KI153" s="110"/>
      <c r="KJ153" s="110"/>
      <c r="KK153" s="110"/>
      <c r="KL153" s="110"/>
      <c r="KM153" s="110"/>
      <c r="KN153" s="110"/>
    </row>
    <row r="154" spans="1:300" ht="19.2" customHeight="1" x14ac:dyDescent="0.3">
      <c r="A154" s="110"/>
      <c r="B154" s="110"/>
      <c r="C154" s="110"/>
      <c r="D154" s="110"/>
      <c r="E154" s="110"/>
      <c r="F154" s="110"/>
      <c r="G154" s="112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  <c r="GG154" s="110"/>
      <c r="GH154" s="110"/>
      <c r="GI154" s="110"/>
      <c r="GJ154" s="110"/>
      <c r="GK154" s="110"/>
      <c r="GL154" s="110"/>
      <c r="GM154" s="110"/>
      <c r="GN154" s="110"/>
      <c r="GO154" s="110"/>
      <c r="GP154" s="110"/>
      <c r="GQ154" s="110"/>
      <c r="GR154" s="110"/>
      <c r="GS154" s="110"/>
      <c r="GT154" s="110"/>
      <c r="GU154" s="110"/>
      <c r="GV154" s="110"/>
      <c r="GW154" s="110"/>
      <c r="GX154" s="110"/>
      <c r="GY154" s="110"/>
      <c r="GZ154" s="110"/>
      <c r="HA154" s="110"/>
      <c r="HB154" s="110"/>
      <c r="HC154" s="110"/>
      <c r="HD154" s="110"/>
      <c r="HE154" s="110"/>
      <c r="HF154" s="110"/>
      <c r="HG154" s="110"/>
      <c r="HH154" s="110"/>
      <c r="HI154" s="110"/>
      <c r="HJ154" s="110"/>
      <c r="HK154" s="110"/>
      <c r="HL154" s="110"/>
      <c r="HM154" s="110"/>
      <c r="HN154" s="110"/>
      <c r="HO154" s="110"/>
      <c r="HP154" s="110"/>
      <c r="HQ154" s="110"/>
      <c r="HR154" s="110"/>
      <c r="HS154" s="110"/>
      <c r="HT154" s="110"/>
      <c r="HU154" s="110"/>
      <c r="HV154" s="110"/>
      <c r="HW154" s="110"/>
      <c r="HX154" s="110"/>
      <c r="HY154" s="110"/>
      <c r="HZ154" s="110"/>
      <c r="IA154" s="110"/>
      <c r="IB154" s="110"/>
      <c r="IC154" s="110"/>
      <c r="ID154" s="110"/>
      <c r="IE154" s="110"/>
      <c r="IF154" s="110"/>
      <c r="IG154" s="110"/>
      <c r="IH154" s="110"/>
      <c r="II154" s="110"/>
      <c r="IJ154" s="110"/>
      <c r="IK154" s="110"/>
      <c r="IL154" s="110"/>
      <c r="IM154" s="110"/>
      <c r="IN154" s="110"/>
      <c r="IO154" s="110"/>
      <c r="IP154" s="110"/>
      <c r="IQ154" s="110"/>
      <c r="IR154" s="110"/>
      <c r="IS154" s="110"/>
      <c r="IT154" s="110"/>
      <c r="IU154" s="110"/>
      <c r="IV154" s="110"/>
      <c r="IW154" s="110"/>
      <c r="IX154" s="110"/>
      <c r="IY154" s="110"/>
      <c r="IZ154" s="110"/>
      <c r="JA154" s="110"/>
      <c r="JB154" s="110"/>
      <c r="JC154" s="110"/>
      <c r="JD154" s="110"/>
      <c r="JE154" s="110"/>
      <c r="JF154" s="110"/>
      <c r="JG154" s="110"/>
      <c r="JH154" s="110"/>
      <c r="JI154" s="110"/>
      <c r="JJ154" s="110"/>
      <c r="JK154" s="110"/>
      <c r="JL154" s="110"/>
      <c r="JM154" s="110"/>
      <c r="JN154" s="110"/>
      <c r="JO154" s="110"/>
      <c r="JP154" s="110"/>
      <c r="JQ154" s="110"/>
      <c r="JR154" s="110"/>
      <c r="JS154" s="110"/>
      <c r="JT154" s="110"/>
      <c r="JU154" s="110"/>
      <c r="JV154" s="110"/>
      <c r="JW154" s="110"/>
      <c r="JX154" s="110"/>
      <c r="JY154" s="110"/>
      <c r="JZ154" s="110"/>
      <c r="KA154" s="110"/>
      <c r="KB154" s="110"/>
      <c r="KC154" s="110"/>
      <c r="KD154" s="110"/>
      <c r="KE154" s="110"/>
      <c r="KF154" s="110"/>
      <c r="KG154" s="110"/>
      <c r="KH154" s="110"/>
      <c r="KI154" s="110"/>
      <c r="KJ154" s="110"/>
      <c r="KK154" s="110"/>
      <c r="KL154" s="110"/>
      <c r="KM154" s="110"/>
      <c r="KN154" s="110"/>
    </row>
    <row r="155" spans="1:300" ht="19.2" customHeight="1" x14ac:dyDescent="0.3">
      <c r="A155" s="110"/>
      <c r="B155" s="110"/>
      <c r="C155" s="110"/>
      <c r="D155" s="110"/>
      <c r="E155" s="110"/>
      <c r="F155" s="110"/>
      <c r="G155" s="112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  <c r="GG155" s="110"/>
      <c r="GH155" s="110"/>
      <c r="GI155" s="110"/>
      <c r="GJ155" s="110"/>
      <c r="GK155" s="110"/>
      <c r="GL155" s="110"/>
      <c r="GM155" s="110"/>
      <c r="GN155" s="110"/>
      <c r="GO155" s="110"/>
      <c r="GP155" s="110"/>
      <c r="GQ155" s="110"/>
      <c r="GR155" s="110"/>
      <c r="GS155" s="110"/>
      <c r="GT155" s="110"/>
      <c r="GU155" s="110"/>
      <c r="GV155" s="110"/>
      <c r="GW155" s="110"/>
      <c r="GX155" s="110"/>
      <c r="GY155" s="110"/>
      <c r="GZ155" s="110"/>
      <c r="HA155" s="110"/>
      <c r="HB155" s="110"/>
      <c r="HC155" s="110"/>
      <c r="HD155" s="110"/>
      <c r="HE155" s="110"/>
      <c r="HF155" s="110"/>
      <c r="HG155" s="110"/>
      <c r="HH155" s="110"/>
      <c r="HI155" s="110"/>
      <c r="HJ155" s="110"/>
      <c r="HK155" s="110"/>
      <c r="HL155" s="110"/>
      <c r="HM155" s="110"/>
      <c r="HN155" s="110"/>
      <c r="HO155" s="110"/>
      <c r="HP155" s="110"/>
      <c r="HQ155" s="110"/>
      <c r="HR155" s="110"/>
      <c r="HS155" s="110"/>
      <c r="HT155" s="110"/>
      <c r="HU155" s="110"/>
      <c r="HV155" s="110"/>
      <c r="HW155" s="110"/>
      <c r="HX155" s="110"/>
      <c r="HY155" s="110"/>
      <c r="HZ155" s="110"/>
      <c r="IA155" s="110"/>
      <c r="IB155" s="110"/>
      <c r="IC155" s="110"/>
      <c r="ID155" s="110"/>
      <c r="IE155" s="110"/>
      <c r="IF155" s="110"/>
      <c r="IG155" s="110"/>
      <c r="IH155" s="110"/>
      <c r="II155" s="110"/>
      <c r="IJ155" s="110"/>
      <c r="IK155" s="110"/>
      <c r="IL155" s="110"/>
      <c r="IM155" s="110"/>
      <c r="IN155" s="110"/>
      <c r="IO155" s="110"/>
      <c r="IP155" s="110"/>
      <c r="IQ155" s="110"/>
      <c r="IR155" s="110"/>
      <c r="IS155" s="110"/>
      <c r="IT155" s="110"/>
      <c r="IU155" s="110"/>
      <c r="IV155" s="110"/>
      <c r="IW155" s="110"/>
      <c r="IX155" s="110"/>
      <c r="IY155" s="110"/>
      <c r="IZ155" s="110"/>
      <c r="JA155" s="110"/>
      <c r="JB155" s="110"/>
      <c r="JC155" s="110"/>
      <c r="JD155" s="110"/>
      <c r="JE155" s="110"/>
      <c r="JF155" s="110"/>
      <c r="JG155" s="110"/>
      <c r="JH155" s="110"/>
      <c r="JI155" s="110"/>
      <c r="JJ155" s="110"/>
      <c r="JK155" s="110"/>
      <c r="JL155" s="110"/>
      <c r="JM155" s="110"/>
      <c r="JN155" s="110"/>
      <c r="JO155" s="110"/>
      <c r="JP155" s="110"/>
      <c r="JQ155" s="110"/>
      <c r="JR155" s="110"/>
      <c r="JS155" s="110"/>
      <c r="JT155" s="110"/>
      <c r="JU155" s="110"/>
      <c r="JV155" s="110"/>
      <c r="JW155" s="110"/>
      <c r="JX155" s="110"/>
      <c r="JY155" s="110"/>
      <c r="JZ155" s="110"/>
      <c r="KA155" s="110"/>
      <c r="KB155" s="110"/>
      <c r="KC155" s="110"/>
      <c r="KD155" s="110"/>
      <c r="KE155" s="110"/>
      <c r="KF155" s="110"/>
      <c r="KG155" s="110"/>
      <c r="KH155" s="110"/>
      <c r="KI155" s="110"/>
      <c r="KJ155" s="110"/>
      <c r="KK155" s="110"/>
      <c r="KL155" s="110"/>
      <c r="KM155" s="110"/>
      <c r="KN155" s="110"/>
    </row>
    <row r="156" spans="1:300" ht="19.2" customHeight="1" x14ac:dyDescent="0.3">
      <c r="A156" s="110"/>
      <c r="B156" s="110"/>
      <c r="C156" s="110"/>
      <c r="D156" s="110"/>
      <c r="E156" s="110"/>
      <c r="F156" s="110"/>
      <c r="G156" s="112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  <c r="GG156" s="110"/>
      <c r="GH156" s="110"/>
      <c r="GI156" s="110"/>
      <c r="GJ156" s="110"/>
      <c r="GK156" s="110"/>
      <c r="GL156" s="110"/>
      <c r="GM156" s="110"/>
      <c r="GN156" s="110"/>
      <c r="GO156" s="110"/>
      <c r="GP156" s="110"/>
      <c r="GQ156" s="110"/>
      <c r="GR156" s="110"/>
      <c r="GS156" s="110"/>
      <c r="GT156" s="110"/>
      <c r="GU156" s="110"/>
      <c r="GV156" s="110"/>
      <c r="GW156" s="110"/>
      <c r="GX156" s="110"/>
      <c r="GY156" s="110"/>
      <c r="GZ156" s="110"/>
      <c r="HA156" s="110"/>
      <c r="HB156" s="110"/>
      <c r="HC156" s="110"/>
      <c r="HD156" s="110"/>
      <c r="HE156" s="110"/>
      <c r="HF156" s="110"/>
      <c r="HG156" s="110"/>
      <c r="HH156" s="110"/>
      <c r="HI156" s="110"/>
      <c r="HJ156" s="110"/>
      <c r="HK156" s="110"/>
      <c r="HL156" s="110"/>
      <c r="HM156" s="110"/>
      <c r="HN156" s="110"/>
      <c r="HO156" s="110"/>
      <c r="HP156" s="110"/>
      <c r="HQ156" s="110"/>
      <c r="HR156" s="110"/>
      <c r="HS156" s="110"/>
      <c r="HT156" s="110"/>
      <c r="HU156" s="110"/>
      <c r="HV156" s="110"/>
      <c r="HW156" s="110"/>
      <c r="HX156" s="110"/>
      <c r="HY156" s="110"/>
      <c r="HZ156" s="110"/>
      <c r="IA156" s="110"/>
      <c r="IB156" s="110"/>
      <c r="IC156" s="110"/>
      <c r="ID156" s="110"/>
      <c r="IE156" s="110"/>
      <c r="IF156" s="110"/>
      <c r="IG156" s="110"/>
      <c r="IH156" s="110"/>
      <c r="II156" s="110"/>
      <c r="IJ156" s="110"/>
      <c r="IK156" s="110"/>
      <c r="IL156" s="110"/>
      <c r="IM156" s="110"/>
      <c r="IN156" s="110"/>
      <c r="IO156" s="110"/>
      <c r="IP156" s="110"/>
      <c r="IQ156" s="110"/>
      <c r="IR156" s="110"/>
      <c r="IS156" s="110"/>
      <c r="IT156" s="110"/>
      <c r="IU156" s="110"/>
      <c r="IV156" s="110"/>
      <c r="IW156" s="110"/>
      <c r="IX156" s="110"/>
      <c r="IY156" s="110"/>
      <c r="IZ156" s="110"/>
      <c r="JA156" s="110"/>
      <c r="JB156" s="110"/>
      <c r="JC156" s="110"/>
      <c r="JD156" s="110"/>
      <c r="JE156" s="110"/>
      <c r="JF156" s="110"/>
      <c r="JG156" s="110"/>
      <c r="JH156" s="110"/>
      <c r="JI156" s="110"/>
      <c r="JJ156" s="110"/>
      <c r="JK156" s="110"/>
      <c r="JL156" s="110"/>
      <c r="JM156" s="110"/>
      <c r="JN156" s="110"/>
      <c r="JO156" s="110"/>
      <c r="JP156" s="110"/>
      <c r="JQ156" s="110"/>
      <c r="JR156" s="110"/>
      <c r="JS156" s="110"/>
      <c r="JT156" s="110"/>
      <c r="JU156" s="110"/>
      <c r="JV156" s="110"/>
      <c r="JW156" s="110"/>
      <c r="JX156" s="110"/>
      <c r="JY156" s="110"/>
      <c r="JZ156" s="110"/>
      <c r="KA156" s="110"/>
      <c r="KB156" s="110"/>
      <c r="KC156" s="110"/>
      <c r="KD156" s="110"/>
      <c r="KE156" s="110"/>
      <c r="KF156" s="110"/>
      <c r="KG156" s="110"/>
      <c r="KH156" s="110"/>
      <c r="KI156" s="110"/>
      <c r="KJ156" s="110"/>
      <c r="KK156" s="110"/>
      <c r="KL156" s="110"/>
      <c r="KM156" s="110"/>
      <c r="KN156" s="110"/>
    </row>
    <row r="157" spans="1:300" ht="19.2" customHeight="1" x14ac:dyDescent="0.3">
      <c r="A157" s="110"/>
      <c r="B157" s="110"/>
      <c r="C157" s="110"/>
      <c r="D157" s="110"/>
      <c r="E157" s="110"/>
      <c r="F157" s="110"/>
      <c r="G157" s="112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  <c r="GG157" s="110"/>
      <c r="GH157" s="110"/>
      <c r="GI157" s="110"/>
      <c r="GJ157" s="110"/>
      <c r="GK157" s="110"/>
      <c r="GL157" s="110"/>
      <c r="GM157" s="110"/>
      <c r="GN157" s="110"/>
      <c r="GO157" s="110"/>
      <c r="GP157" s="110"/>
      <c r="GQ157" s="110"/>
      <c r="GR157" s="110"/>
      <c r="GS157" s="110"/>
      <c r="GT157" s="110"/>
      <c r="GU157" s="110"/>
      <c r="GV157" s="110"/>
      <c r="GW157" s="110"/>
      <c r="GX157" s="110"/>
      <c r="GY157" s="110"/>
      <c r="GZ157" s="110"/>
      <c r="HA157" s="110"/>
      <c r="HB157" s="110"/>
      <c r="HC157" s="110"/>
      <c r="HD157" s="110"/>
      <c r="HE157" s="110"/>
      <c r="HF157" s="110"/>
      <c r="HG157" s="110"/>
      <c r="HH157" s="110"/>
      <c r="HI157" s="110"/>
      <c r="HJ157" s="110"/>
      <c r="HK157" s="110"/>
      <c r="HL157" s="110"/>
      <c r="HM157" s="110"/>
      <c r="HN157" s="110"/>
      <c r="HO157" s="110"/>
      <c r="HP157" s="110"/>
      <c r="HQ157" s="110"/>
      <c r="HR157" s="110"/>
      <c r="HS157" s="110"/>
      <c r="HT157" s="110"/>
      <c r="HU157" s="110"/>
      <c r="HV157" s="110"/>
      <c r="HW157" s="110"/>
      <c r="HX157" s="110"/>
      <c r="HY157" s="110"/>
      <c r="HZ157" s="110"/>
      <c r="IA157" s="110"/>
      <c r="IB157" s="110"/>
      <c r="IC157" s="110"/>
      <c r="ID157" s="110"/>
      <c r="IE157" s="110"/>
      <c r="IF157" s="110"/>
      <c r="IG157" s="110"/>
      <c r="IH157" s="110"/>
      <c r="II157" s="110"/>
      <c r="IJ157" s="110"/>
      <c r="IK157" s="110"/>
      <c r="IL157" s="110"/>
      <c r="IM157" s="110"/>
      <c r="IN157" s="110"/>
      <c r="IO157" s="110"/>
      <c r="IP157" s="110"/>
      <c r="IQ157" s="110"/>
      <c r="IR157" s="110"/>
      <c r="IS157" s="110"/>
      <c r="IT157" s="110"/>
      <c r="IU157" s="110"/>
      <c r="IV157" s="110"/>
      <c r="IW157" s="110"/>
      <c r="IX157" s="110"/>
      <c r="IY157" s="110"/>
      <c r="IZ157" s="110"/>
      <c r="JA157" s="110"/>
      <c r="JB157" s="110"/>
      <c r="JC157" s="110"/>
      <c r="JD157" s="110"/>
      <c r="JE157" s="110"/>
      <c r="JF157" s="110"/>
      <c r="JG157" s="110"/>
      <c r="JH157" s="110"/>
      <c r="JI157" s="110"/>
      <c r="JJ157" s="110"/>
      <c r="JK157" s="110"/>
      <c r="JL157" s="110"/>
      <c r="JM157" s="110"/>
      <c r="JN157" s="110"/>
      <c r="JO157" s="110"/>
      <c r="JP157" s="110"/>
      <c r="JQ157" s="110"/>
      <c r="JR157" s="110"/>
      <c r="JS157" s="110"/>
      <c r="JT157" s="110"/>
      <c r="JU157" s="110"/>
      <c r="JV157" s="110"/>
      <c r="JW157" s="110"/>
      <c r="JX157" s="110"/>
      <c r="JY157" s="110"/>
      <c r="JZ157" s="110"/>
      <c r="KA157" s="110"/>
      <c r="KB157" s="110"/>
      <c r="KC157" s="110"/>
      <c r="KD157" s="110"/>
      <c r="KE157" s="110"/>
      <c r="KF157" s="110"/>
      <c r="KG157" s="110"/>
      <c r="KH157" s="110"/>
      <c r="KI157" s="110"/>
      <c r="KJ157" s="110"/>
      <c r="KK157" s="110"/>
      <c r="KL157" s="110"/>
      <c r="KM157" s="110"/>
      <c r="KN157" s="110"/>
    </row>
    <row r="158" spans="1:300" ht="19.2" customHeight="1" x14ac:dyDescent="0.3">
      <c r="A158" s="110"/>
      <c r="B158" s="110"/>
      <c r="C158" s="110"/>
      <c r="D158" s="110"/>
      <c r="E158" s="110"/>
      <c r="F158" s="110"/>
      <c r="G158" s="112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  <c r="GG158" s="110"/>
      <c r="GH158" s="110"/>
      <c r="GI158" s="110"/>
      <c r="GJ158" s="110"/>
      <c r="GK158" s="110"/>
      <c r="GL158" s="110"/>
      <c r="GM158" s="110"/>
      <c r="GN158" s="110"/>
      <c r="GO158" s="110"/>
      <c r="GP158" s="110"/>
      <c r="GQ158" s="110"/>
      <c r="GR158" s="110"/>
      <c r="GS158" s="110"/>
      <c r="GT158" s="110"/>
      <c r="GU158" s="110"/>
      <c r="GV158" s="110"/>
      <c r="GW158" s="110"/>
      <c r="GX158" s="110"/>
      <c r="GY158" s="110"/>
      <c r="GZ158" s="110"/>
      <c r="HA158" s="110"/>
      <c r="HB158" s="110"/>
      <c r="HC158" s="110"/>
      <c r="HD158" s="110"/>
      <c r="HE158" s="110"/>
      <c r="HF158" s="110"/>
      <c r="HG158" s="110"/>
      <c r="HH158" s="110"/>
      <c r="HI158" s="110"/>
      <c r="HJ158" s="110"/>
      <c r="HK158" s="110"/>
      <c r="HL158" s="110"/>
      <c r="HM158" s="110"/>
      <c r="HN158" s="110"/>
      <c r="HO158" s="110"/>
      <c r="HP158" s="110"/>
      <c r="HQ158" s="110"/>
      <c r="HR158" s="110"/>
      <c r="HS158" s="110"/>
      <c r="HT158" s="110"/>
      <c r="HU158" s="110"/>
      <c r="HV158" s="110"/>
      <c r="HW158" s="110"/>
      <c r="HX158" s="110"/>
      <c r="HY158" s="110"/>
      <c r="HZ158" s="110"/>
      <c r="IA158" s="110"/>
      <c r="IB158" s="110"/>
      <c r="IC158" s="110"/>
      <c r="ID158" s="110"/>
      <c r="IE158" s="110"/>
      <c r="IF158" s="110"/>
      <c r="IG158" s="110"/>
      <c r="IH158" s="110"/>
      <c r="II158" s="110"/>
      <c r="IJ158" s="110"/>
      <c r="IK158" s="110"/>
      <c r="IL158" s="110"/>
      <c r="IM158" s="110"/>
      <c r="IN158" s="110"/>
      <c r="IO158" s="110"/>
      <c r="IP158" s="110"/>
      <c r="IQ158" s="110"/>
      <c r="IR158" s="110"/>
      <c r="IS158" s="110"/>
      <c r="IT158" s="110"/>
      <c r="IU158" s="110"/>
      <c r="IV158" s="110"/>
      <c r="IW158" s="110"/>
      <c r="IX158" s="110"/>
      <c r="IY158" s="110"/>
      <c r="IZ158" s="110"/>
      <c r="JA158" s="110"/>
      <c r="JB158" s="110"/>
      <c r="JC158" s="110"/>
      <c r="JD158" s="110"/>
      <c r="JE158" s="110"/>
      <c r="JF158" s="110"/>
      <c r="JG158" s="110"/>
      <c r="JH158" s="110"/>
      <c r="JI158" s="110"/>
      <c r="JJ158" s="110"/>
      <c r="JK158" s="110"/>
      <c r="JL158" s="110"/>
      <c r="JM158" s="110"/>
      <c r="JN158" s="110"/>
      <c r="JO158" s="110"/>
      <c r="JP158" s="110"/>
      <c r="JQ158" s="110"/>
      <c r="JR158" s="110"/>
      <c r="JS158" s="110"/>
      <c r="JT158" s="110"/>
      <c r="JU158" s="110"/>
      <c r="JV158" s="110"/>
      <c r="JW158" s="110"/>
      <c r="JX158" s="110"/>
      <c r="JY158" s="110"/>
      <c r="JZ158" s="110"/>
      <c r="KA158" s="110"/>
      <c r="KB158" s="110"/>
      <c r="KC158" s="110"/>
      <c r="KD158" s="110"/>
      <c r="KE158" s="110"/>
      <c r="KF158" s="110"/>
      <c r="KG158" s="110"/>
      <c r="KH158" s="110"/>
      <c r="KI158" s="110"/>
      <c r="KJ158" s="110"/>
      <c r="KK158" s="110"/>
      <c r="KL158" s="110"/>
      <c r="KM158" s="110"/>
      <c r="KN158" s="110"/>
    </row>
    <row r="159" spans="1:300" ht="19.2" customHeight="1" x14ac:dyDescent="0.3">
      <c r="A159" s="110"/>
      <c r="B159" s="110"/>
      <c r="C159" s="110"/>
      <c r="D159" s="110"/>
      <c r="E159" s="110"/>
      <c r="F159" s="110"/>
      <c r="G159" s="112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10"/>
      <c r="JP159" s="110"/>
      <c r="JQ159" s="110"/>
      <c r="JR159" s="110"/>
      <c r="JS159" s="110"/>
      <c r="JT159" s="110"/>
      <c r="JU159" s="110"/>
      <c r="JV159" s="110"/>
      <c r="JW159" s="110"/>
      <c r="JX159" s="110"/>
      <c r="JY159" s="110"/>
      <c r="JZ159" s="110"/>
      <c r="KA159" s="110"/>
      <c r="KB159" s="110"/>
      <c r="KC159" s="110"/>
      <c r="KD159" s="110"/>
      <c r="KE159" s="110"/>
      <c r="KF159" s="110"/>
      <c r="KG159" s="110"/>
      <c r="KH159" s="110"/>
      <c r="KI159" s="110"/>
      <c r="KJ159" s="110"/>
      <c r="KK159" s="110"/>
      <c r="KL159" s="110"/>
      <c r="KM159" s="110"/>
      <c r="KN159" s="110"/>
    </row>
    <row r="160" spans="1:300" ht="19.2" customHeight="1" x14ac:dyDescent="0.3">
      <c r="A160" s="110"/>
      <c r="B160" s="110"/>
      <c r="C160" s="110"/>
      <c r="D160" s="110"/>
      <c r="E160" s="110"/>
      <c r="F160" s="110"/>
      <c r="G160" s="112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10"/>
      <c r="JP160" s="110"/>
      <c r="JQ160" s="110"/>
      <c r="JR160" s="110"/>
      <c r="JS160" s="110"/>
      <c r="JT160" s="110"/>
      <c r="JU160" s="110"/>
      <c r="JV160" s="110"/>
      <c r="JW160" s="110"/>
      <c r="JX160" s="110"/>
      <c r="JY160" s="110"/>
      <c r="JZ160" s="110"/>
      <c r="KA160" s="110"/>
      <c r="KB160" s="110"/>
      <c r="KC160" s="110"/>
      <c r="KD160" s="110"/>
      <c r="KE160" s="110"/>
      <c r="KF160" s="110"/>
      <c r="KG160" s="110"/>
      <c r="KH160" s="110"/>
      <c r="KI160" s="110"/>
      <c r="KJ160" s="110"/>
      <c r="KK160" s="110"/>
      <c r="KL160" s="110"/>
      <c r="KM160" s="110"/>
      <c r="KN160" s="110"/>
    </row>
    <row r="161" spans="1:300" ht="19.2" customHeight="1" x14ac:dyDescent="0.3">
      <c r="A161" s="110"/>
      <c r="B161" s="110"/>
      <c r="C161" s="110"/>
      <c r="D161" s="110"/>
      <c r="E161" s="110"/>
      <c r="F161" s="110"/>
      <c r="G161" s="112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10"/>
      <c r="JP161" s="110"/>
      <c r="JQ161" s="110"/>
      <c r="JR161" s="110"/>
      <c r="JS161" s="110"/>
      <c r="JT161" s="110"/>
      <c r="JU161" s="110"/>
      <c r="JV161" s="110"/>
      <c r="JW161" s="110"/>
      <c r="JX161" s="110"/>
      <c r="JY161" s="110"/>
      <c r="JZ161" s="110"/>
      <c r="KA161" s="110"/>
      <c r="KB161" s="110"/>
      <c r="KC161" s="110"/>
      <c r="KD161" s="110"/>
      <c r="KE161" s="110"/>
      <c r="KF161" s="110"/>
      <c r="KG161" s="110"/>
      <c r="KH161" s="110"/>
      <c r="KI161" s="110"/>
      <c r="KJ161" s="110"/>
      <c r="KK161" s="110"/>
      <c r="KL161" s="110"/>
      <c r="KM161" s="110"/>
      <c r="KN161" s="110"/>
    </row>
    <row r="162" spans="1:300" ht="19.2" customHeight="1" x14ac:dyDescent="0.3">
      <c r="A162" s="110"/>
      <c r="B162" s="110"/>
      <c r="C162" s="110"/>
      <c r="D162" s="110"/>
      <c r="E162" s="110"/>
      <c r="F162" s="110"/>
      <c r="G162" s="112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  <c r="GG162" s="110"/>
      <c r="GH162" s="110"/>
      <c r="GI162" s="110"/>
      <c r="GJ162" s="110"/>
      <c r="GK162" s="110"/>
      <c r="GL162" s="110"/>
      <c r="GM162" s="110"/>
      <c r="GN162" s="110"/>
      <c r="GO162" s="110"/>
      <c r="GP162" s="110"/>
      <c r="GQ162" s="110"/>
      <c r="GR162" s="110"/>
      <c r="GS162" s="110"/>
      <c r="GT162" s="110"/>
      <c r="GU162" s="110"/>
      <c r="GV162" s="110"/>
      <c r="GW162" s="110"/>
      <c r="GX162" s="110"/>
      <c r="GY162" s="110"/>
      <c r="GZ162" s="110"/>
      <c r="HA162" s="110"/>
      <c r="HB162" s="110"/>
      <c r="HC162" s="110"/>
      <c r="HD162" s="110"/>
      <c r="HE162" s="110"/>
      <c r="HF162" s="110"/>
      <c r="HG162" s="110"/>
      <c r="HH162" s="110"/>
      <c r="HI162" s="110"/>
      <c r="HJ162" s="110"/>
      <c r="HK162" s="110"/>
      <c r="HL162" s="110"/>
      <c r="HM162" s="110"/>
      <c r="HN162" s="110"/>
      <c r="HO162" s="110"/>
      <c r="HP162" s="110"/>
      <c r="HQ162" s="110"/>
      <c r="HR162" s="110"/>
      <c r="HS162" s="110"/>
      <c r="HT162" s="110"/>
      <c r="HU162" s="110"/>
      <c r="HV162" s="110"/>
      <c r="HW162" s="110"/>
      <c r="HX162" s="110"/>
      <c r="HY162" s="110"/>
      <c r="HZ162" s="110"/>
      <c r="IA162" s="110"/>
      <c r="IB162" s="110"/>
      <c r="IC162" s="110"/>
      <c r="ID162" s="110"/>
      <c r="IE162" s="110"/>
      <c r="IF162" s="110"/>
      <c r="IG162" s="110"/>
      <c r="IH162" s="110"/>
      <c r="II162" s="110"/>
      <c r="IJ162" s="110"/>
      <c r="IK162" s="110"/>
      <c r="IL162" s="110"/>
      <c r="IM162" s="110"/>
      <c r="IN162" s="110"/>
      <c r="IO162" s="110"/>
      <c r="IP162" s="110"/>
      <c r="IQ162" s="110"/>
      <c r="IR162" s="110"/>
      <c r="IS162" s="110"/>
      <c r="IT162" s="110"/>
      <c r="IU162" s="110"/>
      <c r="IV162" s="110"/>
      <c r="IW162" s="110"/>
      <c r="IX162" s="110"/>
      <c r="IY162" s="110"/>
      <c r="IZ162" s="110"/>
      <c r="JA162" s="110"/>
      <c r="JB162" s="110"/>
      <c r="JC162" s="110"/>
      <c r="JD162" s="110"/>
      <c r="JE162" s="110"/>
      <c r="JF162" s="110"/>
      <c r="JG162" s="110"/>
      <c r="JH162" s="110"/>
      <c r="JI162" s="110"/>
      <c r="JJ162" s="110"/>
      <c r="JK162" s="110"/>
      <c r="JL162" s="110"/>
      <c r="JM162" s="110"/>
      <c r="JN162" s="110"/>
      <c r="JO162" s="110"/>
      <c r="JP162" s="110"/>
      <c r="JQ162" s="110"/>
      <c r="JR162" s="110"/>
      <c r="JS162" s="110"/>
      <c r="JT162" s="110"/>
      <c r="JU162" s="110"/>
      <c r="JV162" s="110"/>
      <c r="JW162" s="110"/>
      <c r="JX162" s="110"/>
      <c r="JY162" s="110"/>
      <c r="JZ162" s="110"/>
      <c r="KA162" s="110"/>
      <c r="KB162" s="110"/>
      <c r="KC162" s="110"/>
      <c r="KD162" s="110"/>
      <c r="KE162" s="110"/>
      <c r="KF162" s="110"/>
      <c r="KG162" s="110"/>
      <c r="KH162" s="110"/>
      <c r="KI162" s="110"/>
      <c r="KJ162" s="110"/>
      <c r="KK162" s="110"/>
      <c r="KL162" s="110"/>
      <c r="KM162" s="110"/>
      <c r="KN162" s="110"/>
    </row>
    <row r="163" spans="1:300" ht="19.2" customHeight="1" x14ac:dyDescent="0.3">
      <c r="A163" s="110"/>
      <c r="B163" s="110"/>
      <c r="C163" s="110"/>
      <c r="D163" s="110"/>
      <c r="E163" s="110"/>
      <c r="F163" s="110"/>
      <c r="G163" s="112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  <c r="GG163" s="110"/>
      <c r="GH163" s="110"/>
      <c r="GI163" s="110"/>
      <c r="GJ163" s="110"/>
      <c r="GK163" s="110"/>
      <c r="GL163" s="110"/>
      <c r="GM163" s="110"/>
      <c r="GN163" s="110"/>
      <c r="GO163" s="110"/>
      <c r="GP163" s="110"/>
      <c r="GQ163" s="110"/>
      <c r="GR163" s="110"/>
      <c r="GS163" s="110"/>
      <c r="GT163" s="110"/>
      <c r="GU163" s="110"/>
      <c r="GV163" s="110"/>
      <c r="GW163" s="110"/>
      <c r="GX163" s="110"/>
      <c r="GY163" s="110"/>
      <c r="GZ163" s="110"/>
      <c r="HA163" s="110"/>
      <c r="HB163" s="110"/>
      <c r="HC163" s="110"/>
      <c r="HD163" s="110"/>
      <c r="HE163" s="110"/>
      <c r="HF163" s="110"/>
      <c r="HG163" s="110"/>
      <c r="HH163" s="110"/>
      <c r="HI163" s="110"/>
      <c r="HJ163" s="110"/>
      <c r="HK163" s="110"/>
      <c r="HL163" s="110"/>
      <c r="HM163" s="110"/>
      <c r="HN163" s="110"/>
      <c r="HO163" s="110"/>
      <c r="HP163" s="110"/>
      <c r="HQ163" s="110"/>
      <c r="HR163" s="110"/>
      <c r="HS163" s="110"/>
      <c r="HT163" s="110"/>
      <c r="HU163" s="110"/>
      <c r="HV163" s="110"/>
      <c r="HW163" s="110"/>
      <c r="HX163" s="110"/>
      <c r="HY163" s="110"/>
      <c r="HZ163" s="110"/>
      <c r="IA163" s="110"/>
      <c r="IB163" s="110"/>
      <c r="IC163" s="110"/>
      <c r="ID163" s="110"/>
      <c r="IE163" s="110"/>
      <c r="IF163" s="110"/>
      <c r="IG163" s="110"/>
      <c r="IH163" s="110"/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  <c r="JK163" s="110"/>
      <c r="JL163" s="110"/>
      <c r="JM163" s="110"/>
      <c r="JN163" s="110"/>
      <c r="JO163" s="110"/>
      <c r="JP163" s="110"/>
      <c r="JQ163" s="110"/>
      <c r="JR163" s="110"/>
      <c r="JS163" s="110"/>
      <c r="JT163" s="110"/>
      <c r="JU163" s="110"/>
      <c r="JV163" s="110"/>
      <c r="JW163" s="110"/>
      <c r="JX163" s="110"/>
      <c r="JY163" s="110"/>
      <c r="JZ163" s="110"/>
      <c r="KA163" s="110"/>
      <c r="KB163" s="110"/>
      <c r="KC163" s="110"/>
      <c r="KD163" s="110"/>
      <c r="KE163" s="110"/>
      <c r="KF163" s="110"/>
      <c r="KG163" s="110"/>
      <c r="KH163" s="110"/>
      <c r="KI163" s="110"/>
      <c r="KJ163" s="110"/>
      <c r="KK163" s="110"/>
      <c r="KL163" s="110"/>
      <c r="KM163" s="110"/>
      <c r="KN163" s="110"/>
    </row>
    <row r="164" spans="1:300" ht="19.2" customHeight="1" x14ac:dyDescent="0.3">
      <c r="A164" s="110"/>
      <c r="B164" s="110"/>
      <c r="C164" s="110"/>
      <c r="D164" s="110"/>
      <c r="E164" s="110"/>
      <c r="F164" s="110"/>
      <c r="G164" s="112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  <c r="GG164" s="110"/>
      <c r="GH164" s="110"/>
      <c r="GI164" s="110"/>
      <c r="GJ164" s="110"/>
      <c r="GK164" s="110"/>
      <c r="GL164" s="110"/>
      <c r="GM164" s="110"/>
      <c r="GN164" s="110"/>
      <c r="GO164" s="110"/>
      <c r="GP164" s="110"/>
      <c r="GQ164" s="110"/>
      <c r="GR164" s="110"/>
      <c r="GS164" s="110"/>
      <c r="GT164" s="110"/>
      <c r="GU164" s="110"/>
      <c r="GV164" s="110"/>
      <c r="GW164" s="110"/>
      <c r="GX164" s="110"/>
      <c r="GY164" s="110"/>
      <c r="GZ164" s="110"/>
      <c r="HA164" s="110"/>
      <c r="HB164" s="110"/>
      <c r="HC164" s="110"/>
      <c r="HD164" s="110"/>
      <c r="HE164" s="110"/>
      <c r="HF164" s="110"/>
      <c r="HG164" s="110"/>
      <c r="HH164" s="110"/>
      <c r="HI164" s="110"/>
      <c r="HJ164" s="110"/>
      <c r="HK164" s="110"/>
      <c r="HL164" s="110"/>
      <c r="HM164" s="110"/>
      <c r="HN164" s="110"/>
      <c r="HO164" s="110"/>
      <c r="HP164" s="110"/>
      <c r="HQ164" s="110"/>
      <c r="HR164" s="110"/>
      <c r="HS164" s="110"/>
      <c r="HT164" s="110"/>
      <c r="HU164" s="110"/>
      <c r="HV164" s="110"/>
      <c r="HW164" s="110"/>
      <c r="HX164" s="110"/>
      <c r="HY164" s="110"/>
      <c r="HZ164" s="110"/>
      <c r="IA164" s="110"/>
      <c r="IB164" s="110"/>
      <c r="IC164" s="110"/>
      <c r="ID164" s="110"/>
      <c r="IE164" s="110"/>
      <c r="IF164" s="110"/>
      <c r="IG164" s="110"/>
      <c r="IH164" s="110"/>
      <c r="II164" s="110"/>
      <c r="IJ164" s="110"/>
      <c r="IK164" s="110"/>
      <c r="IL164" s="110"/>
      <c r="IM164" s="110"/>
      <c r="IN164" s="110"/>
      <c r="IO164" s="110"/>
      <c r="IP164" s="110"/>
      <c r="IQ164" s="110"/>
      <c r="IR164" s="110"/>
      <c r="IS164" s="110"/>
      <c r="IT164" s="110"/>
      <c r="IU164" s="110"/>
      <c r="IV164" s="110"/>
      <c r="IW164" s="110"/>
      <c r="IX164" s="110"/>
      <c r="IY164" s="110"/>
      <c r="IZ164" s="110"/>
      <c r="JA164" s="110"/>
      <c r="JB164" s="110"/>
      <c r="JC164" s="110"/>
      <c r="JD164" s="110"/>
      <c r="JE164" s="110"/>
      <c r="JF164" s="110"/>
      <c r="JG164" s="110"/>
      <c r="JH164" s="110"/>
      <c r="JI164" s="110"/>
      <c r="JJ164" s="110"/>
      <c r="JK164" s="110"/>
      <c r="JL164" s="110"/>
      <c r="JM164" s="110"/>
      <c r="JN164" s="110"/>
      <c r="JO164" s="110"/>
      <c r="JP164" s="110"/>
      <c r="JQ164" s="110"/>
      <c r="JR164" s="110"/>
      <c r="JS164" s="110"/>
      <c r="JT164" s="110"/>
      <c r="JU164" s="110"/>
      <c r="JV164" s="110"/>
      <c r="JW164" s="110"/>
      <c r="JX164" s="110"/>
      <c r="JY164" s="110"/>
      <c r="JZ164" s="110"/>
      <c r="KA164" s="110"/>
      <c r="KB164" s="110"/>
      <c r="KC164" s="110"/>
      <c r="KD164" s="110"/>
      <c r="KE164" s="110"/>
      <c r="KF164" s="110"/>
      <c r="KG164" s="110"/>
      <c r="KH164" s="110"/>
      <c r="KI164" s="110"/>
      <c r="KJ164" s="110"/>
      <c r="KK164" s="110"/>
      <c r="KL164" s="110"/>
      <c r="KM164" s="110"/>
      <c r="KN164" s="110"/>
    </row>
    <row r="165" spans="1:300" ht="19.2" customHeight="1" x14ac:dyDescent="0.3">
      <c r="A165" s="110"/>
      <c r="B165" s="110"/>
      <c r="C165" s="110"/>
      <c r="D165" s="110"/>
      <c r="E165" s="110"/>
      <c r="F165" s="110"/>
      <c r="G165" s="112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  <c r="GG165" s="110"/>
      <c r="GH165" s="110"/>
      <c r="GI165" s="110"/>
      <c r="GJ165" s="110"/>
      <c r="GK165" s="110"/>
      <c r="GL165" s="110"/>
      <c r="GM165" s="110"/>
      <c r="GN165" s="110"/>
      <c r="GO165" s="110"/>
      <c r="GP165" s="110"/>
      <c r="GQ165" s="110"/>
      <c r="GR165" s="110"/>
      <c r="GS165" s="110"/>
      <c r="GT165" s="110"/>
      <c r="GU165" s="110"/>
      <c r="GV165" s="110"/>
      <c r="GW165" s="110"/>
      <c r="GX165" s="110"/>
      <c r="GY165" s="110"/>
      <c r="GZ165" s="110"/>
      <c r="HA165" s="110"/>
      <c r="HB165" s="110"/>
      <c r="HC165" s="110"/>
      <c r="HD165" s="110"/>
      <c r="HE165" s="110"/>
      <c r="HF165" s="110"/>
      <c r="HG165" s="110"/>
      <c r="HH165" s="110"/>
      <c r="HI165" s="110"/>
      <c r="HJ165" s="110"/>
      <c r="HK165" s="110"/>
      <c r="HL165" s="110"/>
      <c r="HM165" s="110"/>
      <c r="HN165" s="110"/>
      <c r="HO165" s="110"/>
      <c r="HP165" s="110"/>
      <c r="HQ165" s="110"/>
      <c r="HR165" s="110"/>
      <c r="HS165" s="110"/>
      <c r="HT165" s="110"/>
      <c r="HU165" s="110"/>
      <c r="HV165" s="110"/>
      <c r="HW165" s="110"/>
      <c r="HX165" s="110"/>
      <c r="HY165" s="110"/>
      <c r="HZ165" s="110"/>
      <c r="IA165" s="110"/>
      <c r="IB165" s="110"/>
      <c r="IC165" s="110"/>
      <c r="ID165" s="110"/>
      <c r="IE165" s="110"/>
      <c r="IF165" s="110"/>
      <c r="IG165" s="110"/>
      <c r="IH165" s="110"/>
      <c r="II165" s="110"/>
      <c r="IJ165" s="110"/>
      <c r="IK165" s="110"/>
      <c r="IL165" s="110"/>
      <c r="IM165" s="110"/>
      <c r="IN165" s="110"/>
      <c r="IO165" s="110"/>
      <c r="IP165" s="110"/>
      <c r="IQ165" s="110"/>
      <c r="IR165" s="110"/>
      <c r="IS165" s="110"/>
      <c r="IT165" s="110"/>
      <c r="IU165" s="110"/>
      <c r="IV165" s="110"/>
      <c r="IW165" s="110"/>
      <c r="IX165" s="110"/>
      <c r="IY165" s="110"/>
      <c r="IZ165" s="110"/>
      <c r="JA165" s="110"/>
      <c r="JB165" s="110"/>
      <c r="JC165" s="110"/>
      <c r="JD165" s="110"/>
      <c r="JE165" s="110"/>
      <c r="JF165" s="110"/>
      <c r="JG165" s="110"/>
      <c r="JH165" s="110"/>
      <c r="JI165" s="110"/>
      <c r="JJ165" s="110"/>
      <c r="JK165" s="110"/>
      <c r="JL165" s="110"/>
      <c r="JM165" s="110"/>
      <c r="JN165" s="110"/>
      <c r="JO165" s="110"/>
      <c r="JP165" s="110"/>
      <c r="JQ165" s="110"/>
      <c r="JR165" s="110"/>
      <c r="JS165" s="110"/>
      <c r="JT165" s="110"/>
      <c r="JU165" s="110"/>
      <c r="JV165" s="110"/>
      <c r="JW165" s="110"/>
      <c r="JX165" s="110"/>
      <c r="JY165" s="110"/>
      <c r="JZ165" s="110"/>
      <c r="KA165" s="110"/>
      <c r="KB165" s="110"/>
      <c r="KC165" s="110"/>
      <c r="KD165" s="110"/>
      <c r="KE165" s="110"/>
      <c r="KF165" s="110"/>
      <c r="KG165" s="110"/>
      <c r="KH165" s="110"/>
      <c r="KI165" s="110"/>
      <c r="KJ165" s="110"/>
      <c r="KK165" s="110"/>
      <c r="KL165" s="110"/>
      <c r="KM165" s="110"/>
      <c r="KN165" s="110"/>
    </row>
    <row r="166" spans="1:300" ht="19.2" customHeight="1" x14ac:dyDescent="0.3">
      <c r="A166" s="110"/>
      <c r="B166" s="110"/>
      <c r="C166" s="110"/>
      <c r="D166" s="110"/>
      <c r="E166" s="110"/>
      <c r="F166" s="110"/>
      <c r="G166" s="112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  <c r="GG166" s="110"/>
      <c r="GH166" s="110"/>
      <c r="GI166" s="110"/>
      <c r="GJ166" s="110"/>
      <c r="GK166" s="110"/>
      <c r="GL166" s="110"/>
      <c r="GM166" s="110"/>
      <c r="GN166" s="110"/>
      <c r="GO166" s="110"/>
      <c r="GP166" s="110"/>
      <c r="GQ166" s="110"/>
      <c r="GR166" s="110"/>
      <c r="GS166" s="110"/>
      <c r="GT166" s="110"/>
      <c r="GU166" s="110"/>
      <c r="GV166" s="110"/>
      <c r="GW166" s="110"/>
      <c r="GX166" s="110"/>
      <c r="GY166" s="110"/>
      <c r="GZ166" s="110"/>
      <c r="HA166" s="110"/>
      <c r="HB166" s="110"/>
      <c r="HC166" s="110"/>
      <c r="HD166" s="110"/>
      <c r="HE166" s="110"/>
      <c r="HF166" s="110"/>
      <c r="HG166" s="110"/>
      <c r="HH166" s="110"/>
      <c r="HI166" s="110"/>
      <c r="HJ166" s="110"/>
      <c r="HK166" s="110"/>
      <c r="HL166" s="110"/>
      <c r="HM166" s="110"/>
      <c r="HN166" s="110"/>
      <c r="HO166" s="110"/>
      <c r="HP166" s="110"/>
      <c r="HQ166" s="110"/>
      <c r="HR166" s="110"/>
      <c r="HS166" s="110"/>
      <c r="HT166" s="110"/>
      <c r="HU166" s="110"/>
      <c r="HV166" s="110"/>
      <c r="HW166" s="110"/>
      <c r="HX166" s="110"/>
      <c r="HY166" s="110"/>
      <c r="HZ166" s="110"/>
      <c r="IA166" s="110"/>
      <c r="IB166" s="110"/>
      <c r="IC166" s="110"/>
      <c r="ID166" s="110"/>
      <c r="IE166" s="110"/>
      <c r="IF166" s="110"/>
      <c r="IG166" s="110"/>
      <c r="IH166" s="110"/>
      <c r="II166" s="110"/>
      <c r="IJ166" s="110"/>
      <c r="IK166" s="110"/>
      <c r="IL166" s="110"/>
      <c r="IM166" s="110"/>
      <c r="IN166" s="110"/>
      <c r="IO166" s="110"/>
      <c r="IP166" s="110"/>
      <c r="IQ166" s="110"/>
      <c r="IR166" s="110"/>
      <c r="IS166" s="110"/>
      <c r="IT166" s="110"/>
      <c r="IU166" s="110"/>
      <c r="IV166" s="110"/>
      <c r="IW166" s="110"/>
      <c r="IX166" s="110"/>
      <c r="IY166" s="110"/>
      <c r="IZ166" s="110"/>
      <c r="JA166" s="110"/>
      <c r="JB166" s="110"/>
      <c r="JC166" s="110"/>
      <c r="JD166" s="110"/>
      <c r="JE166" s="110"/>
      <c r="JF166" s="110"/>
      <c r="JG166" s="110"/>
      <c r="JH166" s="110"/>
      <c r="JI166" s="110"/>
      <c r="JJ166" s="110"/>
      <c r="JK166" s="110"/>
      <c r="JL166" s="110"/>
      <c r="JM166" s="110"/>
      <c r="JN166" s="110"/>
      <c r="JO166" s="110"/>
      <c r="JP166" s="110"/>
      <c r="JQ166" s="110"/>
      <c r="JR166" s="110"/>
      <c r="JS166" s="110"/>
      <c r="JT166" s="110"/>
      <c r="JU166" s="110"/>
      <c r="JV166" s="110"/>
      <c r="JW166" s="110"/>
      <c r="JX166" s="110"/>
      <c r="JY166" s="110"/>
      <c r="JZ166" s="110"/>
      <c r="KA166" s="110"/>
      <c r="KB166" s="110"/>
      <c r="KC166" s="110"/>
      <c r="KD166" s="110"/>
      <c r="KE166" s="110"/>
      <c r="KF166" s="110"/>
      <c r="KG166" s="110"/>
      <c r="KH166" s="110"/>
      <c r="KI166" s="110"/>
      <c r="KJ166" s="110"/>
      <c r="KK166" s="110"/>
      <c r="KL166" s="110"/>
      <c r="KM166" s="110"/>
      <c r="KN166" s="110"/>
    </row>
    <row r="167" spans="1:300" ht="19.2" customHeight="1" x14ac:dyDescent="0.3">
      <c r="A167" s="110"/>
      <c r="B167" s="110"/>
      <c r="C167" s="110"/>
      <c r="D167" s="110"/>
      <c r="E167" s="110"/>
      <c r="F167" s="110"/>
      <c r="G167" s="112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  <c r="GG167" s="110"/>
      <c r="GH167" s="110"/>
      <c r="GI167" s="110"/>
      <c r="GJ167" s="110"/>
      <c r="GK167" s="110"/>
      <c r="GL167" s="110"/>
      <c r="GM167" s="110"/>
      <c r="GN167" s="110"/>
      <c r="GO167" s="110"/>
      <c r="GP167" s="110"/>
      <c r="GQ167" s="110"/>
      <c r="GR167" s="110"/>
      <c r="GS167" s="110"/>
      <c r="GT167" s="110"/>
      <c r="GU167" s="110"/>
      <c r="GV167" s="110"/>
      <c r="GW167" s="110"/>
      <c r="GX167" s="110"/>
      <c r="GY167" s="110"/>
      <c r="GZ167" s="110"/>
      <c r="HA167" s="110"/>
      <c r="HB167" s="110"/>
      <c r="HC167" s="110"/>
      <c r="HD167" s="110"/>
      <c r="HE167" s="110"/>
      <c r="HF167" s="110"/>
      <c r="HG167" s="110"/>
      <c r="HH167" s="110"/>
      <c r="HI167" s="110"/>
      <c r="HJ167" s="110"/>
      <c r="HK167" s="110"/>
      <c r="HL167" s="110"/>
      <c r="HM167" s="110"/>
      <c r="HN167" s="110"/>
      <c r="HO167" s="110"/>
      <c r="HP167" s="110"/>
      <c r="HQ167" s="110"/>
      <c r="HR167" s="110"/>
      <c r="HS167" s="110"/>
      <c r="HT167" s="110"/>
      <c r="HU167" s="110"/>
      <c r="HV167" s="110"/>
      <c r="HW167" s="110"/>
      <c r="HX167" s="110"/>
      <c r="HY167" s="110"/>
      <c r="HZ167" s="110"/>
      <c r="IA167" s="110"/>
      <c r="IB167" s="110"/>
      <c r="IC167" s="110"/>
      <c r="ID167" s="110"/>
      <c r="IE167" s="110"/>
      <c r="IF167" s="110"/>
      <c r="IG167" s="110"/>
      <c r="IH167" s="110"/>
      <c r="II167" s="110"/>
      <c r="IJ167" s="110"/>
      <c r="IK167" s="110"/>
      <c r="IL167" s="110"/>
      <c r="IM167" s="110"/>
      <c r="IN167" s="110"/>
      <c r="IO167" s="110"/>
      <c r="IP167" s="110"/>
      <c r="IQ167" s="110"/>
      <c r="IR167" s="110"/>
      <c r="IS167" s="110"/>
      <c r="IT167" s="110"/>
      <c r="IU167" s="110"/>
      <c r="IV167" s="110"/>
      <c r="IW167" s="110"/>
      <c r="IX167" s="110"/>
      <c r="IY167" s="110"/>
      <c r="IZ167" s="110"/>
      <c r="JA167" s="110"/>
      <c r="JB167" s="110"/>
      <c r="JC167" s="110"/>
      <c r="JD167" s="110"/>
      <c r="JE167" s="110"/>
      <c r="JF167" s="110"/>
      <c r="JG167" s="110"/>
      <c r="JH167" s="110"/>
      <c r="JI167" s="110"/>
      <c r="JJ167" s="110"/>
      <c r="JK167" s="110"/>
      <c r="JL167" s="110"/>
      <c r="JM167" s="110"/>
      <c r="JN167" s="110"/>
      <c r="JO167" s="110"/>
      <c r="JP167" s="110"/>
      <c r="JQ167" s="110"/>
      <c r="JR167" s="110"/>
      <c r="JS167" s="110"/>
      <c r="JT167" s="110"/>
      <c r="JU167" s="110"/>
      <c r="JV167" s="110"/>
      <c r="JW167" s="110"/>
      <c r="JX167" s="110"/>
      <c r="JY167" s="110"/>
      <c r="JZ167" s="110"/>
      <c r="KA167" s="110"/>
      <c r="KB167" s="110"/>
      <c r="KC167" s="110"/>
      <c r="KD167" s="110"/>
      <c r="KE167" s="110"/>
      <c r="KF167" s="110"/>
      <c r="KG167" s="110"/>
      <c r="KH167" s="110"/>
      <c r="KI167" s="110"/>
      <c r="KJ167" s="110"/>
      <c r="KK167" s="110"/>
      <c r="KL167" s="110"/>
      <c r="KM167" s="110"/>
      <c r="KN167" s="110"/>
    </row>
    <row r="168" spans="1:300" ht="19.2" customHeight="1" x14ac:dyDescent="0.3">
      <c r="A168" s="110"/>
      <c r="B168" s="110"/>
      <c r="C168" s="110"/>
      <c r="D168" s="110"/>
      <c r="E168" s="110"/>
      <c r="F168" s="110"/>
      <c r="G168" s="112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  <c r="GG168" s="110"/>
      <c r="GH168" s="110"/>
      <c r="GI168" s="110"/>
      <c r="GJ168" s="110"/>
      <c r="GK168" s="110"/>
      <c r="GL168" s="110"/>
      <c r="GM168" s="110"/>
      <c r="GN168" s="110"/>
      <c r="GO168" s="110"/>
      <c r="GP168" s="110"/>
      <c r="GQ168" s="110"/>
      <c r="GR168" s="110"/>
      <c r="GS168" s="110"/>
      <c r="GT168" s="110"/>
      <c r="GU168" s="110"/>
      <c r="GV168" s="110"/>
      <c r="GW168" s="110"/>
      <c r="GX168" s="110"/>
      <c r="GY168" s="110"/>
      <c r="GZ168" s="110"/>
      <c r="HA168" s="110"/>
      <c r="HB168" s="110"/>
      <c r="HC168" s="110"/>
      <c r="HD168" s="110"/>
      <c r="HE168" s="110"/>
      <c r="HF168" s="110"/>
      <c r="HG168" s="110"/>
      <c r="HH168" s="110"/>
      <c r="HI168" s="110"/>
      <c r="HJ168" s="110"/>
      <c r="HK168" s="110"/>
      <c r="HL168" s="110"/>
      <c r="HM168" s="110"/>
      <c r="HN168" s="110"/>
      <c r="HO168" s="110"/>
      <c r="HP168" s="110"/>
      <c r="HQ168" s="110"/>
      <c r="HR168" s="110"/>
      <c r="HS168" s="110"/>
      <c r="HT168" s="110"/>
      <c r="HU168" s="110"/>
      <c r="HV168" s="110"/>
      <c r="HW168" s="110"/>
      <c r="HX168" s="110"/>
      <c r="HY168" s="110"/>
      <c r="HZ168" s="110"/>
      <c r="IA168" s="110"/>
      <c r="IB168" s="110"/>
      <c r="IC168" s="110"/>
      <c r="ID168" s="110"/>
      <c r="IE168" s="110"/>
      <c r="IF168" s="110"/>
      <c r="IG168" s="110"/>
      <c r="IH168" s="110"/>
      <c r="II168" s="110"/>
      <c r="IJ168" s="110"/>
      <c r="IK168" s="110"/>
      <c r="IL168" s="110"/>
      <c r="IM168" s="110"/>
      <c r="IN168" s="110"/>
      <c r="IO168" s="110"/>
      <c r="IP168" s="110"/>
      <c r="IQ168" s="110"/>
      <c r="IR168" s="110"/>
      <c r="IS168" s="110"/>
      <c r="IT168" s="110"/>
      <c r="IU168" s="110"/>
      <c r="IV168" s="110"/>
      <c r="IW168" s="110"/>
      <c r="IX168" s="110"/>
      <c r="IY168" s="110"/>
      <c r="IZ168" s="110"/>
      <c r="JA168" s="110"/>
      <c r="JB168" s="110"/>
      <c r="JC168" s="110"/>
      <c r="JD168" s="110"/>
      <c r="JE168" s="110"/>
      <c r="JF168" s="110"/>
      <c r="JG168" s="110"/>
      <c r="JH168" s="110"/>
      <c r="JI168" s="110"/>
      <c r="JJ168" s="110"/>
      <c r="JK168" s="110"/>
      <c r="JL168" s="110"/>
      <c r="JM168" s="110"/>
      <c r="JN168" s="110"/>
      <c r="JO168" s="110"/>
      <c r="JP168" s="110"/>
      <c r="JQ168" s="110"/>
      <c r="JR168" s="110"/>
      <c r="JS168" s="110"/>
      <c r="JT168" s="110"/>
      <c r="JU168" s="110"/>
      <c r="JV168" s="110"/>
      <c r="JW168" s="110"/>
      <c r="JX168" s="110"/>
      <c r="JY168" s="110"/>
      <c r="JZ168" s="110"/>
      <c r="KA168" s="110"/>
      <c r="KB168" s="110"/>
      <c r="KC168" s="110"/>
      <c r="KD168" s="110"/>
      <c r="KE168" s="110"/>
      <c r="KF168" s="110"/>
      <c r="KG168" s="110"/>
      <c r="KH168" s="110"/>
      <c r="KI168" s="110"/>
      <c r="KJ168" s="110"/>
      <c r="KK168" s="110"/>
      <c r="KL168" s="110"/>
      <c r="KM168" s="110"/>
      <c r="KN168" s="110"/>
    </row>
    <row r="169" spans="1:300" ht="19.2" customHeight="1" x14ac:dyDescent="0.3">
      <c r="A169" s="110"/>
      <c r="B169" s="110"/>
      <c r="C169" s="110"/>
      <c r="D169" s="110"/>
      <c r="E169" s="110"/>
      <c r="F169" s="110"/>
      <c r="G169" s="112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  <c r="GG169" s="110"/>
      <c r="GH169" s="110"/>
      <c r="GI169" s="110"/>
      <c r="GJ169" s="110"/>
      <c r="GK169" s="110"/>
      <c r="GL169" s="110"/>
      <c r="GM169" s="110"/>
      <c r="GN169" s="110"/>
      <c r="GO169" s="110"/>
      <c r="GP169" s="110"/>
      <c r="GQ169" s="110"/>
      <c r="GR169" s="110"/>
      <c r="GS169" s="110"/>
      <c r="GT169" s="110"/>
      <c r="GU169" s="110"/>
      <c r="GV169" s="110"/>
      <c r="GW169" s="110"/>
      <c r="GX169" s="110"/>
      <c r="GY169" s="110"/>
      <c r="GZ169" s="110"/>
      <c r="HA169" s="110"/>
      <c r="HB169" s="110"/>
      <c r="HC169" s="110"/>
      <c r="HD169" s="110"/>
      <c r="HE169" s="110"/>
      <c r="HF169" s="110"/>
      <c r="HG169" s="110"/>
      <c r="HH169" s="110"/>
      <c r="HI169" s="110"/>
      <c r="HJ169" s="110"/>
      <c r="HK169" s="110"/>
      <c r="HL169" s="110"/>
      <c r="HM169" s="110"/>
      <c r="HN169" s="110"/>
      <c r="HO169" s="110"/>
      <c r="HP169" s="110"/>
      <c r="HQ169" s="110"/>
      <c r="HR169" s="110"/>
      <c r="HS169" s="110"/>
      <c r="HT169" s="110"/>
      <c r="HU169" s="110"/>
      <c r="HV169" s="110"/>
      <c r="HW169" s="110"/>
      <c r="HX169" s="110"/>
      <c r="HY169" s="110"/>
      <c r="HZ169" s="110"/>
      <c r="IA169" s="110"/>
      <c r="IB169" s="110"/>
      <c r="IC169" s="110"/>
      <c r="ID169" s="110"/>
      <c r="IE169" s="110"/>
      <c r="IF169" s="110"/>
      <c r="IG169" s="110"/>
      <c r="IH169" s="110"/>
      <c r="II169" s="110"/>
      <c r="IJ169" s="110"/>
      <c r="IK169" s="110"/>
      <c r="IL169" s="110"/>
      <c r="IM169" s="110"/>
      <c r="IN169" s="110"/>
      <c r="IO169" s="110"/>
      <c r="IP169" s="110"/>
      <c r="IQ169" s="110"/>
      <c r="IR169" s="110"/>
      <c r="IS169" s="110"/>
      <c r="IT169" s="110"/>
      <c r="IU169" s="110"/>
      <c r="IV169" s="110"/>
      <c r="IW169" s="110"/>
      <c r="IX169" s="110"/>
      <c r="IY169" s="110"/>
      <c r="IZ169" s="110"/>
      <c r="JA169" s="110"/>
      <c r="JB169" s="110"/>
      <c r="JC169" s="110"/>
      <c r="JD169" s="110"/>
      <c r="JE169" s="110"/>
      <c r="JF169" s="110"/>
      <c r="JG169" s="110"/>
      <c r="JH169" s="110"/>
      <c r="JI169" s="110"/>
      <c r="JJ169" s="110"/>
      <c r="JK169" s="110"/>
      <c r="JL169" s="110"/>
      <c r="JM169" s="110"/>
      <c r="JN169" s="110"/>
      <c r="JO169" s="110"/>
      <c r="JP169" s="110"/>
      <c r="JQ169" s="110"/>
      <c r="JR169" s="110"/>
      <c r="JS169" s="110"/>
      <c r="JT169" s="110"/>
      <c r="JU169" s="110"/>
      <c r="JV169" s="110"/>
      <c r="JW169" s="110"/>
      <c r="JX169" s="110"/>
      <c r="JY169" s="110"/>
      <c r="JZ169" s="110"/>
      <c r="KA169" s="110"/>
      <c r="KB169" s="110"/>
      <c r="KC169" s="110"/>
      <c r="KD169" s="110"/>
      <c r="KE169" s="110"/>
      <c r="KF169" s="110"/>
      <c r="KG169" s="110"/>
      <c r="KH169" s="110"/>
      <c r="KI169" s="110"/>
      <c r="KJ169" s="110"/>
      <c r="KK169" s="110"/>
      <c r="KL169" s="110"/>
      <c r="KM169" s="110"/>
      <c r="KN169" s="110"/>
    </row>
    <row r="170" spans="1:300" ht="19.2" customHeight="1" x14ac:dyDescent="0.3">
      <c r="A170" s="110"/>
      <c r="B170" s="110"/>
      <c r="C170" s="110"/>
      <c r="D170" s="110"/>
      <c r="E170" s="110"/>
      <c r="F170" s="110"/>
      <c r="G170" s="112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  <c r="GG170" s="110"/>
      <c r="GH170" s="110"/>
      <c r="GI170" s="110"/>
      <c r="GJ170" s="110"/>
      <c r="GK170" s="110"/>
      <c r="GL170" s="110"/>
      <c r="GM170" s="110"/>
      <c r="GN170" s="110"/>
      <c r="GO170" s="110"/>
      <c r="GP170" s="110"/>
      <c r="GQ170" s="110"/>
      <c r="GR170" s="110"/>
      <c r="GS170" s="110"/>
      <c r="GT170" s="110"/>
      <c r="GU170" s="110"/>
      <c r="GV170" s="110"/>
      <c r="GW170" s="110"/>
      <c r="GX170" s="110"/>
      <c r="GY170" s="110"/>
      <c r="GZ170" s="110"/>
      <c r="HA170" s="110"/>
      <c r="HB170" s="110"/>
      <c r="HC170" s="110"/>
      <c r="HD170" s="110"/>
      <c r="HE170" s="110"/>
      <c r="HF170" s="110"/>
      <c r="HG170" s="110"/>
      <c r="HH170" s="110"/>
      <c r="HI170" s="110"/>
      <c r="HJ170" s="110"/>
      <c r="HK170" s="110"/>
      <c r="HL170" s="110"/>
      <c r="HM170" s="110"/>
      <c r="HN170" s="110"/>
      <c r="HO170" s="110"/>
      <c r="HP170" s="110"/>
      <c r="HQ170" s="110"/>
      <c r="HR170" s="110"/>
      <c r="HS170" s="110"/>
      <c r="HT170" s="110"/>
      <c r="HU170" s="110"/>
      <c r="HV170" s="110"/>
      <c r="HW170" s="110"/>
      <c r="HX170" s="110"/>
      <c r="HY170" s="110"/>
      <c r="HZ170" s="110"/>
      <c r="IA170" s="110"/>
      <c r="IB170" s="110"/>
      <c r="IC170" s="110"/>
      <c r="ID170" s="110"/>
      <c r="IE170" s="110"/>
      <c r="IF170" s="110"/>
      <c r="IG170" s="110"/>
      <c r="IH170" s="110"/>
      <c r="II170" s="110"/>
      <c r="IJ170" s="110"/>
      <c r="IK170" s="110"/>
      <c r="IL170" s="110"/>
      <c r="IM170" s="110"/>
      <c r="IN170" s="110"/>
      <c r="IO170" s="110"/>
      <c r="IP170" s="110"/>
      <c r="IQ170" s="110"/>
      <c r="IR170" s="110"/>
      <c r="IS170" s="110"/>
      <c r="IT170" s="110"/>
      <c r="IU170" s="110"/>
      <c r="IV170" s="110"/>
      <c r="IW170" s="110"/>
      <c r="IX170" s="110"/>
      <c r="IY170" s="110"/>
      <c r="IZ170" s="110"/>
      <c r="JA170" s="110"/>
      <c r="JB170" s="110"/>
      <c r="JC170" s="110"/>
      <c r="JD170" s="110"/>
      <c r="JE170" s="110"/>
      <c r="JF170" s="110"/>
      <c r="JG170" s="110"/>
      <c r="JH170" s="110"/>
      <c r="JI170" s="110"/>
      <c r="JJ170" s="110"/>
      <c r="JK170" s="110"/>
      <c r="JL170" s="110"/>
      <c r="JM170" s="110"/>
      <c r="JN170" s="110"/>
      <c r="JO170" s="110"/>
      <c r="JP170" s="110"/>
      <c r="JQ170" s="110"/>
      <c r="JR170" s="110"/>
      <c r="JS170" s="110"/>
      <c r="JT170" s="110"/>
      <c r="JU170" s="110"/>
      <c r="JV170" s="110"/>
      <c r="JW170" s="110"/>
      <c r="JX170" s="110"/>
      <c r="JY170" s="110"/>
      <c r="JZ170" s="110"/>
      <c r="KA170" s="110"/>
      <c r="KB170" s="110"/>
      <c r="KC170" s="110"/>
      <c r="KD170" s="110"/>
      <c r="KE170" s="110"/>
      <c r="KF170" s="110"/>
      <c r="KG170" s="110"/>
      <c r="KH170" s="110"/>
      <c r="KI170" s="110"/>
      <c r="KJ170" s="110"/>
      <c r="KK170" s="110"/>
      <c r="KL170" s="110"/>
      <c r="KM170" s="110"/>
      <c r="KN170" s="110"/>
    </row>
    <row r="171" spans="1:300" ht="19.2" customHeight="1" x14ac:dyDescent="0.3">
      <c r="A171" s="110"/>
      <c r="B171" s="110"/>
      <c r="C171" s="110"/>
      <c r="D171" s="110"/>
      <c r="E171" s="110"/>
      <c r="F171" s="110"/>
      <c r="G171" s="112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  <c r="GG171" s="110"/>
      <c r="GH171" s="110"/>
      <c r="GI171" s="110"/>
      <c r="GJ171" s="110"/>
      <c r="GK171" s="110"/>
      <c r="GL171" s="110"/>
      <c r="GM171" s="110"/>
      <c r="GN171" s="110"/>
      <c r="GO171" s="110"/>
      <c r="GP171" s="110"/>
      <c r="GQ171" s="110"/>
      <c r="GR171" s="110"/>
      <c r="GS171" s="110"/>
      <c r="GT171" s="110"/>
      <c r="GU171" s="110"/>
      <c r="GV171" s="110"/>
      <c r="GW171" s="110"/>
      <c r="GX171" s="110"/>
      <c r="GY171" s="110"/>
      <c r="GZ171" s="110"/>
      <c r="HA171" s="110"/>
      <c r="HB171" s="110"/>
      <c r="HC171" s="110"/>
      <c r="HD171" s="110"/>
      <c r="HE171" s="110"/>
      <c r="HF171" s="110"/>
      <c r="HG171" s="110"/>
      <c r="HH171" s="110"/>
      <c r="HI171" s="110"/>
      <c r="HJ171" s="110"/>
      <c r="HK171" s="110"/>
      <c r="HL171" s="110"/>
      <c r="HM171" s="110"/>
      <c r="HN171" s="110"/>
      <c r="HO171" s="110"/>
      <c r="HP171" s="110"/>
      <c r="HQ171" s="110"/>
      <c r="HR171" s="110"/>
      <c r="HS171" s="110"/>
      <c r="HT171" s="110"/>
      <c r="HU171" s="110"/>
      <c r="HV171" s="110"/>
      <c r="HW171" s="110"/>
      <c r="HX171" s="110"/>
      <c r="HY171" s="110"/>
      <c r="HZ171" s="110"/>
      <c r="IA171" s="110"/>
      <c r="IB171" s="110"/>
      <c r="IC171" s="110"/>
      <c r="ID171" s="110"/>
      <c r="IE171" s="110"/>
      <c r="IF171" s="110"/>
      <c r="IG171" s="110"/>
      <c r="IH171" s="110"/>
      <c r="II171" s="110"/>
      <c r="IJ171" s="110"/>
      <c r="IK171" s="110"/>
      <c r="IL171" s="110"/>
      <c r="IM171" s="110"/>
      <c r="IN171" s="110"/>
      <c r="IO171" s="110"/>
      <c r="IP171" s="110"/>
      <c r="IQ171" s="110"/>
      <c r="IR171" s="110"/>
      <c r="IS171" s="110"/>
      <c r="IT171" s="110"/>
      <c r="IU171" s="110"/>
      <c r="IV171" s="110"/>
      <c r="IW171" s="110"/>
      <c r="IX171" s="110"/>
      <c r="IY171" s="110"/>
      <c r="IZ171" s="110"/>
      <c r="JA171" s="110"/>
      <c r="JB171" s="110"/>
      <c r="JC171" s="110"/>
      <c r="JD171" s="110"/>
      <c r="JE171" s="110"/>
      <c r="JF171" s="110"/>
      <c r="JG171" s="110"/>
      <c r="JH171" s="110"/>
      <c r="JI171" s="110"/>
      <c r="JJ171" s="110"/>
      <c r="JK171" s="110"/>
      <c r="JL171" s="110"/>
      <c r="JM171" s="110"/>
      <c r="JN171" s="110"/>
      <c r="JO171" s="110"/>
      <c r="JP171" s="110"/>
      <c r="JQ171" s="110"/>
      <c r="JR171" s="110"/>
      <c r="JS171" s="110"/>
      <c r="JT171" s="110"/>
      <c r="JU171" s="110"/>
      <c r="JV171" s="110"/>
      <c r="JW171" s="110"/>
      <c r="JX171" s="110"/>
      <c r="JY171" s="110"/>
      <c r="JZ171" s="110"/>
      <c r="KA171" s="110"/>
      <c r="KB171" s="110"/>
      <c r="KC171" s="110"/>
      <c r="KD171" s="110"/>
      <c r="KE171" s="110"/>
      <c r="KF171" s="110"/>
      <c r="KG171" s="110"/>
      <c r="KH171" s="110"/>
      <c r="KI171" s="110"/>
      <c r="KJ171" s="110"/>
      <c r="KK171" s="110"/>
      <c r="KL171" s="110"/>
      <c r="KM171" s="110"/>
      <c r="KN171" s="110"/>
    </row>
    <row r="172" spans="1:300" ht="19.2" customHeight="1" x14ac:dyDescent="0.3">
      <c r="A172" s="110"/>
      <c r="B172" s="110"/>
      <c r="C172" s="110"/>
      <c r="D172" s="110"/>
      <c r="E172" s="110"/>
      <c r="F172" s="110"/>
      <c r="G172" s="112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  <c r="GG172" s="110"/>
      <c r="GH172" s="110"/>
      <c r="GI172" s="110"/>
      <c r="GJ172" s="110"/>
      <c r="GK172" s="110"/>
      <c r="GL172" s="110"/>
      <c r="GM172" s="110"/>
      <c r="GN172" s="110"/>
      <c r="GO172" s="110"/>
      <c r="GP172" s="110"/>
      <c r="GQ172" s="110"/>
      <c r="GR172" s="110"/>
      <c r="GS172" s="110"/>
      <c r="GT172" s="110"/>
      <c r="GU172" s="110"/>
      <c r="GV172" s="110"/>
      <c r="GW172" s="110"/>
      <c r="GX172" s="110"/>
      <c r="GY172" s="110"/>
      <c r="GZ172" s="110"/>
      <c r="HA172" s="110"/>
      <c r="HB172" s="110"/>
      <c r="HC172" s="110"/>
      <c r="HD172" s="110"/>
      <c r="HE172" s="110"/>
      <c r="HF172" s="110"/>
      <c r="HG172" s="110"/>
      <c r="HH172" s="110"/>
      <c r="HI172" s="110"/>
      <c r="HJ172" s="110"/>
      <c r="HK172" s="110"/>
      <c r="HL172" s="110"/>
      <c r="HM172" s="110"/>
      <c r="HN172" s="110"/>
      <c r="HO172" s="110"/>
      <c r="HP172" s="110"/>
      <c r="HQ172" s="110"/>
      <c r="HR172" s="110"/>
      <c r="HS172" s="110"/>
      <c r="HT172" s="110"/>
      <c r="HU172" s="110"/>
      <c r="HV172" s="110"/>
      <c r="HW172" s="110"/>
      <c r="HX172" s="110"/>
      <c r="HY172" s="110"/>
      <c r="HZ172" s="110"/>
      <c r="IA172" s="110"/>
      <c r="IB172" s="110"/>
      <c r="IC172" s="110"/>
      <c r="ID172" s="110"/>
      <c r="IE172" s="110"/>
      <c r="IF172" s="110"/>
      <c r="IG172" s="110"/>
      <c r="IH172" s="110"/>
      <c r="II172" s="110"/>
      <c r="IJ172" s="110"/>
      <c r="IK172" s="110"/>
      <c r="IL172" s="110"/>
      <c r="IM172" s="110"/>
      <c r="IN172" s="110"/>
      <c r="IO172" s="110"/>
      <c r="IP172" s="110"/>
      <c r="IQ172" s="110"/>
      <c r="IR172" s="110"/>
      <c r="IS172" s="110"/>
      <c r="IT172" s="110"/>
      <c r="IU172" s="110"/>
      <c r="IV172" s="110"/>
      <c r="IW172" s="110"/>
      <c r="IX172" s="110"/>
      <c r="IY172" s="110"/>
      <c r="IZ172" s="110"/>
      <c r="JA172" s="110"/>
      <c r="JB172" s="110"/>
      <c r="JC172" s="110"/>
      <c r="JD172" s="110"/>
      <c r="JE172" s="110"/>
      <c r="JF172" s="110"/>
      <c r="JG172" s="110"/>
      <c r="JH172" s="110"/>
      <c r="JI172" s="110"/>
      <c r="JJ172" s="110"/>
      <c r="JK172" s="110"/>
      <c r="JL172" s="110"/>
      <c r="JM172" s="110"/>
      <c r="JN172" s="110"/>
      <c r="JO172" s="110"/>
      <c r="JP172" s="110"/>
      <c r="JQ172" s="110"/>
      <c r="JR172" s="110"/>
      <c r="JS172" s="110"/>
      <c r="JT172" s="110"/>
      <c r="JU172" s="110"/>
      <c r="JV172" s="110"/>
      <c r="JW172" s="110"/>
      <c r="JX172" s="110"/>
      <c r="JY172" s="110"/>
      <c r="JZ172" s="110"/>
      <c r="KA172" s="110"/>
      <c r="KB172" s="110"/>
      <c r="KC172" s="110"/>
      <c r="KD172" s="110"/>
      <c r="KE172" s="110"/>
      <c r="KF172" s="110"/>
      <c r="KG172" s="110"/>
      <c r="KH172" s="110"/>
      <c r="KI172" s="110"/>
      <c r="KJ172" s="110"/>
      <c r="KK172" s="110"/>
      <c r="KL172" s="110"/>
      <c r="KM172" s="110"/>
      <c r="KN172" s="110"/>
    </row>
    <row r="173" spans="1:300" ht="19.2" customHeight="1" x14ac:dyDescent="0.3">
      <c r="A173" s="110"/>
      <c r="B173" s="110"/>
      <c r="C173" s="110"/>
      <c r="D173" s="110"/>
      <c r="E173" s="110"/>
      <c r="F173" s="110"/>
      <c r="G173" s="112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  <c r="GG173" s="110"/>
      <c r="GH173" s="110"/>
      <c r="GI173" s="110"/>
      <c r="GJ173" s="110"/>
      <c r="GK173" s="110"/>
      <c r="GL173" s="110"/>
      <c r="GM173" s="110"/>
      <c r="GN173" s="110"/>
      <c r="GO173" s="110"/>
      <c r="GP173" s="110"/>
      <c r="GQ173" s="110"/>
      <c r="GR173" s="110"/>
      <c r="GS173" s="110"/>
      <c r="GT173" s="110"/>
      <c r="GU173" s="110"/>
      <c r="GV173" s="110"/>
      <c r="GW173" s="110"/>
      <c r="GX173" s="110"/>
      <c r="GY173" s="110"/>
      <c r="GZ173" s="110"/>
      <c r="HA173" s="110"/>
      <c r="HB173" s="110"/>
      <c r="HC173" s="110"/>
      <c r="HD173" s="110"/>
      <c r="HE173" s="110"/>
      <c r="HF173" s="110"/>
      <c r="HG173" s="110"/>
      <c r="HH173" s="110"/>
      <c r="HI173" s="110"/>
      <c r="HJ173" s="110"/>
      <c r="HK173" s="110"/>
      <c r="HL173" s="110"/>
      <c r="HM173" s="110"/>
      <c r="HN173" s="110"/>
      <c r="HO173" s="110"/>
      <c r="HP173" s="110"/>
      <c r="HQ173" s="110"/>
      <c r="HR173" s="110"/>
      <c r="HS173" s="110"/>
      <c r="HT173" s="110"/>
      <c r="HU173" s="110"/>
      <c r="HV173" s="110"/>
      <c r="HW173" s="110"/>
      <c r="HX173" s="110"/>
      <c r="HY173" s="110"/>
      <c r="HZ173" s="110"/>
      <c r="IA173" s="110"/>
      <c r="IB173" s="110"/>
      <c r="IC173" s="110"/>
      <c r="ID173" s="110"/>
      <c r="IE173" s="110"/>
      <c r="IF173" s="110"/>
      <c r="IG173" s="110"/>
      <c r="IH173" s="110"/>
      <c r="II173" s="110"/>
      <c r="IJ173" s="110"/>
      <c r="IK173" s="110"/>
      <c r="IL173" s="110"/>
      <c r="IM173" s="110"/>
      <c r="IN173" s="110"/>
      <c r="IO173" s="110"/>
      <c r="IP173" s="110"/>
      <c r="IQ173" s="110"/>
      <c r="IR173" s="110"/>
      <c r="IS173" s="110"/>
      <c r="IT173" s="110"/>
      <c r="IU173" s="110"/>
      <c r="IV173" s="110"/>
      <c r="IW173" s="110"/>
      <c r="IX173" s="110"/>
      <c r="IY173" s="110"/>
      <c r="IZ173" s="110"/>
      <c r="JA173" s="110"/>
      <c r="JB173" s="110"/>
      <c r="JC173" s="110"/>
      <c r="JD173" s="110"/>
      <c r="JE173" s="110"/>
      <c r="JF173" s="110"/>
      <c r="JG173" s="110"/>
      <c r="JH173" s="110"/>
      <c r="JI173" s="110"/>
      <c r="JJ173" s="110"/>
      <c r="JK173" s="110"/>
      <c r="JL173" s="110"/>
      <c r="JM173" s="110"/>
      <c r="JN173" s="110"/>
      <c r="JO173" s="110"/>
      <c r="JP173" s="110"/>
      <c r="JQ173" s="110"/>
      <c r="JR173" s="110"/>
      <c r="JS173" s="110"/>
      <c r="JT173" s="110"/>
      <c r="JU173" s="110"/>
      <c r="JV173" s="110"/>
      <c r="JW173" s="110"/>
      <c r="JX173" s="110"/>
      <c r="JY173" s="110"/>
      <c r="JZ173" s="110"/>
      <c r="KA173" s="110"/>
      <c r="KB173" s="110"/>
      <c r="KC173" s="110"/>
      <c r="KD173" s="110"/>
      <c r="KE173" s="110"/>
      <c r="KF173" s="110"/>
      <c r="KG173" s="110"/>
      <c r="KH173" s="110"/>
      <c r="KI173" s="110"/>
      <c r="KJ173" s="110"/>
      <c r="KK173" s="110"/>
      <c r="KL173" s="110"/>
      <c r="KM173" s="110"/>
      <c r="KN173" s="110"/>
    </row>
    <row r="174" spans="1:300" ht="19.2" customHeight="1" x14ac:dyDescent="0.3">
      <c r="A174" s="110"/>
      <c r="B174" s="110"/>
      <c r="C174" s="110"/>
      <c r="D174" s="110"/>
      <c r="E174" s="110"/>
      <c r="F174" s="110"/>
      <c r="G174" s="112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  <c r="GG174" s="110"/>
      <c r="GH174" s="110"/>
      <c r="GI174" s="110"/>
      <c r="GJ174" s="110"/>
      <c r="GK174" s="110"/>
      <c r="GL174" s="110"/>
      <c r="GM174" s="110"/>
      <c r="GN174" s="110"/>
      <c r="GO174" s="110"/>
      <c r="GP174" s="110"/>
      <c r="GQ174" s="110"/>
      <c r="GR174" s="110"/>
      <c r="GS174" s="110"/>
      <c r="GT174" s="110"/>
      <c r="GU174" s="110"/>
      <c r="GV174" s="110"/>
      <c r="GW174" s="110"/>
      <c r="GX174" s="110"/>
      <c r="GY174" s="110"/>
      <c r="GZ174" s="110"/>
      <c r="HA174" s="110"/>
      <c r="HB174" s="110"/>
      <c r="HC174" s="110"/>
      <c r="HD174" s="110"/>
      <c r="HE174" s="110"/>
      <c r="HF174" s="110"/>
      <c r="HG174" s="110"/>
      <c r="HH174" s="110"/>
      <c r="HI174" s="110"/>
      <c r="HJ174" s="110"/>
      <c r="HK174" s="110"/>
      <c r="HL174" s="110"/>
      <c r="HM174" s="110"/>
      <c r="HN174" s="110"/>
      <c r="HO174" s="110"/>
      <c r="HP174" s="110"/>
      <c r="HQ174" s="110"/>
      <c r="HR174" s="110"/>
      <c r="HS174" s="110"/>
      <c r="HT174" s="110"/>
      <c r="HU174" s="110"/>
      <c r="HV174" s="110"/>
      <c r="HW174" s="110"/>
      <c r="HX174" s="110"/>
      <c r="HY174" s="110"/>
      <c r="HZ174" s="110"/>
      <c r="IA174" s="110"/>
      <c r="IB174" s="110"/>
      <c r="IC174" s="110"/>
      <c r="ID174" s="110"/>
      <c r="IE174" s="110"/>
      <c r="IF174" s="110"/>
      <c r="IG174" s="110"/>
      <c r="IH174" s="110"/>
      <c r="II174" s="110"/>
      <c r="IJ174" s="110"/>
      <c r="IK174" s="110"/>
      <c r="IL174" s="110"/>
      <c r="IM174" s="110"/>
      <c r="IN174" s="110"/>
      <c r="IO174" s="110"/>
      <c r="IP174" s="110"/>
      <c r="IQ174" s="110"/>
      <c r="IR174" s="110"/>
      <c r="IS174" s="110"/>
      <c r="IT174" s="110"/>
      <c r="IU174" s="110"/>
      <c r="IV174" s="110"/>
      <c r="IW174" s="110"/>
      <c r="IX174" s="110"/>
      <c r="IY174" s="110"/>
      <c r="IZ174" s="110"/>
      <c r="JA174" s="110"/>
      <c r="JB174" s="110"/>
      <c r="JC174" s="110"/>
      <c r="JD174" s="110"/>
      <c r="JE174" s="110"/>
      <c r="JF174" s="110"/>
      <c r="JG174" s="110"/>
      <c r="JH174" s="110"/>
      <c r="JI174" s="110"/>
      <c r="JJ174" s="110"/>
      <c r="JK174" s="110"/>
      <c r="JL174" s="110"/>
      <c r="JM174" s="110"/>
      <c r="JN174" s="110"/>
      <c r="JO174" s="110"/>
      <c r="JP174" s="110"/>
      <c r="JQ174" s="110"/>
      <c r="JR174" s="110"/>
      <c r="JS174" s="110"/>
      <c r="JT174" s="110"/>
      <c r="JU174" s="110"/>
      <c r="JV174" s="110"/>
      <c r="JW174" s="110"/>
      <c r="JX174" s="110"/>
      <c r="JY174" s="110"/>
      <c r="JZ174" s="110"/>
      <c r="KA174" s="110"/>
      <c r="KB174" s="110"/>
      <c r="KC174" s="110"/>
      <c r="KD174" s="110"/>
      <c r="KE174" s="110"/>
      <c r="KF174" s="110"/>
      <c r="KG174" s="110"/>
      <c r="KH174" s="110"/>
      <c r="KI174" s="110"/>
      <c r="KJ174" s="110"/>
      <c r="KK174" s="110"/>
      <c r="KL174" s="110"/>
      <c r="KM174" s="110"/>
      <c r="KN174" s="110"/>
    </row>
    <row r="175" spans="1:300" ht="19.2" customHeight="1" x14ac:dyDescent="0.3">
      <c r="A175" s="110"/>
      <c r="B175" s="110"/>
      <c r="C175" s="110"/>
      <c r="D175" s="110"/>
      <c r="E175" s="110"/>
      <c r="F175" s="110"/>
      <c r="G175" s="112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  <c r="GG175" s="110"/>
      <c r="GH175" s="110"/>
      <c r="GI175" s="110"/>
      <c r="GJ175" s="110"/>
      <c r="GK175" s="110"/>
      <c r="GL175" s="110"/>
      <c r="GM175" s="110"/>
      <c r="GN175" s="110"/>
      <c r="GO175" s="110"/>
      <c r="GP175" s="110"/>
      <c r="GQ175" s="110"/>
      <c r="GR175" s="110"/>
      <c r="GS175" s="110"/>
      <c r="GT175" s="110"/>
      <c r="GU175" s="110"/>
      <c r="GV175" s="110"/>
      <c r="GW175" s="110"/>
      <c r="GX175" s="110"/>
      <c r="GY175" s="110"/>
      <c r="GZ175" s="110"/>
      <c r="HA175" s="110"/>
      <c r="HB175" s="110"/>
      <c r="HC175" s="110"/>
      <c r="HD175" s="110"/>
      <c r="HE175" s="110"/>
      <c r="HF175" s="110"/>
      <c r="HG175" s="110"/>
      <c r="HH175" s="110"/>
      <c r="HI175" s="110"/>
      <c r="HJ175" s="110"/>
      <c r="HK175" s="110"/>
      <c r="HL175" s="110"/>
      <c r="HM175" s="110"/>
      <c r="HN175" s="110"/>
      <c r="HO175" s="110"/>
      <c r="HP175" s="110"/>
      <c r="HQ175" s="110"/>
      <c r="HR175" s="110"/>
      <c r="HS175" s="110"/>
      <c r="HT175" s="110"/>
      <c r="HU175" s="110"/>
      <c r="HV175" s="110"/>
      <c r="HW175" s="110"/>
      <c r="HX175" s="110"/>
      <c r="HY175" s="110"/>
      <c r="HZ175" s="110"/>
      <c r="IA175" s="110"/>
      <c r="IB175" s="110"/>
      <c r="IC175" s="110"/>
      <c r="ID175" s="110"/>
      <c r="IE175" s="110"/>
      <c r="IF175" s="110"/>
      <c r="IG175" s="110"/>
      <c r="IH175" s="110"/>
      <c r="II175" s="110"/>
      <c r="IJ175" s="110"/>
      <c r="IK175" s="110"/>
      <c r="IL175" s="110"/>
      <c r="IM175" s="110"/>
      <c r="IN175" s="110"/>
      <c r="IO175" s="110"/>
      <c r="IP175" s="110"/>
      <c r="IQ175" s="110"/>
      <c r="IR175" s="110"/>
      <c r="IS175" s="110"/>
      <c r="IT175" s="110"/>
      <c r="IU175" s="110"/>
      <c r="IV175" s="110"/>
      <c r="IW175" s="110"/>
      <c r="IX175" s="110"/>
      <c r="IY175" s="110"/>
      <c r="IZ175" s="110"/>
      <c r="JA175" s="110"/>
      <c r="JB175" s="110"/>
      <c r="JC175" s="110"/>
      <c r="JD175" s="110"/>
      <c r="JE175" s="110"/>
      <c r="JF175" s="110"/>
      <c r="JG175" s="110"/>
      <c r="JH175" s="110"/>
      <c r="JI175" s="110"/>
      <c r="JJ175" s="110"/>
      <c r="JK175" s="110"/>
      <c r="JL175" s="110"/>
      <c r="JM175" s="110"/>
      <c r="JN175" s="110"/>
      <c r="JO175" s="110"/>
      <c r="JP175" s="110"/>
      <c r="JQ175" s="110"/>
      <c r="JR175" s="110"/>
      <c r="JS175" s="110"/>
      <c r="JT175" s="110"/>
      <c r="JU175" s="110"/>
      <c r="JV175" s="110"/>
      <c r="JW175" s="110"/>
      <c r="JX175" s="110"/>
      <c r="JY175" s="110"/>
      <c r="JZ175" s="110"/>
      <c r="KA175" s="110"/>
      <c r="KB175" s="110"/>
      <c r="KC175" s="110"/>
      <c r="KD175" s="110"/>
      <c r="KE175" s="110"/>
      <c r="KF175" s="110"/>
      <c r="KG175" s="110"/>
      <c r="KH175" s="110"/>
      <c r="KI175" s="110"/>
      <c r="KJ175" s="110"/>
      <c r="KK175" s="110"/>
      <c r="KL175" s="110"/>
      <c r="KM175" s="110"/>
      <c r="KN175" s="110"/>
    </row>
    <row r="176" spans="1:300" ht="19.2" customHeight="1" x14ac:dyDescent="0.3">
      <c r="A176" s="110"/>
      <c r="B176" s="110"/>
      <c r="C176" s="110"/>
      <c r="D176" s="110"/>
      <c r="E176" s="110"/>
      <c r="F176" s="110"/>
      <c r="G176" s="112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  <c r="GG176" s="110"/>
      <c r="GH176" s="110"/>
      <c r="GI176" s="110"/>
      <c r="GJ176" s="110"/>
      <c r="GK176" s="110"/>
      <c r="GL176" s="110"/>
      <c r="GM176" s="110"/>
      <c r="GN176" s="110"/>
      <c r="GO176" s="110"/>
      <c r="GP176" s="110"/>
      <c r="GQ176" s="110"/>
      <c r="GR176" s="110"/>
      <c r="GS176" s="110"/>
      <c r="GT176" s="110"/>
      <c r="GU176" s="110"/>
      <c r="GV176" s="110"/>
      <c r="GW176" s="110"/>
      <c r="GX176" s="110"/>
      <c r="GY176" s="110"/>
      <c r="GZ176" s="110"/>
      <c r="HA176" s="110"/>
      <c r="HB176" s="110"/>
      <c r="HC176" s="110"/>
      <c r="HD176" s="110"/>
      <c r="HE176" s="110"/>
      <c r="HF176" s="110"/>
      <c r="HG176" s="110"/>
      <c r="HH176" s="110"/>
      <c r="HI176" s="110"/>
      <c r="HJ176" s="110"/>
      <c r="HK176" s="110"/>
      <c r="HL176" s="110"/>
      <c r="HM176" s="110"/>
      <c r="HN176" s="110"/>
      <c r="HO176" s="110"/>
      <c r="HP176" s="110"/>
      <c r="HQ176" s="110"/>
      <c r="HR176" s="110"/>
      <c r="HS176" s="110"/>
      <c r="HT176" s="110"/>
      <c r="HU176" s="110"/>
      <c r="HV176" s="110"/>
      <c r="HW176" s="110"/>
      <c r="HX176" s="110"/>
      <c r="HY176" s="110"/>
      <c r="HZ176" s="110"/>
      <c r="IA176" s="110"/>
      <c r="IB176" s="110"/>
      <c r="IC176" s="110"/>
      <c r="ID176" s="110"/>
      <c r="IE176" s="110"/>
      <c r="IF176" s="110"/>
      <c r="IG176" s="110"/>
      <c r="IH176" s="110"/>
      <c r="II176" s="110"/>
      <c r="IJ176" s="110"/>
      <c r="IK176" s="110"/>
      <c r="IL176" s="110"/>
      <c r="IM176" s="110"/>
      <c r="IN176" s="110"/>
      <c r="IO176" s="110"/>
      <c r="IP176" s="110"/>
      <c r="IQ176" s="110"/>
      <c r="IR176" s="110"/>
      <c r="IS176" s="110"/>
      <c r="IT176" s="110"/>
      <c r="IU176" s="110"/>
      <c r="IV176" s="110"/>
      <c r="IW176" s="110"/>
      <c r="IX176" s="110"/>
      <c r="IY176" s="110"/>
      <c r="IZ176" s="110"/>
      <c r="JA176" s="110"/>
      <c r="JB176" s="110"/>
      <c r="JC176" s="110"/>
      <c r="JD176" s="110"/>
      <c r="JE176" s="110"/>
      <c r="JF176" s="110"/>
      <c r="JG176" s="110"/>
      <c r="JH176" s="110"/>
      <c r="JI176" s="110"/>
      <c r="JJ176" s="110"/>
      <c r="JK176" s="110"/>
      <c r="JL176" s="110"/>
      <c r="JM176" s="110"/>
      <c r="JN176" s="110"/>
      <c r="JO176" s="110"/>
      <c r="JP176" s="110"/>
      <c r="JQ176" s="110"/>
      <c r="JR176" s="110"/>
      <c r="JS176" s="110"/>
      <c r="JT176" s="110"/>
      <c r="JU176" s="110"/>
      <c r="JV176" s="110"/>
      <c r="JW176" s="110"/>
      <c r="JX176" s="110"/>
      <c r="JY176" s="110"/>
      <c r="JZ176" s="110"/>
      <c r="KA176" s="110"/>
      <c r="KB176" s="110"/>
      <c r="KC176" s="110"/>
      <c r="KD176" s="110"/>
      <c r="KE176" s="110"/>
      <c r="KF176" s="110"/>
      <c r="KG176" s="110"/>
      <c r="KH176" s="110"/>
      <c r="KI176" s="110"/>
      <c r="KJ176" s="110"/>
      <c r="KK176" s="110"/>
      <c r="KL176" s="110"/>
      <c r="KM176" s="110"/>
      <c r="KN176" s="110"/>
    </row>
    <row r="177" spans="1:300" ht="19.2" customHeight="1" x14ac:dyDescent="0.3">
      <c r="A177" s="110"/>
      <c r="B177" s="110"/>
      <c r="C177" s="110"/>
      <c r="D177" s="110"/>
      <c r="E177" s="110"/>
      <c r="F177" s="110"/>
      <c r="G177" s="112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  <c r="GG177" s="110"/>
      <c r="GH177" s="110"/>
      <c r="GI177" s="110"/>
      <c r="GJ177" s="110"/>
      <c r="GK177" s="110"/>
      <c r="GL177" s="110"/>
      <c r="GM177" s="110"/>
      <c r="GN177" s="110"/>
      <c r="GO177" s="110"/>
      <c r="GP177" s="110"/>
      <c r="GQ177" s="110"/>
      <c r="GR177" s="110"/>
      <c r="GS177" s="110"/>
      <c r="GT177" s="110"/>
      <c r="GU177" s="110"/>
      <c r="GV177" s="110"/>
      <c r="GW177" s="110"/>
      <c r="GX177" s="110"/>
      <c r="GY177" s="110"/>
      <c r="GZ177" s="110"/>
      <c r="HA177" s="110"/>
      <c r="HB177" s="110"/>
      <c r="HC177" s="110"/>
      <c r="HD177" s="110"/>
      <c r="HE177" s="110"/>
      <c r="HF177" s="110"/>
      <c r="HG177" s="110"/>
      <c r="HH177" s="110"/>
      <c r="HI177" s="110"/>
      <c r="HJ177" s="110"/>
      <c r="HK177" s="110"/>
      <c r="HL177" s="110"/>
      <c r="HM177" s="110"/>
      <c r="HN177" s="110"/>
      <c r="HO177" s="110"/>
      <c r="HP177" s="110"/>
      <c r="HQ177" s="110"/>
      <c r="HR177" s="110"/>
      <c r="HS177" s="110"/>
      <c r="HT177" s="110"/>
      <c r="HU177" s="110"/>
      <c r="HV177" s="110"/>
      <c r="HW177" s="110"/>
      <c r="HX177" s="110"/>
      <c r="HY177" s="110"/>
      <c r="HZ177" s="110"/>
      <c r="IA177" s="110"/>
      <c r="IB177" s="110"/>
      <c r="IC177" s="110"/>
      <c r="ID177" s="110"/>
      <c r="IE177" s="110"/>
      <c r="IF177" s="110"/>
      <c r="IG177" s="110"/>
      <c r="IH177" s="110"/>
      <c r="II177" s="110"/>
      <c r="IJ177" s="110"/>
      <c r="IK177" s="110"/>
      <c r="IL177" s="110"/>
      <c r="IM177" s="110"/>
      <c r="IN177" s="110"/>
      <c r="IO177" s="110"/>
      <c r="IP177" s="110"/>
      <c r="IQ177" s="110"/>
      <c r="IR177" s="110"/>
      <c r="IS177" s="110"/>
      <c r="IT177" s="110"/>
      <c r="IU177" s="110"/>
      <c r="IV177" s="110"/>
      <c r="IW177" s="110"/>
      <c r="IX177" s="110"/>
      <c r="IY177" s="110"/>
      <c r="IZ177" s="110"/>
      <c r="JA177" s="110"/>
      <c r="JB177" s="110"/>
      <c r="JC177" s="110"/>
      <c r="JD177" s="110"/>
      <c r="JE177" s="110"/>
      <c r="JF177" s="110"/>
      <c r="JG177" s="110"/>
      <c r="JH177" s="110"/>
      <c r="JI177" s="110"/>
      <c r="JJ177" s="110"/>
      <c r="JK177" s="110"/>
      <c r="JL177" s="110"/>
      <c r="JM177" s="110"/>
      <c r="JN177" s="110"/>
      <c r="JO177" s="110"/>
      <c r="JP177" s="110"/>
      <c r="JQ177" s="110"/>
      <c r="JR177" s="110"/>
      <c r="JS177" s="110"/>
      <c r="JT177" s="110"/>
      <c r="JU177" s="110"/>
      <c r="JV177" s="110"/>
      <c r="JW177" s="110"/>
      <c r="JX177" s="110"/>
      <c r="JY177" s="110"/>
      <c r="JZ177" s="110"/>
      <c r="KA177" s="110"/>
      <c r="KB177" s="110"/>
      <c r="KC177" s="110"/>
      <c r="KD177" s="110"/>
      <c r="KE177" s="110"/>
      <c r="KF177" s="110"/>
      <c r="KG177" s="110"/>
      <c r="KH177" s="110"/>
      <c r="KI177" s="110"/>
      <c r="KJ177" s="110"/>
      <c r="KK177" s="110"/>
      <c r="KL177" s="110"/>
      <c r="KM177" s="110"/>
      <c r="KN177" s="110"/>
    </row>
    <row r="178" spans="1:300" ht="19.2" customHeight="1" x14ac:dyDescent="0.3">
      <c r="A178" s="110"/>
      <c r="B178" s="110"/>
      <c r="C178" s="110"/>
      <c r="D178" s="110"/>
      <c r="E178" s="110"/>
      <c r="F178" s="110"/>
      <c r="G178" s="112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  <c r="GG178" s="110"/>
      <c r="GH178" s="110"/>
      <c r="GI178" s="110"/>
      <c r="GJ178" s="110"/>
      <c r="GK178" s="110"/>
      <c r="GL178" s="110"/>
      <c r="GM178" s="110"/>
      <c r="GN178" s="110"/>
      <c r="GO178" s="110"/>
      <c r="GP178" s="110"/>
      <c r="GQ178" s="110"/>
      <c r="GR178" s="110"/>
      <c r="GS178" s="110"/>
      <c r="GT178" s="110"/>
      <c r="GU178" s="110"/>
      <c r="GV178" s="110"/>
      <c r="GW178" s="110"/>
      <c r="GX178" s="110"/>
      <c r="GY178" s="110"/>
      <c r="GZ178" s="110"/>
      <c r="HA178" s="110"/>
      <c r="HB178" s="110"/>
      <c r="HC178" s="110"/>
      <c r="HD178" s="110"/>
      <c r="HE178" s="110"/>
      <c r="HF178" s="110"/>
      <c r="HG178" s="110"/>
      <c r="HH178" s="110"/>
      <c r="HI178" s="110"/>
      <c r="HJ178" s="110"/>
      <c r="HK178" s="110"/>
      <c r="HL178" s="110"/>
      <c r="HM178" s="110"/>
      <c r="HN178" s="110"/>
      <c r="HO178" s="110"/>
      <c r="HP178" s="110"/>
      <c r="HQ178" s="110"/>
      <c r="HR178" s="110"/>
      <c r="HS178" s="110"/>
      <c r="HT178" s="110"/>
      <c r="HU178" s="110"/>
      <c r="HV178" s="110"/>
      <c r="HW178" s="110"/>
      <c r="HX178" s="110"/>
      <c r="HY178" s="110"/>
      <c r="HZ178" s="110"/>
      <c r="IA178" s="110"/>
      <c r="IB178" s="110"/>
      <c r="IC178" s="110"/>
      <c r="ID178" s="110"/>
      <c r="IE178" s="110"/>
      <c r="IF178" s="110"/>
      <c r="IG178" s="110"/>
      <c r="IH178" s="110"/>
      <c r="II178" s="110"/>
      <c r="IJ178" s="110"/>
      <c r="IK178" s="110"/>
      <c r="IL178" s="110"/>
      <c r="IM178" s="110"/>
      <c r="IN178" s="110"/>
      <c r="IO178" s="110"/>
      <c r="IP178" s="110"/>
      <c r="IQ178" s="110"/>
      <c r="IR178" s="110"/>
      <c r="IS178" s="110"/>
      <c r="IT178" s="110"/>
      <c r="IU178" s="110"/>
      <c r="IV178" s="110"/>
      <c r="IW178" s="110"/>
      <c r="IX178" s="110"/>
      <c r="IY178" s="110"/>
      <c r="IZ178" s="110"/>
      <c r="JA178" s="110"/>
      <c r="JB178" s="110"/>
      <c r="JC178" s="110"/>
      <c r="JD178" s="110"/>
      <c r="JE178" s="110"/>
      <c r="JF178" s="110"/>
      <c r="JG178" s="110"/>
      <c r="JH178" s="110"/>
      <c r="JI178" s="110"/>
      <c r="JJ178" s="110"/>
      <c r="JK178" s="110"/>
      <c r="JL178" s="110"/>
      <c r="JM178" s="110"/>
      <c r="JN178" s="110"/>
      <c r="JO178" s="110"/>
      <c r="JP178" s="110"/>
      <c r="JQ178" s="110"/>
      <c r="JR178" s="110"/>
      <c r="JS178" s="110"/>
      <c r="JT178" s="110"/>
      <c r="JU178" s="110"/>
      <c r="JV178" s="110"/>
      <c r="JW178" s="110"/>
      <c r="JX178" s="110"/>
      <c r="JY178" s="110"/>
      <c r="JZ178" s="110"/>
      <c r="KA178" s="110"/>
      <c r="KB178" s="110"/>
      <c r="KC178" s="110"/>
      <c r="KD178" s="110"/>
      <c r="KE178" s="110"/>
      <c r="KF178" s="110"/>
      <c r="KG178" s="110"/>
      <c r="KH178" s="110"/>
      <c r="KI178" s="110"/>
      <c r="KJ178" s="110"/>
      <c r="KK178" s="110"/>
      <c r="KL178" s="110"/>
      <c r="KM178" s="110"/>
      <c r="KN178" s="110"/>
    </row>
    <row r="179" spans="1:300" ht="19.2" customHeight="1" x14ac:dyDescent="0.3">
      <c r="A179" s="110"/>
      <c r="B179" s="110"/>
      <c r="C179" s="110"/>
      <c r="D179" s="110"/>
      <c r="E179" s="110"/>
      <c r="F179" s="110"/>
      <c r="G179" s="112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  <c r="GG179" s="110"/>
      <c r="GH179" s="110"/>
      <c r="GI179" s="110"/>
      <c r="GJ179" s="110"/>
      <c r="GK179" s="110"/>
      <c r="GL179" s="110"/>
      <c r="GM179" s="110"/>
      <c r="GN179" s="110"/>
      <c r="GO179" s="110"/>
      <c r="GP179" s="110"/>
      <c r="GQ179" s="110"/>
      <c r="GR179" s="110"/>
      <c r="GS179" s="110"/>
      <c r="GT179" s="110"/>
      <c r="GU179" s="110"/>
      <c r="GV179" s="110"/>
      <c r="GW179" s="110"/>
      <c r="GX179" s="110"/>
      <c r="GY179" s="110"/>
      <c r="GZ179" s="110"/>
      <c r="HA179" s="110"/>
      <c r="HB179" s="110"/>
      <c r="HC179" s="110"/>
      <c r="HD179" s="110"/>
      <c r="HE179" s="110"/>
      <c r="HF179" s="110"/>
      <c r="HG179" s="110"/>
      <c r="HH179" s="110"/>
      <c r="HI179" s="110"/>
      <c r="HJ179" s="110"/>
      <c r="HK179" s="110"/>
      <c r="HL179" s="110"/>
      <c r="HM179" s="110"/>
      <c r="HN179" s="110"/>
      <c r="HO179" s="110"/>
      <c r="HP179" s="110"/>
      <c r="HQ179" s="110"/>
      <c r="HR179" s="110"/>
      <c r="HS179" s="110"/>
      <c r="HT179" s="110"/>
      <c r="HU179" s="110"/>
      <c r="HV179" s="110"/>
      <c r="HW179" s="110"/>
      <c r="HX179" s="110"/>
      <c r="HY179" s="110"/>
      <c r="HZ179" s="110"/>
      <c r="IA179" s="110"/>
      <c r="IB179" s="110"/>
      <c r="IC179" s="110"/>
      <c r="ID179" s="110"/>
      <c r="IE179" s="110"/>
      <c r="IF179" s="110"/>
      <c r="IG179" s="110"/>
      <c r="IH179" s="110"/>
      <c r="II179" s="110"/>
      <c r="IJ179" s="110"/>
      <c r="IK179" s="110"/>
      <c r="IL179" s="110"/>
      <c r="IM179" s="110"/>
      <c r="IN179" s="110"/>
      <c r="IO179" s="110"/>
      <c r="IP179" s="110"/>
      <c r="IQ179" s="110"/>
      <c r="IR179" s="110"/>
      <c r="IS179" s="110"/>
      <c r="IT179" s="110"/>
      <c r="IU179" s="110"/>
      <c r="IV179" s="110"/>
      <c r="IW179" s="110"/>
      <c r="IX179" s="110"/>
      <c r="IY179" s="110"/>
      <c r="IZ179" s="110"/>
      <c r="JA179" s="110"/>
      <c r="JB179" s="110"/>
      <c r="JC179" s="110"/>
      <c r="JD179" s="110"/>
      <c r="JE179" s="110"/>
      <c r="JF179" s="110"/>
      <c r="JG179" s="110"/>
      <c r="JH179" s="110"/>
      <c r="JI179" s="110"/>
      <c r="JJ179" s="110"/>
      <c r="JK179" s="110"/>
      <c r="JL179" s="110"/>
      <c r="JM179" s="110"/>
      <c r="JN179" s="110"/>
      <c r="JO179" s="110"/>
      <c r="JP179" s="110"/>
      <c r="JQ179" s="110"/>
      <c r="JR179" s="110"/>
      <c r="JS179" s="110"/>
      <c r="JT179" s="110"/>
      <c r="JU179" s="110"/>
      <c r="JV179" s="110"/>
      <c r="JW179" s="110"/>
      <c r="JX179" s="110"/>
      <c r="JY179" s="110"/>
      <c r="JZ179" s="110"/>
      <c r="KA179" s="110"/>
      <c r="KB179" s="110"/>
      <c r="KC179" s="110"/>
      <c r="KD179" s="110"/>
      <c r="KE179" s="110"/>
      <c r="KF179" s="110"/>
      <c r="KG179" s="110"/>
      <c r="KH179" s="110"/>
      <c r="KI179" s="110"/>
      <c r="KJ179" s="110"/>
      <c r="KK179" s="110"/>
      <c r="KL179" s="110"/>
      <c r="KM179" s="110"/>
      <c r="KN179" s="110"/>
    </row>
    <row r="180" spans="1:300" ht="19.2" customHeight="1" x14ac:dyDescent="0.3">
      <c r="A180" s="110"/>
      <c r="B180" s="110"/>
      <c r="C180" s="110"/>
      <c r="D180" s="110"/>
      <c r="E180" s="110"/>
      <c r="F180" s="110"/>
      <c r="G180" s="112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  <c r="GG180" s="110"/>
      <c r="GH180" s="110"/>
      <c r="GI180" s="110"/>
      <c r="GJ180" s="110"/>
      <c r="GK180" s="110"/>
      <c r="GL180" s="110"/>
      <c r="GM180" s="110"/>
      <c r="GN180" s="110"/>
      <c r="GO180" s="110"/>
      <c r="GP180" s="110"/>
      <c r="GQ180" s="110"/>
      <c r="GR180" s="110"/>
      <c r="GS180" s="110"/>
      <c r="GT180" s="110"/>
      <c r="GU180" s="110"/>
      <c r="GV180" s="110"/>
      <c r="GW180" s="110"/>
      <c r="GX180" s="110"/>
      <c r="GY180" s="110"/>
      <c r="GZ180" s="110"/>
      <c r="HA180" s="110"/>
      <c r="HB180" s="110"/>
      <c r="HC180" s="110"/>
      <c r="HD180" s="110"/>
      <c r="HE180" s="110"/>
      <c r="HF180" s="110"/>
      <c r="HG180" s="110"/>
      <c r="HH180" s="110"/>
      <c r="HI180" s="110"/>
      <c r="HJ180" s="110"/>
      <c r="HK180" s="110"/>
      <c r="HL180" s="110"/>
      <c r="HM180" s="110"/>
      <c r="HN180" s="110"/>
      <c r="HO180" s="110"/>
      <c r="HP180" s="110"/>
      <c r="HQ180" s="110"/>
      <c r="HR180" s="110"/>
      <c r="HS180" s="110"/>
      <c r="HT180" s="110"/>
      <c r="HU180" s="110"/>
      <c r="HV180" s="110"/>
      <c r="HW180" s="110"/>
      <c r="HX180" s="110"/>
      <c r="HY180" s="110"/>
      <c r="HZ180" s="110"/>
      <c r="IA180" s="110"/>
      <c r="IB180" s="110"/>
      <c r="IC180" s="110"/>
      <c r="ID180" s="110"/>
      <c r="IE180" s="110"/>
      <c r="IF180" s="110"/>
      <c r="IG180" s="110"/>
      <c r="IH180" s="110"/>
      <c r="II180" s="110"/>
      <c r="IJ180" s="110"/>
      <c r="IK180" s="110"/>
      <c r="IL180" s="110"/>
      <c r="IM180" s="110"/>
      <c r="IN180" s="110"/>
      <c r="IO180" s="110"/>
      <c r="IP180" s="110"/>
      <c r="IQ180" s="110"/>
      <c r="IR180" s="110"/>
      <c r="IS180" s="110"/>
      <c r="IT180" s="110"/>
      <c r="IU180" s="110"/>
      <c r="IV180" s="110"/>
      <c r="IW180" s="110"/>
      <c r="IX180" s="110"/>
      <c r="IY180" s="110"/>
      <c r="IZ180" s="110"/>
      <c r="JA180" s="110"/>
      <c r="JB180" s="110"/>
      <c r="JC180" s="110"/>
      <c r="JD180" s="110"/>
      <c r="JE180" s="110"/>
      <c r="JF180" s="110"/>
      <c r="JG180" s="110"/>
      <c r="JH180" s="110"/>
      <c r="JI180" s="110"/>
      <c r="JJ180" s="110"/>
      <c r="JK180" s="110"/>
      <c r="JL180" s="110"/>
      <c r="JM180" s="110"/>
      <c r="JN180" s="110"/>
      <c r="JO180" s="110"/>
      <c r="JP180" s="110"/>
      <c r="JQ180" s="110"/>
      <c r="JR180" s="110"/>
      <c r="JS180" s="110"/>
      <c r="JT180" s="110"/>
      <c r="JU180" s="110"/>
      <c r="JV180" s="110"/>
      <c r="JW180" s="110"/>
      <c r="JX180" s="110"/>
      <c r="JY180" s="110"/>
      <c r="JZ180" s="110"/>
      <c r="KA180" s="110"/>
      <c r="KB180" s="110"/>
      <c r="KC180" s="110"/>
      <c r="KD180" s="110"/>
      <c r="KE180" s="110"/>
      <c r="KF180" s="110"/>
      <c r="KG180" s="110"/>
      <c r="KH180" s="110"/>
      <c r="KI180" s="110"/>
      <c r="KJ180" s="110"/>
      <c r="KK180" s="110"/>
      <c r="KL180" s="110"/>
      <c r="KM180" s="110"/>
      <c r="KN180" s="110"/>
    </row>
    <row r="181" spans="1:300" ht="19.2" customHeight="1" x14ac:dyDescent="0.3">
      <c r="A181" s="110"/>
      <c r="B181" s="110"/>
      <c r="C181" s="110"/>
      <c r="D181" s="110"/>
      <c r="E181" s="110"/>
      <c r="F181" s="110"/>
      <c r="G181" s="112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  <c r="GG181" s="110"/>
      <c r="GH181" s="110"/>
      <c r="GI181" s="110"/>
      <c r="GJ181" s="110"/>
      <c r="GK181" s="110"/>
      <c r="GL181" s="110"/>
      <c r="GM181" s="110"/>
      <c r="GN181" s="110"/>
      <c r="GO181" s="110"/>
      <c r="GP181" s="110"/>
      <c r="GQ181" s="110"/>
      <c r="GR181" s="110"/>
      <c r="GS181" s="110"/>
      <c r="GT181" s="110"/>
      <c r="GU181" s="110"/>
      <c r="GV181" s="110"/>
      <c r="GW181" s="110"/>
      <c r="GX181" s="110"/>
      <c r="GY181" s="110"/>
      <c r="GZ181" s="110"/>
      <c r="HA181" s="110"/>
      <c r="HB181" s="110"/>
      <c r="HC181" s="110"/>
      <c r="HD181" s="110"/>
      <c r="HE181" s="110"/>
      <c r="HF181" s="110"/>
      <c r="HG181" s="110"/>
      <c r="HH181" s="110"/>
      <c r="HI181" s="110"/>
      <c r="HJ181" s="110"/>
      <c r="HK181" s="110"/>
      <c r="HL181" s="110"/>
      <c r="HM181" s="110"/>
      <c r="HN181" s="110"/>
      <c r="HO181" s="110"/>
      <c r="HP181" s="110"/>
      <c r="HQ181" s="110"/>
      <c r="HR181" s="110"/>
      <c r="HS181" s="110"/>
      <c r="HT181" s="110"/>
      <c r="HU181" s="110"/>
      <c r="HV181" s="110"/>
      <c r="HW181" s="110"/>
      <c r="HX181" s="110"/>
      <c r="HY181" s="110"/>
      <c r="HZ181" s="110"/>
      <c r="IA181" s="110"/>
      <c r="IB181" s="110"/>
      <c r="IC181" s="110"/>
      <c r="ID181" s="110"/>
      <c r="IE181" s="110"/>
      <c r="IF181" s="110"/>
      <c r="IG181" s="110"/>
      <c r="IH181" s="110"/>
      <c r="II181" s="110"/>
      <c r="IJ181" s="110"/>
      <c r="IK181" s="110"/>
      <c r="IL181" s="110"/>
      <c r="IM181" s="110"/>
      <c r="IN181" s="110"/>
      <c r="IO181" s="110"/>
      <c r="IP181" s="110"/>
      <c r="IQ181" s="110"/>
      <c r="IR181" s="110"/>
      <c r="IS181" s="110"/>
      <c r="IT181" s="110"/>
      <c r="IU181" s="110"/>
      <c r="IV181" s="110"/>
      <c r="IW181" s="110"/>
      <c r="IX181" s="110"/>
      <c r="IY181" s="110"/>
      <c r="IZ181" s="110"/>
      <c r="JA181" s="110"/>
      <c r="JB181" s="110"/>
      <c r="JC181" s="110"/>
      <c r="JD181" s="110"/>
      <c r="JE181" s="110"/>
      <c r="JF181" s="110"/>
      <c r="JG181" s="110"/>
      <c r="JH181" s="110"/>
      <c r="JI181" s="110"/>
      <c r="JJ181" s="110"/>
      <c r="JK181" s="110"/>
      <c r="JL181" s="110"/>
      <c r="JM181" s="110"/>
      <c r="JN181" s="110"/>
      <c r="JO181" s="110"/>
      <c r="JP181" s="110"/>
      <c r="JQ181" s="110"/>
      <c r="JR181" s="110"/>
      <c r="JS181" s="110"/>
      <c r="JT181" s="110"/>
      <c r="JU181" s="110"/>
      <c r="JV181" s="110"/>
      <c r="JW181" s="110"/>
      <c r="JX181" s="110"/>
      <c r="JY181" s="110"/>
      <c r="JZ181" s="110"/>
      <c r="KA181" s="110"/>
      <c r="KB181" s="110"/>
      <c r="KC181" s="110"/>
      <c r="KD181" s="110"/>
      <c r="KE181" s="110"/>
      <c r="KF181" s="110"/>
      <c r="KG181" s="110"/>
      <c r="KH181" s="110"/>
      <c r="KI181" s="110"/>
      <c r="KJ181" s="110"/>
      <c r="KK181" s="110"/>
      <c r="KL181" s="110"/>
      <c r="KM181" s="110"/>
      <c r="KN181" s="110"/>
    </row>
    <row r="182" spans="1:300" ht="19.2" customHeight="1" x14ac:dyDescent="0.3">
      <c r="A182" s="110"/>
      <c r="B182" s="110"/>
      <c r="C182" s="110"/>
      <c r="D182" s="110"/>
      <c r="E182" s="110"/>
      <c r="F182" s="110"/>
      <c r="G182" s="112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  <c r="GG182" s="110"/>
      <c r="GH182" s="110"/>
      <c r="GI182" s="110"/>
      <c r="GJ182" s="110"/>
      <c r="GK182" s="110"/>
      <c r="GL182" s="110"/>
      <c r="GM182" s="110"/>
      <c r="GN182" s="110"/>
      <c r="GO182" s="110"/>
      <c r="GP182" s="110"/>
      <c r="GQ182" s="110"/>
      <c r="GR182" s="110"/>
      <c r="GS182" s="110"/>
      <c r="GT182" s="110"/>
      <c r="GU182" s="110"/>
      <c r="GV182" s="110"/>
      <c r="GW182" s="110"/>
      <c r="GX182" s="110"/>
      <c r="GY182" s="110"/>
      <c r="GZ182" s="110"/>
      <c r="HA182" s="110"/>
      <c r="HB182" s="110"/>
      <c r="HC182" s="110"/>
      <c r="HD182" s="110"/>
      <c r="HE182" s="110"/>
      <c r="HF182" s="110"/>
      <c r="HG182" s="110"/>
      <c r="HH182" s="110"/>
      <c r="HI182" s="110"/>
      <c r="HJ182" s="110"/>
      <c r="HK182" s="110"/>
      <c r="HL182" s="110"/>
      <c r="HM182" s="110"/>
      <c r="HN182" s="110"/>
      <c r="HO182" s="110"/>
      <c r="HP182" s="110"/>
      <c r="HQ182" s="110"/>
      <c r="HR182" s="110"/>
      <c r="HS182" s="110"/>
      <c r="HT182" s="110"/>
      <c r="HU182" s="110"/>
      <c r="HV182" s="110"/>
      <c r="HW182" s="110"/>
      <c r="HX182" s="110"/>
      <c r="HY182" s="110"/>
      <c r="HZ182" s="110"/>
      <c r="IA182" s="110"/>
      <c r="IB182" s="110"/>
      <c r="IC182" s="110"/>
      <c r="ID182" s="110"/>
      <c r="IE182" s="110"/>
      <c r="IF182" s="110"/>
      <c r="IG182" s="110"/>
      <c r="IH182" s="110"/>
      <c r="II182" s="110"/>
      <c r="IJ182" s="110"/>
      <c r="IK182" s="110"/>
      <c r="IL182" s="110"/>
      <c r="IM182" s="110"/>
      <c r="IN182" s="110"/>
      <c r="IO182" s="110"/>
      <c r="IP182" s="110"/>
      <c r="IQ182" s="110"/>
      <c r="IR182" s="110"/>
      <c r="IS182" s="110"/>
      <c r="IT182" s="110"/>
      <c r="IU182" s="110"/>
      <c r="IV182" s="110"/>
      <c r="IW182" s="110"/>
      <c r="IX182" s="110"/>
      <c r="IY182" s="110"/>
      <c r="IZ182" s="110"/>
      <c r="JA182" s="110"/>
      <c r="JB182" s="110"/>
      <c r="JC182" s="110"/>
      <c r="JD182" s="110"/>
      <c r="JE182" s="110"/>
      <c r="JF182" s="110"/>
      <c r="JG182" s="110"/>
      <c r="JH182" s="110"/>
      <c r="JI182" s="110"/>
      <c r="JJ182" s="110"/>
      <c r="JK182" s="110"/>
      <c r="JL182" s="110"/>
      <c r="JM182" s="110"/>
      <c r="JN182" s="110"/>
      <c r="JO182" s="110"/>
      <c r="JP182" s="110"/>
      <c r="JQ182" s="110"/>
      <c r="JR182" s="110"/>
      <c r="JS182" s="110"/>
      <c r="JT182" s="110"/>
      <c r="JU182" s="110"/>
      <c r="JV182" s="110"/>
      <c r="JW182" s="110"/>
      <c r="JX182" s="110"/>
      <c r="JY182" s="110"/>
      <c r="JZ182" s="110"/>
      <c r="KA182" s="110"/>
      <c r="KB182" s="110"/>
      <c r="KC182" s="110"/>
      <c r="KD182" s="110"/>
      <c r="KE182" s="110"/>
      <c r="KF182" s="110"/>
      <c r="KG182" s="110"/>
      <c r="KH182" s="110"/>
      <c r="KI182" s="110"/>
      <c r="KJ182" s="110"/>
      <c r="KK182" s="110"/>
      <c r="KL182" s="110"/>
      <c r="KM182" s="110"/>
      <c r="KN182" s="110"/>
    </row>
    <row r="183" spans="1:300" ht="19.2" customHeight="1" x14ac:dyDescent="0.3">
      <c r="A183" s="110"/>
      <c r="B183" s="110"/>
      <c r="C183" s="110"/>
      <c r="D183" s="110"/>
      <c r="E183" s="110"/>
      <c r="F183" s="110"/>
      <c r="G183" s="112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  <c r="GG183" s="110"/>
      <c r="GH183" s="110"/>
      <c r="GI183" s="110"/>
      <c r="GJ183" s="110"/>
      <c r="GK183" s="110"/>
      <c r="GL183" s="110"/>
      <c r="GM183" s="110"/>
      <c r="GN183" s="110"/>
      <c r="GO183" s="110"/>
      <c r="GP183" s="110"/>
      <c r="GQ183" s="110"/>
      <c r="GR183" s="110"/>
      <c r="GS183" s="110"/>
      <c r="GT183" s="110"/>
      <c r="GU183" s="110"/>
      <c r="GV183" s="110"/>
      <c r="GW183" s="110"/>
      <c r="GX183" s="110"/>
      <c r="GY183" s="110"/>
      <c r="GZ183" s="110"/>
      <c r="HA183" s="110"/>
      <c r="HB183" s="110"/>
      <c r="HC183" s="110"/>
      <c r="HD183" s="110"/>
      <c r="HE183" s="110"/>
      <c r="HF183" s="110"/>
      <c r="HG183" s="110"/>
      <c r="HH183" s="110"/>
      <c r="HI183" s="110"/>
      <c r="HJ183" s="110"/>
      <c r="HK183" s="110"/>
      <c r="HL183" s="110"/>
      <c r="HM183" s="110"/>
      <c r="HN183" s="110"/>
      <c r="HO183" s="110"/>
      <c r="HP183" s="110"/>
      <c r="HQ183" s="110"/>
      <c r="HR183" s="110"/>
      <c r="HS183" s="110"/>
      <c r="HT183" s="110"/>
      <c r="HU183" s="110"/>
      <c r="HV183" s="110"/>
      <c r="HW183" s="110"/>
      <c r="HX183" s="110"/>
      <c r="HY183" s="110"/>
      <c r="HZ183" s="110"/>
      <c r="IA183" s="110"/>
      <c r="IB183" s="110"/>
      <c r="IC183" s="110"/>
      <c r="ID183" s="110"/>
      <c r="IE183" s="110"/>
      <c r="IF183" s="110"/>
      <c r="IG183" s="110"/>
      <c r="IH183" s="110"/>
      <c r="II183" s="110"/>
      <c r="IJ183" s="110"/>
      <c r="IK183" s="110"/>
      <c r="IL183" s="110"/>
      <c r="IM183" s="110"/>
      <c r="IN183" s="110"/>
      <c r="IO183" s="110"/>
      <c r="IP183" s="110"/>
      <c r="IQ183" s="110"/>
      <c r="IR183" s="110"/>
      <c r="IS183" s="110"/>
      <c r="IT183" s="110"/>
      <c r="IU183" s="110"/>
      <c r="IV183" s="110"/>
      <c r="IW183" s="110"/>
      <c r="IX183" s="110"/>
      <c r="IY183" s="110"/>
      <c r="IZ183" s="110"/>
      <c r="JA183" s="110"/>
      <c r="JB183" s="110"/>
      <c r="JC183" s="110"/>
      <c r="JD183" s="110"/>
      <c r="JE183" s="110"/>
      <c r="JF183" s="110"/>
      <c r="JG183" s="110"/>
      <c r="JH183" s="110"/>
      <c r="JI183" s="110"/>
      <c r="JJ183" s="110"/>
      <c r="JK183" s="110"/>
      <c r="JL183" s="110"/>
      <c r="JM183" s="110"/>
      <c r="JN183" s="110"/>
      <c r="JO183" s="110"/>
      <c r="JP183" s="110"/>
      <c r="JQ183" s="110"/>
      <c r="JR183" s="110"/>
      <c r="JS183" s="110"/>
      <c r="JT183" s="110"/>
      <c r="JU183" s="110"/>
      <c r="JV183" s="110"/>
      <c r="JW183" s="110"/>
      <c r="JX183" s="110"/>
      <c r="JY183" s="110"/>
      <c r="JZ183" s="110"/>
      <c r="KA183" s="110"/>
      <c r="KB183" s="110"/>
      <c r="KC183" s="110"/>
      <c r="KD183" s="110"/>
      <c r="KE183" s="110"/>
      <c r="KF183" s="110"/>
      <c r="KG183" s="110"/>
      <c r="KH183" s="110"/>
      <c r="KI183" s="110"/>
      <c r="KJ183" s="110"/>
      <c r="KK183" s="110"/>
      <c r="KL183" s="110"/>
      <c r="KM183" s="110"/>
      <c r="KN183" s="110"/>
    </row>
    <row r="184" spans="1:300" ht="19.2" customHeight="1" x14ac:dyDescent="0.3">
      <c r="A184" s="110"/>
      <c r="B184" s="110"/>
      <c r="C184" s="110"/>
      <c r="D184" s="110"/>
      <c r="E184" s="110"/>
      <c r="F184" s="110"/>
      <c r="G184" s="112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  <c r="GG184" s="110"/>
      <c r="GH184" s="110"/>
      <c r="GI184" s="110"/>
      <c r="GJ184" s="110"/>
      <c r="GK184" s="110"/>
      <c r="GL184" s="110"/>
      <c r="GM184" s="110"/>
      <c r="GN184" s="110"/>
      <c r="GO184" s="110"/>
      <c r="GP184" s="110"/>
      <c r="GQ184" s="110"/>
      <c r="GR184" s="110"/>
      <c r="GS184" s="110"/>
      <c r="GT184" s="110"/>
      <c r="GU184" s="110"/>
      <c r="GV184" s="110"/>
      <c r="GW184" s="110"/>
      <c r="GX184" s="110"/>
      <c r="GY184" s="110"/>
      <c r="GZ184" s="110"/>
      <c r="HA184" s="110"/>
      <c r="HB184" s="110"/>
      <c r="HC184" s="110"/>
      <c r="HD184" s="110"/>
      <c r="HE184" s="110"/>
      <c r="HF184" s="110"/>
      <c r="HG184" s="110"/>
      <c r="HH184" s="110"/>
      <c r="HI184" s="110"/>
      <c r="HJ184" s="110"/>
      <c r="HK184" s="110"/>
      <c r="HL184" s="110"/>
      <c r="HM184" s="110"/>
      <c r="HN184" s="110"/>
      <c r="HO184" s="110"/>
      <c r="HP184" s="110"/>
      <c r="HQ184" s="110"/>
      <c r="HR184" s="110"/>
      <c r="HS184" s="110"/>
      <c r="HT184" s="110"/>
      <c r="HU184" s="110"/>
      <c r="HV184" s="110"/>
      <c r="HW184" s="110"/>
      <c r="HX184" s="110"/>
      <c r="HY184" s="110"/>
      <c r="HZ184" s="110"/>
      <c r="IA184" s="110"/>
      <c r="IB184" s="110"/>
      <c r="IC184" s="110"/>
      <c r="ID184" s="110"/>
      <c r="IE184" s="110"/>
      <c r="IF184" s="110"/>
      <c r="IG184" s="110"/>
      <c r="IH184" s="110"/>
      <c r="II184" s="110"/>
      <c r="IJ184" s="110"/>
      <c r="IK184" s="110"/>
      <c r="IL184" s="110"/>
      <c r="IM184" s="110"/>
      <c r="IN184" s="110"/>
      <c r="IO184" s="110"/>
      <c r="IP184" s="110"/>
      <c r="IQ184" s="110"/>
      <c r="IR184" s="110"/>
      <c r="IS184" s="110"/>
      <c r="IT184" s="110"/>
      <c r="IU184" s="110"/>
      <c r="IV184" s="110"/>
      <c r="IW184" s="110"/>
      <c r="IX184" s="110"/>
      <c r="IY184" s="110"/>
      <c r="IZ184" s="110"/>
      <c r="JA184" s="110"/>
      <c r="JB184" s="110"/>
      <c r="JC184" s="110"/>
      <c r="JD184" s="110"/>
      <c r="JE184" s="110"/>
      <c r="JF184" s="110"/>
      <c r="JG184" s="110"/>
      <c r="JH184" s="110"/>
      <c r="JI184" s="110"/>
      <c r="JJ184" s="110"/>
      <c r="JK184" s="110"/>
      <c r="JL184" s="110"/>
      <c r="JM184" s="110"/>
      <c r="JN184" s="110"/>
      <c r="JO184" s="110"/>
      <c r="JP184" s="110"/>
      <c r="JQ184" s="110"/>
      <c r="JR184" s="110"/>
      <c r="JS184" s="110"/>
      <c r="JT184" s="110"/>
      <c r="JU184" s="110"/>
      <c r="JV184" s="110"/>
      <c r="JW184" s="110"/>
      <c r="JX184" s="110"/>
      <c r="JY184" s="110"/>
      <c r="JZ184" s="110"/>
      <c r="KA184" s="110"/>
      <c r="KB184" s="110"/>
      <c r="KC184" s="110"/>
      <c r="KD184" s="110"/>
      <c r="KE184" s="110"/>
      <c r="KF184" s="110"/>
      <c r="KG184" s="110"/>
      <c r="KH184" s="110"/>
      <c r="KI184" s="110"/>
      <c r="KJ184" s="110"/>
      <c r="KK184" s="110"/>
      <c r="KL184" s="110"/>
      <c r="KM184" s="110"/>
      <c r="KN184" s="110"/>
    </row>
    <row r="185" spans="1:300" ht="19.2" customHeight="1" x14ac:dyDescent="0.3">
      <c r="A185" s="110"/>
      <c r="B185" s="110"/>
      <c r="C185" s="110"/>
      <c r="D185" s="110"/>
      <c r="E185" s="110"/>
      <c r="F185" s="110"/>
      <c r="G185" s="112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  <c r="GG185" s="110"/>
      <c r="GH185" s="110"/>
      <c r="GI185" s="110"/>
      <c r="GJ185" s="110"/>
      <c r="GK185" s="110"/>
      <c r="GL185" s="110"/>
      <c r="GM185" s="110"/>
      <c r="GN185" s="110"/>
      <c r="GO185" s="110"/>
      <c r="GP185" s="110"/>
      <c r="GQ185" s="110"/>
      <c r="GR185" s="110"/>
      <c r="GS185" s="110"/>
      <c r="GT185" s="110"/>
      <c r="GU185" s="110"/>
      <c r="GV185" s="110"/>
      <c r="GW185" s="110"/>
      <c r="GX185" s="110"/>
      <c r="GY185" s="110"/>
      <c r="GZ185" s="110"/>
      <c r="HA185" s="110"/>
      <c r="HB185" s="110"/>
      <c r="HC185" s="110"/>
      <c r="HD185" s="110"/>
      <c r="HE185" s="110"/>
      <c r="HF185" s="110"/>
      <c r="HG185" s="110"/>
      <c r="HH185" s="110"/>
      <c r="HI185" s="110"/>
      <c r="HJ185" s="110"/>
      <c r="HK185" s="110"/>
      <c r="HL185" s="110"/>
      <c r="HM185" s="110"/>
      <c r="HN185" s="110"/>
      <c r="HO185" s="110"/>
      <c r="HP185" s="110"/>
      <c r="HQ185" s="110"/>
      <c r="HR185" s="110"/>
      <c r="HS185" s="110"/>
      <c r="HT185" s="110"/>
      <c r="HU185" s="110"/>
      <c r="HV185" s="110"/>
      <c r="HW185" s="110"/>
      <c r="HX185" s="110"/>
      <c r="HY185" s="110"/>
      <c r="HZ185" s="110"/>
      <c r="IA185" s="110"/>
      <c r="IB185" s="110"/>
      <c r="IC185" s="110"/>
      <c r="ID185" s="110"/>
      <c r="IE185" s="110"/>
      <c r="IF185" s="110"/>
      <c r="IG185" s="110"/>
      <c r="IH185" s="110"/>
      <c r="II185" s="110"/>
      <c r="IJ185" s="110"/>
      <c r="IK185" s="110"/>
      <c r="IL185" s="110"/>
      <c r="IM185" s="110"/>
      <c r="IN185" s="110"/>
      <c r="IO185" s="110"/>
      <c r="IP185" s="110"/>
      <c r="IQ185" s="110"/>
      <c r="IR185" s="110"/>
      <c r="IS185" s="110"/>
      <c r="IT185" s="110"/>
      <c r="IU185" s="110"/>
      <c r="IV185" s="110"/>
      <c r="IW185" s="110"/>
      <c r="IX185" s="110"/>
      <c r="IY185" s="110"/>
      <c r="IZ185" s="110"/>
      <c r="JA185" s="110"/>
      <c r="JB185" s="110"/>
      <c r="JC185" s="110"/>
      <c r="JD185" s="110"/>
      <c r="JE185" s="110"/>
      <c r="JF185" s="110"/>
      <c r="JG185" s="110"/>
      <c r="JH185" s="110"/>
      <c r="JI185" s="110"/>
      <c r="JJ185" s="110"/>
      <c r="JK185" s="110"/>
      <c r="JL185" s="110"/>
      <c r="JM185" s="110"/>
      <c r="JN185" s="110"/>
      <c r="JO185" s="110"/>
      <c r="JP185" s="110"/>
      <c r="JQ185" s="110"/>
      <c r="JR185" s="110"/>
      <c r="JS185" s="110"/>
      <c r="JT185" s="110"/>
      <c r="JU185" s="110"/>
      <c r="JV185" s="110"/>
      <c r="JW185" s="110"/>
      <c r="JX185" s="110"/>
      <c r="JY185" s="110"/>
      <c r="JZ185" s="110"/>
      <c r="KA185" s="110"/>
      <c r="KB185" s="110"/>
      <c r="KC185" s="110"/>
      <c r="KD185" s="110"/>
      <c r="KE185" s="110"/>
      <c r="KF185" s="110"/>
      <c r="KG185" s="110"/>
      <c r="KH185" s="110"/>
      <c r="KI185" s="110"/>
      <c r="KJ185" s="110"/>
      <c r="KK185" s="110"/>
      <c r="KL185" s="110"/>
      <c r="KM185" s="110"/>
      <c r="KN185" s="110"/>
    </row>
    <row r="186" spans="1:300" ht="19.2" customHeight="1" x14ac:dyDescent="0.3">
      <c r="A186" s="110"/>
      <c r="B186" s="110"/>
      <c r="C186" s="110"/>
      <c r="D186" s="110"/>
      <c r="E186" s="110"/>
      <c r="F186" s="110"/>
      <c r="G186" s="112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  <c r="GG186" s="110"/>
      <c r="GH186" s="110"/>
      <c r="GI186" s="110"/>
      <c r="GJ186" s="110"/>
      <c r="GK186" s="110"/>
      <c r="GL186" s="110"/>
      <c r="GM186" s="110"/>
      <c r="GN186" s="110"/>
      <c r="GO186" s="110"/>
      <c r="GP186" s="110"/>
      <c r="GQ186" s="110"/>
      <c r="GR186" s="110"/>
      <c r="GS186" s="110"/>
      <c r="GT186" s="110"/>
      <c r="GU186" s="110"/>
      <c r="GV186" s="110"/>
      <c r="GW186" s="110"/>
      <c r="GX186" s="110"/>
      <c r="GY186" s="110"/>
      <c r="GZ186" s="110"/>
      <c r="HA186" s="110"/>
      <c r="HB186" s="110"/>
      <c r="HC186" s="110"/>
      <c r="HD186" s="110"/>
      <c r="HE186" s="110"/>
      <c r="HF186" s="110"/>
      <c r="HG186" s="110"/>
      <c r="HH186" s="110"/>
      <c r="HI186" s="110"/>
      <c r="HJ186" s="110"/>
      <c r="HK186" s="110"/>
      <c r="HL186" s="110"/>
      <c r="HM186" s="110"/>
      <c r="HN186" s="110"/>
      <c r="HO186" s="110"/>
      <c r="HP186" s="110"/>
      <c r="HQ186" s="110"/>
      <c r="HR186" s="110"/>
      <c r="HS186" s="110"/>
      <c r="HT186" s="110"/>
      <c r="HU186" s="110"/>
      <c r="HV186" s="110"/>
      <c r="HW186" s="110"/>
      <c r="HX186" s="110"/>
      <c r="HY186" s="110"/>
      <c r="HZ186" s="110"/>
      <c r="IA186" s="110"/>
      <c r="IB186" s="110"/>
      <c r="IC186" s="110"/>
      <c r="ID186" s="110"/>
      <c r="IE186" s="110"/>
      <c r="IF186" s="110"/>
      <c r="IG186" s="110"/>
      <c r="IH186" s="110"/>
      <c r="II186" s="110"/>
      <c r="IJ186" s="110"/>
      <c r="IK186" s="110"/>
      <c r="IL186" s="110"/>
      <c r="IM186" s="110"/>
      <c r="IN186" s="110"/>
      <c r="IO186" s="110"/>
      <c r="IP186" s="110"/>
      <c r="IQ186" s="110"/>
      <c r="IR186" s="110"/>
      <c r="IS186" s="110"/>
      <c r="IT186" s="110"/>
      <c r="IU186" s="110"/>
      <c r="IV186" s="110"/>
      <c r="IW186" s="110"/>
      <c r="IX186" s="110"/>
      <c r="IY186" s="110"/>
      <c r="IZ186" s="110"/>
      <c r="JA186" s="110"/>
      <c r="JB186" s="110"/>
      <c r="JC186" s="110"/>
      <c r="JD186" s="110"/>
      <c r="JE186" s="110"/>
      <c r="JF186" s="110"/>
      <c r="JG186" s="110"/>
      <c r="JH186" s="110"/>
      <c r="JI186" s="110"/>
      <c r="JJ186" s="110"/>
      <c r="JK186" s="110"/>
      <c r="JL186" s="110"/>
      <c r="JM186" s="110"/>
      <c r="JN186" s="110"/>
      <c r="JO186" s="110"/>
      <c r="JP186" s="110"/>
      <c r="JQ186" s="110"/>
      <c r="JR186" s="110"/>
      <c r="JS186" s="110"/>
      <c r="JT186" s="110"/>
      <c r="JU186" s="110"/>
      <c r="JV186" s="110"/>
      <c r="JW186" s="110"/>
      <c r="JX186" s="110"/>
      <c r="JY186" s="110"/>
      <c r="JZ186" s="110"/>
      <c r="KA186" s="110"/>
      <c r="KB186" s="110"/>
      <c r="KC186" s="110"/>
      <c r="KD186" s="110"/>
      <c r="KE186" s="110"/>
      <c r="KF186" s="110"/>
      <c r="KG186" s="110"/>
      <c r="KH186" s="110"/>
      <c r="KI186" s="110"/>
      <c r="KJ186" s="110"/>
      <c r="KK186" s="110"/>
      <c r="KL186" s="110"/>
      <c r="KM186" s="110"/>
      <c r="KN186" s="110"/>
    </row>
    <row r="187" spans="1:300" ht="19.2" customHeight="1" x14ac:dyDescent="0.3">
      <c r="A187" s="110"/>
      <c r="B187" s="110"/>
      <c r="C187" s="110"/>
      <c r="D187" s="110"/>
      <c r="E187" s="110"/>
      <c r="F187" s="110"/>
      <c r="G187" s="112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  <c r="GG187" s="110"/>
      <c r="GH187" s="110"/>
      <c r="GI187" s="110"/>
      <c r="GJ187" s="110"/>
      <c r="GK187" s="110"/>
      <c r="GL187" s="110"/>
      <c r="GM187" s="110"/>
      <c r="GN187" s="110"/>
      <c r="GO187" s="110"/>
      <c r="GP187" s="110"/>
      <c r="GQ187" s="110"/>
      <c r="GR187" s="110"/>
      <c r="GS187" s="110"/>
      <c r="GT187" s="110"/>
      <c r="GU187" s="110"/>
      <c r="GV187" s="110"/>
      <c r="GW187" s="110"/>
      <c r="GX187" s="110"/>
      <c r="GY187" s="110"/>
      <c r="GZ187" s="110"/>
      <c r="HA187" s="110"/>
      <c r="HB187" s="110"/>
      <c r="HC187" s="110"/>
      <c r="HD187" s="110"/>
      <c r="HE187" s="110"/>
      <c r="HF187" s="110"/>
      <c r="HG187" s="110"/>
      <c r="HH187" s="110"/>
      <c r="HI187" s="110"/>
      <c r="HJ187" s="110"/>
      <c r="HK187" s="110"/>
      <c r="HL187" s="110"/>
      <c r="HM187" s="110"/>
      <c r="HN187" s="110"/>
      <c r="HO187" s="110"/>
      <c r="HP187" s="110"/>
      <c r="HQ187" s="110"/>
      <c r="HR187" s="110"/>
      <c r="HS187" s="110"/>
      <c r="HT187" s="110"/>
      <c r="HU187" s="110"/>
      <c r="HV187" s="110"/>
      <c r="HW187" s="110"/>
      <c r="HX187" s="110"/>
      <c r="HY187" s="110"/>
      <c r="HZ187" s="110"/>
      <c r="IA187" s="110"/>
      <c r="IB187" s="110"/>
      <c r="IC187" s="110"/>
      <c r="ID187" s="110"/>
      <c r="IE187" s="110"/>
      <c r="IF187" s="110"/>
      <c r="IG187" s="110"/>
      <c r="IH187" s="110"/>
      <c r="II187" s="110"/>
      <c r="IJ187" s="110"/>
      <c r="IK187" s="110"/>
      <c r="IL187" s="110"/>
      <c r="IM187" s="110"/>
      <c r="IN187" s="110"/>
      <c r="IO187" s="110"/>
      <c r="IP187" s="110"/>
      <c r="IQ187" s="110"/>
      <c r="IR187" s="110"/>
      <c r="IS187" s="110"/>
      <c r="IT187" s="110"/>
      <c r="IU187" s="110"/>
      <c r="IV187" s="110"/>
      <c r="IW187" s="110"/>
      <c r="IX187" s="110"/>
      <c r="IY187" s="110"/>
      <c r="IZ187" s="110"/>
      <c r="JA187" s="110"/>
      <c r="JB187" s="110"/>
      <c r="JC187" s="110"/>
      <c r="JD187" s="110"/>
      <c r="JE187" s="110"/>
      <c r="JF187" s="110"/>
      <c r="JG187" s="110"/>
      <c r="JH187" s="110"/>
      <c r="JI187" s="110"/>
      <c r="JJ187" s="110"/>
      <c r="JK187" s="110"/>
      <c r="JL187" s="110"/>
      <c r="JM187" s="110"/>
      <c r="JN187" s="110"/>
      <c r="JO187" s="110"/>
      <c r="JP187" s="110"/>
      <c r="JQ187" s="110"/>
      <c r="JR187" s="110"/>
      <c r="JS187" s="110"/>
      <c r="JT187" s="110"/>
      <c r="JU187" s="110"/>
      <c r="JV187" s="110"/>
      <c r="JW187" s="110"/>
      <c r="JX187" s="110"/>
      <c r="JY187" s="110"/>
      <c r="JZ187" s="110"/>
      <c r="KA187" s="110"/>
      <c r="KB187" s="110"/>
      <c r="KC187" s="110"/>
      <c r="KD187" s="110"/>
      <c r="KE187" s="110"/>
      <c r="KF187" s="110"/>
      <c r="KG187" s="110"/>
      <c r="KH187" s="110"/>
      <c r="KI187" s="110"/>
      <c r="KJ187" s="110"/>
      <c r="KK187" s="110"/>
      <c r="KL187" s="110"/>
      <c r="KM187" s="110"/>
      <c r="KN187" s="110"/>
    </row>
    <row r="188" spans="1:300" ht="19.2" customHeight="1" x14ac:dyDescent="0.3">
      <c r="A188" s="110"/>
      <c r="B188" s="110"/>
      <c r="C188" s="110"/>
      <c r="D188" s="110"/>
      <c r="E188" s="110"/>
      <c r="F188" s="110"/>
      <c r="G188" s="112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  <c r="GG188" s="110"/>
      <c r="GH188" s="110"/>
      <c r="GI188" s="110"/>
      <c r="GJ188" s="110"/>
      <c r="GK188" s="110"/>
      <c r="GL188" s="110"/>
      <c r="GM188" s="110"/>
      <c r="GN188" s="110"/>
      <c r="GO188" s="110"/>
      <c r="GP188" s="110"/>
      <c r="GQ188" s="110"/>
      <c r="GR188" s="110"/>
      <c r="GS188" s="110"/>
      <c r="GT188" s="110"/>
      <c r="GU188" s="110"/>
      <c r="GV188" s="110"/>
      <c r="GW188" s="110"/>
      <c r="GX188" s="110"/>
      <c r="GY188" s="110"/>
      <c r="GZ188" s="110"/>
      <c r="HA188" s="110"/>
      <c r="HB188" s="110"/>
      <c r="HC188" s="110"/>
      <c r="HD188" s="110"/>
      <c r="HE188" s="110"/>
      <c r="HF188" s="110"/>
      <c r="HG188" s="110"/>
      <c r="HH188" s="110"/>
      <c r="HI188" s="110"/>
      <c r="HJ188" s="110"/>
      <c r="HK188" s="110"/>
      <c r="HL188" s="110"/>
      <c r="HM188" s="110"/>
      <c r="HN188" s="110"/>
      <c r="HO188" s="110"/>
      <c r="HP188" s="110"/>
      <c r="HQ188" s="110"/>
      <c r="HR188" s="110"/>
      <c r="HS188" s="110"/>
      <c r="HT188" s="110"/>
      <c r="HU188" s="110"/>
      <c r="HV188" s="110"/>
      <c r="HW188" s="110"/>
      <c r="HX188" s="110"/>
      <c r="HY188" s="110"/>
      <c r="HZ188" s="110"/>
      <c r="IA188" s="110"/>
      <c r="IB188" s="110"/>
      <c r="IC188" s="110"/>
      <c r="ID188" s="110"/>
      <c r="IE188" s="110"/>
      <c r="IF188" s="110"/>
      <c r="IG188" s="110"/>
      <c r="IH188" s="110"/>
      <c r="II188" s="110"/>
      <c r="IJ188" s="110"/>
      <c r="IK188" s="110"/>
      <c r="IL188" s="110"/>
      <c r="IM188" s="110"/>
      <c r="IN188" s="110"/>
      <c r="IO188" s="110"/>
      <c r="IP188" s="110"/>
      <c r="IQ188" s="110"/>
      <c r="IR188" s="110"/>
      <c r="IS188" s="110"/>
      <c r="IT188" s="110"/>
      <c r="IU188" s="110"/>
      <c r="IV188" s="110"/>
      <c r="IW188" s="110"/>
      <c r="IX188" s="110"/>
      <c r="IY188" s="110"/>
      <c r="IZ188" s="110"/>
      <c r="JA188" s="110"/>
      <c r="JB188" s="110"/>
      <c r="JC188" s="110"/>
      <c r="JD188" s="110"/>
      <c r="JE188" s="110"/>
      <c r="JF188" s="110"/>
      <c r="JG188" s="110"/>
      <c r="JH188" s="110"/>
      <c r="JI188" s="110"/>
      <c r="JJ188" s="110"/>
      <c r="JK188" s="110"/>
      <c r="JL188" s="110"/>
      <c r="JM188" s="110"/>
      <c r="JN188" s="110"/>
      <c r="JO188" s="110"/>
      <c r="JP188" s="110"/>
      <c r="JQ188" s="110"/>
      <c r="JR188" s="110"/>
      <c r="JS188" s="110"/>
      <c r="JT188" s="110"/>
      <c r="JU188" s="110"/>
      <c r="JV188" s="110"/>
      <c r="JW188" s="110"/>
      <c r="JX188" s="110"/>
      <c r="JY188" s="110"/>
      <c r="JZ188" s="110"/>
      <c r="KA188" s="110"/>
      <c r="KB188" s="110"/>
      <c r="KC188" s="110"/>
      <c r="KD188" s="110"/>
      <c r="KE188" s="110"/>
      <c r="KF188" s="110"/>
      <c r="KG188" s="110"/>
      <c r="KH188" s="110"/>
      <c r="KI188" s="110"/>
      <c r="KJ188" s="110"/>
      <c r="KK188" s="110"/>
      <c r="KL188" s="110"/>
      <c r="KM188" s="110"/>
      <c r="KN188" s="110"/>
    </row>
    <row r="189" spans="1:300" ht="19.2" customHeight="1" x14ac:dyDescent="0.3">
      <c r="A189" s="110"/>
      <c r="B189" s="110"/>
      <c r="C189" s="110"/>
      <c r="D189" s="110"/>
      <c r="E189" s="110"/>
      <c r="F189" s="110"/>
      <c r="G189" s="112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  <c r="GG189" s="110"/>
      <c r="GH189" s="110"/>
      <c r="GI189" s="110"/>
      <c r="GJ189" s="110"/>
      <c r="GK189" s="110"/>
      <c r="GL189" s="110"/>
      <c r="GM189" s="110"/>
      <c r="GN189" s="110"/>
      <c r="GO189" s="110"/>
      <c r="GP189" s="110"/>
      <c r="GQ189" s="110"/>
      <c r="GR189" s="110"/>
      <c r="GS189" s="110"/>
      <c r="GT189" s="110"/>
      <c r="GU189" s="110"/>
      <c r="GV189" s="110"/>
      <c r="GW189" s="110"/>
      <c r="GX189" s="110"/>
      <c r="GY189" s="110"/>
      <c r="GZ189" s="110"/>
      <c r="HA189" s="110"/>
      <c r="HB189" s="110"/>
      <c r="HC189" s="110"/>
      <c r="HD189" s="110"/>
      <c r="HE189" s="110"/>
      <c r="HF189" s="110"/>
      <c r="HG189" s="110"/>
      <c r="HH189" s="110"/>
      <c r="HI189" s="110"/>
      <c r="HJ189" s="110"/>
      <c r="HK189" s="110"/>
      <c r="HL189" s="110"/>
      <c r="HM189" s="110"/>
      <c r="HN189" s="110"/>
      <c r="HO189" s="110"/>
      <c r="HP189" s="110"/>
      <c r="HQ189" s="110"/>
      <c r="HR189" s="110"/>
      <c r="HS189" s="110"/>
      <c r="HT189" s="110"/>
      <c r="HU189" s="110"/>
      <c r="HV189" s="110"/>
      <c r="HW189" s="110"/>
      <c r="HX189" s="110"/>
      <c r="HY189" s="110"/>
      <c r="HZ189" s="110"/>
      <c r="IA189" s="110"/>
      <c r="IB189" s="110"/>
      <c r="IC189" s="110"/>
      <c r="ID189" s="110"/>
      <c r="IE189" s="110"/>
      <c r="IF189" s="110"/>
      <c r="IG189" s="110"/>
      <c r="IH189" s="110"/>
      <c r="II189" s="110"/>
      <c r="IJ189" s="110"/>
      <c r="IK189" s="110"/>
      <c r="IL189" s="110"/>
      <c r="IM189" s="110"/>
      <c r="IN189" s="110"/>
      <c r="IO189" s="110"/>
      <c r="IP189" s="110"/>
      <c r="IQ189" s="110"/>
      <c r="IR189" s="110"/>
      <c r="IS189" s="110"/>
      <c r="IT189" s="110"/>
      <c r="IU189" s="110"/>
      <c r="IV189" s="110"/>
      <c r="IW189" s="110"/>
      <c r="IX189" s="110"/>
      <c r="IY189" s="110"/>
      <c r="IZ189" s="110"/>
      <c r="JA189" s="110"/>
      <c r="JB189" s="110"/>
      <c r="JC189" s="110"/>
      <c r="JD189" s="110"/>
      <c r="JE189" s="110"/>
      <c r="JF189" s="110"/>
      <c r="JG189" s="110"/>
      <c r="JH189" s="110"/>
      <c r="JI189" s="110"/>
      <c r="JJ189" s="110"/>
      <c r="JK189" s="110"/>
      <c r="JL189" s="110"/>
      <c r="JM189" s="110"/>
      <c r="JN189" s="110"/>
      <c r="JO189" s="110"/>
      <c r="JP189" s="110"/>
      <c r="JQ189" s="110"/>
      <c r="JR189" s="110"/>
      <c r="JS189" s="110"/>
      <c r="JT189" s="110"/>
      <c r="JU189" s="110"/>
      <c r="JV189" s="110"/>
      <c r="JW189" s="110"/>
      <c r="JX189" s="110"/>
      <c r="JY189" s="110"/>
      <c r="JZ189" s="110"/>
      <c r="KA189" s="110"/>
      <c r="KB189" s="110"/>
      <c r="KC189" s="110"/>
      <c r="KD189" s="110"/>
      <c r="KE189" s="110"/>
      <c r="KF189" s="110"/>
      <c r="KG189" s="110"/>
      <c r="KH189" s="110"/>
      <c r="KI189" s="110"/>
      <c r="KJ189" s="110"/>
      <c r="KK189" s="110"/>
      <c r="KL189" s="110"/>
      <c r="KM189" s="110"/>
      <c r="KN189" s="110"/>
    </row>
    <row r="190" spans="1:300" ht="19.2" customHeight="1" x14ac:dyDescent="0.3">
      <c r="A190" s="110"/>
      <c r="B190" s="110"/>
      <c r="C190" s="110"/>
      <c r="D190" s="110"/>
      <c r="E190" s="110"/>
      <c r="F190" s="110"/>
      <c r="G190" s="112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  <c r="GG190" s="110"/>
      <c r="GH190" s="110"/>
      <c r="GI190" s="110"/>
      <c r="GJ190" s="110"/>
      <c r="GK190" s="110"/>
      <c r="GL190" s="110"/>
      <c r="GM190" s="110"/>
      <c r="GN190" s="110"/>
      <c r="GO190" s="110"/>
      <c r="GP190" s="110"/>
      <c r="GQ190" s="110"/>
      <c r="GR190" s="110"/>
      <c r="GS190" s="110"/>
      <c r="GT190" s="110"/>
      <c r="GU190" s="110"/>
      <c r="GV190" s="110"/>
      <c r="GW190" s="110"/>
      <c r="GX190" s="110"/>
      <c r="GY190" s="110"/>
      <c r="GZ190" s="110"/>
      <c r="HA190" s="110"/>
      <c r="HB190" s="110"/>
      <c r="HC190" s="110"/>
      <c r="HD190" s="110"/>
      <c r="HE190" s="110"/>
      <c r="HF190" s="110"/>
      <c r="HG190" s="110"/>
      <c r="HH190" s="110"/>
      <c r="HI190" s="110"/>
      <c r="HJ190" s="110"/>
      <c r="HK190" s="110"/>
      <c r="HL190" s="110"/>
      <c r="HM190" s="110"/>
      <c r="HN190" s="110"/>
      <c r="HO190" s="110"/>
      <c r="HP190" s="110"/>
      <c r="HQ190" s="110"/>
      <c r="HR190" s="110"/>
      <c r="HS190" s="110"/>
      <c r="HT190" s="110"/>
      <c r="HU190" s="110"/>
      <c r="HV190" s="110"/>
      <c r="HW190" s="110"/>
      <c r="HX190" s="110"/>
      <c r="HY190" s="110"/>
      <c r="HZ190" s="110"/>
      <c r="IA190" s="110"/>
      <c r="IB190" s="110"/>
      <c r="IC190" s="110"/>
      <c r="ID190" s="110"/>
      <c r="IE190" s="110"/>
      <c r="IF190" s="110"/>
      <c r="IG190" s="110"/>
      <c r="IH190" s="110"/>
      <c r="II190" s="110"/>
      <c r="IJ190" s="110"/>
      <c r="IK190" s="110"/>
      <c r="IL190" s="110"/>
      <c r="IM190" s="110"/>
      <c r="IN190" s="110"/>
      <c r="IO190" s="110"/>
      <c r="IP190" s="110"/>
      <c r="IQ190" s="110"/>
      <c r="IR190" s="110"/>
      <c r="IS190" s="110"/>
      <c r="IT190" s="110"/>
      <c r="IU190" s="110"/>
      <c r="IV190" s="110"/>
      <c r="IW190" s="110"/>
      <c r="IX190" s="110"/>
      <c r="IY190" s="110"/>
      <c r="IZ190" s="110"/>
      <c r="JA190" s="110"/>
      <c r="JB190" s="110"/>
      <c r="JC190" s="110"/>
      <c r="JD190" s="110"/>
      <c r="JE190" s="110"/>
      <c r="JF190" s="110"/>
      <c r="JG190" s="110"/>
      <c r="JH190" s="110"/>
      <c r="JI190" s="110"/>
      <c r="JJ190" s="110"/>
      <c r="JK190" s="110"/>
      <c r="JL190" s="110"/>
      <c r="JM190" s="110"/>
      <c r="JN190" s="110"/>
      <c r="JO190" s="110"/>
      <c r="JP190" s="110"/>
      <c r="JQ190" s="110"/>
      <c r="JR190" s="110"/>
      <c r="JS190" s="110"/>
      <c r="JT190" s="110"/>
      <c r="JU190" s="110"/>
      <c r="JV190" s="110"/>
      <c r="JW190" s="110"/>
      <c r="JX190" s="110"/>
      <c r="JY190" s="110"/>
      <c r="JZ190" s="110"/>
      <c r="KA190" s="110"/>
      <c r="KB190" s="110"/>
      <c r="KC190" s="110"/>
      <c r="KD190" s="110"/>
      <c r="KE190" s="110"/>
      <c r="KF190" s="110"/>
      <c r="KG190" s="110"/>
      <c r="KH190" s="110"/>
      <c r="KI190" s="110"/>
      <c r="KJ190" s="110"/>
      <c r="KK190" s="110"/>
      <c r="KL190" s="110"/>
      <c r="KM190" s="110"/>
      <c r="KN190" s="110"/>
    </row>
    <row r="191" spans="1:300" ht="19.2" customHeight="1" x14ac:dyDescent="0.3">
      <c r="A191" s="110"/>
      <c r="B191" s="110"/>
      <c r="C191" s="110"/>
      <c r="D191" s="110"/>
      <c r="E191" s="110"/>
      <c r="F191" s="110"/>
      <c r="G191" s="112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  <c r="GG191" s="110"/>
      <c r="GH191" s="110"/>
      <c r="GI191" s="110"/>
      <c r="GJ191" s="110"/>
      <c r="GK191" s="110"/>
      <c r="GL191" s="110"/>
      <c r="GM191" s="110"/>
      <c r="GN191" s="110"/>
      <c r="GO191" s="110"/>
      <c r="GP191" s="110"/>
      <c r="GQ191" s="110"/>
      <c r="GR191" s="110"/>
      <c r="GS191" s="110"/>
      <c r="GT191" s="110"/>
      <c r="GU191" s="110"/>
      <c r="GV191" s="110"/>
      <c r="GW191" s="110"/>
      <c r="GX191" s="110"/>
      <c r="GY191" s="110"/>
      <c r="GZ191" s="110"/>
      <c r="HA191" s="110"/>
      <c r="HB191" s="110"/>
      <c r="HC191" s="110"/>
      <c r="HD191" s="110"/>
      <c r="HE191" s="110"/>
      <c r="HF191" s="110"/>
      <c r="HG191" s="110"/>
      <c r="HH191" s="110"/>
      <c r="HI191" s="110"/>
      <c r="HJ191" s="110"/>
      <c r="HK191" s="110"/>
      <c r="HL191" s="110"/>
      <c r="HM191" s="110"/>
      <c r="HN191" s="110"/>
      <c r="HO191" s="110"/>
      <c r="HP191" s="110"/>
      <c r="HQ191" s="110"/>
      <c r="HR191" s="110"/>
      <c r="HS191" s="110"/>
      <c r="HT191" s="110"/>
      <c r="HU191" s="110"/>
      <c r="HV191" s="110"/>
      <c r="HW191" s="110"/>
      <c r="HX191" s="110"/>
      <c r="HY191" s="110"/>
      <c r="HZ191" s="110"/>
      <c r="IA191" s="110"/>
      <c r="IB191" s="110"/>
      <c r="IC191" s="110"/>
      <c r="ID191" s="110"/>
      <c r="IE191" s="110"/>
      <c r="IF191" s="110"/>
      <c r="IG191" s="110"/>
      <c r="IH191" s="110"/>
      <c r="II191" s="110"/>
      <c r="IJ191" s="110"/>
      <c r="IK191" s="110"/>
      <c r="IL191" s="110"/>
      <c r="IM191" s="110"/>
      <c r="IN191" s="110"/>
      <c r="IO191" s="110"/>
      <c r="IP191" s="110"/>
      <c r="IQ191" s="110"/>
      <c r="IR191" s="110"/>
      <c r="IS191" s="110"/>
      <c r="IT191" s="110"/>
      <c r="IU191" s="110"/>
      <c r="IV191" s="110"/>
      <c r="IW191" s="110"/>
      <c r="IX191" s="110"/>
      <c r="IY191" s="110"/>
      <c r="IZ191" s="110"/>
      <c r="JA191" s="110"/>
      <c r="JB191" s="110"/>
      <c r="JC191" s="110"/>
      <c r="JD191" s="110"/>
      <c r="JE191" s="110"/>
      <c r="JF191" s="110"/>
      <c r="JG191" s="110"/>
      <c r="JH191" s="110"/>
      <c r="JI191" s="110"/>
      <c r="JJ191" s="110"/>
      <c r="JK191" s="110"/>
      <c r="JL191" s="110"/>
      <c r="JM191" s="110"/>
      <c r="JN191" s="110"/>
      <c r="JO191" s="110"/>
      <c r="JP191" s="110"/>
      <c r="JQ191" s="110"/>
      <c r="JR191" s="110"/>
      <c r="JS191" s="110"/>
      <c r="JT191" s="110"/>
      <c r="JU191" s="110"/>
      <c r="JV191" s="110"/>
      <c r="JW191" s="110"/>
      <c r="JX191" s="110"/>
      <c r="JY191" s="110"/>
      <c r="JZ191" s="110"/>
      <c r="KA191" s="110"/>
      <c r="KB191" s="110"/>
      <c r="KC191" s="110"/>
      <c r="KD191" s="110"/>
      <c r="KE191" s="110"/>
      <c r="KF191" s="110"/>
      <c r="KG191" s="110"/>
      <c r="KH191" s="110"/>
      <c r="KI191" s="110"/>
      <c r="KJ191" s="110"/>
      <c r="KK191" s="110"/>
      <c r="KL191" s="110"/>
      <c r="KM191" s="110"/>
      <c r="KN191" s="110"/>
    </row>
    <row r="192" spans="1:300" ht="19.2" customHeight="1" x14ac:dyDescent="0.3">
      <c r="A192" s="110"/>
      <c r="B192" s="110"/>
      <c r="C192" s="110"/>
      <c r="D192" s="110"/>
      <c r="E192" s="110"/>
      <c r="F192" s="110"/>
      <c r="G192" s="112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  <c r="GG192" s="110"/>
      <c r="GH192" s="110"/>
      <c r="GI192" s="110"/>
      <c r="GJ192" s="110"/>
      <c r="GK192" s="110"/>
      <c r="GL192" s="110"/>
      <c r="GM192" s="110"/>
      <c r="GN192" s="110"/>
      <c r="GO192" s="110"/>
      <c r="GP192" s="110"/>
      <c r="GQ192" s="110"/>
      <c r="GR192" s="110"/>
      <c r="GS192" s="110"/>
      <c r="GT192" s="110"/>
      <c r="GU192" s="110"/>
      <c r="GV192" s="110"/>
      <c r="GW192" s="110"/>
      <c r="GX192" s="110"/>
      <c r="GY192" s="110"/>
      <c r="GZ192" s="110"/>
      <c r="HA192" s="110"/>
      <c r="HB192" s="110"/>
      <c r="HC192" s="110"/>
      <c r="HD192" s="110"/>
      <c r="HE192" s="110"/>
      <c r="HF192" s="110"/>
      <c r="HG192" s="110"/>
      <c r="HH192" s="110"/>
      <c r="HI192" s="110"/>
      <c r="HJ192" s="110"/>
      <c r="HK192" s="110"/>
      <c r="HL192" s="110"/>
      <c r="HM192" s="110"/>
      <c r="HN192" s="110"/>
      <c r="HO192" s="110"/>
      <c r="HP192" s="110"/>
      <c r="HQ192" s="110"/>
      <c r="HR192" s="110"/>
      <c r="HS192" s="110"/>
      <c r="HT192" s="110"/>
      <c r="HU192" s="110"/>
      <c r="HV192" s="110"/>
      <c r="HW192" s="110"/>
      <c r="HX192" s="110"/>
      <c r="HY192" s="110"/>
      <c r="HZ192" s="110"/>
      <c r="IA192" s="110"/>
      <c r="IB192" s="110"/>
      <c r="IC192" s="110"/>
      <c r="ID192" s="110"/>
      <c r="IE192" s="110"/>
      <c r="IF192" s="110"/>
      <c r="IG192" s="110"/>
      <c r="IH192" s="110"/>
      <c r="II192" s="110"/>
      <c r="IJ192" s="110"/>
      <c r="IK192" s="110"/>
      <c r="IL192" s="110"/>
      <c r="IM192" s="110"/>
      <c r="IN192" s="110"/>
      <c r="IO192" s="110"/>
      <c r="IP192" s="110"/>
      <c r="IQ192" s="110"/>
      <c r="IR192" s="110"/>
      <c r="IS192" s="110"/>
      <c r="IT192" s="110"/>
      <c r="IU192" s="110"/>
      <c r="IV192" s="110"/>
      <c r="IW192" s="110"/>
      <c r="IX192" s="110"/>
      <c r="IY192" s="110"/>
      <c r="IZ192" s="110"/>
      <c r="JA192" s="110"/>
      <c r="JB192" s="110"/>
      <c r="JC192" s="110"/>
      <c r="JD192" s="110"/>
      <c r="JE192" s="110"/>
      <c r="JF192" s="110"/>
      <c r="JG192" s="110"/>
      <c r="JH192" s="110"/>
      <c r="JI192" s="110"/>
      <c r="JJ192" s="110"/>
      <c r="JK192" s="110"/>
      <c r="JL192" s="110"/>
      <c r="JM192" s="110"/>
      <c r="JN192" s="110"/>
      <c r="JO192" s="110"/>
      <c r="JP192" s="110"/>
      <c r="JQ192" s="110"/>
      <c r="JR192" s="110"/>
      <c r="JS192" s="110"/>
      <c r="JT192" s="110"/>
      <c r="JU192" s="110"/>
      <c r="JV192" s="110"/>
      <c r="JW192" s="110"/>
      <c r="JX192" s="110"/>
      <c r="JY192" s="110"/>
      <c r="JZ192" s="110"/>
      <c r="KA192" s="110"/>
      <c r="KB192" s="110"/>
      <c r="KC192" s="110"/>
      <c r="KD192" s="110"/>
      <c r="KE192" s="110"/>
      <c r="KF192" s="110"/>
      <c r="KG192" s="110"/>
      <c r="KH192" s="110"/>
      <c r="KI192" s="110"/>
      <c r="KJ192" s="110"/>
      <c r="KK192" s="110"/>
      <c r="KL192" s="110"/>
      <c r="KM192" s="110"/>
      <c r="KN192" s="110"/>
    </row>
    <row r="193" spans="1:300" ht="19.2" customHeight="1" x14ac:dyDescent="0.3">
      <c r="A193" s="110"/>
      <c r="B193" s="110"/>
      <c r="C193" s="110"/>
      <c r="D193" s="110"/>
      <c r="E193" s="110"/>
      <c r="F193" s="110"/>
      <c r="G193" s="112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  <c r="GG193" s="110"/>
      <c r="GH193" s="110"/>
      <c r="GI193" s="110"/>
      <c r="GJ193" s="110"/>
      <c r="GK193" s="110"/>
      <c r="GL193" s="110"/>
      <c r="GM193" s="110"/>
      <c r="GN193" s="110"/>
      <c r="GO193" s="110"/>
      <c r="GP193" s="110"/>
      <c r="GQ193" s="110"/>
      <c r="GR193" s="110"/>
      <c r="GS193" s="110"/>
      <c r="GT193" s="110"/>
      <c r="GU193" s="110"/>
      <c r="GV193" s="110"/>
      <c r="GW193" s="110"/>
      <c r="GX193" s="110"/>
      <c r="GY193" s="110"/>
      <c r="GZ193" s="110"/>
      <c r="HA193" s="110"/>
      <c r="HB193" s="110"/>
      <c r="HC193" s="110"/>
      <c r="HD193" s="110"/>
      <c r="HE193" s="110"/>
      <c r="HF193" s="110"/>
      <c r="HG193" s="110"/>
      <c r="HH193" s="110"/>
      <c r="HI193" s="110"/>
      <c r="HJ193" s="110"/>
      <c r="HK193" s="110"/>
      <c r="HL193" s="110"/>
      <c r="HM193" s="110"/>
      <c r="HN193" s="110"/>
      <c r="HO193" s="110"/>
      <c r="HP193" s="110"/>
      <c r="HQ193" s="110"/>
      <c r="HR193" s="110"/>
      <c r="HS193" s="110"/>
      <c r="HT193" s="110"/>
      <c r="HU193" s="110"/>
      <c r="HV193" s="110"/>
      <c r="HW193" s="110"/>
      <c r="HX193" s="110"/>
      <c r="HY193" s="110"/>
      <c r="HZ193" s="110"/>
      <c r="IA193" s="110"/>
      <c r="IB193" s="110"/>
      <c r="IC193" s="110"/>
      <c r="ID193" s="110"/>
      <c r="IE193" s="110"/>
      <c r="IF193" s="110"/>
      <c r="IG193" s="110"/>
      <c r="IH193" s="110"/>
      <c r="II193" s="110"/>
      <c r="IJ193" s="110"/>
      <c r="IK193" s="110"/>
      <c r="IL193" s="110"/>
      <c r="IM193" s="110"/>
      <c r="IN193" s="110"/>
      <c r="IO193" s="110"/>
      <c r="IP193" s="110"/>
      <c r="IQ193" s="110"/>
      <c r="IR193" s="110"/>
      <c r="IS193" s="110"/>
      <c r="IT193" s="110"/>
      <c r="IU193" s="110"/>
      <c r="IV193" s="110"/>
      <c r="IW193" s="110"/>
      <c r="IX193" s="110"/>
      <c r="IY193" s="110"/>
      <c r="IZ193" s="110"/>
      <c r="JA193" s="110"/>
      <c r="JB193" s="110"/>
      <c r="JC193" s="110"/>
      <c r="JD193" s="110"/>
      <c r="JE193" s="110"/>
      <c r="JF193" s="110"/>
      <c r="JG193" s="110"/>
      <c r="JH193" s="110"/>
      <c r="JI193" s="110"/>
      <c r="JJ193" s="110"/>
      <c r="JK193" s="110"/>
      <c r="JL193" s="110"/>
      <c r="JM193" s="110"/>
      <c r="JN193" s="110"/>
      <c r="JO193" s="110"/>
      <c r="JP193" s="110"/>
      <c r="JQ193" s="110"/>
      <c r="JR193" s="110"/>
      <c r="JS193" s="110"/>
      <c r="JT193" s="110"/>
      <c r="JU193" s="110"/>
      <c r="JV193" s="110"/>
      <c r="JW193" s="110"/>
      <c r="JX193" s="110"/>
      <c r="JY193" s="110"/>
      <c r="JZ193" s="110"/>
      <c r="KA193" s="110"/>
      <c r="KB193" s="110"/>
      <c r="KC193" s="110"/>
      <c r="KD193" s="110"/>
      <c r="KE193" s="110"/>
      <c r="KF193" s="110"/>
      <c r="KG193" s="110"/>
      <c r="KH193" s="110"/>
      <c r="KI193" s="110"/>
      <c r="KJ193" s="110"/>
      <c r="KK193" s="110"/>
      <c r="KL193" s="110"/>
      <c r="KM193" s="110"/>
      <c r="KN193" s="110"/>
    </row>
    <row r="194" spans="1:300" ht="19.2" customHeight="1" x14ac:dyDescent="0.3">
      <c r="A194" s="110"/>
      <c r="B194" s="110"/>
      <c r="C194" s="110"/>
      <c r="D194" s="110"/>
      <c r="E194" s="110"/>
      <c r="F194" s="110"/>
      <c r="G194" s="112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  <c r="GG194" s="110"/>
      <c r="GH194" s="110"/>
      <c r="GI194" s="110"/>
      <c r="GJ194" s="110"/>
      <c r="GK194" s="110"/>
      <c r="GL194" s="110"/>
      <c r="GM194" s="110"/>
      <c r="GN194" s="110"/>
      <c r="GO194" s="110"/>
      <c r="GP194" s="110"/>
      <c r="GQ194" s="110"/>
      <c r="GR194" s="110"/>
      <c r="GS194" s="110"/>
      <c r="GT194" s="110"/>
      <c r="GU194" s="110"/>
      <c r="GV194" s="110"/>
      <c r="GW194" s="110"/>
      <c r="GX194" s="110"/>
      <c r="GY194" s="110"/>
      <c r="GZ194" s="110"/>
      <c r="HA194" s="110"/>
      <c r="HB194" s="110"/>
      <c r="HC194" s="110"/>
      <c r="HD194" s="110"/>
      <c r="HE194" s="110"/>
      <c r="HF194" s="110"/>
      <c r="HG194" s="110"/>
      <c r="HH194" s="110"/>
      <c r="HI194" s="110"/>
      <c r="HJ194" s="110"/>
      <c r="HK194" s="110"/>
      <c r="HL194" s="110"/>
      <c r="HM194" s="110"/>
      <c r="HN194" s="110"/>
      <c r="HO194" s="110"/>
      <c r="HP194" s="110"/>
      <c r="HQ194" s="110"/>
      <c r="HR194" s="110"/>
      <c r="HS194" s="110"/>
      <c r="HT194" s="110"/>
      <c r="HU194" s="110"/>
      <c r="HV194" s="110"/>
      <c r="HW194" s="110"/>
      <c r="HX194" s="110"/>
      <c r="HY194" s="110"/>
      <c r="HZ194" s="110"/>
      <c r="IA194" s="110"/>
      <c r="IB194" s="110"/>
      <c r="IC194" s="110"/>
      <c r="ID194" s="110"/>
      <c r="IE194" s="110"/>
      <c r="IF194" s="110"/>
      <c r="IG194" s="110"/>
      <c r="IH194" s="110"/>
      <c r="II194" s="110"/>
      <c r="IJ194" s="110"/>
      <c r="IK194" s="110"/>
      <c r="IL194" s="110"/>
      <c r="IM194" s="110"/>
      <c r="IN194" s="110"/>
      <c r="IO194" s="110"/>
      <c r="IP194" s="110"/>
      <c r="IQ194" s="110"/>
      <c r="IR194" s="110"/>
      <c r="IS194" s="110"/>
      <c r="IT194" s="110"/>
      <c r="IU194" s="110"/>
      <c r="IV194" s="110"/>
      <c r="IW194" s="110"/>
      <c r="IX194" s="110"/>
      <c r="IY194" s="110"/>
      <c r="IZ194" s="110"/>
      <c r="JA194" s="110"/>
      <c r="JB194" s="110"/>
      <c r="JC194" s="110"/>
      <c r="JD194" s="110"/>
      <c r="JE194" s="110"/>
      <c r="JF194" s="110"/>
      <c r="JG194" s="110"/>
      <c r="JH194" s="110"/>
      <c r="JI194" s="110"/>
      <c r="JJ194" s="110"/>
      <c r="JK194" s="110"/>
      <c r="JL194" s="110"/>
      <c r="JM194" s="110"/>
      <c r="JN194" s="110"/>
      <c r="JO194" s="110"/>
      <c r="JP194" s="110"/>
      <c r="JQ194" s="110"/>
      <c r="JR194" s="110"/>
      <c r="JS194" s="110"/>
      <c r="JT194" s="110"/>
      <c r="JU194" s="110"/>
      <c r="JV194" s="110"/>
      <c r="JW194" s="110"/>
      <c r="JX194" s="110"/>
      <c r="JY194" s="110"/>
      <c r="JZ194" s="110"/>
      <c r="KA194" s="110"/>
      <c r="KB194" s="110"/>
      <c r="KC194" s="110"/>
      <c r="KD194" s="110"/>
      <c r="KE194" s="110"/>
      <c r="KF194" s="110"/>
      <c r="KG194" s="110"/>
      <c r="KH194" s="110"/>
      <c r="KI194" s="110"/>
      <c r="KJ194" s="110"/>
      <c r="KK194" s="110"/>
      <c r="KL194" s="110"/>
      <c r="KM194" s="110"/>
      <c r="KN194" s="110"/>
    </row>
    <row r="195" spans="1:300" ht="19.2" customHeight="1" x14ac:dyDescent="0.3">
      <c r="A195" s="110"/>
      <c r="B195" s="110"/>
      <c r="C195" s="110"/>
      <c r="D195" s="110"/>
      <c r="E195" s="110"/>
      <c r="F195" s="110"/>
      <c r="G195" s="112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  <c r="GG195" s="110"/>
      <c r="GH195" s="110"/>
      <c r="GI195" s="110"/>
      <c r="GJ195" s="110"/>
      <c r="GK195" s="110"/>
      <c r="GL195" s="110"/>
      <c r="GM195" s="110"/>
      <c r="GN195" s="110"/>
      <c r="GO195" s="110"/>
      <c r="GP195" s="110"/>
      <c r="GQ195" s="110"/>
      <c r="GR195" s="110"/>
      <c r="GS195" s="110"/>
      <c r="GT195" s="110"/>
      <c r="GU195" s="110"/>
      <c r="GV195" s="110"/>
      <c r="GW195" s="110"/>
      <c r="GX195" s="110"/>
      <c r="GY195" s="110"/>
      <c r="GZ195" s="110"/>
      <c r="HA195" s="110"/>
      <c r="HB195" s="110"/>
      <c r="HC195" s="110"/>
      <c r="HD195" s="110"/>
      <c r="HE195" s="110"/>
      <c r="HF195" s="110"/>
      <c r="HG195" s="110"/>
      <c r="HH195" s="110"/>
      <c r="HI195" s="110"/>
      <c r="HJ195" s="110"/>
      <c r="HK195" s="110"/>
      <c r="HL195" s="110"/>
      <c r="HM195" s="110"/>
      <c r="HN195" s="110"/>
      <c r="HO195" s="110"/>
      <c r="HP195" s="110"/>
      <c r="HQ195" s="110"/>
      <c r="HR195" s="110"/>
      <c r="HS195" s="110"/>
      <c r="HT195" s="110"/>
      <c r="HU195" s="110"/>
      <c r="HV195" s="110"/>
      <c r="HW195" s="110"/>
      <c r="HX195" s="110"/>
      <c r="HY195" s="110"/>
      <c r="HZ195" s="110"/>
      <c r="IA195" s="110"/>
      <c r="IB195" s="110"/>
      <c r="IC195" s="110"/>
      <c r="ID195" s="110"/>
      <c r="IE195" s="110"/>
      <c r="IF195" s="110"/>
      <c r="IG195" s="110"/>
      <c r="IH195" s="110"/>
      <c r="II195" s="110"/>
      <c r="IJ195" s="110"/>
      <c r="IK195" s="110"/>
      <c r="IL195" s="110"/>
      <c r="IM195" s="110"/>
      <c r="IN195" s="110"/>
      <c r="IO195" s="110"/>
      <c r="IP195" s="110"/>
      <c r="IQ195" s="110"/>
      <c r="IR195" s="110"/>
      <c r="IS195" s="110"/>
      <c r="IT195" s="110"/>
      <c r="IU195" s="110"/>
      <c r="IV195" s="110"/>
      <c r="IW195" s="110"/>
      <c r="IX195" s="110"/>
      <c r="IY195" s="110"/>
      <c r="IZ195" s="110"/>
      <c r="JA195" s="110"/>
      <c r="JB195" s="110"/>
      <c r="JC195" s="110"/>
      <c r="JD195" s="110"/>
      <c r="JE195" s="110"/>
      <c r="JF195" s="110"/>
      <c r="JG195" s="110"/>
      <c r="JH195" s="110"/>
      <c r="JI195" s="110"/>
      <c r="JJ195" s="110"/>
      <c r="JK195" s="110"/>
      <c r="JL195" s="110"/>
      <c r="JM195" s="110"/>
      <c r="JN195" s="110"/>
      <c r="JO195" s="110"/>
      <c r="JP195" s="110"/>
      <c r="JQ195" s="110"/>
      <c r="JR195" s="110"/>
      <c r="JS195" s="110"/>
      <c r="JT195" s="110"/>
      <c r="JU195" s="110"/>
      <c r="JV195" s="110"/>
      <c r="JW195" s="110"/>
      <c r="JX195" s="110"/>
      <c r="JY195" s="110"/>
      <c r="JZ195" s="110"/>
      <c r="KA195" s="110"/>
      <c r="KB195" s="110"/>
      <c r="KC195" s="110"/>
      <c r="KD195" s="110"/>
      <c r="KE195" s="110"/>
      <c r="KF195" s="110"/>
      <c r="KG195" s="110"/>
      <c r="KH195" s="110"/>
      <c r="KI195" s="110"/>
      <c r="KJ195" s="110"/>
      <c r="KK195" s="110"/>
      <c r="KL195" s="110"/>
      <c r="KM195" s="110"/>
      <c r="KN195" s="110"/>
    </row>
    <row r="196" spans="1:300" ht="19.2" customHeight="1" x14ac:dyDescent="0.3">
      <c r="A196" s="110"/>
      <c r="B196" s="110"/>
      <c r="C196" s="110"/>
      <c r="D196" s="110"/>
      <c r="E196" s="110"/>
      <c r="F196" s="110"/>
      <c r="G196" s="112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  <c r="GG196" s="110"/>
      <c r="GH196" s="110"/>
      <c r="GI196" s="110"/>
      <c r="GJ196" s="110"/>
      <c r="GK196" s="110"/>
      <c r="GL196" s="110"/>
      <c r="GM196" s="110"/>
      <c r="GN196" s="110"/>
      <c r="GO196" s="110"/>
      <c r="GP196" s="110"/>
      <c r="GQ196" s="110"/>
      <c r="GR196" s="110"/>
      <c r="GS196" s="110"/>
      <c r="GT196" s="110"/>
      <c r="GU196" s="110"/>
      <c r="GV196" s="110"/>
      <c r="GW196" s="110"/>
      <c r="GX196" s="110"/>
      <c r="GY196" s="110"/>
      <c r="GZ196" s="110"/>
      <c r="HA196" s="110"/>
      <c r="HB196" s="110"/>
      <c r="HC196" s="110"/>
      <c r="HD196" s="110"/>
      <c r="HE196" s="110"/>
      <c r="HF196" s="110"/>
      <c r="HG196" s="110"/>
      <c r="HH196" s="110"/>
      <c r="HI196" s="110"/>
      <c r="HJ196" s="110"/>
      <c r="HK196" s="110"/>
      <c r="HL196" s="110"/>
      <c r="HM196" s="110"/>
      <c r="HN196" s="110"/>
      <c r="HO196" s="110"/>
      <c r="HP196" s="110"/>
      <c r="HQ196" s="110"/>
      <c r="HR196" s="110"/>
      <c r="HS196" s="110"/>
      <c r="HT196" s="110"/>
      <c r="HU196" s="110"/>
      <c r="HV196" s="110"/>
      <c r="HW196" s="110"/>
      <c r="HX196" s="110"/>
      <c r="HY196" s="110"/>
      <c r="HZ196" s="110"/>
      <c r="IA196" s="110"/>
      <c r="IB196" s="110"/>
      <c r="IC196" s="110"/>
      <c r="ID196" s="110"/>
      <c r="IE196" s="110"/>
      <c r="IF196" s="110"/>
      <c r="IG196" s="110"/>
      <c r="IH196" s="110"/>
      <c r="II196" s="110"/>
      <c r="IJ196" s="110"/>
      <c r="IK196" s="110"/>
      <c r="IL196" s="110"/>
      <c r="IM196" s="110"/>
      <c r="IN196" s="110"/>
      <c r="IO196" s="110"/>
      <c r="IP196" s="110"/>
      <c r="IQ196" s="110"/>
      <c r="IR196" s="110"/>
      <c r="IS196" s="110"/>
      <c r="IT196" s="110"/>
      <c r="IU196" s="110"/>
      <c r="IV196" s="110"/>
      <c r="IW196" s="110"/>
      <c r="IX196" s="110"/>
      <c r="IY196" s="110"/>
      <c r="IZ196" s="110"/>
      <c r="JA196" s="110"/>
      <c r="JB196" s="110"/>
      <c r="JC196" s="110"/>
      <c r="JD196" s="110"/>
      <c r="JE196" s="110"/>
      <c r="JF196" s="110"/>
      <c r="JG196" s="110"/>
      <c r="JH196" s="110"/>
      <c r="JI196" s="110"/>
      <c r="JJ196" s="110"/>
      <c r="JK196" s="110"/>
      <c r="JL196" s="110"/>
      <c r="JM196" s="110"/>
      <c r="JN196" s="110"/>
      <c r="JO196" s="110"/>
      <c r="JP196" s="110"/>
      <c r="JQ196" s="110"/>
      <c r="JR196" s="110"/>
      <c r="JS196" s="110"/>
      <c r="JT196" s="110"/>
      <c r="JU196" s="110"/>
      <c r="JV196" s="110"/>
      <c r="JW196" s="110"/>
      <c r="JX196" s="110"/>
      <c r="JY196" s="110"/>
      <c r="JZ196" s="110"/>
      <c r="KA196" s="110"/>
      <c r="KB196" s="110"/>
      <c r="KC196" s="110"/>
      <c r="KD196" s="110"/>
      <c r="KE196" s="110"/>
      <c r="KF196" s="110"/>
      <c r="KG196" s="110"/>
      <c r="KH196" s="110"/>
      <c r="KI196" s="110"/>
      <c r="KJ196" s="110"/>
      <c r="KK196" s="110"/>
      <c r="KL196" s="110"/>
      <c r="KM196" s="110"/>
      <c r="KN196" s="110"/>
    </row>
    <row r="197" spans="1:300" ht="19.2" customHeight="1" x14ac:dyDescent="0.3">
      <c r="A197" s="110"/>
      <c r="B197" s="110"/>
      <c r="C197" s="110"/>
      <c r="D197" s="110"/>
      <c r="E197" s="110"/>
      <c r="F197" s="110"/>
      <c r="G197" s="112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  <c r="GG197" s="110"/>
      <c r="GH197" s="110"/>
      <c r="GI197" s="110"/>
      <c r="GJ197" s="110"/>
      <c r="GK197" s="110"/>
      <c r="GL197" s="110"/>
      <c r="GM197" s="110"/>
      <c r="GN197" s="110"/>
      <c r="GO197" s="110"/>
      <c r="GP197" s="110"/>
      <c r="GQ197" s="110"/>
      <c r="GR197" s="110"/>
      <c r="GS197" s="110"/>
      <c r="GT197" s="110"/>
      <c r="GU197" s="110"/>
      <c r="GV197" s="110"/>
      <c r="GW197" s="110"/>
      <c r="GX197" s="110"/>
      <c r="GY197" s="110"/>
      <c r="GZ197" s="110"/>
      <c r="HA197" s="110"/>
      <c r="HB197" s="110"/>
      <c r="HC197" s="110"/>
      <c r="HD197" s="110"/>
      <c r="HE197" s="110"/>
      <c r="HF197" s="110"/>
      <c r="HG197" s="110"/>
      <c r="HH197" s="110"/>
      <c r="HI197" s="110"/>
      <c r="HJ197" s="110"/>
      <c r="HK197" s="110"/>
      <c r="HL197" s="110"/>
      <c r="HM197" s="110"/>
      <c r="HN197" s="110"/>
      <c r="HO197" s="110"/>
      <c r="HP197" s="110"/>
      <c r="HQ197" s="110"/>
      <c r="HR197" s="110"/>
      <c r="HS197" s="110"/>
      <c r="HT197" s="110"/>
      <c r="HU197" s="110"/>
      <c r="HV197" s="110"/>
      <c r="HW197" s="110"/>
      <c r="HX197" s="110"/>
      <c r="HY197" s="110"/>
      <c r="HZ197" s="110"/>
      <c r="IA197" s="110"/>
      <c r="IB197" s="110"/>
      <c r="IC197" s="110"/>
      <c r="ID197" s="110"/>
      <c r="IE197" s="110"/>
      <c r="IF197" s="110"/>
      <c r="IG197" s="110"/>
      <c r="IH197" s="110"/>
      <c r="II197" s="110"/>
      <c r="IJ197" s="110"/>
      <c r="IK197" s="110"/>
      <c r="IL197" s="110"/>
      <c r="IM197" s="110"/>
      <c r="IN197" s="110"/>
      <c r="IO197" s="110"/>
      <c r="IP197" s="110"/>
      <c r="IQ197" s="110"/>
      <c r="IR197" s="110"/>
      <c r="IS197" s="110"/>
      <c r="IT197" s="110"/>
      <c r="IU197" s="110"/>
      <c r="IV197" s="110"/>
      <c r="IW197" s="110"/>
      <c r="IX197" s="110"/>
      <c r="IY197" s="110"/>
      <c r="IZ197" s="110"/>
      <c r="JA197" s="110"/>
      <c r="JB197" s="110"/>
      <c r="JC197" s="110"/>
      <c r="JD197" s="110"/>
      <c r="JE197" s="110"/>
      <c r="JF197" s="110"/>
      <c r="JG197" s="110"/>
      <c r="JH197" s="110"/>
      <c r="JI197" s="110"/>
      <c r="JJ197" s="110"/>
      <c r="JK197" s="110"/>
      <c r="JL197" s="110"/>
      <c r="JM197" s="110"/>
      <c r="JN197" s="110"/>
      <c r="JO197" s="110"/>
      <c r="JP197" s="110"/>
      <c r="JQ197" s="110"/>
      <c r="JR197" s="110"/>
      <c r="JS197" s="110"/>
      <c r="JT197" s="110"/>
      <c r="JU197" s="110"/>
      <c r="JV197" s="110"/>
      <c r="JW197" s="110"/>
      <c r="JX197" s="110"/>
      <c r="JY197" s="110"/>
      <c r="JZ197" s="110"/>
      <c r="KA197" s="110"/>
      <c r="KB197" s="110"/>
      <c r="KC197" s="110"/>
      <c r="KD197" s="110"/>
      <c r="KE197" s="110"/>
      <c r="KF197" s="110"/>
      <c r="KG197" s="110"/>
      <c r="KH197" s="110"/>
      <c r="KI197" s="110"/>
      <c r="KJ197" s="110"/>
      <c r="KK197" s="110"/>
      <c r="KL197" s="110"/>
      <c r="KM197" s="110"/>
      <c r="KN197" s="110"/>
    </row>
    <row r="198" spans="1:300" ht="19.2" customHeight="1" x14ac:dyDescent="0.3">
      <c r="A198" s="110"/>
      <c r="B198" s="110"/>
      <c r="C198" s="110"/>
      <c r="D198" s="110"/>
      <c r="E198" s="110"/>
      <c r="F198" s="110"/>
      <c r="G198" s="112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  <c r="GG198" s="110"/>
      <c r="GH198" s="110"/>
      <c r="GI198" s="110"/>
      <c r="GJ198" s="110"/>
      <c r="GK198" s="110"/>
      <c r="GL198" s="110"/>
      <c r="GM198" s="110"/>
      <c r="GN198" s="110"/>
      <c r="GO198" s="110"/>
      <c r="GP198" s="110"/>
      <c r="GQ198" s="110"/>
      <c r="GR198" s="110"/>
      <c r="GS198" s="110"/>
      <c r="GT198" s="110"/>
      <c r="GU198" s="110"/>
      <c r="GV198" s="110"/>
      <c r="GW198" s="110"/>
      <c r="GX198" s="110"/>
      <c r="GY198" s="110"/>
      <c r="GZ198" s="110"/>
      <c r="HA198" s="110"/>
      <c r="HB198" s="110"/>
      <c r="HC198" s="110"/>
      <c r="HD198" s="110"/>
      <c r="HE198" s="110"/>
      <c r="HF198" s="110"/>
      <c r="HG198" s="110"/>
      <c r="HH198" s="110"/>
      <c r="HI198" s="110"/>
      <c r="HJ198" s="110"/>
      <c r="HK198" s="110"/>
      <c r="HL198" s="110"/>
      <c r="HM198" s="110"/>
      <c r="HN198" s="110"/>
      <c r="HO198" s="110"/>
      <c r="HP198" s="110"/>
      <c r="HQ198" s="110"/>
      <c r="HR198" s="110"/>
      <c r="HS198" s="110"/>
      <c r="HT198" s="110"/>
      <c r="HU198" s="110"/>
      <c r="HV198" s="110"/>
      <c r="HW198" s="110"/>
      <c r="HX198" s="110"/>
      <c r="HY198" s="110"/>
      <c r="HZ198" s="110"/>
      <c r="IA198" s="110"/>
      <c r="IB198" s="110"/>
      <c r="IC198" s="110"/>
      <c r="ID198" s="110"/>
      <c r="IE198" s="110"/>
      <c r="IF198" s="110"/>
      <c r="IG198" s="110"/>
      <c r="IH198" s="110"/>
      <c r="II198" s="110"/>
      <c r="IJ198" s="110"/>
      <c r="IK198" s="110"/>
      <c r="IL198" s="110"/>
      <c r="IM198" s="110"/>
      <c r="IN198" s="110"/>
      <c r="IO198" s="110"/>
      <c r="IP198" s="110"/>
      <c r="IQ198" s="110"/>
      <c r="IR198" s="110"/>
      <c r="IS198" s="110"/>
      <c r="IT198" s="110"/>
      <c r="IU198" s="110"/>
      <c r="IV198" s="110"/>
      <c r="IW198" s="110"/>
      <c r="IX198" s="110"/>
      <c r="IY198" s="110"/>
      <c r="IZ198" s="110"/>
      <c r="JA198" s="110"/>
      <c r="JB198" s="110"/>
      <c r="JC198" s="110"/>
      <c r="JD198" s="110"/>
      <c r="JE198" s="110"/>
      <c r="JF198" s="110"/>
      <c r="JG198" s="110"/>
      <c r="JH198" s="110"/>
      <c r="JI198" s="110"/>
      <c r="JJ198" s="110"/>
      <c r="JK198" s="110"/>
      <c r="JL198" s="110"/>
      <c r="JM198" s="110"/>
      <c r="JN198" s="110"/>
      <c r="JO198" s="110"/>
      <c r="JP198" s="110"/>
      <c r="JQ198" s="110"/>
      <c r="JR198" s="110"/>
      <c r="JS198" s="110"/>
      <c r="JT198" s="110"/>
      <c r="JU198" s="110"/>
      <c r="JV198" s="110"/>
      <c r="JW198" s="110"/>
      <c r="JX198" s="110"/>
      <c r="JY198" s="110"/>
      <c r="JZ198" s="110"/>
      <c r="KA198" s="110"/>
      <c r="KB198" s="110"/>
      <c r="KC198" s="110"/>
      <c r="KD198" s="110"/>
      <c r="KE198" s="110"/>
      <c r="KF198" s="110"/>
      <c r="KG198" s="110"/>
      <c r="KH198" s="110"/>
      <c r="KI198" s="110"/>
      <c r="KJ198" s="110"/>
      <c r="KK198" s="110"/>
      <c r="KL198" s="110"/>
      <c r="KM198" s="110"/>
      <c r="KN198" s="110"/>
    </row>
    <row r="199" spans="1:300" ht="19.2" customHeight="1" x14ac:dyDescent="0.3">
      <c r="A199" s="110"/>
      <c r="B199" s="110"/>
      <c r="C199" s="110"/>
      <c r="D199" s="110"/>
      <c r="E199" s="110"/>
      <c r="F199" s="110"/>
      <c r="G199" s="112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  <c r="GG199" s="110"/>
      <c r="GH199" s="110"/>
      <c r="GI199" s="110"/>
      <c r="GJ199" s="110"/>
      <c r="GK199" s="110"/>
      <c r="GL199" s="110"/>
      <c r="GM199" s="110"/>
      <c r="GN199" s="110"/>
      <c r="GO199" s="110"/>
      <c r="GP199" s="110"/>
      <c r="GQ199" s="110"/>
      <c r="GR199" s="110"/>
      <c r="GS199" s="110"/>
      <c r="GT199" s="110"/>
      <c r="GU199" s="110"/>
      <c r="GV199" s="110"/>
      <c r="GW199" s="110"/>
      <c r="GX199" s="110"/>
      <c r="GY199" s="110"/>
      <c r="GZ199" s="110"/>
      <c r="HA199" s="110"/>
      <c r="HB199" s="110"/>
      <c r="HC199" s="110"/>
      <c r="HD199" s="110"/>
      <c r="HE199" s="110"/>
      <c r="HF199" s="110"/>
      <c r="HG199" s="110"/>
      <c r="HH199" s="110"/>
      <c r="HI199" s="110"/>
      <c r="HJ199" s="110"/>
      <c r="HK199" s="110"/>
      <c r="HL199" s="110"/>
      <c r="HM199" s="110"/>
      <c r="HN199" s="110"/>
      <c r="HO199" s="110"/>
      <c r="HP199" s="110"/>
      <c r="HQ199" s="110"/>
      <c r="HR199" s="110"/>
      <c r="HS199" s="110"/>
      <c r="HT199" s="110"/>
      <c r="HU199" s="110"/>
      <c r="HV199" s="110"/>
      <c r="HW199" s="110"/>
      <c r="HX199" s="110"/>
      <c r="HY199" s="110"/>
      <c r="HZ199" s="110"/>
      <c r="IA199" s="110"/>
      <c r="IB199" s="110"/>
      <c r="IC199" s="110"/>
      <c r="ID199" s="110"/>
      <c r="IE199" s="110"/>
      <c r="IF199" s="110"/>
      <c r="IG199" s="110"/>
      <c r="IH199" s="110"/>
      <c r="II199" s="110"/>
      <c r="IJ199" s="110"/>
      <c r="IK199" s="110"/>
      <c r="IL199" s="110"/>
      <c r="IM199" s="110"/>
      <c r="IN199" s="110"/>
      <c r="IO199" s="110"/>
      <c r="IP199" s="110"/>
      <c r="IQ199" s="110"/>
      <c r="IR199" s="110"/>
      <c r="IS199" s="110"/>
      <c r="IT199" s="110"/>
      <c r="IU199" s="110"/>
      <c r="IV199" s="110"/>
      <c r="IW199" s="110"/>
      <c r="IX199" s="110"/>
      <c r="IY199" s="110"/>
      <c r="IZ199" s="110"/>
      <c r="JA199" s="110"/>
      <c r="JB199" s="110"/>
      <c r="JC199" s="110"/>
      <c r="JD199" s="110"/>
      <c r="JE199" s="110"/>
      <c r="JF199" s="110"/>
      <c r="JG199" s="110"/>
      <c r="JH199" s="110"/>
      <c r="JI199" s="110"/>
      <c r="JJ199" s="110"/>
      <c r="JK199" s="110"/>
      <c r="JL199" s="110"/>
      <c r="JM199" s="110"/>
      <c r="JN199" s="110"/>
      <c r="JO199" s="110"/>
      <c r="JP199" s="110"/>
      <c r="JQ199" s="110"/>
      <c r="JR199" s="110"/>
      <c r="JS199" s="110"/>
      <c r="JT199" s="110"/>
      <c r="JU199" s="110"/>
      <c r="JV199" s="110"/>
      <c r="JW199" s="110"/>
      <c r="JX199" s="110"/>
      <c r="JY199" s="110"/>
      <c r="JZ199" s="110"/>
      <c r="KA199" s="110"/>
      <c r="KB199" s="110"/>
      <c r="KC199" s="110"/>
      <c r="KD199" s="110"/>
      <c r="KE199" s="110"/>
      <c r="KF199" s="110"/>
      <c r="KG199" s="110"/>
      <c r="KH199" s="110"/>
      <c r="KI199" s="110"/>
      <c r="KJ199" s="110"/>
      <c r="KK199" s="110"/>
      <c r="KL199" s="110"/>
      <c r="KM199" s="110"/>
      <c r="KN199" s="110"/>
    </row>
    <row r="200" spans="1:300" ht="19.2" customHeight="1" x14ac:dyDescent="0.3">
      <c r="A200" s="110"/>
      <c r="B200" s="110"/>
      <c r="C200" s="110"/>
      <c r="D200" s="110"/>
      <c r="E200" s="110"/>
      <c r="F200" s="110"/>
      <c r="G200" s="112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  <c r="GG200" s="110"/>
      <c r="GH200" s="110"/>
      <c r="GI200" s="110"/>
      <c r="GJ200" s="110"/>
      <c r="GK200" s="110"/>
      <c r="GL200" s="110"/>
      <c r="GM200" s="110"/>
      <c r="GN200" s="110"/>
      <c r="GO200" s="110"/>
      <c r="GP200" s="110"/>
      <c r="GQ200" s="110"/>
      <c r="GR200" s="110"/>
      <c r="GS200" s="110"/>
      <c r="GT200" s="110"/>
      <c r="GU200" s="110"/>
      <c r="GV200" s="110"/>
      <c r="GW200" s="110"/>
      <c r="GX200" s="110"/>
      <c r="GY200" s="110"/>
      <c r="GZ200" s="110"/>
      <c r="HA200" s="110"/>
      <c r="HB200" s="110"/>
      <c r="HC200" s="110"/>
      <c r="HD200" s="110"/>
      <c r="HE200" s="110"/>
      <c r="HF200" s="110"/>
      <c r="HG200" s="110"/>
      <c r="HH200" s="110"/>
      <c r="HI200" s="110"/>
      <c r="HJ200" s="110"/>
      <c r="HK200" s="110"/>
      <c r="HL200" s="110"/>
      <c r="HM200" s="110"/>
      <c r="HN200" s="110"/>
      <c r="HO200" s="110"/>
      <c r="HP200" s="110"/>
      <c r="HQ200" s="110"/>
      <c r="HR200" s="110"/>
      <c r="HS200" s="110"/>
      <c r="HT200" s="110"/>
      <c r="HU200" s="110"/>
      <c r="HV200" s="110"/>
      <c r="HW200" s="110"/>
      <c r="HX200" s="110"/>
      <c r="HY200" s="110"/>
      <c r="HZ200" s="110"/>
      <c r="IA200" s="110"/>
      <c r="IB200" s="110"/>
      <c r="IC200" s="110"/>
      <c r="ID200" s="110"/>
      <c r="IE200" s="110"/>
      <c r="IF200" s="110"/>
      <c r="IG200" s="110"/>
      <c r="IH200" s="110"/>
      <c r="II200" s="110"/>
      <c r="IJ200" s="110"/>
      <c r="IK200" s="110"/>
      <c r="IL200" s="110"/>
      <c r="IM200" s="110"/>
      <c r="IN200" s="110"/>
      <c r="IO200" s="110"/>
      <c r="IP200" s="110"/>
      <c r="IQ200" s="110"/>
      <c r="IR200" s="110"/>
      <c r="IS200" s="110"/>
      <c r="IT200" s="110"/>
      <c r="IU200" s="110"/>
      <c r="IV200" s="110"/>
      <c r="IW200" s="110"/>
      <c r="IX200" s="110"/>
      <c r="IY200" s="110"/>
      <c r="IZ200" s="110"/>
      <c r="JA200" s="110"/>
      <c r="JB200" s="110"/>
      <c r="JC200" s="110"/>
      <c r="JD200" s="110"/>
      <c r="JE200" s="110"/>
      <c r="JF200" s="110"/>
      <c r="JG200" s="110"/>
      <c r="JH200" s="110"/>
      <c r="JI200" s="110"/>
      <c r="JJ200" s="110"/>
      <c r="JK200" s="110"/>
      <c r="JL200" s="110"/>
      <c r="JM200" s="110"/>
      <c r="JN200" s="110"/>
      <c r="JO200" s="110"/>
      <c r="JP200" s="110"/>
      <c r="JQ200" s="110"/>
      <c r="JR200" s="110"/>
      <c r="JS200" s="110"/>
      <c r="JT200" s="110"/>
      <c r="JU200" s="110"/>
      <c r="JV200" s="110"/>
      <c r="JW200" s="110"/>
      <c r="JX200" s="110"/>
      <c r="JY200" s="110"/>
      <c r="JZ200" s="110"/>
      <c r="KA200" s="110"/>
      <c r="KB200" s="110"/>
      <c r="KC200" s="110"/>
      <c r="KD200" s="110"/>
      <c r="KE200" s="110"/>
      <c r="KF200" s="110"/>
      <c r="KG200" s="110"/>
      <c r="KH200" s="110"/>
      <c r="KI200" s="110"/>
      <c r="KJ200" s="110"/>
      <c r="KK200" s="110"/>
      <c r="KL200" s="110"/>
      <c r="KM200" s="110"/>
      <c r="KN200" s="110"/>
    </row>
    <row r="201" spans="1:300" ht="19.2" customHeight="1" x14ac:dyDescent="0.3">
      <c r="A201" s="110"/>
      <c r="B201" s="110"/>
      <c r="C201" s="110"/>
      <c r="D201" s="110"/>
      <c r="E201" s="110"/>
      <c r="F201" s="110"/>
      <c r="G201" s="112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  <c r="GG201" s="110"/>
      <c r="GH201" s="110"/>
      <c r="GI201" s="110"/>
      <c r="GJ201" s="110"/>
      <c r="GK201" s="110"/>
      <c r="GL201" s="110"/>
      <c r="GM201" s="110"/>
      <c r="GN201" s="110"/>
      <c r="GO201" s="110"/>
      <c r="GP201" s="110"/>
      <c r="GQ201" s="110"/>
      <c r="GR201" s="110"/>
      <c r="GS201" s="110"/>
      <c r="GT201" s="110"/>
      <c r="GU201" s="110"/>
      <c r="GV201" s="110"/>
      <c r="GW201" s="110"/>
      <c r="GX201" s="110"/>
      <c r="GY201" s="110"/>
      <c r="GZ201" s="110"/>
      <c r="HA201" s="110"/>
      <c r="HB201" s="110"/>
      <c r="HC201" s="110"/>
      <c r="HD201" s="110"/>
      <c r="HE201" s="110"/>
      <c r="HF201" s="110"/>
      <c r="HG201" s="110"/>
      <c r="HH201" s="110"/>
      <c r="HI201" s="110"/>
      <c r="HJ201" s="110"/>
      <c r="HK201" s="110"/>
      <c r="HL201" s="110"/>
      <c r="HM201" s="110"/>
      <c r="HN201" s="110"/>
      <c r="HO201" s="110"/>
      <c r="HP201" s="110"/>
      <c r="HQ201" s="110"/>
      <c r="HR201" s="110"/>
      <c r="HS201" s="110"/>
      <c r="HT201" s="110"/>
      <c r="HU201" s="110"/>
      <c r="HV201" s="110"/>
      <c r="HW201" s="110"/>
      <c r="HX201" s="110"/>
      <c r="HY201" s="110"/>
      <c r="HZ201" s="110"/>
      <c r="IA201" s="110"/>
      <c r="IB201" s="110"/>
      <c r="IC201" s="110"/>
      <c r="ID201" s="110"/>
      <c r="IE201" s="110"/>
      <c r="IF201" s="110"/>
      <c r="IG201" s="110"/>
      <c r="IH201" s="110"/>
      <c r="II201" s="110"/>
      <c r="IJ201" s="110"/>
      <c r="IK201" s="110"/>
      <c r="IL201" s="110"/>
      <c r="IM201" s="110"/>
      <c r="IN201" s="110"/>
      <c r="IO201" s="110"/>
      <c r="IP201" s="110"/>
      <c r="IQ201" s="110"/>
      <c r="IR201" s="110"/>
      <c r="IS201" s="110"/>
      <c r="IT201" s="110"/>
      <c r="IU201" s="110"/>
      <c r="IV201" s="110"/>
      <c r="IW201" s="110"/>
      <c r="IX201" s="110"/>
      <c r="IY201" s="110"/>
      <c r="IZ201" s="110"/>
      <c r="JA201" s="110"/>
      <c r="JB201" s="110"/>
      <c r="JC201" s="110"/>
      <c r="JD201" s="110"/>
      <c r="JE201" s="110"/>
      <c r="JF201" s="110"/>
      <c r="JG201" s="110"/>
      <c r="JH201" s="110"/>
      <c r="JI201" s="110"/>
      <c r="JJ201" s="110"/>
      <c r="JK201" s="110"/>
      <c r="JL201" s="110"/>
      <c r="JM201" s="110"/>
      <c r="JN201" s="110"/>
      <c r="JO201" s="110"/>
      <c r="JP201" s="110"/>
      <c r="JQ201" s="110"/>
      <c r="JR201" s="110"/>
      <c r="JS201" s="110"/>
      <c r="JT201" s="110"/>
      <c r="JU201" s="110"/>
      <c r="JV201" s="110"/>
      <c r="JW201" s="110"/>
      <c r="JX201" s="110"/>
      <c r="JY201" s="110"/>
      <c r="JZ201" s="110"/>
      <c r="KA201" s="110"/>
      <c r="KB201" s="110"/>
      <c r="KC201" s="110"/>
      <c r="KD201" s="110"/>
      <c r="KE201" s="110"/>
      <c r="KF201" s="110"/>
      <c r="KG201" s="110"/>
      <c r="KH201" s="110"/>
      <c r="KI201" s="110"/>
      <c r="KJ201" s="110"/>
      <c r="KK201" s="110"/>
      <c r="KL201" s="110"/>
      <c r="KM201" s="110"/>
      <c r="KN201" s="110"/>
    </row>
    <row r="202" spans="1:300" ht="19.2" customHeight="1" x14ac:dyDescent="0.3">
      <c r="A202" s="110"/>
      <c r="B202" s="110"/>
      <c r="C202" s="110"/>
      <c r="D202" s="110"/>
      <c r="E202" s="110"/>
      <c r="F202" s="110"/>
      <c r="G202" s="112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  <c r="GG202" s="110"/>
      <c r="GH202" s="110"/>
      <c r="GI202" s="110"/>
      <c r="GJ202" s="110"/>
      <c r="GK202" s="110"/>
      <c r="GL202" s="110"/>
      <c r="GM202" s="110"/>
      <c r="GN202" s="110"/>
      <c r="GO202" s="110"/>
      <c r="GP202" s="110"/>
      <c r="GQ202" s="110"/>
      <c r="GR202" s="110"/>
      <c r="GS202" s="110"/>
      <c r="GT202" s="110"/>
      <c r="GU202" s="110"/>
      <c r="GV202" s="110"/>
      <c r="GW202" s="110"/>
      <c r="GX202" s="110"/>
      <c r="GY202" s="110"/>
      <c r="GZ202" s="110"/>
      <c r="HA202" s="110"/>
      <c r="HB202" s="110"/>
      <c r="HC202" s="110"/>
      <c r="HD202" s="110"/>
      <c r="HE202" s="110"/>
      <c r="HF202" s="110"/>
      <c r="HG202" s="110"/>
      <c r="HH202" s="110"/>
      <c r="HI202" s="110"/>
      <c r="HJ202" s="110"/>
      <c r="HK202" s="110"/>
      <c r="HL202" s="110"/>
      <c r="HM202" s="110"/>
      <c r="HN202" s="110"/>
      <c r="HO202" s="110"/>
      <c r="HP202" s="110"/>
      <c r="HQ202" s="110"/>
      <c r="HR202" s="110"/>
      <c r="HS202" s="110"/>
      <c r="HT202" s="110"/>
      <c r="HU202" s="110"/>
      <c r="HV202" s="110"/>
      <c r="HW202" s="110"/>
      <c r="HX202" s="110"/>
      <c r="HY202" s="110"/>
      <c r="HZ202" s="110"/>
      <c r="IA202" s="110"/>
      <c r="IB202" s="110"/>
      <c r="IC202" s="110"/>
      <c r="ID202" s="110"/>
      <c r="IE202" s="110"/>
      <c r="IF202" s="110"/>
      <c r="IG202" s="110"/>
      <c r="IH202" s="110"/>
      <c r="II202" s="110"/>
      <c r="IJ202" s="110"/>
      <c r="IK202" s="110"/>
      <c r="IL202" s="110"/>
      <c r="IM202" s="110"/>
      <c r="IN202" s="110"/>
      <c r="IO202" s="110"/>
      <c r="IP202" s="110"/>
      <c r="IQ202" s="110"/>
      <c r="IR202" s="110"/>
      <c r="IS202" s="110"/>
      <c r="IT202" s="110"/>
      <c r="IU202" s="110"/>
      <c r="IV202" s="110"/>
      <c r="IW202" s="110"/>
      <c r="IX202" s="110"/>
      <c r="IY202" s="110"/>
      <c r="IZ202" s="110"/>
      <c r="JA202" s="110"/>
      <c r="JB202" s="110"/>
      <c r="JC202" s="110"/>
      <c r="JD202" s="110"/>
      <c r="JE202" s="110"/>
      <c r="JF202" s="110"/>
      <c r="JG202" s="110"/>
      <c r="JH202" s="110"/>
      <c r="JI202" s="110"/>
      <c r="JJ202" s="110"/>
      <c r="JK202" s="110"/>
      <c r="JL202" s="110"/>
      <c r="JM202" s="110"/>
      <c r="JN202" s="110"/>
      <c r="JO202" s="110"/>
      <c r="JP202" s="110"/>
      <c r="JQ202" s="110"/>
      <c r="JR202" s="110"/>
      <c r="JS202" s="110"/>
      <c r="JT202" s="110"/>
      <c r="JU202" s="110"/>
      <c r="JV202" s="110"/>
      <c r="JW202" s="110"/>
      <c r="JX202" s="110"/>
      <c r="JY202" s="110"/>
      <c r="JZ202" s="110"/>
      <c r="KA202" s="110"/>
      <c r="KB202" s="110"/>
      <c r="KC202" s="110"/>
      <c r="KD202" s="110"/>
      <c r="KE202" s="110"/>
      <c r="KF202" s="110"/>
      <c r="KG202" s="110"/>
      <c r="KH202" s="110"/>
      <c r="KI202" s="110"/>
      <c r="KJ202" s="110"/>
      <c r="KK202" s="110"/>
      <c r="KL202" s="110"/>
      <c r="KM202" s="110"/>
      <c r="KN202" s="110"/>
    </row>
    <row r="203" spans="1:300" ht="19.2" customHeight="1" x14ac:dyDescent="0.3">
      <c r="A203" s="110"/>
      <c r="B203" s="110"/>
      <c r="C203" s="110"/>
      <c r="D203" s="110"/>
      <c r="E203" s="110"/>
      <c r="F203" s="110"/>
      <c r="G203" s="112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  <c r="GG203" s="110"/>
      <c r="GH203" s="110"/>
      <c r="GI203" s="110"/>
      <c r="GJ203" s="110"/>
      <c r="GK203" s="110"/>
      <c r="GL203" s="110"/>
      <c r="GM203" s="110"/>
      <c r="GN203" s="110"/>
      <c r="GO203" s="110"/>
      <c r="GP203" s="110"/>
      <c r="GQ203" s="110"/>
      <c r="GR203" s="110"/>
      <c r="GS203" s="110"/>
      <c r="GT203" s="110"/>
      <c r="GU203" s="110"/>
      <c r="GV203" s="110"/>
      <c r="GW203" s="110"/>
      <c r="GX203" s="110"/>
      <c r="GY203" s="110"/>
      <c r="GZ203" s="110"/>
      <c r="HA203" s="110"/>
      <c r="HB203" s="110"/>
      <c r="HC203" s="110"/>
      <c r="HD203" s="110"/>
      <c r="HE203" s="110"/>
      <c r="HF203" s="110"/>
      <c r="HG203" s="110"/>
      <c r="HH203" s="110"/>
      <c r="HI203" s="110"/>
      <c r="HJ203" s="110"/>
      <c r="HK203" s="110"/>
      <c r="HL203" s="110"/>
      <c r="HM203" s="110"/>
      <c r="HN203" s="110"/>
      <c r="HO203" s="110"/>
      <c r="HP203" s="110"/>
      <c r="HQ203" s="110"/>
      <c r="HR203" s="110"/>
      <c r="HS203" s="110"/>
      <c r="HT203" s="110"/>
      <c r="HU203" s="110"/>
      <c r="HV203" s="110"/>
      <c r="HW203" s="110"/>
      <c r="HX203" s="110"/>
      <c r="HY203" s="110"/>
      <c r="HZ203" s="110"/>
      <c r="IA203" s="110"/>
      <c r="IB203" s="110"/>
      <c r="IC203" s="110"/>
      <c r="ID203" s="110"/>
      <c r="IE203" s="110"/>
      <c r="IF203" s="110"/>
      <c r="IG203" s="110"/>
      <c r="IH203" s="110"/>
      <c r="II203" s="110"/>
      <c r="IJ203" s="110"/>
      <c r="IK203" s="110"/>
      <c r="IL203" s="110"/>
      <c r="IM203" s="110"/>
      <c r="IN203" s="110"/>
      <c r="IO203" s="110"/>
      <c r="IP203" s="110"/>
      <c r="IQ203" s="110"/>
      <c r="IR203" s="110"/>
      <c r="IS203" s="110"/>
      <c r="IT203" s="110"/>
      <c r="IU203" s="110"/>
      <c r="IV203" s="110"/>
      <c r="IW203" s="110"/>
      <c r="IX203" s="110"/>
      <c r="IY203" s="110"/>
      <c r="IZ203" s="110"/>
      <c r="JA203" s="110"/>
      <c r="JB203" s="110"/>
      <c r="JC203" s="110"/>
      <c r="JD203" s="110"/>
      <c r="JE203" s="110"/>
      <c r="JF203" s="110"/>
      <c r="JG203" s="110"/>
      <c r="JH203" s="110"/>
      <c r="JI203" s="110"/>
      <c r="JJ203" s="110"/>
      <c r="JK203" s="110"/>
      <c r="JL203" s="110"/>
      <c r="JM203" s="110"/>
      <c r="JN203" s="110"/>
      <c r="JO203" s="110"/>
      <c r="JP203" s="110"/>
      <c r="JQ203" s="110"/>
      <c r="JR203" s="110"/>
      <c r="JS203" s="110"/>
      <c r="JT203" s="110"/>
      <c r="JU203" s="110"/>
      <c r="JV203" s="110"/>
      <c r="JW203" s="110"/>
      <c r="JX203" s="110"/>
      <c r="JY203" s="110"/>
      <c r="JZ203" s="110"/>
      <c r="KA203" s="110"/>
      <c r="KB203" s="110"/>
      <c r="KC203" s="110"/>
      <c r="KD203" s="110"/>
      <c r="KE203" s="110"/>
      <c r="KF203" s="110"/>
      <c r="KG203" s="110"/>
      <c r="KH203" s="110"/>
      <c r="KI203" s="110"/>
      <c r="KJ203" s="110"/>
      <c r="KK203" s="110"/>
      <c r="KL203" s="110"/>
      <c r="KM203" s="110"/>
      <c r="KN203" s="110"/>
    </row>
    <row r="204" spans="1:300" ht="19.2" customHeight="1" x14ac:dyDescent="0.3">
      <c r="A204" s="110"/>
      <c r="B204" s="110"/>
      <c r="C204" s="110"/>
      <c r="D204" s="110"/>
      <c r="E204" s="110"/>
      <c r="F204" s="110"/>
      <c r="G204" s="112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  <c r="GG204" s="110"/>
      <c r="GH204" s="110"/>
      <c r="GI204" s="110"/>
      <c r="GJ204" s="110"/>
      <c r="GK204" s="110"/>
      <c r="GL204" s="110"/>
      <c r="GM204" s="110"/>
      <c r="GN204" s="110"/>
      <c r="GO204" s="110"/>
      <c r="GP204" s="110"/>
      <c r="GQ204" s="110"/>
      <c r="GR204" s="110"/>
      <c r="GS204" s="110"/>
      <c r="GT204" s="110"/>
      <c r="GU204" s="110"/>
      <c r="GV204" s="110"/>
      <c r="GW204" s="110"/>
      <c r="GX204" s="110"/>
      <c r="GY204" s="110"/>
      <c r="GZ204" s="110"/>
      <c r="HA204" s="110"/>
      <c r="HB204" s="110"/>
      <c r="HC204" s="110"/>
      <c r="HD204" s="110"/>
      <c r="HE204" s="110"/>
      <c r="HF204" s="110"/>
      <c r="HG204" s="110"/>
      <c r="HH204" s="110"/>
      <c r="HI204" s="110"/>
      <c r="HJ204" s="110"/>
      <c r="HK204" s="110"/>
      <c r="HL204" s="110"/>
      <c r="HM204" s="110"/>
      <c r="HN204" s="110"/>
      <c r="HO204" s="110"/>
      <c r="HP204" s="110"/>
      <c r="HQ204" s="110"/>
      <c r="HR204" s="110"/>
      <c r="HS204" s="110"/>
      <c r="HT204" s="110"/>
      <c r="HU204" s="110"/>
      <c r="HV204" s="110"/>
      <c r="HW204" s="110"/>
      <c r="HX204" s="110"/>
      <c r="HY204" s="110"/>
      <c r="HZ204" s="110"/>
      <c r="IA204" s="110"/>
      <c r="IB204" s="110"/>
      <c r="IC204" s="110"/>
      <c r="ID204" s="110"/>
      <c r="IE204" s="110"/>
      <c r="IF204" s="110"/>
      <c r="IG204" s="110"/>
      <c r="IH204" s="110"/>
      <c r="II204" s="110"/>
      <c r="IJ204" s="110"/>
      <c r="IK204" s="110"/>
      <c r="IL204" s="110"/>
      <c r="IM204" s="110"/>
      <c r="IN204" s="110"/>
      <c r="IO204" s="110"/>
      <c r="IP204" s="110"/>
      <c r="IQ204" s="110"/>
      <c r="IR204" s="110"/>
      <c r="IS204" s="110"/>
      <c r="IT204" s="110"/>
      <c r="IU204" s="110"/>
      <c r="IV204" s="110"/>
      <c r="IW204" s="110"/>
      <c r="IX204" s="110"/>
      <c r="IY204" s="110"/>
      <c r="IZ204" s="110"/>
      <c r="JA204" s="110"/>
      <c r="JB204" s="110"/>
      <c r="JC204" s="110"/>
      <c r="JD204" s="110"/>
      <c r="JE204" s="110"/>
      <c r="JF204" s="110"/>
      <c r="JG204" s="110"/>
      <c r="JH204" s="110"/>
      <c r="JI204" s="110"/>
      <c r="JJ204" s="110"/>
      <c r="JK204" s="110"/>
      <c r="JL204" s="110"/>
      <c r="JM204" s="110"/>
      <c r="JN204" s="110"/>
      <c r="JO204" s="110"/>
      <c r="JP204" s="110"/>
      <c r="JQ204" s="110"/>
      <c r="JR204" s="110"/>
      <c r="JS204" s="110"/>
      <c r="JT204" s="110"/>
      <c r="JU204" s="110"/>
      <c r="JV204" s="110"/>
      <c r="JW204" s="110"/>
      <c r="JX204" s="110"/>
      <c r="JY204" s="110"/>
      <c r="JZ204" s="110"/>
      <c r="KA204" s="110"/>
      <c r="KB204" s="110"/>
      <c r="KC204" s="110"/>
      <c r="KD204" s="110"/>
      <c r="KE204" s="110"/>
      <c r="KF204" s="110"/>
      <c r="KG204" s="110"/>
      <c r="KH204" s="110"/>
      <c r="KI204" s="110"/>
      <c r="KJ204" s="110"/>
      <c r="KK204" s="110"/>
      <c r="KL204" s="110"/>
      <c r="KM204" s="110"/>
      <c r="KN204" s="110"/>
    </row>
    <row r="205" spans="1:300" ht="19.2" customHeight="1" x14ac:dyDescent="0.3">
      <c r="A205" s="110"/>
      <c r="B205" s="110"/>
      <c r="C205" s="110"/>
      <c r="D205" s="110"/>
      <c r="E205" s="110"/>
      <c r="F205" s="110"/>
      <c r="G205" s="112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  <c r="GG205" s="110"/>
      <c r="GH205" s="110"/>
      <c r="GI205" s="110"/>
      <c r="GJ205" s="110"/>
      <c r="GK205" s="110"/>
      <c r="GL205" s="110"/>
      <c r="GM205" s="110"/>
      <c r="GN205" s="110"/>
      <c r="GO205" s="110"/>
      <c r="GP205" s="110"/>
      <c r="GQ205" s="110"/>
      <c r="GR205" s="110"/>
      <c r="GS205" s="110"/>
      <c r="GT205" s="110"/>
      <c r="GU205" s="110"/>
      <c r="GV205" s="110"/>
      <c r="GW205" s="110"/>
      <c r="GX205" s="110"/>
      <c r="GY205" s="110"/>
      <c r="GZ205" s="110"/>
      <c r="HA205" s="110"/>
      <c r="HB205" s="110"/>
      <c r="HC205" s="110"/>
      <c r="HD205" s="110"/>
      <c r="HE205" s="110"/>
      <c r="HF205" s="110"/>
      <c r="HG205" s="110"/>
      <c r="HH205" s="110"/>
      <c r="HI205" s="110"/>
      <c r="HJ205" s="110"/>
      <c r="HK205" s="110"/>
      <c r="HL205" s="110"/>
      <c r="HM205" s="110"/>
      <c r="HN205" s="110"/>
      <c r="HO205" s="110"/>
      <c r="HP205" s="110"/>
      <c r="HQ205" s="110"/>
      <c r="HR205" s="110"/>
      <c r="HS205" s="110"/>
      <c r="HT205" s="110"/>
      <c r="HU205" s="110"/>
      <c r="HV205" s="110"/>
      <c r="HW205" s="110"/>
      <c r="HX205" s="110"/>
      <c r="HY205" s="110"/>
      <c r="HZ205" s="110"/>
      <c r="IA205" s="110"/>
      <c r="IB205" s="110"/>
      <c r="IC205" s="110"/>
      <c r="ID205" s="110"/>
      <c r="IE205" s="110"/>
      <c r="IF205" s="110"/>
      <c r="IG205" s="110"/>
      <c r="IH205" s="110"/>
      <c r="II205" s="110"/>
      <c r="IJ205" s="110"/>
      <c r="IK205" s="110"/>
      <c r="IL205" s="110"/>
      <c r="IM205" s="110"/>
      <c r="IN205" s="110"/>
      <c r="IO205" s="110"/>
      <c r="IP205" s="110"/>
      <c r="IQ205" s="110"/>
      <c r="IR205" s="110"/>
      <c r="IS205" s="110"/>
      <c r="IT205" s="110"/>
      <c r="IU205" s="110"/>
      <c r="IV205" s="110"/>
      <c r="IW205" s="110"/>
      <c r="IX205" s="110"/>
      <c r="IY205" s="110"/>
      <c r="IZ205" s="110"/>
      <c r="JA205" s="110"/>
      <c r="JB205" s="110"/>
      <c r="JC205" s="110"/>
      <c r="JD205" s="110"/>
      <c r="JE205" s="110"/>
      <c r="JF205" s="110"/>
      <c r="JG205" s="110"/>
      <c r="JH205" s="110"/>
      <c r="JI205" s="110"/>
      <c r="JJ205" s="110"/>
      <c r="JK205" s="110"/>
      <c r="JL205" s="110"/>
      <c r="JM205" s="110"/>
      <c r="JN205" s="110"/>
      <c r="JO205" s="110"/>
      <c r="JP205" s="110"/>
      <c r="JQ205" s="110"/>
      <c r="JR205" s="110"/>
      <c r="JS205" s="110"/>
      <c r="JT205" s="110"/>
      <c r="JU205" s="110"/>
      <c r="JV205" s="110"/>
      <c r="JW205" s="110"/>
      <c r="JX205" s="110"/>
      <c r="JY205" s="110"/>
      <c r="JZ205" s="110"/>
      <c r="KA205" s="110"/>
      <c r="KB205" s="110"/>
      <c r="KC205" s="110"/>
      <c r="KD205" s="110"/>
      <c r="KE205" s="110"/>
      <c r="KF205" s="110"/>
      <c r="KG205" s="110"/>
      <c r="KH205" s="110"/>
      <c r="KI205" s="110"/>
      <c r="KJ205" s="110"/>
      <c r="KK205" s="110"/>
      <c r="KL205" s="110"/>
      <c r="KM205" s="110"/>
      <c r="KN205" s="110"/>
    </row>
    <row r="206" spans="1:300" ht="19.2" customHeight="1" x14ac:dyDescent="0.3">
      <c r="A206" s="110"/>
      <c r="B206" s="110"/>
      <c r="C206" s="110"/>
      <c r="D206" s="110"/>
      <c r="E206" s="110"/>
      <c r="F206" s="110"/>
      <c r="G206" s="112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  <c r="GG206" s="110"/>
      <c r="GH206" s="110"/>
      <c r="GI206" s="110"/>
      <c r="GJ206" s="110"/>
      <c r="GK206" s="110"/>
      <c r="GL206" s="110"/>
      <c r="GM206" s="110"/>
      <c r="GN206" s="110"/>
      <c r="GO206" s="110"/>
      <c r="GP206" s="110"/>
      <c r="GQ206" s="110"/>
      <c r="GR206" s="110"/>
      <c r="GS206" s="110"/>
      <c r="GT206" s="110"/>
      <c r="GU206" s="110"/>
      <c r="GV206" s="110"/>
      <c r="GW206" s="110"/>
      <c r="GX206" s="110"/>
      <c r="GY206" s="110"/>
      <c r="GZ206" s="110"/>
      <c r="HA206" s="110"/>
      <c r="HB206" s="110"/>
      <c r="HC206" s="110"/>
      <c r="HD206" s="110"/>
      <c r="HE206" s="110"/>
      <c r="HF206" s="110"/>
      <c r="HG206" s="110"/>
      <c r="HH206" s="110"/>
      <c r="HI206" s="110"/>
      <c r="HJ206" s="110"/>
      <c r="HK206" s="110"/>
      <c r="HL206" s="110"/>
      <c r="HM206" s="110"/>
      <c r="HN206" s="110"/>
      <c r="HO206" s="110"/>
      <c r="HP206" s="110"/>
      <c r="HQ206" s="110"/>
      <c r="HR206" s="110"/>
      <c r="HS206" s="110"/>
      <c r="HT206" s="110"/>
      <c r="HU206" s="110"/>
      <c r="HV206" s="110"/>
      <c r="HW206" s="110"/>
      <c r="HX206" s="110"/>
      <c r="HY206" s="110"/>
      <c r="HZ206" s="110"/>
      <c r="IA206" s="110"/>
      <c r="IB206" s="110"/>
      <c r="IC206" s="110"/>
      <c r="ID206" s="110"/>
      <c r="IE206" s="110"/>
      <c r="IF206" s="110"/>
      <c r="IG206" s="110"/>
      <c r="IH206" s="110"/>
      <c r="II206" s="110"/>
      <c r="IJ206" s="110"/>
      <c r="IK206" s="110"/>
      <c r="IL206" s="110"/>
      <c r="IM206" s="110"/>
      <c r="IN206" s="110"/>
      <c r="IO206" s="110"/>
      <c r="IP206" s="110"/>
      <c r="IQ206" s="110"/>
      <c r="IR206" s="110"/>
      <c r="IS206" s="110"/>
      <c r="IT206" s="110"/>
      <c r="IU206" s="110"/>
      <c r="IV206" s="110"/>
      <c r="IW206" s="110"/>
      <c r="IX206" s="110"/>
      <c r="IY206" s="110"/>
      <c r="IZ206" s="110"/>
      <c r="JA206" s="110"/>
      <c r="JB206" s="110"/>
      <c r="JC206" s="110"/>
      <c r="JD206" s="110"/>
      <c r="JE206" s="110"/>
      <c r="JF206" s="110"/>
      <c r="JG206" s="110"/>
      <c r="JH206" s="110"/>
      <c r="JI206" s="110"/>
      <c r="JJ206" s="110"/>
      <c r="JK206" s="110"/>
      <c r="JL206" s="110"/>
      <c r="JM206" s="110"/>
      <c r="JN206" s="110"/>
      <c r="JO206" s="110"/>
      <c r="JP206" s="110"/>
      <c r="JQ206" s="110"/>
      <c r="JR206" s="110"/>
      <c r="JS206" s="110"/>
      <c r="JT206" s="110"/>
      <c r="JU206" s="110"/>
      <c r="JV206" s="110"/>
      <c r="JW206" s="110"/>
      <c r="JX206" s="110"/>
      <c r="JY206" s="110"/>
      <c r="JZ206" s="110"/>
      <c r="KA206" s="110"/>
      <c r="KB206" s="110"/>
      <c r="KC206" s="110"/>
      <c r="KD206" s="110"/>
      <c r="KE206" s="110"/>
      <c r="KF206" s="110"/>
      <c r="KG206" s="110"/>
      <c r="KH206" s="110"/>
      <c r="KI206" s="110"/>
      <c r="KJ206" s="110"/>
      <c r="KK206" s="110"/>
      <c r="KL206" s="110"/>
      <c r="KM206" s="110"/>
      <c r="KN206" s="110"/>
    </row>
    <row r="207" spans="1:300" ht="19.2" customHeight="1" x14ac:dyDescent="0.3">
      <c r="A207" s="110"/>
      <c r="B207" s="110"/>
      <c r="C207" s="110"/>
      <c r="D207" s="110"/>
      <c r="E207" s="110"/>
      <c r="F207" s="110"/>
      <c r="G207" s="112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  <c r="GG207" s="110"/>
      <c r="GH207" s="110"/>
      <c r="GI207" s="110"/>
      <c r="GJ207" s="110"/>
      <c r="GK207" s="110"/>
      <c r="GL207" s="110"/>
      <c r="GM207" s="110"/>
      <c r="GN207" s="110"/>
      <c r="GO207" s="110"/>
      <c r="GP207" s="110"/>
      <c r="GQ207" s="110"/>
      <c r="GR207" s="110"/>
      <c r="GS207" s="110"/>
      <c r="GT207" s="110"/>
      <c r="GU207" s="110"/>
      <c r="GV207" s="110"/>
      <c r="GW207" s="110"/>
      <c r="GX207" s="110"/>
      <c r="GY207" s="110"/>
      <c r="GZ207" s="110"/>
      <c r="HA207" s="110"/>
      <c r="HB207" s="110"/>
      <c r="HC207" s="110"/>
      <c r="HD207" s="110"/>
      <c r="HE207" s="110"/>
      <c r="HF207" s="110"/>
      <c r="HG207" s="110"/>
      <c r="HH207" s="110"/>
      <c r="HI207" s="110"/>
      <c r="HJ207" s="110"/>
      <c r="HK207" s="110"/>
      <c r="HL207" s="110"/>
      <c r="HM207" s="110"/>
      <c r="HN207" s="110"/>
      <c r="HO207" s="110"/>
      <c r="HP207" s="110"/>
      <c r="HQ207" s="110"/>
      <c r="HR207" s="110"/>
      <c r="HS207" s="110"/>
      <c r="HT207" s="110"/>
      <c r="HU207" s="110"/>
      <c r="HV207" s="110"/>
      <c r="HW207" s="110"/>
      <c r="HX207" s="110"/>
      <c r="HY207" s="110"/>
      <c r="HZ207" s="110"/>
      <c r="IA207" s="110"/>
      <c r="IB207" s="110"/>
      <c r="IC207" s="110"/>
      <c r="ID207" s="110"/>
      <c r="IE207" s="110"/>
      <c r="IF207" s="110"/>
      <c r="IG207" s="110"/>
      <c r="IH207" s="110"/>
      <c r="II207" s="110"/>
      <c r="IJ207" s="110"/>
      <c r="IK207" s="110"/>
      <c r="IL207" s="110"/>
      <c r="IM207" s="110"/>
      <c r="IN207" s="110"/>
      <c r="IO207" s="110"/>
      <c r="IP207" s="110"/>
      <c r="IQ207" s="110"/>
      <c r="IR207" s="110"/>
      <c r="IS207" s="110"/>
      <c r="IT207" s="110"/>
      <c r="IU207" s="110"/>
      <c r="IV207" s="110"/>
      <c r="IW207" s="110"/>
      <c r="IX207" s="110"/>
      <c r="IY207" s="110"/>
      <c r="IZ207" s="110"/>
      <c r="JA207" s="110"/>
      <c r="JB207" s="110"/>
      <c r="JC207" s="110"/>
      <c r="JD207" s="110"/>
      <c r="JE207" s="110"/>
      <c r="JF207" s="110"/>
      <c r="JG207" s="110"/>
      <c r="JH207" s="110"/>
      <c r="JI207" s="110"/>
      <c r="JJ207" s="110"/>
      <c r="JK207" s="110"/>
      <c r="JL207" s="110"/>
      <c r="JM207" s="110"/>
      <c r="JN207" s="110"/>
      <c r="JO207" s="110"/>
      <c r="JP207" s="110"/>
      <c r="JQ207" s="110"/>
      <c r="JR207" s="110"/>
      <c r="JS207" s="110"/>
      <c r="JT207" s="110"/>
      <c r="JU207" s="110"/>
      <c r="JV207" s="110"/>
      <c r="JW207" s="110"/>
      <c r="JX207" s="110"/>
      <c r="JY207" s="110"/>
      <c r="JZ207" s="110"/>
      <c r="KA207" s="110"/>
      <c r="KB207" s="110"/>
      <c r="KC207" s="110"/>
      <c r="KD207" s="110"/>
      <c r="KE207" s="110"/>
      <c r="KF207" s="110"/>
      <c r="KG207" s="110"/>
      <c r="KH207" s="110"/>
      <c r="KI207" s="110"/>
      <c r="KJ207" s="110"/>
      <c r="KK207" s="110"/>
      <c r="KL207" s="110"/>
      <c r="KM207" s="110"/>
      <c r="KN207" s="110"/>
    </row>
    <row r="208" spans="1:300" ht="19.2" customHeight="1" x14ac:dyDescent="0.3">
      <c r="A208" s="110"/>
      <c r="B208" s="110"/>
      <c r="C208" s="110"/>
      <c r="D208" s="110"/>
      <c r="E208" s="110"/>
      <c r="F208" s="110"/>
      <c r="G208" s="112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  <c r="GG208" s="110"/>
      <c r="GH208" s="110"/>
      <c r="GI208" s="110"/>
      <c r="GJ208" s="110"/>
      <c r="GK208" s="110"/>
      <c r="GL208" s="110"/>
      <c r="GM208" s="110"/>
      <c r="GN208" s="110"/>
      <c r="GO208" s="110"/>
      <c r="GP208" s="110"/>
      <c r="GQ208" s="110"/>
      <c r="GR208" s="110"/>
      <c r="GS208" s="110"/>
      <c r="GT208" s="110"/>
      <c r="GU208" s="110"/>
      <c r="GV208" s="110"/>
      <c r="GW208" s="110"/>
      <c r="GX208" s="110"/>
      <c r="GY208" s="110"/>
      <c r="GZ208" s="110"/>
      <c r="HA208" s="110"/>
      <c r="HB208" s="110"/>
      <c r="HC208" s="110"/>
      <c r="HD208" s="110"/>
      <c r="HE208" s="110"/>
      <c r="HF208" s="110"/>
      <c r="HG208" s="110"/>
      <c r="HH208" s="110"/>
      <c r="HI208" s="110"/>
      <c r="HJ208" s="110"/>
      <c r="HK208" s="110"/>
      <c r="HL208" s="110"/>
      <c r="HM208" s="110"/>
      <c r="HN208" s="110"/>
      <c r="HO208" s="110"/>
      <c r="HP208" s="110"/>
      <c r="HQ208" s="110"/>
      <c r="HR208" s="110"/>
      <c r="HS208" s="110"/>
      <c r="HT208" s="110"/>
      <c r="HU208" s="110"/>
      <c r="HV208" s="110"/>
      <c r="HW208" s="110"/>
      <c r="HX208" s="110"/>
      <c r="HY208" s="110"/>
      <c r="HZ208" s="110"/>
      <c r="IA208" s="110"/>
      <c r="IB208" s="110"/>
      <c r="IC208" s="110"/>
      <c r="ID208" s="110"/>
      <c r="IE208" s="110"/>
      <c r="IF208" s="110"/>
      <c r="IG208" s="110"/>
      <c r="IH208" s="110"/>
      <c r="II208" s="110"/>
      <c r="IJ208" s="110"/>
      <c r="IK208" s="110"/>
      <c r="IL208" s="110"/>
      <c r="IM208" s="110"/>
      <c r="IN208" s="110"/>
      <c r="IO208" s="110"/>
      <c r="IP208" s="110"/>
      <c r="IQ208" s="110"/>
      <c r="IR208" s="110"/>
      <c r="IS208" s="110"/>
      <c r="IT208" s="110"/>
      <c r="IU208" s="110"/>
      <c r="IV208" s="110"/>
      <c r="IW208" s="110"/>
      <c r="IX208" s="110"/>
      <c r="IY208" s="110"/>
      <c r="IZ208" s="110"/>
      <c r="JA208" s="110"/>
      <c r="JB208" s="110"/>
      <c r="JC208" s="110"/>
      <c r="JD208" s="110"/>
      <c r="JE208" s="110"/>
      <c r="JF208" s="110"/>
      <c r="JG208" s="110"/>
      <c r="JH208" s="110"/>
      <c r="JI208" s="110"/>
      <c r="JJ208" s="110"/>
      <c r="JK208" s="110"/>
      <c r="JL208" s="110"/>
      <c r="JM208" s="110"/>
      <c r="JN208" s="110"/>
      <c r="JO208" s="110"/>
      <c r="JP208" s="110"/>
      <c r="JQ208" s="110"/>
      <c r="JR208" s="110"/>
      <c r="JS208" s="110"/>
      <c r="JT208" s="110"/>
      <c r="JU208" s="110"/>
      <c r="JV208" s="110"/>
      <c r="JW208" s="110"/>
      <c r="JX208" s="110"/>
      <c r="JY208" s="110"/>
      <c r="JZ208" s="110"/>
      <c r="KA208" s="110"/>
      <c r="KB208" s="110"/>
      <c r="KC208" s="110"/>
      <c r="KD208" s="110"/>
      <c r="KE208" s="110"/>
      <c r="KF208" s="110"/>
      <c r="KG208" s="110"/>
      <c r="KH208" s="110"/>
      <c r="KI208" s="110"/>
      <c r="KJ208" s="110"/>
      <c r="KK208" s="110"/>
      <c r="KL208" s="110"/>
      <c r="KM208" s="110"/>
      <c r="KN208" s="110"/>
    </row>
    <row r="209" spans="1:300" ht="19.2" customHeight="1" x14ac:dyDescent="0.3">
      <c r="A209" s="110"/>
      <c r="B209" s="110"/>
      <c r="C209" s="110"/>
      <c r="D209" s="110"/>
      <c r="E209" s="110"/>
      <c r="F209" s="110"/>
      <c r="G209" s="112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  <c r="JK209" s="110"/>
      <c r="JL209" s="110"/>
      <c r="JM209" s="110"/>
      <c r="JN209" s="110"/>
      <c r="JO209" s="110"/>
      <c r="JP209" s="110"/>
      <c r="JQ209" s="110"/>
      <c r="JR209" s="110"/>
      <c r="JS209" s="110"/>
      <c r="JT209" s="110"/>
      <c r="JU209" s="110"/>
      <c r="JV209" s="110"/>
      <c r="JW209" s="110"/>
      <c r="JX209" s="110"/>
      <c r="JY209" s="110"/>
      <c r="JZ209" s="110"/>
      <c r="KA209" s="110"/>
      <c r="KB209" s="110"/>
      <c r="KC209" s="110"/>
      <c r="KD209" s="110"/>
      <c r="KE209" s="110"/>
      <c r="KF209" s="110"/>
      <c r="KG209" s="110"/>
      <c r="KH209" s="110"/>
      <c r="KI209" s="110"/>
      <c r="KJ209" s="110"/>
      <c r="KK209" s="110"/>
      <c r="KL209" s="110"/>
      <c r="KM209" s="110"/>
      <c r="KN209" s="110"/>
    </row>
    <row r="210" spans="1:300" ht="19.2" customHeight="1" x14ac:dyDescent="0.3">
      <c r="A210" s="110"/>
      <c r="B210" s="110"/>
      <c r="C210" s="110"/>
      <c r="D210" s="110"/>
      <c r="E210" s="110"/>
      <c r="F210" s="110"/>
      <c r="G210" s="112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  <c r="GG210" s="110"/>
      <c r="GH210" s="110"/>
      <c r="GI210" s="110"/>
      <c r="GJ210" s="110"/>
      <c r="GK210" s="110"/>
      <c r="GL210" s="110"/>
      <c r="GM210" s="110"/>
      <c r="GN210" s="110"/>
      <c r="GO210" s="110"/>
      <c r="GP210" s="110"/>
      <c r="GQ210" s="110"/>
      <c r="GR210" s="110"/>
      <c r="GS210" s="110"/>
      <c r="GT210" s="110"/>
      <c r="GU210" s="110"/>
      <c r="GV210" s="110"/>
      <c r="GW210" s="110"/>
      <c r="GX210" s="110"/>
      <c r="GY210" s="110"/>
      <c r="GZ210" s="110"/>
      <c r="HA210" s="110"/>
      <c r="HB210" s="110"/>
      <c r="HC210" s="110"/>
      <c r="HD210" s="110"/>
      <c r="HE210" s="110"/>
      <c r="HF210" s="110"/>
      <c r="HG210" s="110"/>
      <c r="HH210" s="110"/>
      <c r="HI210" s="110"/>
      <c r="HJ210" s="110"/>
      <c r="HK210" s="110"/>
      <c r="HL210" s="110"/>
      <c r="HM210" s="110"/>
      <c r="HN210" s="110"/>
      <c r="HO210" s="110"/>
      <c r="HP210" s="110"/>
      <c r="HQ210" s="110"/>
      <c r="HR210" s="110"/>
      <c r="HS210" s="110"/>
      <c r="HT210" s="110"/>
      <c r="HU210" s="110"/>
      <c r="HV210" s="110"/>
      <c r="HW210" s="110"/>
      <c r="HX210" s="110"/>
      <c r="HY210" s="110"/>
      <c r="HZ210" s="110"/>
      <c r="IA210" s="110"/>
      <c r="IB210" s="110"/>
      <c r="IC210" s="110"/>
      <c r="ID210" s="110"/>
      <c r="IE210" s="110"/>
      <c r="IF210" s="110"/>
      <c r="IG210" s="110"/>
      <c r="IH210" s="110"/>
      <c r="II210" s="110"/>
      <c r="IJ210" s="110"/>
      <c r="IK210" s="110"/>
      <c r="IL210" s="110"/>
      <c r="IM210" s="110"/>
      <c r="IN210" s="110"/>
      <c r="IO210" s="110"/>
      <c r="IP210" s="110"/>
      <c r="IQ210" s="110"/>
      <c r="IR210" s="110"/>
      <c r="IS210" s="110"/>
      <c r="IT210" s="110"/>
      <c r="IU210" s="110"/>
      <c r="IV210" s="110"/>
      <c r="IW210" s="110"/>
      <c r="IX210" s="110"/>
      <c r="IY210" s="110"/>
      <c r="IZ210" s="110"/>
      <c r="JA210" s="110"/>
      <c r="JB210" s="110"/>
      <c r="JC210" s="110"/>
      <c r="JD210" s="110"/>
      <c r="JE210" s="110"/>
      <c r="JF210" s="110"/>
      <c r="JG210" s="110"/>
      <c r="JH210" s="110"/>
      <c r="JI210" s="110"/>
      <c r="JJ210" s="110"/>
      <c r="JK210" s="110"/>
      <c r="JL210" s="110"/>
      <c r="JM210" s="110"/>
      <c r="JN210" s="110"/>
      <c r="JO210" s="110"/>
      <c r="JP210" s="110"/>
      <c r="JQ210" s="110"/>
      <c r="JR210" s="110"/>
      <c r="JS210" s="110"/>
      <c r="JT210" s="110"/>
      <c r="JU210" s="110"/>
      <c r="JV210" s="110"/>
      <c r="JW210" s="110"/>
      <c r="JX210" s="110"/>
      <c r="JY210" s="110"/>
      <c r="JZ210" s="110"/>
      <c r="KA210" s="110"/>
      <c r="KB210" s="110"/>
      <c r="KC210" s="110"/>
      <c r="KD210" s="110"/>
      <c r="KE210" s="110"/>
      <c r="KF210" s="110"/>
      <c r="KG210" s="110"/>
      <c r="KH210" s="110"/>
      <c r="KI210" s="110"/>
      <c r="KJ210" s="110"/>
      <c r="KK210" s="110"/>
      <c r="KL210" s="110"/>
      <c r="KM210" s="110"/>
      <c r="KN210" s="110"/>
    </row>
    <row r="211" spans="1:300" ht="19.2" customHeight="1" x14ac:dyDescent="0.3">
      <c r="A211" s="110"/>
      <c r="B211" s="110"/>
      <c r="C211" s="110"/>
      <c r="D211" s="110"/>
      <c r="E211" s="110"/>
      <c r="F211" s="110"/>
      <c r="G211" s="112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  <c r="GG211" s="110"/>
      <c r="GH211" s="110"/>
      <c r="GI211" s="110"/>
      <c r="GJ211" s="110"/>
      <c r="GK211" s="110"/>
      <c r="GL211" s="110"/>
      <c r="GM211" s="110"/>
      <c r="GN211" s="110"/>
      <c r="GO211" s="110"/>
      <c r="GP211" s="110"/>
      <c r="GQ211" s="110"/>
      <c r="GR211" s="110"/>
      <c r="GS211" s="110"/>
      <c r="GT211" s="110"/>
      <c r="GU211" s="110"/>
      <c r="GV211" s="110"/>
      <c r="GW211" s="110"/>
      <c r="GX211" s="110"/>
      <c r="GY211" s="110"/>
      <c r="GZ211" s="110"/>
      <c r="HA211" s="110"/>
      <c r="HB211" s="110"/>
      <c r="HC211" s="110"/>
      <c r="HD211" s="110"/>
      <c r="HE211" s="110"/>
      <c r="HF211" s="110"/>
      <c r="HG211" s="110"/>
      <c r="HH211" s="110"/>
      <c r="HI211" s="110"/>
      <c r="HJ211" s="110"/>
      <c r="HK211" s="110"/>
      <c r="HL211" s="110"/>
      <c r="HM211" s="110"/>
      <c r="HN211" s="110"/>
      <c r="HO211" s="110"/>
      <c r="HP211" s="110"/>
      <c r="HQ211" s="110"/>
      <c r="HR211" s="110"/>
      <c r="HS211" s="110"/>
      <c r="HT211" s="110"/>
      <c r="HU211" s="110"/>
      <c r="HV211" s="110"/>
      <c r="HW211" s="110"/>
      <c r="HX211" s="110"/>
      <c r="HY211" s="110"/>
      <c r="HZ211" s="110"/>
      <c r="IA211" s="110"/>
      <c r="IB211" s="110"/>
      <c r="IC211" s="110"/>
      <c r="ID211" s="110"/>
      <c r="IE211" s="110"/>
      <c r="IF211" s="110"/>
      <c r="IG211" s="110"/>
      <c r="IH211" s="110"/>
      <c r="II211" s="110"/>
      <c r="IJ211" s="110"/>
      <c r="IK211" s="110"/>
      <c r="IL211" s="110"/>
      <c r="IM211" s="110"/>
      <c r="IN211" s="110"/>
      <c r="IO211" s="110"/>
      <c r="IP211" s="110"/>
      <c r="IQ211" s="110"/>
      <c r="IR211" s="110"/>
      <c r="IS211" s="110"/>
      <c r="IT211" s="110"/>
      <c r="IU211" s="110"/>
      <c r="IV211" s="110"/>
      <c r="IW211" s="110"/>
      <c r="IX211" s="110"/>
      <c r="IY211" s="110"/>
      <c r="IZ211" s="110"/>
      <c r="JA211" s="110"/>
      <c r="JB211" s="110"/>
      <c r="JC211" s="110"/>
      <c r="JD211" s="110"/>
      <c r="JE211" s="110"/>
      <c r="JF211" s="110"/>
      <c r="JG211" s="110"/>
      <c r="JH211" s="110"/>
      <c r="JI211" s="110"/>
      <c r="JJ211" s="110"/>
      <c r="JK211" s="110"/>
      <c r="JL211" s="110"/>
      <c r="JM211" s="110"/>
      <c r="JN211" s="110"/>
      <c r="JO211" s="110"/>
      <c r="JP211" s="110"/>
      <c r="JQ211" s="110"/>
      <c r="JR211" s="110"/>
      <c r="JS211" s="110"/>
      <c r="JT211" s="110"/>
      <c r="JU211" s="110"/>
      <c r="JV211" s="110"/>
      <c r="JW211" s="110"/>
      <c r="JX211" s="110"/>
      <c r="JY211" s="110"/>
      <c r="JZ211" s="110"/>
      <c r="KA211" s="110"/>
      <c r="KB211" s="110"/>
      <c r="KC211" s="110"/>
      <c r="KD211" s="110"/>
      <c r="KE211" s="110"/>
      <c r="KF211" s="110"/>
      <c r="KG211" s="110"/>
      <c r="KH211" s="110"/>
      <c r="KI211" s="110"/>
      <c r="KJ211" s="110"/>
      <c r="KK211" s="110"/>
      <c r="KL211" s="110"/>
      <c r="KM211" s="110"/>
      <c r="KN211" s="110"/>
    </row>
    <row r="212" spans="1:300" ht="19.2" customHeight="1" x14ac:dyDescent="0.3">
      <c r="A212" s="110"/>
      <c r="B212" s="110"/>
      <c r="C212" s="110"/>
      <c r="D212" s="110"/>
      <c r="E212" s="110"/>
      <c r="F212" s="110"/>
      <c r="G212" s="112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  <c r="GG212" s="110"/>
      <c r="GH212" s="110"/>
      <c r="GI212" s="110"/>
      <c r="GJ212" s="110"/>
      <c r="GK212" s="110"/>
      <c r="GL212" s="110"/>
      <c r="GM212" s="110"/>
      <c r="GN212" s="110"/>
      <c r="GO212" s="110"/>
      <c r="GP212" s="110"/>
      <c r="GQ212" s="110"/>
      <c r="GR212" s="110"/>
      <c r="GS212" s="110"/>
      <c r="GT212" s="110"/>
      <c r="GU212" s="110"/>
      <c r="GV212" s="110"/>
      <c r="GW212" s="110"/>
      <c r="GX212" s="110"/>
      <c r="GY212" s="110"/>
      <c r="GZ212" s="110"/>
      <c r="HA212" s="110"/>
      <c r="HB212" s="110"/>
      <c r="HC212" s="110"/>
      <c r="HD212" s="110"/>
      <c r="HE212" s="110"/>
      <c r="HF212" s="110"/>
      <c r="HG212" s="110"/>
      <c r="HH212" s="110"/>
      <c r="HI212" s="110"/>
      <c r="HJ212" s="110"/>
      <c r="HK212" s="110"/>
      <c r="HL212" s="110"/>
      <c r="HM212" s="110"/>
      <c r="HN212" s="110"/>
      <c r="HO212" s="110"/>
      <c r="HP212" s="110"/>
      <c r="HQ212" s="110"/>
      <c r="HR212" s="110"/>
      <c r="HS212" s="110"/>
      <c r="HT212" s="110"/>
      <c r="HU212" s="110"/>
      <c r="HV212" s="110"/>
      <c r="HW212" s="110"/>
      <c r="HX212" s="110"/>
      <c r="HY212" s="110"/>
      <c r="HZ212" s="110"/>
      <c r="IA212" s="110"/>
      <c r="IB212" s="110"/>
      <c r="IC212" s="110"/>
      <c r="ID212" s="110"/>
      <c r="IE212" s="110"/>
      <c r="IF212" s="110"/>
      <c r="IG212" s="110"/>
      <c r="IH212" s="110"/>
      <c r="II212" s="110"/>
      <c r="IJ212" s="110"/>
      <c r="IK212" s="110"/>
      <c r="IL212" s="110"/>
      <c r="IM212" s="110"/>
      <c r="IN212" s="110"/>
      <c r="IO212" s="110"/>
      <c r="IP212" s="110"/>
      <c r="IQ212" s="110"/>
      <c r="IR212" s="110"/>
      <c r="IS212" s="110"/>
      <c r="IT212" s="110"/>
      <c r="IU212" s="110"/>
      <c r="IV212" s="110"/>
      <c r="IW212" s="110"/>
      <c r="IX212" s="110"/>
      <c r="IY212" s="110"/>
      <c r="IZ212" s="110"/>
      <c r="JA212" s="110"/>
      <c r="JB212" s="110"/>
      <c r="JC212" s="110"/>
      <c r="JD212" s="110"/>
      <c r="JE212" s="110"/>
      <c r="JF212" s="110"/>
      <c r="JG212" s="110"/>
      <c r="JH212" s="110"/>
      <c r="JI212" s="110"/>
      <c r="JJ212" s="110"/>
      <c r="JK212" s="110"/>
      <c r="JL212" s="110"/>
      <c r="JM212" s="110"/>
      <c r="JN212" s="110"/>
      <c r="JO212" s="110"/>
      <c r="JP212" s="110"/>
      <c r="JQ212" s="110"/>
      <c r="JR212" s="110"/>
      <c r="JS212" s="110"/>
      <c r="JT212" s="110"/>
      <c r="JU212" s="110"/>
      <c r="JV212" s="110"/>
      <c r="JW212" s="110"/>
      <c r="JX212" s="110"/>
      <c r="JY212" s="110"/>
      <c r="JZ212" s="110"/>
      <c r="KA212" s="110"/>
      <c r="KB212" s="110"/>
      <c r="KC212" s="110"/>
      <c r="KD212" s="110"/>
      <c r="KE212" s="110"/>
      <c r="KF212" s="110"/>
      <c r="KG212" s="110"/>
      <c r="KH212" s="110"/>
      <c r="KI212" s="110"/>
      <c r="KJ212" s="110"/>
      <c r="KK212" s="110"/>
      <c r="KL212" s="110"/>
      <c r="KM212" s="110"/>
      <c r="KN212" s="110"/>
    </row>
    <row r="213" spans="1:300" ht="19.2" customHeight="1" x14ac:dyDescent="0.3">
      <c r="A213" s="110"/>
      <c r="B213" s="110"/>
      <c r="C213" s="110"/>
      <c r="D213" s="110"/>
      <c r="E213" s="110"/>
      <c r="F213" s="110"/>
      <c r="G213" s="112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  <c r="GG213" s="110"/>
      <c r="GH213" s="110"/>
      <c r="GI213" s="110"/>
      <c r="GJ213" s="110"/>
      <c r="GK213" s="110"/>
      <c r="GL213" s="110"/>
      <c r="GM213" s="110"/>
      <c r="GN213" s="110"/>
      <c r="GO213" s="110"/>
      <c r="GP213" s="110"/>
      <c r="GQ213" s="110"/>
      <c r="GR213" s="110"/>
      <c r="GS213" s="110"/>
      <c r="GT213" s="110"/>
      <c r="GU213" s="110"/>
      <c r="GV213" s="110"/>
      <c r="GW213" s="110"/>
      <c r="GX213" s="110"/>
      <c r="GY213" s="110"/>
      <c r="GZ213" s="110"/>
      <c r="HA213" s="110"/>
      <c r="HB213" s="110"/>
      <c r="HC213" s="110"/>
      <c r="HD213" s="110"/>
      <c r="HE213" s="110"/>
      <c r="HF213" s="110"/>
      <c r="HG213" s="110"/>
      <c r="HH213" s="110"/>
      <c r="HI213" s="110"/>
      <c r="HJ213" s="110"/>
      <c r="HK213" s="110"/>
      <c r="HL213" s="110"/>
      <c r="HM213" s="110"/>
      <c r="HN213" s="110"/>
      <c r="HO213" s="110"/>
      <c r="HP213" s="110"/>
      <c r="HQ213" s="110"/>
      <c r="HR213" s="110"/>
      <c r="HS213" s="110"/>
      <c r="HT213" s="110"/>
      <c r="HU213" s="110"/>
      <c r="HV213" s="110"/>
      <c r="HW213" s="110"/>
      <c r="HX213" s="110"/>
      <c r="HY213" s="110"/>
      <c r="HZ213" s="110"/>
      <c r="IA213" s="110"/>
      <c r="IB213" s="110"/>
      <c r="IC213" s="110"/>
      <c r="ID213" s="110"/>
      <c r="IE213" s="110"/>
      <c r="IF213" s="110"/>
      <c r="IG213" s="110"/>
      <c r="IH213" s="110"/>
      <c r="II213" s="110"/>
      <c r="IJ213" s="110"/>
      <c r="IK213" s="110"/>
      <c r="IL213" s="110"/>
      <c r="IM213" s="110"/>
      <c r="IN213" s="110"/>
      <c r="IO213" s="110"/>
      <c r="IP213" s="110"/>
      <c r="IQ213" s="110"/>
      <c r="IR213" s="110"/>
      <c r="IS213" s="110"/>
      <c r="IT213" s="110"/>
      <c r="IU213" s="110"/>
      <c r="IV213" s="110"/>
      <c r="IW213" s="110"/>
      <c r="IX213" s="110"/>
      <c r="IY213" s="110"/>
      <c r="IZ213" s="110"/>
      <c r="JA213" s="110"/>
      <c r="JB213" s="110"/>
      <c r="JC213" s="110"/>
      <c r="JD213" s="110"/>
      <c r="JE213" s="110"/>
      <c r="JF213" s="110"/>
      <c r="JG213" s="110"/>
      <c r="JH213" s="110"/>
      <c r="JI213" s="110"/>
      <c r="JJ213" s="110"/>
      <c r="JK213" s="110"/>
      <c r="JL213" s="110"/>
      <c r="JM213" s="110"/>
      <c r="JN213" s="110"/>
      <c r="JO213" s="110"/>
      <c r="JP213" s="110"/>
      <c r="JQ213" s="110"/>
      <c r="JR213" s="110"/>
      <c r="JS213" s="110"/>
      <c r="JT213" s="110"/>
      <c r="JU213" s="110"/>
      <c r="JV213" s="110"/>
      <c r="JW213" s="110"/>
      <c r="JX213" s="110"/>
      <c r="JY213" s="110"/>
      <c r="JZ213" s="110"/>
      <c r="KA213" s="110"/>
      <c r="KB213" s="110"/>
      <c r="KC213" s="110"/>
      <c r="KD213" s="110"/>
      <c r="KE213" s="110"/>
      <c r="KF213" s="110"/>
      <c r="KG213" s="110"/>
      <c r="KH213" s="110"/>
      <c r="KI213" s="110"/>
      <c r="KJ213" s="110"/>
      <c r="KK213" s="110"/>
      <c r="KL213" s="110"/>
      <c r="KM213" s="110"/>
      <c r="KN213" s="110"/>
    </row>
    <row r="214" spans="1:300" ht="19.2" customHeight="1" x14ac:dyDescent="0.3">
      <c r="A214" s="110"/>
      <c r="B214" s="110"/>
      <c r="C214" s="110"/>
      <c r="D214" s="110"/>
      <c r="E214" s="110"/>
      <c r="F214" s="110"/>
      <c r="G214" s="112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  <c r="GG214" s="110"/>
      <c r="GH214" s="110"/>
      <c r="GI214" s="110"/>
      <c r="GJ214" s="110"/>
      <c r="GK214" s="110"/>
      <c r="GL214" s="110"/>
      <c r="GM214" s="110"/>
      <c r="GN214" s="110"/>
      <c r="GO214" s="110"/>
      <c r="GP214" s="110"/>
      <c r="GQ214" s="110"/>
      <c r="GR214" s="110"/>
      <c r="GS214" s="110"/>
      <c r="GT214" s="110"/>
      <c r="GU214" s="110"/>
      <c r="GV214" s="110"/>
      <c r="GW214" s="110"/>
      <c r="GX214" s="110"/>
      <c r="GY214" s="110"/>
      <c r="GZ214" s="110"/>
      <c r="HA214" s="110"/>
      <c r="HB214" s="110"/>
      <c r="HC214" s="110"/>
      <c r="HD214" s="110"/>
      <c r="HE214" s="110"/>
      <c r="HF214" s="110"/>
      <c r="HG214" s="110"/>
      <c r="HH214" s="110"/>
      <c r="HI214" s="110"/>
      <c r="HJ214" s="110"/>
      <c r="HK214" s="110"/>
      <c r="HL214" s="110"/>
      <c r="HM214" s="110"/>
      <c r="HN214" s="110"/>
      <c r="HO214" s="110"/>
      <c r="HP214" s="110"/>
      <c r="HQ214" s="110"/>
      <c r="HR214" s="110"/>
      <c r="HS214" s="110"/>
      <c r="HT214" s="110"/>
      <c r="HU214" s="110"/>
      <c r="HV214" s="110"/>
      <c r="HW214" s="110"/>
      <c r="HX214" s="110"/>
      <c r="HY214" s="110"/>
      <c r="HZ214" s="110"/>
      <c r="IA214" s="110"/>
      <c r="IB214" s="110"/>
      <c r="IC214" s="110"/>
      <c r="ID214" s="110"/>
      <c r="IE214" s="110"/>
      <c r="IF214" s="110"/>
      <c r="IG214" s="110"/>
      <c r="IH214" s="110"/>
      <c r="II214" s="110"/>
      <c r="IJ214" s="110"/>
      <c r="IK214" s="110"/>
      <c r="IL214" s="110"/>
      <c r="IM214" s="110"/>
      <c r="IN214" s="110"/>
      <c r="IO214" s="110"/>
      <c r="IP214" s="110"/>
      <c r="IQ214" s="110"/>
      <c r="IR214" s="110"/>
      <c r="IS214" s="110"/>
      <c r="IT214" s="110"/>
      <c r="IU214" s="110"/>
      <c r="IV214" s="110"/>
      <c r="IW214" s="110"/>
      <c r="IX214" s="110"/>
      <c r="IY214" s="110"/>
      <c r="IZ214" s="110"/>
      <c r="JA214" s="110"/>
      <c r="JB214" s="110"/>
      <c r="JC214" s="110"/>
      <c r="JD214" s="110"/>
      <c r="JE214" s="110"/>
      <c r="JF214" s="110"/>
      <c r="JG214" s="110"/>
      <c r="JH214" s="110"/>
      <c r="JI214" s="110"/>
      <c r="JJ214" s="110"/>
      <c r="JK214" s="110"/>
      <c r="JL214" s="110"/>
      <c r="JM214" s="110"/>
      <c r="JN214" s="110"/>
      <c r="JO214" s="110"/>
      <c r="JP214" s="110"/>
      <c r="JQ214" s="110"/>
      <c r="JR214" s="110"/>
      <c r="JS214" s="110"/>
      <c r="JT214" s="110"/>
      <c r="JU214" s="110"/>
      <c r="JV214" s="110"/>
      <c r="JW214" s="110"/>
      <c r="JX214" s="110"/>
      <c r="JY214" s="110"/>
      <c r="JZ214" s="110"/>
      <c r="KA214" s="110"/>
      <c r="KB214" s="110"/>
      <c r="KC214" s="110"/>
      <c r="KD214" s="110"/>
      <c r="KE214" s="110"/>
      <c r="KF214" s="110"/>
      <c r="KG214" s="110"/>
      <c r="KH214" s="110"/>
      <c r="KI214" s="110"/>
      <c r="KJ214" s="110"/>
      <c r="KK214" s="110"/>
      <c r="KL214" s="110"/>
      <c r="KM214" s="110"/>
      <c r="KN214" s="110"/>
    </row>
    <row r="215" spans="1:300" ht="19.2" customHeight="1" x14ac:dyDescent="0.3">
      <c r="A215" s="110"/>
      <c r="B215" s="110"/>
      <c r="C215" s="110"/>
      <c r="D215" s="110"/>
      <c r="E215" s="110"/>
      <c r="F215" s="110"/>
      <c r="G215" s="112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  <c r="GG215" s="110"/>
      <c r="GH215" s="110"/>
      <c r="GI215" s="110"/>
      <c r="GJ215" s="110"/>
      <c r="GK215" s="110"/>
      <c r="GL215" s="110"/>
      <c r="GM215" s="110"/>
      <c r="GN215" s="110"/>
      <c r="GO215" s="110"/>
      <c r="GP215" s="110"/>
      <c r="GQ215" s="110"/>
      <c r="GR215" s="110"/>
      <c r="GS215" s="110"/>
      <c r="GT215" s="110"/>
      <c r="GU215" s="110"/>
      <c r="GV215" s="110"/>
      <c r="GW215" s="110"/>
      <c r="GX215" s="110"/>
      <c r="GY215" s="110"/>
      <c r="GZ215" s="110"/>
      <c r="HA215" s="110"/>
      <c r="HB215" s="110"/>
      <c r="HC215" s="110"/>
      <c r="HD215" s="110"/>
      <c r="HE215" s="110"/>
      <c r="HF215" s="110"/>
      <c r="HG215" s="110"/>
      <c r="HH215" s="110"/>
      <c r="HI215" s="110"/>
      <c r="HJ215" s="110"/>
      <c r="HK215" s="110"/>
      <c r="HL215" s="110"/>
      <c r="HM215" s="110"/>
      <c r="HN215" s="110"/>
      <c r="HO215" s="110"/>
      <c r="HP215" s="110"/>
      <c r="HQ215" s="110"/>
      <c r="HR215" s="110"/>
      <c r="HS215" s="110"/>
      <c r="HT215" s="110"/>
      <c r="HU215" s="110"/>
      <c r="HV215" s="110"/>
      <c r="HW215" s="110"/>
      <c r="HX215" s="110"/>
      <c r="HY215" s="110"/>
      <c r="HZ215" s="110"/>
      <c r="IA215" s="110"/>
      <c r="IB215" s="110"/>
      <c r="IC215" s="110"/>
      <c r="ID215" s="110"/>
      <c r="IE215" s="110"/>
      <c r="IF215" s="110"/>
      <c r="IG215" s="110"/>
      <c r="IH215" s="110"/>
      <c r="II215" s="110"/>
      <c r="IJ215" s="110"/>
      <c r="IK215" s="110"/>
      <c r="IL215" s="110"/>
      <c r="IM215" s="110"/>
      <c r="IN215" s="110"/>
      <c r="IO215" s="110"/>
      <c r="IP215" s="110"/>
      <c r="IQ215" s="110"/>
      <c r="IR215" s="110"/>
      <c r="IS215" s="110"/>
      <c r="IT215" s="110"/>
      <c r="IU215" s="110"/>
      <c r="IV215" s="110"/>
      <c r="IW215" s="110"/>
      <c r="IX215" s="110"/>
      <c r="IY215" s="110"/>
      <c r="IZ215" s="110"/>
      <c r="JA215" s="110"/>
      <c r="JB215" s="110"/>
      <c r="JC215" s="110"/>
      <c r="JD215" s="110"/>
      <c r="JE215" s="110"/>
      <c r="JF215" s="110"/>
      <c r="JG215" s="110"/>
      <c r="JH215" s="110"/>
      <c r="JI215" s="110"/>
      <c r="JJ215" s="110"/>
      <c r="JK215" s="110"/>
      <c r="JL215" s="110"/>
      <c r="JM215" s="110"/>
      <c r="JN215" s="110"/>
      <c r="JO215" s="110"/>
      <c r="JP215" s="110"/>
      <c r="JQ215" s="110"/>
      <c r="JR215" s="110"/>
      <c r="JS215" s="110"/>
      <c r="JT215" s="110"/>
      <c r="JU215" s="110"/>
      <c r="JV215" s="110"/>
      <c r="JW215" s="110"/>
      <c r="JX215" s="110"/>
      <c r="JY215" s="110"/>
      <c r="JZ215" s="110"/>
      <c r="KA215" s="110"/>
      <c r="KB215" s="110"/>
      <c r="KC215" s="110"/>
      <c r="KD215" s="110"/>
      <c r="KE215" s="110"/>
      <c r="KF215" s="110"/>
      <c r="KG215" s="110"/>
      <c r="KH215" s="110"/>
      <c r="KI215" s="110"/>
      <c r="KJ215" s="110"/>
      <c r="KK215" s="110"/>
      <c r="KL215" s="110"/>
      <c r="KM215" s="110"/>
      <c r="KN215" s="110"/>
    </row>
    <row r="216" spans="1:300" ht="19.2" customHeight="1" x14ac:dyDescent="0.3">
      <c r="A216" s="110"/>
      <c r="B216" s="110"/>
      <c r="C216" s="110"/>
      <c r="D216" s="110"/>
      <c r="E216" s="110"/>
      <c r="F216" s="110"/>
      <c r="G216" s="112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  <c r="GG216" s="110"/>
      <c r="GH216" s="110"/>
      <c r="GI216" s="110"/>
      <c r="GJ216" s="110"/>
      <c r="GK216" s="110"/>
      <c r="GL216" s="110"/>
      <c r="GM216" s="110"/>
      <c r="GN216" s="110"/>
      <c r="GO216" s="110"/>
      <c r="GP216" s="110"/>
      <c r="GQ216" s="110"/>
      <c r="GR216" s="110"/>
      <c r="GS216" s="110"/>
      <c r="GT216" s="110"/>
      <c r="GU216" s="110"/>
      <c r="GV216" s="110"/>
      <c r="GW216" s="110"/>
      <c r="GX216" s="110"/>
      <c r="GY216" s="110"/>
      <c r="GZ216" s="110"/>
      <c r="HA216" s="110"/>
      <c r="HB216" s="110"/>
      <c r="HC216" s="110"/>
      <c r="HD216" s="110"/>
      <c r="HE216" s="110"/>
      <c r="HF216" s="110"/>
      <c r="HG216" s="110"/>
      <c r="HH216" s="110"/>
      <c r="HI216" s="110"/>
      <c r="HJ216" s="110"/>
      <c r="HK216" s="110"/>
      <c r="HL216" s="110"/>
      <c r="HM216" s="110"/>
      <c r="HN216" s="110"/>
      <c r="HO216" s="110"/>
      <c r="HP216" s="110"/>
      <c r="HQ216" s="110"/>
      <c r="HR216" s="110"/>
      <c r="HS216" s="110"/>
      <c r="HT216" s="110"/>
      <c r="HU216" s="110"/>
      <c r="HV216" s="110"/>
      <c r="HW216" s="110"/>
      <c r="HX216" s="110"/>
      <c r="HY216" s="110"/>
      <c r="HZ216" s="110"/>
      <c r="IA216" s="110"/>
      <c r="IB216" s="110"/>
      <c r="IC216" s="110"/>
      <c r="ID216" s="110"/>
      <c r="IE216" s="110"/>
      <c r="IF216" s="110"/>
      <c r="IG216" s="110"/>
      <c r="IH216" s="110"/>
      <c r="II216" s="110"/>
      <c r="IJ216" s="110"/>
      <c r="IK216" s="110"/>
      <c r="IL216" s="110"/>
      <c r="IM216" s="110"/>
      <c r="IN216" s="110"/>
      <c r="IO216" s="110"/>
      <c r="IP216" s="110"/>
      <c r="IQ216" s="110"/>
      <c r="IR216" s="110"/>
      <c r="IS216" s="110"/>
      <c r="IT216" s="110"/>
      <c r="IU216" s="110"/>
      <c r="IV216" s="110"/>
      <c r="IW216" s="110"/>
      <c r="IX216" s="110"/>
      <c r="IY216" s="110"/>
      <c r="IZ216" s="110"/>
      <c r="JA216" s="110"/>
      <c r="JB216" s="110"/>
      <c r="JC216" s="110"/>
      <c r="JD216" s="110"/>
      <c r="JE216" s="110"/>
      <c r="JF216" s="110"/>
      <c r="JG216" s="110"/>
      <c r="JH216" s="110"/>
      <c r="JI216" s="110"/>
      <c r="JJ216" s="110"/>
      <c r="JK216" s="110"/>
      <c r="JL216" s="110"/>
      <c r="JM216" s="110"/>
      <c r="JN216" s="110"/>
      <c r="JO216" s="110"/>
      <c r="JP216" s="110"/>
      <c r="JQ216" s="110"/>
      <c r="JR216" s="110"/>
      <c r="JS216" s="110"/>
      <c r="JT216" s="110"/>
      <c r="JU216" s="110"/>
      <c r="JV216" s="110"/>
      <c r="JW216" s="110"/>
      <c r="JX216" s="110"/>
      <c r="JY216" s="110"/>
      <c r="JZ216" s="110"/>
      <c r="KA216" s="110"/>
      <c r="KB216" s="110"/>
      <c r="KC216" s="110"/>
      <c r="KD216" s="110"/>
      <c r="KE216" s="110"/>
      <c r="KF216" s="110"/>
      <c r="KG216" s="110"/>
      <c r="KH216" s="110"/>
      <c r="KI216" s="110"/>
      <c r="KJ216" s="110"/>
      <c r="KK216" s="110"/>
      <c r="KL216" s="110"/>
      <c r="KM216" s="110"/>
      <c r="KN216" s="110"/>
    </row>
    <row r="217" spans="1:300" ht="19.2" customHeight="1" x14ac:dyDescent="0.3">
      <c r="A217" s="110"/>
      <c r="B217" s="110"/>
      <c r="C217" s="110"/>
      <c r="D217" s="110"/>
      <c r="E217" s="110"/>
      <c r="F217" s="110"/>
      <c r="G217" s="112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  <c r="GG217" s="110"/>
      <c r="GH217" s="110"/>
      <c r="GI217" s="110"/>
      <c r="GJ217" s="110"/>
      <c r="GK217" s="110"/>
      <c r="GL217" s="110"/>
      <c r="GM217" s="110"/>
      <c r="GN217" s="110"/>
      <c r="GO217" s="110"/>
      <c r="GP217" s="110"/>
      <c r="GQ217" s="110"/>
      <c r="GR217" s="110"/>
      <c r="GS217" s="110"/>
      <c r="GT217" s="110"/>
      <c r="GU217" s="110"/>
      <c r="GV217" s="110"/>
      <c r="GW217" s="110"/>
      <c r="GX217" s="110"/>
      <c r="GY217" s="110"/>
      <c r="GZ217" s="110"/>
      <c r="HA217" s="110"/>
      <c r="HB217" s="110"/>
      <c r="HC217" s="110"/>
      <c r="HD217" s="110"/>
      <c r="HE217" s="110"/>
      <c r="HF217" s="110"/>
      <c r="HG217" s="110"/>
      <c r="HH217" s="110"/>
      <c r="HI217" s="110"/>
      <c r="HJ217" s="110"/>
      <c r="HK217" s="110"/>
      <c r="HL217" s="110"/>
      <c r="HM217" s="110"/>
      <c r="HN217" s="110"/>
      <c r="HO217" s="110"/>
      <c r="HP217" s="110"/>
      <c r="HQ217" s="110"/>
      <c r="HR217" s="110"/>
      <c r="HS217" s="110"/>
      <c r="HT217" s="110"/>
      <c r="HU217" s="110"/>
      <c r="HV217" s="110"/>
      <c r="HW217" s="110"/>
      <c r="HX217" s="110"/>
      <c r="HY217" s="110"/>
      <c r="HZ217" s="110"/>
      <c r="IA217" s="110"/>
      <c r="IB217" s="110"/>
      <c r="IC217" s="110"/>
      <c r="ID217" s="110"/>
      <c r="IE217" s="110"/>
      <c r="IF217" s="110"/>
      <c r="IG217" s="110"/>
      <c r="IH217" s="110"/>
      <c r="II217" s="110"/>
      <c r="IJ217" s="110"/>
      <c r="IK217" s="110"/>
      <c r="IL217" s="110"/>
      <c r="IM217" s="110"/>
      <c r="IN217" s="110"/>
      <c r="IO217" s="110"/>
      <c r="IP217" s="110"/>
      <c r="IQ217" s="110"/>
      <c r="IR217" s="110"/>
      <c r="IS217" s="110"/>
      <c r="IT217" s="110"/>
      <c r="IU217" s="110"/>
      <c r="IV217" s="110"/>
      <c r="IW217" s="110"/>
      <c r="IX217" s="110"/>
      <c r="IY217" s="110"/>
      <c r="IZ217" s="110"/>
      <c r="JA217" s="110"/>
      <c r="JB217" s="110"/>
      <c r="JC217" s="110"/>
      <c r="JD217" s="110"/>
      <c r="JE217" s="110"/>
      <c r="JF217" s="110"/>
      <c r="JG217" s="110"/>
      <c r="JH217" s="110"/>
      <c r="JI217" s="110"/>
      <c r="JJ217" s="110"/>
      <c r="JK217" s="110"/>
      <c r="JL217" s="110"/>
      <c r="JM217" s="110"/>
      <c r="JN217" s="110"/>
      <c r="JO217" s="110"/>
      <c r="JP217" s="110"/>
      <c r="JQ217" s="110"/>
      <c r="JR217" s="110"/>
      <c r="JS217" s="110"/>
      <c r="JT217" s="110"/>
      <c r="JU217" s="110"/>
      <c r="JV217" s="110"/>
      <c r="JW217" s="110"/>
      <c r="JX217" s="110"/>
      <c r="JY217" s="110"/>
      <c r="JZ217" s="110"/>
      <c r="KA217" s="110"/>
      <c r="KB217" s="110"/>
      <c r="KC217" s="110"/>
      <c r="KD217" s="110"/>
      <c r="KE217" s="110"/>
      <c r="KF217" s="110"/>
      <c r="KG217" s="110"/>
      <c r="KH217" s="110"/>
      <c r="KI217" s="110"/>
      <c r="KJ217" s="110"/>
      <c r="KK217" s="110"/>
      <c r="KL217" s="110"/>
      <c r="KM217" s="110"/>
      <c r="KN217" s="110"/>
    </row>
    <row r="218" spans="1:300" ht="19.2" customHeight="1" x14ac:dyDescent="0.3">
      <c r="A218" s="110"/>
      <c r="B218" s="110"/>
      <c r="C218" s="110"/>
      <c r="D218" s="110"/>
      <c r="E218" s="110"/>
      <c r="F218" s="110"/>
      <c r="G218" s="112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  <c r="GG218" s="110"/>
      <c r="GH218" s="110"/>
      <c r="GI218" s="110"/>
      <c r="GJ218" s="110"/>
      <c r="GK218" s="110"/>
      <c r="GL218" s="110"/>
      <c r="GM218" s="110"/>
      <c r="GN218" s="110"/>
      <c r="GO218" s="110"/>
      <c r="GP218" s="110"/>
      <c r="GQ218" s="110"/>
      <c r="GR218" s="110"/>
      <c r="GS218" s="110"/>
      <c r="GT218" s="110"/>
      <c r="GU218" s="110"/>
      <c r="GV218" s="110"/>
      <c r="GW218" s="110"/>
      <c r="GX218" s="110"/>
      <c r="GY218" s="110"/>
      <c r="GZ218" s="110"/>
      <c r="HA218" s="110"/>
      <c r="HB218" s="110"/>
      <c r="HC218" s="110"/>
      <c r="HD218" s="110"/>
      <c r="HE218" s="110"/>
      <c r="HF218" s="110"/>
      <c r="HG218" s="110"/>
      <c r="HH218" s="110"/>
      <c r="HI218" s="110"/>
      <c r="HJ218" s="110"/>
      <c r="HK218" s="110"/>
      <c r="HL218" s="110"/>
      <c r="HM218" s="110"/>
      <c r="HN218" s="110"/>
      <c r="HO218" s="110"/>
      <c r="HP218" s="110"/>
      <c r="HQ218" s="110"/>
      <c r="HR218" s="110"/>
      <c r="HS218" s="110"/>
      <c r="HT218" s="110"/>
      <c r="HU218" s="110"/>
      <c r="HV218" s="110"/>
      <c r="HW218" s="110"/>
      <c r="HX218" s="110"/>
      <c r="HY218" s="110"/>
      <c r="HZ218" s="110"/>
      <c r="IA218" s="110"/>
      <c r="IB218" s="110"/>
      <c r="IC218" s="110"/>
      <c r="ID218" s="110"/>
      <c r="IE218" s="110"/>
      <c r="IF218" s="110"/>
      <c r="IG218" s="110"/>
      <c r="IH218" s="110"/>
      <c r="II218" s="110"/>
      <c r="IJ218" s="110"/>
      <c r="IK218" s="110"/>
      <c r="IL218" s="110"/>
      <c r="IM218" s="110"/>
      <c r="IN218" s="110"/>
      <c r="IO218" s="110"/>
      <c r="IP218" s="110"/>
      <c r="IQ218" s="110"/>
      <c r="IR218" s="110"/>
      <c r="IS218" s="110"/>
      <c r="IT218" s="110"/>
      <c r="IU218" s="110"/>
      <c r="IV218" s="110"/>
      <c r="IW218" s="110"/>
      <c r="IX218" s="110"/>
      <c r="IY218" s="110"/>
      <c r="IZ218" s="110"/>
      <c r="JA218" s="110"/>
      <c r="JB218" s="110"/>
      <c r="JC218" s="110"/>
      <c r="JD218" s="110"/>
      <c r="JE218" s="110"/>
      <c r="JF218" s="110"/>
      <c r="JG218" s="110"/>
      <c r="JH218" s="110"/>
      <c r="JI218" s="110"/>
      <c r="JJ218" s="110"/>
      <c r="JK218" s="110"/>
      <c r="JL218" s="110"/>
      <c r="JM218" s="110"/>
      <c r="JN218" s="110"/>
      <c r="JO218" s="110"/>
      <c r="JP218" s="110"/>
      <c r="JQ218" s="110"/>
      <c r="JR218" s="110"/>
      <c r="JS218" s="110"/>
      <c r="JT218" s="110"/>
      <c r="JU218" s="110"/>
      <c r="JV218" s="110"/>
      <c r="JW218" s="110"/>
      <c r="JX218" s="110"/>
      <c r="JY218" s="110"/>
      <c r="JZ218" s="110"/>
      <c r="KA218" s="110"/>
      <c r="KB218" s="110"/>
      <c r="KC218" s="110"/>
      <c r="KD218" s="110"/>
      <c r="KE218" s="110"/>
      <c r="KF218" s="110"/>
      <c r="KG218" s="110"/>
      <c r="KH218" s="110"/>
      <c r="KI218" s="110"/>
      <c r="KJ218" s="110"/>
      <c r="KK218" s="110"/>
      <c r="KL218" s="110"/>
      <c r="KM218" s="110"/>
      <c r="KN218" s="110"/>
    </row>
    <row r="219" spans="1:300" ht="19.2" customHeight="1" x14ac:dyDescent="0.3">
      <c r="A219" s="110"/>
      <c r="B219" s="110"/>
      <c r="C219" s="110"/>
      <c r="D219" s="110"/>
      <c r="E219" s="110"/>
      <c r="F219" s="110"/>
      <c r="G219" s="112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  <c r="GG219" s="110"/>
      <c r="GH219" s="110"/>
      <c r="GI219" s="110"/>
      <c r="GJ219" s="110"/>
      <c r="GK219" s="110"/>
      <c r="GL219" s="110"/>
      <c r="GM219" s="110"/>
      <c r="GN219" s="110"/>
      <c r="GO219" s="110"/>
      <c r="GP219" s="110"/>
      <c r="GQ219" s="110"/>
      <c r="GR219" s="110"/>
      <c r="GS219" s="110"/>
      <c r="GT219" s="110"/>
      <c r="GU219" s="110"/>
      <c r="GV219" s="110"/>
      <c r="GW219" s="110"/>
      <c r="GX219" s="110"/>
      <c r="GY219" s="110"/>
      <c r="GZ219" s="110"/>
      <c r="HA219" s="110"/>
      <c r="HB219" s="110"/>
      <c r="HC219" s="110"/>
      <c r="HD219" s="110"/>
      <c r="HE219" s="110"/>
      <c r="HF219" s="110"/>
      <c r="HG219" s="110"/>
      <c r="HH219" s="110"/>
      <c r="HI219" s="110"/>
      <c r="HJ219" s="110"/>
      <c r="HK219" s="110"/>
      <c r="HL219" s="110"/>
      <c r="HM219" s="110"/>
      <c r="HN219" s="110"/>
      <c r="HO219" s="110"/>
      <c r="HP219" s="110"/>
      <c r="HQ219" s="110"/>
      <c r="HR219" s="110"/>
      <c r="HS219" s="110"/>
      <c r="HT219" s="110"/>
      <c r="HU219" s="110"/>
      <c r="HV219" s="110"/>
      <c r="HW219" s="110"/>
      <c r="HX219" s="110"/>
      <c r="HY219" s="110"/>
      <c r="HZ219" s="110"/>
      <c r="IA219" s="110"/>
      <c r="IB219" s="110"/>
      <c r="IC219" s="110"/>
      <c r="ID219" s="110"/>
      <c r="IE219" s="110"/>
      <c r="IF219" s="110"/>
      <c r="IG219" s="110"/>
      <c r="IH219" s="110"/>
      <c r="II219" s="110"/>
      <c r="IJ219" s="110"/>
      <c r="IK219" s="110"/>
      <c r="IL219" s="110"/>
      <c r="IM219" s="110"/>
      <c r="IN219" s="110"/>
      <c r="IO219" s="110"/>
      <c r="IP219" s="110"/>
      <c r="IQ219" s="110"/>
      <c r="IR219" s="110"/>
      <c r="IS219" s="110"/>
      <c r="IT219" s="110"/>
      <c r="IU219" s="110"/>
      <c r="IV219" s="110"/>
      <c r="IW219" s="110"/>
      <c r="IX219" s="110"/>
      <c r="IY219" s="110"/>
      <c r="IZ219" s="110"/>
      <c r="JA219" s="110"/>
      <c r="JB219" s="110"/>
      <c r="JC219" s="110"/>
      <c r="JD219" s="110"/>
      <c r="JE219" s="110"/>
      <c r="JF219" s="110"/>
      <c r="JG219" s="110"/>
      <c r="JH219" s="110"/>
      <c r="JI219" s="110"/>
      <c r="JJ219" s="110"/>
      <c r="JK219" s="110"/>
      <c r="JL219" s="110"/>
      <c r="JM219" s="110"/>
      <c r="JN219" s="110"/>
      <c r="JO219" s="110"/>
      <c r="JP219" s="110"/>
      <c r="JQ219" s="110"/>
      <c r="JR219" s="110"/>
      <c r="JS219" s="110"/>
      <c r="JT219" s="110"/>
      <c r="JU219" s="110"/>
      <c r="JV219" s="110"/>
      <c r="JW219" s="110"/>
      <c r="JX219" s="110"/>
      <c r="JY219" s="110"/>
      <c r="JZ219" s="110"/>
      <c r="KA219" s="110"/>
      <c r="KB219" s="110"/>
      <c r="KC219" s="110"/>
      <c r="KD219" s="110"/>
      <c r="KE219" s="110"/>
      <c r="KF219" s="110"/>
      <c r="KG219" s="110"/>
      <c r="KH219" s="110"/>
      <c r="KI219" s="110"/>
      <c r="KJ219" s="110"/>
      <c r="KK219" s="110"/>
      <c r="KL219" s="110"/>
      <c r="KM219" s="110"/>
      <c r="KN219" s="110"/>
    </row>
    <row r="220" spans="1:300" ht="19.2" customHeight="1" x14ac:dyDescent="0.3">
      <c r="A220" s="110"/>
      <c r="B220" s="110"/>
      <c r="C220" s="110"/>
      <c r="D220" s="110"/>
      <c r="E220" s="110"/>
      <c r="F220" s="110"/>
      <c r="G220" s="112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  <c r="GA220" s="110"/>
      <c r="GB220" s="110"/>
      <c r="GC220" s="110"/>
      <c r="GD220" s="110"/>
      <c r="GE220" s="110"/>
      <c r="GF220" s="110"/>
      <c r="GG220" s="110"/>
      <c r="GH220" s="110"/>
      <c r="GI220" s="110"/>
      <c r="GJ220" s="110"/>
      <c r="GK220" s="110"/>
      <c r="GL220" s="110"/>
      <c r="GM220" s="110"/>
      <c r="GN220" s="110"/>
      <c r="GO220" s="110"/>
      <c r="GP220" s="110"/>
      <c r="GQ220" s="110"/>
      <c r="GR220" s="110"/>
      <c r="GS220" s="110"/>
      <c r="GT220" s="110"/>
      <c r="GU220" s="110"/>
      <c r="GV220" s="110"/>
      <c r="GW220" s="110"/>
      <c r="GX220" s="110"/>
      <c r="GY220" s="110"/>
      <c r="GZ220" s="110"/>
      <c r="HA220" s="110"/>
      <c r="HB220" s="110"/>
      <c r="HC220" s="110"/>
      <c r="HD220" s="110"/>
      <c r="HE220" s="110"/>
      <c r="HF220" s="110"/>
      <c r="HG220" s="110"/>
      <c r="HH220" s="110"/>
      <c r="HI220" s="110"/>
      <c r="HJ220" s="110"/>
      <c r="HK220" s="110"/>
      <c r="HL220" s="110"/>
      <c r="HM220" s="110"/>
      <c r="HN220" s="110"/>
      <c r="HO220" s="110"/>
      <c r="HP220" s="110"/>
      <c r="HQ220" s="110"/>
      <c r="HR220" s="110"/>
      <c r="HS220" s="110"/>
      <c r="HT220" s="110"/>
      <c r="HU220" s="110"/>
      <c r="HV220" s="110"/>
      <c r="HW220" s="110"/>
      <c r="HX220" s="110"/>
      <c r="HY220" s="110"/>
      <c r="HZ220" s="110"/>
      <c r="IA220" s="110"/>
      <c r="IB220" s="110"/>
      <c r="IC220" s="110"/>
      <c r="ID220" s="110"/>
      <c r="IE220" s="110"/>
      <c r="IF220" s="110"/>
      <c r="IG220" s="110"/>
      <c r="IH220" s="110"/>
      <c r="II220" s="110"/>
      <c r="IJ220" s="110"/>
      <c r="IK220" s="110"/>
      <c r="IL220" s="110"/>
      <c r="IM220" s="110"/>
      <c r="IN220" s="110"/>
      <c r="IO220" s="110"/>
      <c r="IP220" s="110"/>
      <c r="IQ220" s="110"/>
      <c r="IR220" s="110"/>
      <c r="IS220" s="110"/>
      <c r="IT220" s="110"/>
      <c r="IU220" s="110"/>
      <c r="IV220" s="110"/>
      <c r="IW220" s="110"/>
      <c r="IX220" s="110"/>
      <c r="IY220" s="110"/>
      <c r="IZ220" s="110"/>
      <c r="JA220" s="110"/>
      <c r="JB220" s="110"/>
      <c r="JC220" s="110"/>
      <c r="JD220" s="110"/>
      <c r="JE220" s="110"/>
      <c r="JF220" s="110"/>
      <c r="JG220" s="110"/>
      <c r="JH220" s="110"/>
      <c r="JI220" s="110"/>
      <c r="JJ220" s="110"/>
      <c r="JK220" s="110"/>
      <c r="JL220" s="110"/>
      <c r="JM220" s="110"/>
      <c r="JN220" s="110"/>
      <c r="JO220" s="110"/>
      <c r="JP220" s="110"/>
      <c r="JQ220" s="110"/>
      <c r="JR220" s="110"/>
      <c r="JS220" s="110"/>
      <c r="JT220" s="110"/>
      <c r="JU220" s="110"/>
      <c r="JV220" s="110"/>
      <c r="JW220" s="110"/>
      <c r="JX220" s="110"/>
      <c r="JY220" s="110"/>
      <c r="JZ220" s="110"/>
      <c r="KA220" s="110"/>
      <c r="KB220" s="110"/>
      <c r="KC220" s="110"/>
      <c r="KD220" s="110"/>
      <c r="KE220" s="110"/>
      <c r="KF220" s="110"/>
      <c r="KG220" s="110"/>
      <c r="KH220" s="110"/>
      <c r="KI220" s="110"/>
      <c r="KJ220" s="110"/>
      <c r="KK220" s="110"/>
      <c r="KL220" s="110"/>
      <c r="KM220" s="110"/>
      <c r="KN220" s="110"/>
    </row>
    <row r="221" spans="1:300" ht="19.2" customHeight="1" x14ac:dyDescent="0.3">
      <c r="A221" s="110"/>
      <c r="B221" s="110"/>
      <c r="C221" s="110"/>
      <c r="D221" s="110"/>
      <c r="E221" s="110"/>
      <c r="F221" s="110"/>
      <c r="G221" s="112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  <c r="GA221" s="110"/>
      <c r="GB221" s="110"/>
      <c r="GC221" s="110"/>
      <c r="GD221" s="110"/>
      <c r="GE221" s="110"/>
      <c r="GF221" s="110"/>
      <c r="GG221" s="110"/>
      <c r="GH221" s="110"/>
      <c r="GI221" s="110"/>
      <c r="GJ221" s="110"/>
      <c r="GK221" s="110"/>
      <c r="GL221" s="110"/>
      <c r="GM221" s="110"/>
      <c r="GN221" s="110"/>
      <c r="GO221" s="110"/>
      <c r="GP221" s="110"/>
      <c r="GQ221" s="110"/>
      <c r="GR221" s="110"/>
      <c r="GS221" s="110"/>
      <c r="GT221" s="110"/>
      <c r="GU221" s="110"/>
      <c r="GV221" s="110"/>
      <c r="GW221" s="110"/>
      <c r="GX221" s="110"/>
      <c r="GY221" s="110"/>
      <c r="GZ221" s="110"/>
      <c r="HA221" s="110"/>
      <c r="HB221" s="110"/>
      <c r="HC221" s="110"/>
      <c r="HD221" s="110"/>
      <c r="HE221" s="110"/>
      <c r="HF221" s="110"/>
      <c r="HG221" s="110"/>
      <c r="HH221" s="110"/>
      <c r="HI221" s="110"/>
      <c r="HJ221" s="110"/>
      <c r="HK221" s="110"/>
      <c r="HL221" s="110"/>
      <c r="HM221" s="110"/>
      <c r="HN221" s="110"/>
      <c r="HO221" s="110"/>
      <c r="HP221" s="110"/>
      <c r="HQ221" s="110"/>
      <c r="HR221" s="110"/>
      <c r="HS221" s="110"/>
      <c r="HT221" s="110"/>
      <c r="HU221" s="110"/>
      <c r="HV221" s="110"/>
      <c r="HW221" s="110"/>
      <c r="HX221" s="110"/>
      <c r="HY221" s="110"/>
      <c r="HZ221" s="110"/>
      <c r="IA221" s="110"/>
      <c r="IB221" s="110"/>
      <c r="IC221" s="110"/>
      <c r="ID221" s="110"/>
      <c r="IE221" s="110"/>
      <c r="IF221" s="110"/>
      <c r="IG221" s="110"/>
      <c r="IH221" s="110"/>
      <c r="II221" s="110"/>
      <c r="IJ221" s="110"/>
      <c r="IK221" s="110"/>
      <c r="IL221" s="110"/>
      <c r="IM221" s="110"/>
      <c r="IN221" s="110"/>
      <c r="IO221" s="110"/>
      <c r="IP221" s="110"/>
      <c r="IQ221" s="110"/>
      <c r="IR221" s="110"/>
      <c r="IS221" s="110"/>
      <c r="IT221" s="110"/>
      <c r="IU221" s="110"/>
      <c r="IV221" s="110"/>
      <c r="IW221" s="110"/>
      <c r="IX221" s="110"/>
      <c r="IY221" s="110"/>
      <c r="IZ221" s="110"/>
      <c r="JA221" s="110"/>
      <c r="JB221" s="110"/>
      <c r="JC221" s="110"/>
      <c r="JD221" s="110"/>
      <c r="JE221" s="110"/>
      <c r="JF221" s="110"/>
      <c r="JG221" s="110"/>
      <c r="JH221" s="110"/>
      <c r="JI221" s="110"/>
      <c r="JJ221" s="110"/>
      <c r="JK221" s="110"/>
      <c r="JL221" s="110"/>
      <c r="JM221" s="110"/>
      <c r="JN221" s="110"/>
      <c r="JO221" s="110"/>
      <c r="JP221" s="110"/>
      <c r="JQ221" s="110"/>
      <c r="JR221" s="110"/>
      <c r="JS221" s="110"/>
      <c r="JT221" s="110"/>
      <c r="JU221" s="110"/>
      <c r="JV221" s="110"/>
      <c r="JW221" s="110"/>
      <c r="JX221" s="110"/>
      <c r="JY221" s="110"/>
      <c r="JZ221" s="110"/>
      <c r="KA221" s="110"/>
      <c r="KB221" s="110"/>
      <c r="KC221" s="110"/>
      <c r="KD221" s="110"/>
      <c r="KE221" s="110"/>
      <c r="KF221" s="110"/>
      <c r="KG221" s="110"/>
      <c r="KH221" s="110"/>
      <c r="KI221" s="110"/>
      <c r="KJ221" s="110"/>
      <c r="KK221" s="110"/>
      <c r="KL221" s="110"/>
      <c r="KM221" s="110"/>
      <c r="KN221" s="110"/>
    </row>
    <row r="222" spans="1:300" ht="19.2" customHeight="1" x14ac:dyDescent="0.3">
      <c r="A222" s="110"/>
      <c r="B222" s="110"/>
      <c r="C222" s="110"/>
      <c r="D222" s="110"/>
      <c r="E222" s="110"/>
      <c r="F222" s="110"/>
      <c r="G222" s="112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  <c r="GA222" s="110"/>
      <c r="GB222" s="110"/>
      <c r="GC222" s="110"/>
      <c r="GD222" s="110"/>
      <c r="GE222" s="110"/>
      <c r="GF222" s="110"/>
      <c r="GG222" s="110"/>
      <c r="GH222" s="110"/>
      <c r="GI222" s="110"/>
      <c r="GJ222" s="110"/>
      <c r="GK222" s="110"/>
      <c r="GL222" s="110"/>
      <c r="GM222" s="110"/>
      <c r="GN222" s="110"/>
      <c r="GO222" s="110"/>
      <c r="GP222" s="110"/>
      <c r="GQ222" s="110"/>
      <c r="GR222" s="110"/>
      <c r="GS222" s="110"/>
      <c r="GT222" s="110"/>
      <c r="GU222" s="110"/>
      <c r="GV222" s="110"/>
      <c r="GW222" s="110"/>
      <c r="GX222" s="110"/>
      <c r="GY222" s="110"/>
      <c r="GZ222" s="110"/>
      <c r="HA222" s="110"/>
      <c r="HB222" s="110"/>
      <c r="HC222" s="110"/>
      <c r="HD222" s="110"/>
      <c r="HE222" s="110"/>
      <c r="HF222" s="110"/>
      <c r="HG222" s="110"/>
      <c r="HH222" s="110"/>
      <c r="HI222" s="110"/>
      <c r="HJ222" s="110"/>
      <c r="HK222" s="110"/>
      <c r="HL222" s="110"/>
      <c r="HM222" s="110"/>
      <c r="HN222" s="110"/>
      <c r="HO222" s="110"/>
      <c r="HP222" s="110"/>
      <c r="HQ222" s="110"/>
      <c r="HR222" s="110"/>
      <c r="HS222" s="110"/>
      <c r="HT222" s="110"/>
      <c r="HU222" s="110"/>
      <c r="HV222" s="110"/>
      <c r="HW222" s="110"/>
      <c r="HX222" s="110"/>
      <c r="HY222" s="110"/>
      <c r="HZ222" s="110"/>
      <c r="IA222" s="110"/>
      <c r="IB222" s="110"/>
      <c r="IC222" s="110"/>
      <c r="ID222" s="110"/>
      <c r="IE222" s="110"/>
      <c r="IF222" s="110"/>
      <c r="IG222" s="110"/>
      <c r="IH222" s="110"/>
      <c r="II222" s="110"/>
      <c r="IJ222" s="110"/>
      <c r="IK222" s="110"/>
      <c r="IL222" s="110"/>
      <c r="IM222" s="110"/>
      <c r="IN222" s="110"/>
      <c r="IO222" s="110"/>
      <c r="IP222" s="110"/>
      <c r="IQ222" s="110"/>
      <c r="IR222" s="110"/>
      <c r="IS222" s="110"/>
      <c r="IT222" s="110"/>
      <c r="IU222" s="110"/>
      <c r="IV222" s="110"/>
      <c r="IW222" s="110"/>
      <c r="IX222" s="110"/>
      <c r="IY222" s="110"/>
      <c r="IZ222" s="110"/>
      <c r="JA222" s="110"/>
      <c r="JB222" s="110"/>
      <c r="JC222" s="110"/>
      <c r="JD222" s="110"/>
      <c r="JE222" s="110"/>
      <c r="JF222" s="110"/>
      <c r="JG222" s="110"/>
      <c r="JH222" s="110"/>
      <c r="JI222" s="110"/>
      <c r="JJ222" s="110"/>
      <c r="JK222" s="110"/>
      <c r="JL222" s="110"/>
      <c r="JM222" s="110"/>
      <c r="JN222" s="110"/>
      <c r="JO222" s="110"/>
      <c r="JP222" s="110"/>
      <c r="JQ222" s="110"/>
      <c r="JR222" s="110"/>
      <c r="JS222" s="110"/>
      <c r="JT222" s="110"/>
      <c r="JU222" s="110"/>
      <c r="JV222" s="110"/>
      <c r="JW222" s="110"/>
      <c r="JX222" s="110"/>
      <c r="JY222" s="110"/>
      <c r="JZ222" s="110"/>
      <c r="KA222" s="110"/>
      <c r="KB222" s="110"/>
      <c r="KC222" s="110"/>
      <c r="KD222" s="110"/>
      <c r="KE222" s="110"/>
      <c r="KF222" s="110"/>
      <c r="KG222" s="110"/>
      <c r="KH222" s="110"/>
      <c r="KI222" s="110"/>
      <c r="KJ222" s="110"/>
      <c r="KK222" s="110"/>
      <c r="KL222" s="110"/>
      <c r="KM222" s="110"/>
      <c r="KN222" s="110"/>
    </row>
    <row r="223" spans="1:300" ht="19.2" customHeight="1" x14ac:dyDescent="0.3">
      <c r="A223" s="110"/>
      <c r="B223" s="110"/>
      <c r="C223" s="110"/>
      <c r="D223" s="110"/>
      <c r="E223" s="110"/>
      <c r="F223" s="110"/>
      <c r="G223" s="112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  <c r="GA223" s="110"/>
      <c r="GB223" s="110"/>
      <c r="GC223" s="110"/>
      <c r="GD223" s="110"/>
      <c r="GE223" s="110"/>
      <c r="GF223" s="110"/>
      <c r="GG223" s="110"/>
      <c r="GH223" s="110"/>
      <c r="GI223" s="110"/>
      <c r="GJ223" s="110"/>
      <c r="GK223" s="110"/>
      <c r="GL223" s="110"/>
      <c r="GM223" s="110"/>
      <c r="GN223" s="110"/>
      <c r="GO223" s="110"/>
      <c r="GP223" s="110"/>
      <c r="GQ223" s="110"/>
      <c r="GR223" s="110"/>
      <c r="GS223" s="110"/>
      <c r="GT223" s="110"/>
      <c r="GU223" s="110"/>
      <c r="GV223" s="110"/>
      <c r="GW223" s="110"/>
      <c r="GX223" s="110"/>
      <c r="GY223" s="110"/>
      <c r="GZ223" s="110"/>
      <c r="HA223" s="110"/>
      <c r="HB223" s="110"/>
      <c r="HC223" s="110"/>
      <c r="HD223" s="110"/>
      <c r="HE223" s="110"/>
      <c r="HF223" s="110"/>
      <c r="HG223" s="110"/>
      <c r="HH223" s="110"/>
      <c r="HI223" s="110"/>
      <c r="HJ223" s="110"/>
      <c r="HK223" s="110"/>
      <c r="HL223" s="110"/>
      <c r="HM223" s="110"/>
      <c r="HN223" s="110"/>
      <c r="HO223" s="110"/>
      <c r="HP223" s="110"/>
      <c r="HQ223" s="110"/>
      <c r="HR223" s="110"/>
      <c r="HS223" s="110"/>
      <c r="HT223" s="110"/>
      <c r="HU223" s="110"/>
      <c r="HV223" s="110"/>
      <c r="HW223" s="110"/>
      <c r="HX223" s="110"/>
      <c r="HY223" s="110"/>
      <c r="HZ223" s="110"/>
      <c r="IA223" s="110"/>
      <c r="IB223" s="110"/>
      <c r="IC223" s="110"/>
      <c r="ID223" s="110"/>
      <c r="IE223" s="110"/>
      <c r="IF223" s="110"/>
      <c r="IG223" s="110"/>
      <c r="IH223" s="110"/>
      <c r="II223" s="110"/>
      <c r="IJ223" s="110"/>
      <c r="IK223" s="110"/>
      <c r="IL223" s="110"/>
      <c r="IM223" s="110"/>
      <c r="IN223" s="110"/>
      <c r="IO223" s="110"/>
      <c r="IP223" s="110"/>
      <c r="IQ223" s="110"/>
      <c r="IR223" s="110"/>
      <c r="IS223" s="110"/>
      <c r="IT223" s="110"/>
      <c r="IU223" s="110"/>
      <c r="IV223" s="110"/>
      <c r="IW223" s="110"/>
      <c r="IX223" s="110"/>
      <c r="IY223" s="110"/>
      <c r="IZ223" s="110"/>
      <c r="JA223" s="110"/>
      <c r="JB223" s="110"/>
      <c r="JC223" s="110"/>
      <c r="JD223" s="110"/>
      <c r="JE223" s="110"/>
      <c r="JF223" s="110"/>
      <c r="JG223" s="110"/>
      <c r="JH223" s="110"/>
      <c r="JI223" s="110"/>
      <c r="JJ223" s="110"/>
      <c r="JK223" s="110"/>
      <c r="JL223" s="110"/>
      <c r="JM223" s="110"/>
      <c r="JN223" s="110"/>
      <c r="JO223" s="110"/>
      <c r="JP223" s="110"/>
      <c r="JQ223" s="110"/>
      <c r="JR223" s="110"/>
      <c r="JS223" s="110"/>
      <c r="JT223" s="110"/>
      <c r="JU223" s="110"/>
      <c r="JV223" s="110"/>
      <c r="JW223" s="110"/>
      <c r="JX223" s="110"/>
      <c r="JY223" s="110"/>
      <c r="JZ223" s="110"/>
      <c r="KA223" s="110"/>
      <c r="KB223" s="110"/>
      <c r="KC223" s="110"/>
      <c r="KD223" s="110"/>
      <c r="KE223" s="110"/>
      <c r="KF223" s="110"/>
      <c r="KG223" s="110"/>
      <c r="KH223" s="110"/>
      <c r="KI223" s="110"/>
      <c r="KJ223" s="110"/>
      <c r="KK223" s="110"/>
      <c r="KL223" s="110"/>
      <c r="KM223" s="110"/>
      <c r="KN223" s="110"/>
    </row>
    <row r="224" spans="1:300" ht="19.2" customHeight="1" x14ac:dyDescent="0.3">
      <c r="A224" s="110"/>
      <c r="B224" s="110"/>
      <c r="C224" s="110"/>
      <c r="D224" s="110"/>
      <c r="E224" s="110"/>
      <c r="F224" s="110"/>
      <c r="G224" s="112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  <c r="GA224" s="110"/>
      <c r="GB224" s="110"/>
      <c r="GC224" s="110"/>
      <c r="GD224" s="110"/>
      <c r="GE224" s="110"/>
      <c r="GF224" s="110"/>
      <c r="GG224" s="110"/>
      <c r="GH224" s="110"/>
      <c r="GI224" s="110"/>
      <c r="GJ224" s="110"/>
      <c r="GK224" s="110"/>
      <c r="GL224" s="110"/>
      <c r="GM224" s="110"/>
      <c r="GN224" s="110"/>
      <c r="GO224" s="110"/>
      <c r="GP224" s="110"/>
      <c r="GQ224" s="110"/>
      <c r="GR224" s="110"/>
      <c r="GS224" s="110"/>
      <c r="GT224" s="110"/>
      <c r="GU224" s="110"/>
      <c r="GV224" s="110"/>
      <c r="GW224" s="110"/>
      <c r="GX224" s="110"/>
      <c r="GY224" s="110"/>
      <c r="GZ224" s="110"/>
      <c r="HA224" s="110"/>
      <c r="HB224" s="110"/>
      <c r="HC224" s="110"/>
      <c r="HD224" s="110"/>
      <c r="HE224" s="110"/>
      <c r="HF224" s="110"/>
      <c r="HG224" s="110"/>
      <c r="HH224" s="110"/>
      <c r="HI224" s="110"/>
      <c r="HJ224" s="110"/>
      <c r="HK224" s="110"/>
      <c r="HL224" s="110"/>
      <c r="HM224" s="110"/>
      <c r="HN224" s="110"/>
      <c r="HO224" s="110"/>
      <c r="HP224" s="110"/>
      <c r="HQ224" s="110"/>
      <c r="HR224" s="110"/>
      <c r="HS224" s="110"/>
      <c r="HT224" s="110"/>
      <c r="HU224" s="110"/>
      <c r="HV224" s="110"/>
      <c r="HW224" s="110"/>
      <c r="HX224" s="110"/>
      <c r="HY224" s="110"/>
      <c r="HZ224" s="110"/>
      <c r="IA224" s="110"/>
      <c r="IB224" s="110"/>
      <c r="IC224" s="110"/>
      <c r="ID224" s="110"/>
      <c r="IE224" s="110"/>
      <c r="IF224" s="110"/>
      <c r="IG224" s="110"/>
      <c r="IH224" s="110"/>
      <c r="II224" s="110"/>
      <c r="IJ224" s="110"/>
      <c r="IK224" s="110"/>
      <c r="IL224" s="110"/>
      <c r="IM224" s="110"/>
      <c r="IN224" s="110"/>
      <c r="IO224" s="110"/>
      <c r="IP224" s="110"/>
      <c r="IQ224" s="110"/>
      <c r="IR224" s="110"/>
      <c r="IS224" s="110"/>
      <c r="IT224" s="110"/>
      <c r="IU224" s="110"/>
      <c r="IV224" s="110"/>
      <c r="IW224" s="110"/>
      <c r="IX224" s="110"/>
      <c r="IY224" s="110"/>
      <c r="IZ224" s="110"/>
      <c r="JA224" s="110"/>
      <c r="JB224" s="110"/>
      <c r="JC224" s="110"/>
      <c r="JD224" s="110"/>
      <c r="JE224" s="110"/>
      <c r="JF224" s="110"/>
      <c r="JG224" s="110"/>
      <c r="JH224" s="110"/>
      <c r="JI224" s="110"/>
      <c r="JJ224" s="110"/>
      <c r="JK224" s="110"/>
      <c r="JL224" s="110"/>
      <c r="JM224" s="110"/>
      <c r="JN224" s="110"/>
      <c r="JO224" s="110"/>
      <c r="JP224" s="110"/>
      <c r="JQ224" s="110"/>
      <c r="JR224" s="110"/>
      <c r="JS224" s="110"/>
      <c r="JT224" s="110"/>
      <c r="JU224" s="110"/>
      <c r="JV224" s="110"/>
      <c r="JW224" s="110"/>
      <c r="JX224" s="110"/>
      <c r="JY224" s="110"/>
      <c r="JZ224" s="110"/>
      <c r="KA224" s="110"/>
      <c r="KB224" s="110"/>
      <c r="KC224" s="110"/>
      <c r="KD224" s="110"/>
      <c r="KE224" s="110"/>
      <c r="KF224" s="110"/>
      <c r="KG224" s="110"/>
      <c r="KH224" s="110"/>
      <c r="KI224" s="110"/>
      <c r="KJ224" s="110"/>
      <c r="KK224" s="110"/>
      <c r="KL224" s="110"/>
      <c r="KM224" s="110"/>
      <c r="KN224" s="110"/>
    </row>
    <row r="225" spans="1:300" ht="19.2" customHeight="1" x14ac:dyDescent="0.3">
      <c r="A225" s="110"/>
      <c r="B225" s="110"/>
      <c r="C225" s="110"/>
      <c r="D225" s="110"/>
      <c r="E225" s="110"/>
      <c r="F225" s="110"/>
      <c r="G225" s="112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/>
      <c r="HB225" s="110"/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/>
      <c r="HP225" s="110"/>
      <c r="HQ225" s="110"/>
      <c r="HR225" s="110"/>
      <c r="HS225" s="110"/>
      <c r="HT225" s="110"/>
      <c r="HU225" s="110"/>
      <c r="HV225" s="110"/>
      <c r="HW225" s="110"/>
      <c r="HX225" s="110"/>
      <c r="HY225" s="110"/>
      <c r="HZ225" s="110"/>
      <c r="IA225" s="110"/>
      <c r="IB225" s="110"/>
      <c r="IC225" s="110"/>
      <c r="ID225" s="110"/>
      <c r="IE225" s="110"/>
      <c r="IF225" s="110"/>
      <c r="IG225" s="110"/>
      <c r="IH225" s="110"/>
      <c r="II225" s="110"/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  <c r="JK225" s="110"/>
      <c r="JL225" s="110"/>
      <c r="JM225" s="110"/>
      <c r="JN225" s="110"/>
      <c r="JO225" s="110"/>
      <c r="JP225" s="110"/>
      <c r="JQ225" s="110"/>
      <c r="JR225" s="110"/>
      <c r="JS225" s="110"/>
      <c r="JT225" s="110"/>
      <c r="JU225" s="110"/>
      <c r="JV225" s="110"/>
      <c r="JW225" s="110"/>
      <c r="JX225" s="110"/>
      <c r="JY225" s="110"/>
      <c r="JZ225" s="110"/>
      <c r="KA225" s="110"/>
      <c r="KB225" s="110"/>
      <c r="KC225" s="110"/>
      <c r="KD225" s="110"/>
      <c r="KE225" s="110"/>
      <c r="KF225" s="110"/>
      <c r="KG225" s="110"/>
      <c r="KH225" s="110"/>
      <c r="KI225" s="110"/>
      <c r="KJ225" s="110"/>
      <c r="KK225" s="110"/>
      <c r="KL225" s="110"/>
      <c r="KM225" s="110"/>
      <c r="KN225" s="110"/>
    </row>
    <row r="226" spans="1:300" ht="19.2" customHeight="1" x14ac:dyDescent="0.3">
      <c r="A226" s="110"/>
      <c r="B226" s="110"/>
      <c r="C226" s="110"/>
      <c r="D226" s="110"/>
      <c r="E226" s="110"/>
      <c r="F226" s="110"/>
      <c r="G226" s="112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  <c r="GA226" s="110"/>
      <c r="GB226" s="110"/>
      <c r="GC226" s="110"/>
      <c r="GD226" s="110"/>
      <c r="GE226" s="110"/>
      <c r="GF226" s="110"/>
      <c r="GG226" s="110"/>
      <c r="GH226" s="110"/>
      <c r="GI226" s="110"/>
      <c r="GJ226" s="110"/>
      <c r="GK226" s="110"/>
      <c r="GL226" s="110"/>
      <c r="GM226" s="110"/>
      <c r="GN226" s="110"/>
      <c r="GO226" s="110"/>
      <c r="GP226" s="110"/>
      <c r="GQ226" s="110"/>
      <c r="GR226" s="110"/>
      <c r="GS226" s="110"/>
      <c r="GT226" s="110"/>
      <c r="GU226" s="110"/>
      <c r="GV226" s="110"/>
      <c r="GW226" s="110"/>
      <c r="GX226" s="110"/>
      <c r="GY226" s="110"/>
      <c r="GZ226" s="110"/>
      <c r="HA226" s="110"/>
      <c r="HB226" s="110"/>
      <c r="HC226" s="110"/>
      <c r="HD226" s="110"/>
      <c r="HE226" s="110"/>
      <c r="HF226" s="110"/>
      <c r="HG226" s="110"/>
      <c r="HH226" s="110"/>
      <c r="HI226" s="110"/>
      <c r="HJ226" s="110"/>
      <c r="HK226" s="110"/>
      <c r="HL226" s="110"/>
      <c r="HM226" s="110"/>
      <c r="HN226" s="110"/>
      <c r="HO226" s="110"/>
      <c r="HP226" s="110"/>
      <c r="HQ226" s="110"/>
      <c r="HR226" s="110"/>
      <c r="HS226" s="110"/>
      <c r="HT226" s="110"/>
      <c r="HU226" s="110"/>
      <c r="HV226" s="110"/>
      <c r="HW226" s="110"/>
      <c r="HX226" s="110"/>
      <c r="HY226" s="110"/>
      <c r="HZ226" s="110"/>
      <c r="IA226" s="110"/>
      <c r="IB226" s="110"/>
      <c r="IC226" s="110"/>
      <c r="ID226" s="110"/>
      <c r="IE226" s="110"/>
      <c r="IF226" s="110"/>
      <c r="IG226" s="110"/>
      <c r="IH226" s="110"/>
      <c r="II226" s="110"/>
      <c r="IJ226" s="110"/>
      <c r="IK226" s="110"/>
      <c r="IL226" s="110"/>
      <c r="IM226" s="110"/>
      <c r="IN226" s="110"/>
      <c r="IO226" s="110"/>
      <c r="IP226" s="110"/>
      <c r="IQ226" s="110"/>
      <c r="IR226" s="110"/>
      <c r="IS226" s="110"/>
      <c r="IT226" s="110"/>
      <c r="IU226" s="110"/>
      <c r="IV226" s="110"/>
      <c r="IW226" s="110"/>
      <c r="IX226" s="110"/>
      <c r="IY226" s="110"/>
      <c r="IZ226" s="110"/>
      <c r="JA226" s="110"/>
      <c r="JB226" s="110"/>
      <c r="JC226" s="110"/>
      <c r="JD226" s="110"/>
      <c r="JE226" s="110"/>
      <c r="JF226" s="110"/>
      <c r="JG226" s="110"/>
      <c r="JH226" s="110"/>
      <c r="JI226" s="110"/>
      <c r="JJ226" s="110"/>
      <c r="JK226" s="110"/>
      <c r="JL226" s="110"/>
      <c r="JM226" s="110"/>
      <c r="JN226" s="110"/>
      <c r="JO226" s="110"/>
      <c r="JP226" s="110"/>
      <c r="JQ226" s="110"/>
      <c r="JR226" s="110"/>
      <c r="JS226" s="110"/>
      <c r="JT226" s="110"/>
      <c r="JU226" s="110"/>
      <c r="JV226" s="110"/>
      <c r="JW226" s="110"/>
      <c r="JX226" s="110"/>
      <c r="JY226" s="110"/>
      <c r="JZ226" s="110"/>
      <c r="KA226" s="110"/>
      <c r="KB226" s="110"/>
      <c r="KC226" s="110"/>
      <c r="KD226" s="110"/>
      <c r="KE226" s="110"/>
      <c r="KF226" s="110"/>
      <c r="KG226" s="110"/>
      <c r="KH226" s="110"/>
      <c r="KI226" s="110"/>
      <c r="KJ226" s="110"/>
      <c r="KK226" s="110"/>
      <c r="KL226" s="110"/>
      <c r="KM226" s="110"/>
      <c r="KN226" s="110"/>
    </row>
    <row r="227" spans="1:300" ht="19.2" customHeight="1" x14ac:dyDescent="0.3">
      <c r="A227" s="110"/>
      <c r="B227" s="110"/>
      <c r="C227" s="110"/>
      <c r="D227" s="110"/>
      <c r="E227" s="110"/>
      <c r="F227" s="110"/>
      <c r="G227" s="112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  <c r="GA227" s="110"/>
      <c r="GB227" s="110"/>
      <c r="GC227" s="110"/>
      <c r="GD227" s="110"/>
      <c r="GE227" s="110"/>
      <c r="GF227" s="110"/>
      <c r="GG227" s="110"/>
      <c r="GH227" s="110"/>
      <c r="GI227" s="110"/>
      <c r="GJ227" s="110"/>
      <c r="GK227" s="110"/>
      <c r="GL227" s="110"/>
      <c r="GM227" s="110"/>
      <c r="GN227" s="110"/>
      <c r="GO227" s="110"/>
      <c r="GP227" s="110"/>
      <c r="GQ227" s="110"/>
      <c r="GR227" s="110"/>
      <c r="GS227" s="110"/>
      <c r="GT227" s="110"/>
      <c r="GU227" s="110"/>
      <c r="GV227" s="110"/>
      <c r="GW227" s="110"/>
      <c r="GX227" s="110"/>
      <c r="GY227" s="110"/>
      <c r="GZ227" s="110"/>
      <c r="HA227" s="110"/>
      <c r="HB227" s="110"/>
      <c r="HC227" s="110"/>
      <c r="HD227" s="110"/>
      <c r="HE227" s="110"/>
      <c r="HF227" s="110"/>
      <c r="HG227" s="110"/>
      <c r="HH227" s="110"/>
      <c r="HI227" s="110"/>
      <c r="HJ227" s="110"/>
      <c r="HK227" s="110"/>
      <c r="HL227" s="110"/>
      <c r="HM227" s="110"/>
      <c r="HN227" s="110"/>
      <c r="HO227" s="110"/>
      <c r="HP227" s="110"/>
      <c r="HQ227" s="110"/>
      <c r="HR227" s="110"/>
      <c r="HS227" s="110"/>
      <c r="HT227" s="110"/>
      <c r="HU227" s="110"/>
      <c r="HV227" s="110"/>
      <c r="HW227" s="110"/>
      <c r="HX227" s="110"/>
      <c r="HY227" s="110"/>
      <c r="HZ227" s="110"/>
      <c r="IA227" s="110"/>
      <c r="IB227" s="110"/>
      <c r="IC227" s="110"/>
      <c r="ID227" s="110"/>
      <c r="IE227" s="110"/>
      <c r="IF227" s="110"/>
      <c r="IG227" s="110"/>
      <c r="IH227" s="110"/>
      <c r="II227" s="110"/>
      <c r="IJ227" s="110"/>
      <c r="IK227" s="110"/>
      <c r="IL227" s="110"/>
      <c r="IM227" s="110"/>
      <c r="IN227" s="110"/>
      <c r="IO227" s="110"/>
      <c r="IP227" s="110"/>
      <c r="IQ227" s="110"/>
      <c r="IR227" s="110"/>
      <c r="IS227" s="110"/>
      <c r="IT227" s="110"/>
      <c r="IU227" s="110"/>
      <c r="IV227" s="110"/>
      <c r="IW227" s="110"/>
      <c r="IX227" s="110"/>
      <c r="IY227" s="110"/>
      <c r="IZ227" s="110"/>
      <c r="JA227" s="110"/>
      <c r="JB227" s="110"/>
      <c r="JC227" s="110"/>
      <c r="JD227" s="110"/>
      <c r="JE227" s="110"/>
      <c r="JF227" s="110"/>
      <c r="JG227" s="110"/>
      <c r="JH227" s="110"/>
      <c r="JI227" s="110"/>
      <c r="JJ227" s="110"/>
      <c r="JK227" s="110"/>
      <c r="JL227" s="110"/>
      <c r="JM227" s="110"/>
      <c r="JN227" s="110"/>
      <c r="JO227" s="110"/>
      <c r="JP227" s="110"/>
      <c r="JQ227" s="110"/>
      <c r="JR227" s="110"/>
      <c r="JS227" s="110"/>
      <c r="JT227" s="110"/>
      <c r="JU227" s="110"/>
      <c r="JV227" s="110"/>
      <c r="JW227" s="110"/>
      <c r="JX227" s="110"/>
      <c r="JY227" s="110"/>
      <c r="JZ227" s="110"/>
      <c r="KA227" s="110"/>
      <c r="KB227" s="110"/>
      <c r="KC227" s="110"/>
      <c r="KD227" s="110"/>
      <c r="KE227" s="110"/>
      <c r="KF227" s="110"/>
      <c r="KG227" s="110"/>
      <c r="KH227" s="110"/>
      <c r="KI227" s="110"/>
      <c r="KJ227" s="110"/>
      <c r="KK227" s="110"/>
      <c r="KL227" s="110"/>
      <c r="KM227" s="110"/>
      <c r="KN227" s="110"/>
    </row>
    <row r="228" spans="1:300" ht="19.2" customHeight="1" x14ac:dyDescent="0.3">
      <c r="A228" s="110"/>
      <c r="B228" s="110"/>
      <c r="C228" s="110"/>
      <c r="D228" s="110"/>
      <c r="E228" s="110"/>
      <c r="F228" s="110"/>
      <c r="G228" s="112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  <c r="GA228" s="110"/>
      <c r="GB228" s="110"/>
      <c r="GC228" s="110"/>
      <c r="GD228" s="110"/>
      <c r="GE228" s="110"/>
      <c r="GF228" s="110"/>
      <c r="GG228" s="110"/>
      <c r="GH228" s="110"/>
      <c r="GI228" s="110"/>
      <c r="GJ228" s="110"/>
      <c r="GK228" s="110"/>
      <c r="GL228" s="110"/>
      <c r="GM228" s="110"/>
      <c r="GN228" s="110"/>
      <c r="GO228" s="110"/>
      <c r="GP228" s="110"/>
      <c r="GQ228" s="110"/>
      <c r="GR228" s="110"/>
      <c r="GS228" s="110"/>
      <c r="GT228" s="110"/>
      <c r="GU228" s="110"/>
      <c r="GV228" s="110"/>
      <c r="GW228" s="110"/>
      <c r="GX228" s="110"/>
      <c r="GY228" s="110"/>
      <c r="GZ228" s="110"/>
      <c r="HA228" s="110"/>
      <c r="HB228" s="110"/>
      <c r="HC228" s="110"/>
      <c r="HD228" s="110"/>
      <c r="HE228" s="110"/>
      <c r="HF228" s="110"/>
      <c r="HG228" s="110"/>
      <c r="HH228" s="110"/>
      <c r="HI228" s="110"/>
      <c r="HJ228" s="110"/>
      <c r="HK228" s="110"/>
      <c r="HL228" s="110"/>
      <c r="HM228" s="110"/>
      <c r="HN228" s="110"/>
      <c r="HO228" s="110"/>
      <c r="HP228" s="110"/>
      <c r="HQ228" s="110"/>
      <c r="HR228" s="110"/>
      <c r="HS228" s="110"/>
      <c r="HT228" s="110"/>
      <c r="HU228" s="110"/>
      <c r="HV228" s="110"/>
      <c r="HW228" s="110"/>
      <c r="HX228" s="110"/>
      <c r="HY228" s="110"/>
      <c r="HZ228" s="110"/>
      <c r="IA228" s="110"/>
      <c r="IB228" s="110"/>
      <c r="IC228" s="110"/>
      <c r="ID228" s="110"/>
      <c r="IE228" s="110"/>
      <c r="IF228" s="110"/>
      <c r="IG228" s="110"/>
      <c r="IH228" s="110"/>
      <c r="II228" s="110"/>
      <c r="IJ228" s="110"/>
      <c r="IK228" s="110"/>
      <c r="IL228" s="110"/>
      <c r="IM228" s="110"/>
      <c r="IN228" s="110"/>
      <c r="IO228" s="110"/>
      <c r="IP228" s="110"/>
      <c r="IQ228" s="110"/>
      <c r="IR228" s="110"/>
      <c r="IS228" s="110"/>
      <c r="IT228" s="110"/>
      <c r="IU228" s="110"/>
      <c r="IV228" s="110"/>
      <c r="IW228" s="110"/>
      <c r="IX228" s="110"/>
      <c r="IY228" s="110"/>
      <c r="IZ228" s="110"/>
      <c r="JA228" s="110"/>
      <c r="JB228" s="110"/>
      <c r="JC228" s="110"/>
      <c r="JD228" s="110"/>
      <c r="JE228" s="110"/>
      <c r="JF228" s="110"/>
      <c r="JG228" s="110"/>
      <c r="JH228" s="110"/>
      <c r="JI228" s="110"/>
      <c r="JJ228" s="110"/>
      <c r="JK228" s="110"/>
      <c r="JL228" s="110"/>
      <c r="JM228" s="110"/>
      <c r="JN228" s="110"/>
      <c r="JO228" s="110"/>
      <c r="JP228" s="110"/>
      <c r="JQ228" s="110"/>
      <c r="JR228" s="110"/>
      <c r="JS228" s="110"/>
      <c r="JT228" s="110"/>
      <c r="JU228" s="110"/>
      <c r="JV228" s="110"/>
      <c r="JW228" s="110"/>
      <c r="JX228" s="110"/>
      <c r="JY228" s="110"/>
      <c r="JZ228" s="110"/>
      <c r="KA228" s="110"/>
      <c r="KB228" s="110"/>
      <c r="KC228" s="110"/>
      <c r="KD228" s="110"/>
      <c r="KE228" s="110"/>
      <c r="KF228" s="110"/>
      <c r="KG228" s="110"/>
      <c r="KH228" s="110"/>
      <c r="KI228" s="110"/>
      <c r="KJ228" s="110"/>
      <c r="KK228" s="110"/>
      <c r="KL228" s="110"/>
      <c r="KM228" s="110"/>
      <c r="KN228" s="110"/>
    </row>
    <row r="229" spans="1:300" ht="19.2" customHeight="1" x14ac:dyDescent="0.3">
      <c r="A229" s="110"/>
      <c r="B229" s="110"/>
      <c r="C229" s="110"/>
      <c r="D229" s="110"/>
      <c r="E229" s="110"/>
      <c r="F229" s="110"/>
      <c r="G229" s="112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  <c r="GA229" s="110"/>
      <c r="GB229" s="110"/>
      <c r="GC229" s="110"/>
      <c r="GD229" s="110"/>
      <c r="GE229" s="110"/>
      <c r="GF229" s="110"/>
      <c r="GG229" s="110"/>
      <c r="GH229" s="110"/>
      <c r="GI229" s="110"/>
      <c r="GJ229" s="110"/>
      <c r="GK229" s="110"/>
      <c r="GL229" s="110"/>
      <c r="GM229" s="110"/>
      <c r="GN229" s="110"/>
      <c r="GO229" s="110"/>
      <c r="GP229" s="110"/>
      <c r="GQ229" s="110"/>
      <c r="GR229" s="110"/>
      <c r="GS229" s="110"/>
      <c r="GT229" s="110"/>
      <c r="GU229" s="110"/>
      <c r="GV229" s="110"/>
      <c r="GW229" s="110"/>
      <c r="GX229" s="110"/>
      <c r="GY229" s="110"/>
      <c r="GZ229" s="110"/>
      <c r="HA229" s="110"/>
      <c r="HB229" s="110"/>
      <c r="HC229" s="110"/>
      <c r="HD229" s="110"/>
      <c r="HE229" s="110"/>
      <c r="HF229" s="110"/>
      <c r="HG229" s="110"/>
      <c r="HH229" s="110"/>
      <c r="HI229" s="110"/>
      <c r="HJ229" s="110"/>
      <c r="HK229" s="110"/>
      <c r="HL229" s="110"/>
      <c r="HM229" s="110"/>
      <c r="HN229" s="110"/>
      <c r="HO229" s="110"/>
      <c r="HP229" s="110"/>
      <c r="HQ229" s="110"/>
      <c r="HR229" s="110"/>
      <c r="HS229" s="110"/>
      <c r="HT229" s="110"/>
      <c r="HU229" s="110"/>
      <c r="HV229" s="110"/>
      <c r="HW229" s="110"/>
      <c r="HX229" s="110"/>
      <c r="HY229" s="110"/>
      <c r="HZ229" s="110"/>
      <c r="IA229" s="110"/>
      <c r="IB229" s="110"/>
      <c r="IC229" s="110"/>
      <c r="ID229" s="110"/>
      <c r="IE229" s="110"/>
      <c r="IF229" s="110"/>
      <c r="IG229" s="110"/>
      <c r="IH229" s="110"/>
      <c r="II229" s="110"/>
      <c r="IJ229" s="110"/>
      <c r="IK229" s="110"/>
      <c r="IL229" s="110"/>
      <c r="IM229" s="110"/>
      <c r="IN229" s="110"/>
      <c r="IO229" s="110"/>
      <c r="IP229" s="110"/>
      <c r="IQ229" s="110"/>
      <c r="IR229" s="110"/>
      <c r="IS229" s="110"/>
      <c r="IT229" s="110"/>
      <c r="IU229" s="110"/>
      <c r="IV229" s="110"/>
      <c r="IW229" s="110"/>
      <c r="IX229" s="110"/>
      <c r="IY229" s="110"/>
      <c r="IZ229" s="110"/>
      <c r="JA229" s="110"/>
      <c r="JB229" s="110"/>
      <c r="JC229" s="110"/>
      <c r="JD229" s="110"/>
      <c r="JE229" s="110"/>
      <c r="JF229" s="110"/>
      <c r="JG229" s="110"/>
      <c r="JH229" s="110"/>
      <c r="JI229" s="110"/>
      <c r="JJ229" s="110"/>
      <c r="JK229" s="110"/>
      <c r="JL229" s="110"/>
      <c r="JM229" s="110"/>
      <c r="JN229" s="110"/>
      <c r="JO229" s="110"/>
      <c r="JP229" s="110"/>
      <c r="JQ229" s="110"/>
      <c r="JR229" s="110"/>
      <c r="JS229" s="110"/>
      <c r="JT229" s="110"/>
      <c r="JU229" s="110"/>
      <c r="JV229" s="110"/>
      <c r="JW229" s="110"/>
      <c r="JX229" s="110"/>
      <c r="JY229" s="110"/>
      <c r="JZ229" s="110"/>
      <c r="KA229" s="110"/>
      <c r="KB229" s="110"/>
      <c r="KC229" s="110"/>
      <c r="KD229" s="110"/>
      <c r="KE229" s="110"/>
      <c r="KF229" s="110"/>
      <c r="KG229" s="110"/>
      <c r="KH229" s="110"/>
      <c r="KI229" s="110"/>
      <c r="KJ229" s="110"/>
      <c r="KK229" s="110"/>
      <c r="KL229" s="110"/>
      <c r="KM229" s="110"/>
      <c r="KN229" s="110"/>
    </row>
    <row r="230" spans="1:300" ht="19.2" customHeight="1" x14ac:dyDescent="0.3">
      <c r="A230" s="110"/>
      <c r="B230" s="110"/>
      <c r="C230" s="110"/>
      <c r="D230" s="110"/>
      <c r="E230" s="110"/>
      <c r="F230" s="110"/>
      <c r="G230" s="112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  <c r="GA230" s="110"/>
      <c r="GB230" s="110"/>
      <c r="GC230" s="110"/>
      <c r="GD230" s="110"/>
      <c r="GE230" s="110"/>
      <c r="GF230" s="110"/>
      <c r="GG230" s="110"/>
      <c r="GH230" s="110"/>
      <c r="GI230" s="110"/>
      <c r="GJ230" s="110"/>
      <c r="GK230" s="110"/>
      <c r="GL230" s="110"/>
      <c r="GM230" s="110"/>
      <c r="GN230" s="110"/>
      <c r="GO230" s="110"/>
      <c r="GP230" s="110"/>
      <c r="GQ230" s="110"/>
      <c r="GR230" s="110"/>
      <c r="GS230" s="110"/>
      <c r="GT230" s="110"/>
      <c r="GU230" s="110"/>
      <c r="GV230" s="110"/>
      <c r="GW230" s="110"/>
      <c r="GX230" s="110"/>
      <c r="GY230" s="110"/>
      <c r="GZ230" s="110"/>
      <c r="HA230" s="110"/>
      <c r="HB230" s="110"/>
      <c r="HC230" s="110"/>
      <c r="HD230" s="110"/>
      <c r="HE230" s="110"/>
      <c r="HF230" s="110"/>
      <c r="HG230" s="110"/>
      <c r="HH230" s="110"/>
      <c r="HI230" s="110"/>
      <c r="HJ230" s="110"/>
      <c r="HK230" s="110"/>
      <c r="HL230" s="110"/>
      <c r="HM230" s="110"/>
      <c r="HN230" s="110"/>
      <c r="HO230" s="110"/>
      <c r="HP230" s="110"/>
      <c r="HQ230" s="110"/>
      <c r="HR230" s="110"/>
      <c r="HS230" s="110"/>
      <c r="HT230" s="110"/>
      <c r="HU230" s="110"/>
      <c r="HV230" s="110"/>
      <c r="HW230" s="110"/>
      <c r="HX230" s="110"/>
      <c r="HY230" s="110"/>
      <c r="HZ230" s="110"/>
      <c r="IA230" s="110"/>
      <c r="IB230" s="110"/>
      <c r="IC230" s="110"/>
      <c r="ID230" s="110"/>
      <c r="IE230" s="110"/>
      <c r="IF230" s="110"/>
      <c r="IG230" s="110"/>
      <c r="IH230" s="110"/>
      <c r="II230" s="110"/>
      <c r="IJ230" s="110"/>
      <c r="IK230" s="110"/>
      <c r="IL230" s="110"/>
      <c r="IM230" s="110"/>
      <c r="IN230" s="110"/>
      <c r="IO230" s="110"/>
      <c r="IP230" s="110"/>
      <c r="IQ230" s="110"/>
      <c r="IR230" s="110"/>
      <c r="IS230" s="110"/>
      <c r="IT230" s="110"/>
      <c r="IU230" s="110"/>
      <c r="IV230" s="110"/>
      <c r="IW230" s="110"/>
      <c r="IX230" s="110"/>
      <c r="IY230" s="110"/>
      <c r="IZ230" s="110"/>
      <c r="JA230" s="110"/>
      <c r="JB230" s="110"/>
      <c r="JC230" s="110"/>
      <c r="JD230" s="110"/>
      <c r="JE230" s="110"/>
      <c r="JF230" s="110"/>
      <c r="JG230" s="110"/>
      <c r="JH230" s="110"/>
      <c r="JI230" s="110"/>
      <c r="JJ230" s="110"/>
      <c r="JK230" s="110"/>
      <c r="JL230" s="110"/>
      <c r="JM230" s="110"/>
      <c r="JN230" s="110"/>
      <c r="JO230" s="110"/>
      <c r="JP230" s="110"/>
      <c r="JQ230" s="110"/>
      <c r="JR230" s="110"/>
      <c r="JS230" s="110"/>
      <c r="JT230" s="110"/>
      <c r="JU230" s="110"/>
      <c r="JV230" s="110"/>
      <c r="JW230" s="110"/>
      <c r="JX230" s="110"/>
      <c r="JY230" s="110"/>
      <c r="JZ230" s="110"/>
      <c r="KA230" s="110"/>
      <c r="KB230" s="110"/>
      <c r="KC230" s="110"/>
      <c r="KD230" s="110"/>
      <c r="KE230" s="110"/>
      <c r="KF230" s="110"/>
      <c r="KG230" s="110"/>
      <c r="KH230" s="110"/>
      <c r="KI230" s="110"/>
      <c r="KJ230" s="110"/>
      <c r="KK230" s="110"/>
      <c r="KL230" s="110"/>
      <c r="KM230" s="110"/>
      <c r="KN230" s="110"/>
    </row>
    <row r="231" spans="1:300" ht="19.2" customHeight="1" x14ac:dyDescent="0.3">
      <c r="A231" s="110"/>
      <c r="B231" s="110"/>
      <c r="C231" s="110"/>
      <c r="D231" s="110"/>
      <c r="E231" s="110"/>
      <c r="F231" s="110"/>
      <c r="G231" s="112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  <c r="GA231" s="110"/>
      <c r="GB231" s="110"/>
      <c r="GC231" s="110"/>
      <c r="GD231" s="110"/>
      <c r="GE231" s="110"/>
      <c r="GF231" s="110"/>
      <c r="GG231" s="110"/>
      <c r="GH231" s="110"/>
      <c r="GI231" s="110"/>
      <c r="GJ231" s="110"/>
      <c r="GK231" s="110"/>
      <c r="GL231" s="110"/>
      <c r="GM231" s="110"/>
      <c r="GN231" s="110"/>
      <c r="GO231" s="110"/>
      <c r="GP231" s="110"/>
      <c r="GQ231" s="110"/>
      <c r="GR231" s="110"/>
      <c r="GS231" s="110"/>
      <c r="GT231" s="110"/>
      <c r="GU231" s="110"/>
      <c r="GV231" s="110"/>
      <c r="GW231" s="110"/>
      <c r="GX231" s="110"/>
      <c r="GY231" s="110"/>
      <c r="GZ231" s="110"/>
      <c r="HA231" s="110"/>
      <c r="HB231" s="110"/>
      <c r="HC231" s="110"/>
      <c r="HD231" s="110"/>
      <c r="HE231" s="110"/>
      <c r="HF231" s="110"/>
      <c r="HG231" s="110"/>
      <c r="HH231" s="110"/>
      <c r="HI231" s="110"/>
      <c r="HJ231" s="110"/>
      <c r="HK231" s="110"/>
      <c r="HL231" s="110"/>
      <c r="HM231" s="110"/>
      <c r="HN231" s="110"/>
      <c r="HO231" s="110"/>
      <c r="HP231" s="110"/>
      <c r="HQ231" s="110"/>
      <c r="HR231" s="110"/>
      <c r="HS231" s="110"/>
      <c r="HT231" s="110"/>
      <c r="HU231" s="110"/>
      <c r="HV231" s="110"/>
      <c r="HW231" s="110"/>
      <c r="HX231" s="110"/>
      <c r="HY231" s="110"/>
      <c r="HZ231" s="110"/>
      <c r="IA231" s="110"/>
      <c r="IB231" s="110"/>
      <c r="IC231" s="110"/>
      <c r="ID231" s="110"/>
      <c r="IE231" s="110"/>
      <c r="IF231" s="110"/>
      <c r="IG231" s="110"/>
      <c r="IH231" s="110"/>
      <c r="II231" s="110"/>
      <c r="IJ231" s="110"/>
      <c r="IK231" s="110"/>
      <c r="IL231" s="110"/>
      <c r="IM231" s="110"/>
      <c r="IN231" s="110"/>
      <c r="IO231" s="110"/>
      <c r="IP231" s="110"/>
      <c r="IQ231" s="110"/>
      <c r="IR231" s="110"/>
      <c r="IS231" s="110"/>
      <c r="IT231" s="110"/>
      <c r="IU231" s="110"/>
      <c r="IV231" s="110"/>
      <c r="IW231" s="110"/>
      <c r="IX231" s="110"/>
      <c r="IY231" s="110"/>
      <c r="IZ231" s="110"/>
      <c r="JA231" s="110"/>
      <c r="JB231" s="110"/>
      <c r="JC231" s="110"/>
      <c r="JD231" s="110"/>
      <c r="JE231" s="110"/>
      <c r="JF231" s="110"/>
      <c r="JG231" s="110"/>
      <c r="JH231" s="110"/>
      <c r="JI231" s="110"/>
      <c r="JJ231" s="110"/>
      <c r="JK231" s="110"/>
      <c r="JL231" s="110"/>
      <c r="JM231" s="110"/>
      <c r="JN231" s="110"/>
      <c r="JO231" s="110"/>
      <c r="JP231" s="110"/>
      <c r="JQ231" s="110"/>
      <c r="JR231" s="110"/>
      <c r="JS231" s="110"/>
      <c r="JT231" s="110"/>
      <c r="JU231" s="110"/>
      <c r="JV231" s="110"/>
      <c r="JW231" s="110"/>
      <c r="JX231" s="110"/>
      <c r="JY231" s="110"/>
      <c r="JZ231" s="110"/>
      <c r="KA231" s="110"/>
      <c r="KB231" s="110"/>
      <c r="KC231" s="110"/>
      <c r="KD231" s="110"/>
      <c r="KE231" s="110"/>
      <c r="KF231" s="110"/>
      <c r="KG231" s="110"/>
      <c r="KH231" s="110"/>
      <c r="KI231" s="110"/>
      <c r="KJ231" s="110"/>
      <c r="KK231" s="110"/>
      <c r="KL231" s="110"/>
      <c r="KM231" s="110"/>
      <c r="KN231" s="110"/>
    </row>
    <row r="232" spans="1:300" ht="19.2" customHeight="1" x14ac:dyDescent="0.3">
      <c r="A232" s="110"/>
      <c r="B232" s="110"/>
      <c r="C232" s="110"/>
      <c r="D232" s="110"/>
      <c r="E232" s="110"/>
      <c r="F232" s="110"/>
      <c r="G232" s="112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  <c r="GA232" s="110"/>
      <c r="GB232" s="110"/>
      <c r="GC232" s="110"/>
      <c r="GD232" s="110"/>
      <c r="GE232" s="110"/>
      <c r="GF232" s="110"/>
      <c r="GG232" s="110"/>
      <c r="GH232" s="110"/>
      <c r="GI232" s="110"/>
      <c r="GJ232" s="110"/>
      <c r="GK232" s="110"/>
      <c r="GL232" s="110"/>
      <c r="GM232" s="110"/>
      <c r="GN232" s="110"/>
      <c r="GO232" s="110"/>
      <c r="GP232" s="110"/>
      <c r="GQ232" s="110"/>
      <c r="GR232" s="110"/>
      <c r="GS232" s="110"/>
      <c r="GT232" s="110"/>
      <c r="GU232" s="110"/>
      <c r="GV232" s="110"/>
      <c r="GW232" s="110"/>
      <c r="GX232" s="110"/>
      <c r="GY232" s="110"/>
      <c r="GZ232" s="110"/>
      <c r="HA232" s="110"/>
      <c r="HB232" s="110"/>
      <c r="HC232" s="110"/>
      <c r="HD232" s="110"/>
      <c r="HE232" s="110"/>
      <c r="HF232" s="110"/>
      <c r="HG232" s="110"/>
      <c r="HH232" s="110"/>
      <c r="HI232" s="110"/>
      <c r="HJ232" s="110"/>
      <c r="HK232" s="110"/>
      <c r="HL232" s="110"/>
      <c r="HM232" s="110"/>
      <c r="HN232" s="110"/>
      <c r="HO232" s="110"/>
      <c r="HP232" s="110"/>
      <c r="HQ232" s="110"/>
      <c r="HR232" s="110"/>
      <c r="HS232" s="110"/>
      <c r="HT232" s="110"/>
      <c r="HU232" s="110"/>
      <c r="HV232" s="110"/>
      <c r="HW232" s="110"/>
      <c r="HX232" s="110"/>
      <c r="HY232" s="110"/>
      <c r="HZ232" s="110"/>
      <c r="IA232" s="110"/>
      <c r="IB232" s="110"/>
      <c r="IC232" s="110"/>
      <c r="ID232" s="110"/>
      <c r="IE232" s="110"/>
      <c r="IF232" s="110"/>
      <c r="IG232" s="110"/>
      <c r="IH232" s="110"/>
      <c r="II232" s="110"/>
      <c r="IJ232" s="110"/>
      <c r="IK232" s="110"/>
      <c r="IL232" s="110"/>
      <c r="IM232" s="110"/>
      <c r="IN232" s="110"/>
      <c r="IO232" s="110"/>
      <c r="IP232" s="110"/>
      <c r="IQ232" s="110"/>
      <c r="IR232" s="110"/>
      <c r="IS232" s="110"/>
      <c r="IT232" s="110"/>
      <c r="IU232" s="110"/>
      <c r="IV232" s="110"/>
      <c r="IW232" s="110"/>
      <c r="IX232" s="110"/>
      <c r="IY232" s="110"/>
      <c r="IZ232" s="110"/>
      <c r="JA232" s="110"/>
      <c r="JB232" s="110"/>
      <c r="JC232" s="110"/>
      <c r="JD232" s="110"/>
      <c r="JE232" s="110"/>
      <c r="JF232" s="110"/>
      <c r="JG232" s="110"/>
      <c r="JH232" s="110"/>
      <c r="JI232" s="110"/>
      <c r="JJ232" s="110"/>
      <c r="JK232" s="110"/>
      <c r="JL232" s="110"/>
      <c r="JM232" s="110"/>
      <c r="JN232" s="110"/>
      <c r="JO232" s="110"/>
      <c r="JP232" s="110"/>
      <c r="JQ232" s="110"/>
      <c r="JR232" s="110"/>
      <c r="JS232" s="110"/>
      <c r="JT232" s="110"/>
      <c r="JU232" s="110"/>
      <c r="JV232" s="110"/>
      <c r="JW232" s="110"/>
      <c r="JX232" s="110"/>
      <c r="JY232" s="110"/>
      <c r="JZ232" s="110"/>
      <c r="KA232" s="110"/>
      <c r="KB232" s="110"/>
      <c r="KC232" s="110"/>
      <c r="KD232" s="110"/>
      <c r="KE232" s="110"/>
      <c r="KF232" s="110"/>
      <c r="KG232" s="110"/>
      <c r="KH232" s="110"/>
      <c r="KI232" s="110"/>
      <c r="KJ232" s="110"/>
      <c r="KK232" s="110"/>
      <c r="KL232" s="110"/>
      <c r="KM232" s="110"/>
      <c r="KN232" s="110"/>
    </row>
    <row r="233" spans="1:300" ht="19.2" customHeight="1" x14ac:dyDescent="0.3">
      <c r="A233" s="110"/>
      <c r="B233" s="110"/>
      <c r="C233" s="110"/>
      <c r="D233" s="110"/>
      <c r="E233" s="110"/>
      <c r="F233" s="110"/>
      <c r="G233" s="112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  <c r="GA233" s="110"/>
      <c r="GB233" s="110"/>
      <c r="GC233" s="110"/>
      <c r="GD233" s="110"/>
      <c r="GE233" s="110"/>
      <c r="GF233" s="110"/>
      <c r="GG233" s="110"/>
      <c r="GH233" s="110"/>
      <c r="GI233" s="110"/>
      <c r="GJ233" s="110"/>
      <c r="GK233" s="110"/>
      <c r="GL233" s="110"/>
      <c r="GM233" s="110"/>
      <c r="GN233" s="110"/>
      <c r="GO233" s="110"/>
      <c r="GP233" s="110"/>
      <c r="GQ233" s="110"/>
      <c r="GR233" s="110"/>
      <c r="GS233" s="110"/>
      <c r="GT233" s="110"/>
      <c r="GU233" s="110"/>
      <c r="GV233" s="110"/>
      <c r="GW233" s="110"/>
      <c r="GX233" s="110"/>
      <c r="GY233" s="110"/>
      <c r="GZ233" s="110"/>
      <c r="HA233" s="110"/>
      <c r="HB233" s="110"/>
      <c r="HC233" s="110"/>
      <c r="HD233" s="110"/>
      <c r="HE233" s="110"/>
      <c r="HF233" s="110"/>
      <c r="HG233" s="110"/>
      <c r="HH233" s="110"/>
      <c r="HI233" s="110"/>
      <c r="HJ233" s="110"/>
      <c r="HK233" s="110"/>
      <c r="HL233" s="110"/>
      <c r="HM233" s="110"/>
      <c r="HN233" s="110"/>
      <c r="HO233" s="110"/>
      <c r="HP233" s="110"/>
      <c r="HQ233" s="110"/>
      <c r="HR233" s="110"/>
      <c r="HS233" s="110"/>
      <c r="HT233" s="110"/>
      <c r="HU233" s="110"/>
      <c r="HV233" s="110"/>
      <c r="HW233" s="110"/>
      <c r="HX233" s="110"/>
      <c r="HY233" s="110"/>
      <c r="HZ233" s="110"/>
      <c r="IA233" s="110"/>
      <c r="IB233" s="110"/>
      <c r="IC233" s="110"/>
      <c r="ID233" s="110"/>
      <c r="IE233" s="110"/>
      <c r="IF233" s="110"/>
      <c r="IG233" s="110"/>
      <c r="IH233" s="110"/>
      <c r="II233" s="110"/>
      <c r="IJ233" s="110"/>
      <c r="IK233" s="110"/>
      <c r="IL233" s="110"/>
      <c r="IM233" s="110"/>
      <c r="IN233" s="110"/>
      <c r="IO233" s="110"/>
      <c r="IP233" s="110"/>
      <c r="IQ233" s="110"/>
      <c r="IR233" s="110"/>
      <c r="IS233" s="110"/>
      <c r="IT233" s="110"/>
      <c r="IU233" s="110"/>
      <c r="IV233" s="110"/>
      <c r="IW233" s="110"/>
      <c r="IX233" s="110"/>
      <c r="IY233" s="110"/>
      <c r="IZ233" s="110"/>
      <c r="JA233" s="110"/>
      <c r="JB233" s="110"/>
      <c r="JC233" s="110"/>
      <c r="JD233" s="110"/>
      <c r="JE233" s="110"/>
      <c r="JF233" s="110"/>
      <c r="JG233" s="110"/>
      <c r="JH233" s="110"/>
      <c r="JI233" s="110"/>
      <c r="JJ233" s="110"/>
      <c r="JK233" s="110"/>
      <c r="JL233" s="110"/>
      <c r="JM233" s="110"/>
      <c r="JN233" s="110"/>
      <c r="JO233" s="110"/>
      <c r="JP233" s="110"/>
      <c r="JQ233" s="110"/>
      <c r="JR233" s="110"/>
      <c r="JS233" s="110"/>
      <c r="JT233" s="110"/>
      <c r="JU233" s="110"/>
      <c r="JV233" s="110"/>
      <c r="JW233" s="110"/>
      <c r="JX233" s="110"/>
      <c r="JY233" s="110"/>
      <c r="JZ233" s="110"/>
      <c r="KA233" s="110"/>
      <c r="KB233" s="110"/>
      <c r="KC233" s="110"/>
      <c r="KD233" s="110"/>
      <c r="KE233" s="110"/>
      <c r="KF233" s="110"/>
      <c r="KG233" s="110"/>
      <c r="KH233" s="110"/>
      <c r="KI233" s="110"/>
      <c r="KJ233" s="110"/>
      <c r="KK233" s="110"/>
      <c r="KL233" s="110"/>
      <c r="KM233" s="110"/>
      <c r="KN233" s="110"/>
    </row>
    <row r="234" spans="1:300" ht="19.2" customHeight="1" x14ac:dyDescent="0.3">
      <c r="A234" s="110"/>
      <c r="B234" s="110"/>
      <c r="C234" s="110"/>
      <c r="D234" s="110"/>
      <c r="E234" s="110"/>
      <c r="F234" s="110"/>
      <c r="G234" s="112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  <c r="GA234" s="110"/>
      <c r="GB234" s="110"/>
      <c r="GC234" s="110"/>
      <c r="GD234" s="110"/>
      <c r="GE234" s="110"/>
      <c r="GF234" s="110"/>
      <c r="GG234" s="110"/>
      <c r="GH234" s="110"/>
      <c r="GI234" s="110"/>
      <c r="GJ234" s="110"/>
      <c r="GK234" s="110"/>
      <c r="GL234" s="110"/>
      <c r="GM234" s="110"/>
      <c r="GN234" s="110"/>
      <c r="GO234" s="110"/>
      <c r="GP234" s="110"/>
      <c r="GQ234" s="110"/>
      <c r="GR234" s="110"/>
      <c r="GS234" s="110"/>
      <c r="GT234" s="110"/>
      <c r="GU234" s="110"/>
      <c r="GV234" s="110"/>
      <c r="GW234" s="110"/>
      <c r="GX234" s="110"/>
      <c r="GY234" s="110"/>
      <c r="GZ234" s="110"/>
      <c r="HA234" s="110"/>
      <c r="HB234" s="110"/>
      <c r="HC234" s="110"/>
      <c r="HD234" s="110"/>
      <c r="HE234" s="110"/>
      <c r="HF234" s="110"/>
      <c r="HG234" s="110"/>
      <c r="HH234" s="110"/>
      <c r="HI234" s="110"/>
      <c r="HJ234" s="110"/>
      <c r="HK234" s="110"/>
      <c r="HL234" s="110"/>
      <c r="HM234" s="110"/>
      <c r="HN234" s="110"/>
      <c r="HO234" s="110"/>
      <c r="HP234" s="110"/>
      <c r="HQ234" s="110"/>
      <c r="HR234" s="110"/>
      <c r="HS234" s="110"/>
      <c r="HT234" s="110"/>
      <c r="HU234" s="110"/>
      <c r="HV234" s="110"/>
      <c r="HW234" s="110"/>
      <c r="HX234" s="110"/>
      <c r="HY234" s="110"/>
      <c r="HZ234" s="110"/>
      <c r="IA234" s="110"/>
      <c r="IB234" s="110"/>
      <c r="IC234" s="110"/>
      <c r="ID234" s="110"/>
      <c r="IE234" s="110"/>
      <c r="IF234" s="110"/>
      <c r="IG234" s="110"/>
      <c r="IH234" s="110"/>
      <c r="II234" s="110"/>
      <c r="IJ234" s="110"/>
      <c r="IK234" s="110"/>
      <c r="IL234" s="110"/>
      <c r="IM234" s="110"/>
      <c r="IN234" s="110"/>
      <c r="IO234" s="110"/>
      <c r="IP234" s="110"/>
      <c r="IQ234" s="110"/>
      <c r="IR234" s="110"/>
      <c r="IS234" s="110"/>
      <c r="IT234" s="110"/>
      <c r="IU234" s="110"/>
      <c r="IV234" s="110"/>
      <c r="IW234" s="110"/>
      <c r="IX234" s="110"/>
      <c r="IY234" s="110"/>
      <c r="IZ234" s="110"/>
      <c r="JA234" s="110"/>
      <c r="JB234" s="110"/>
      <c r="JC234" s="110"/>
      <c r="JD234" s="110"/>
      <c r="JE234" s="110"/>
      <c r="JF234" s="110"/>
      <c r="JG234" s="110"/>
      <c r="JH234" s="110"/>
      <c r="JI234" s="110"/>
      <c r="JJ234" s="110"/>
      <c r="JK234" s="110"/>
      <c r="JL234" s="110"/>
      <c r="JM234" s="110"/>
      <c r="JN234" s="110"/>
      <c r="JO234" s="110"/>
      <c r="JP234" s="110"/>
      <c r="JQ234" s="110"/>
      <c r="JR234" s="110"/>
      <c r="JS234" s="110"/>
      <c r="JT234" s="110"/>
      <c r="JU234" s="110"/>
      <c r="JV234" s="110"/>
      <c r="JW234" s="110"/>
      <c r="JX234" s="110"/>
      <c r="JY234" s="110"/>
      <c r="JZ234" s="110"/>
      <c r="KA234" s="110"/>
      <c r="KB234" s="110"/>
      <c r="KC234" s="110"/>
      <c r="KD234" s="110"/>
      <c r="KE234" s="110"/>
      <c r="KF234" s="110"/>
      <c r="KG234" s="110"/>
      <c r="KH234" s="110"/>
      <c r="KI234" s="110"/>
      <c r="KJ234" s="110"/>
      <c r="KK234" s="110"/>
      <c r="KL234" s="110"/>
      <c r="KM234" s="110"/>
      <c r="KN234" s="110"/>
    </row>
    <row r="235" spans="1:300" ht="19.2" customHeight="1" x14ac:dyDescent="0.3">
      <c r="A235" s="110"/>
      <c r="B235" s="110"/>
      <c r="C235" s="110"/>
      <c r="D235" s="110"/>
      <c r="E235" s="110"/>
      <c r="F235" s="110"/>
      <c r="G235" s="112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  <c r="GA235" s="110"/>
      <c r="GB235" s="110"/>
      <c r="GC235" s="110"/>
      <c r="GD235" s="110"/>
      <c r="GE235" s="110"/>
      <c r="GF235" s="110"/>
      <c r="GG235" s="110"/>
      <c r="GH235" s="110"/>
      <c r="GI235" s="110"/>
      <c r="GJ235" s="110"/>
      <c r="GK235" s="110"/>
      <c r="GL235" s="110"/>
      <c r="GM235" s="110"/>
      <c r="GN235" s="110"/>
      <c r="GO235" s="110"/>
      <c r="GP235" s="110"/>
      <c r="GQ235" s="110"/>
      <c r="GR235" s="110"/>
      <c r="GS235" s="110"/>
      <c r="GT235" s="110"/>
      <c r="GU235" s="110"/>
      <c r="GV235" s="110"/>
      <c r="GW235" s="110"/>
      <c r="GX235" s="110"/>
      <c r="GY235" s="110"/>
      <c r="GZ235" s="110"/>
      <c r="HA235" s="110"/>
      <c r="HB235" s="110"/>
      <c r="HC235" s="110"/>
      <c r="HD235" s="110"/>
      <c r="HE235" s="110"/>
      <c r="HF235" s="110"/>
      <c r="HG235" s="110"/>
      <c r="HH235" s="110"/>
      <c r="HI235" s="110"/>
      <c r="HJ235" s="110"/>
      <c r="HK235" s="110"/>
      <c r="HL235" s="110"/>
      <c r="HM235" s="110"/>
      <c r="HN235" s="110"/>
      <c r="HO235" s="110"/>
      <c r="HP235" s="110"/>
      <c r="HQ235" s="110"/>
      <c r="HR235" s="110"/>
      <c r="HS235" s="110"/>
      <c r="HT235" s="110"/>
      <c r="HU235" s="110"/>
      <c r="HV235" s="110"/>
      <c r="HW235" s="110"/>
      <c r="HX235" s="110"/>
      <c r="HY235" s="110"/>
      <c r="HZ235" s="110"/>
      <c r="IA235" s="110"/>
      <c r="IB235" s="110"/>
      <c r="IC235" s="110"/>
      <c r="ID235" s="110"/>
      <c r="IE235" s="110"/>
      <c r="IF235" s="110"/>
      <c r="IG235" s="110"/>
      <c r="IH235" s="110"/>
      <c r="II235" s="110"/>
      <c r="IJ235" s="110"/>
      <c r="IK235" s="110"/>
      <c r="IL235" s="110"/>
      <c r="IM235" s="110"/>
      <c r="IN235" s="110"/>
      <c r="IO235" s="110"/>
      <c r="IP235" s="110"/>
      <c r="IQ235" s="110"/>
      <c r="IR235" s="110"/>
      <c r="IS235" s="110"/>
      <c r="IT235" s="110"/>
      <c r="IU235" s="110"/>
      <c r="IV235" s="110"/>
      <c r="IW235" s="110"/>
      <c r="IX235" s="110"/>
      <c r="IY235" s="110"/>
      <c r="IZ235" s="110"/>
      <c r="JA235" s="110"/>
      <c r="JB235" s="110"/>
      <c r="JC235" s="110"/>
      <c r="JD235" s="110"/>
      <c r="JE235" s="110"/>
      <c r="JF235" s="110"/>
      <c r="JG235" s="110"/>
      <c r="JH235" s="110"/>
      <c r="JI235" s="110"/>
      <c r="JJ235" s="110"/>
      <c r="JK235" s="110"/>
      <c r="JL235" s="110"/>
      <c r="JM235" s="110"/>
      <c r="JN235" s="110"/>
      <c r="JO235" s="110"/>
      <c r="JP235" s="110"/>
      <c r="JQ235" s="110"/>
      <c r="JR235" s="110"/>
      <c r="JS235" s="110"/>
      <c r="JT235" s="110"/>
      <c r="JU235" s="110"/>
      <c r="JV235" s="110"/>
      <c r="JW235" s="110"/>
      <c r="JX235" s="110"/>
      <c r="JY235" s="110"/>
      <c r="JZ235" s="110"/>
      <c r="KA235" s="110"/>
      <c r="KB235" s="110"/>
      <c r="KC235" s="110"/>
      <c r="KD235" s="110"/>
      <c r="KE235" s="110"/>
      <c r="KF235" s="110"/>
      <c r="KG235" s="110"/>
      <c r="KH235" s="110"/>
      <c r="KI235" s="110"/>
      <c r="KJ235" s="110"/>
      <c r="KK235" s="110"/>
      <c r="KL235" s="110"/>
      <c r="KM235" s="110"/>
      <c r="KN235" s="110"/>
    </row>
    <row r="236" spans="1:300" ht="19.2" customHeight="1" x14ac:dyDescent="0.3">
      <c r="A236" s="110"/>
      <c r="B236" s="110"/>
      <c r="C236" s="110"/>
      <c r="D236" s="110"/>
      <c r="E236" s="110"/>
      <c r="F236" s="110"/>
      <c r="G236" s="112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  <c r="GA236" s="110"/>
      <c r="GB236" s="110"/>
      <c r="GC236" s="110"/>
      <c r="GD236" s="110"/>
      <c r="GE236" s="110"/>
      <c r="GF236" s="110"/>
      <c r="GG236" s="110"/>
      <c r="GH236" s="110"/>
      <c r="GI236" s="110"/>
      <c r="GJ236" s="110"/>
      <c r="GK236" s="110"/>
      <c r="GL236" s="110"/>
      <c r="GM236" s="110"/>
      <c r="GN236" s="110"/>
      <c r="GO236" s="110"/>
      <c r="GP236" s="110"/>
      <c r="GQ236" s="110"/>
      <c r="GR236" s="110"/>
      <c r="GS236" s="110"/>
      <c r="GT236" s="110"/>
      <c r="GU236" s="110"/>
      <c r="GV236" s="110"/>
      <c r="GW236" s="110"/>
      <c r="GX236" s="110"/>
      <c r="GY236" s="110"/>
      <c r="GZ236" s="110"/>
      <c r="HA236" s="110"/>
      <c r="HB236" s="110"/>
      <c r="HC236" s="110"/>
      <c r="HD236" s="110"/>
      <c r="HE236" s="110"/>
      <c r="HF236" s="110"/>
      <c r="HG236" s="110"/>
      <c r="HH236" s="110"/>
      <c r="HI236" s="110"/>
      <c r="HJ236" s="110"/>
      <c r="HK236" s="110"/>
      <c r="HL236" s="110"/>
      <c r="HM236" s="110"/>
      <c r="HN236" s="110"/>
      <c r="HO236" s="110"/>
      <c r="HP236" s="110"/>
      <c r="HQ236" s="110"/>
      <c r="HR236" s="110"/>
      <c r="HS236" s="110"/>
      <c r="HT236" s="110"/>
      <c r="HU236" s="110"/>
      <c r="HV236" s="110"/>
      <c r="HW236" s="110"/>
      <c r="HX236" s="110"/>
      <c r="HY236" s="110"/>
      <c r="HZ236" s="110"/>
      <c r="IA236" s="110"/>
      <c r="IB236" s="110"/>
      <c r="IC236" s="110"/>
      <c r="ID236" s="110"/>
      <c r="IE236" s="110"/>
      <c r="IF236" s="110"/>
      <c r="IG236" s="110"/>
      <c r="IH236" s="110"/>
      <c r="II236" s="110"/>
      <c r="IJ236" s="110"/>
      <c r="IK236" s="110"/>
      <c r="IL236" s="110"/>
      <c r="IM236" s="110"/>
      <c r="IN236" s="110"/>
      <c r="IO236" s="110"/>
      <c r="IP236" s="110"/>
      <c r="IQ236" s="110"/>
      <c r="IR236" s="110"/>
      <c r="IS236" s="110"/>
      <c r="IT236" s="110"/>
      <c r="IU236" s="110"/>
      <c r="IV236" s="110"/>
      <c r="IW236" s="110"/>
      <c r="IX236" s="110"/>
      <c r="IY236" s="110"/>
      <c r="IZ236" s="110"/>
      <c r="JA236" s="110"/>
      <c r="JB236" s="110"/>
      <c r="JC236" s="110"/>
      <c r="JD236" s="110"/>
      <c r="JE236" s="110"/>
      <c r="JF236" s="110"/>
      <c r="JG236" s="110"/>
      <c r="JH236" s="110"/>
      <c r="JI236" s="110"/>
      <c r="JJ236" s="110"/>
      <c r="JK236" s="110"/>
      <c r="JL236" s="110"/>
      <c r="JM236" s="110"/>
      <c r="JN236" s="110"/>
      <c r="JO236" s="110"/>
      <c r="JP236" s="110"/>
      <c r="JQ236" s="110"/>
      <c r="JR236" s="110"/>
      <c r="JS236" s="110"/>
      <c r="JT236" s="110"/>
      <c r="JU236" s="110"/>
      <c r="JV236" s="110"/>
      <c r="JW236" s="110"/>
      <c r="JX236" s="110"/>
      <c r="JY236" s="110"/>
      <c r="JZ236" s="110"/>
      <c r="KA236" s="110"/>
      <c r="KB236" s="110"/>
      <c r="KC236" s="110"/>
      <c r="KD236" s="110"/>
      <c r="KE236" s="110"/>
      <c r="KF236" s="110"/>
      <c r="KG236" s="110"/>
      <c r="KH236" s="110"/>
      <c r="KI236" s="110"/>
      <c r="KJ236" s="110"/>
      <c r="KK236" s="110"/>
      <c r="KL236" s="110"/>
      <c r="KM236" s="110"/>
      <c r="KN236" s="110"/>
    </row>
    <row r="237" spans="1:300" ht="19.2" customHeight="1" x14ac:dyDescent="0.3">
      <c r="A237" s="110"/>
      <c r="B237" s="110"/>
      <c r="C237" s="110"/>
      <c r="D237" s="110"/>
      <c r="E237" s="110"/>
      <c r="F237" s="110"/>
      <c r="G237" s="112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  <c r="GA237" s="110"/>
      <c r="GB237" s="110"/>
      <c r="GC237" s="110"/>
      <c r="GD237" s="110"/>
      <c r="GE237" s="110"/>
      <c r="GF237" s="110"/>
      <c r="GG237" s="110"/>
      <c r="GH237" s="110"/>
      <c r="GI237" s="110"/>
      <c r="GJ237" s="110"/>
      <c r="GK237" s="110"/>
      <c r="GL237" s="110"/>
      <c r="GM237" s="110"/>
      <c r="GN237" s="110"/>
      <c r="GO237" s="110"/>
      <c r="GP237" s="110"/>
      <c r="GQ237" s="110"/>
      <c r="GR237" s="110"/>
      <c r="GS237" s="110"/>
      <c r="GT237" s="110"/>
      <c r="GU237" s="110"/>
      <c r="GV237" s="110"/>
      <c r="GW237" s="110"/>
      <c r="GX237" s="110"/>
      <c r="GY237" s="110"/>
      <c r="GZ237" s="110"/>
      <c r="HA237" s="110"/>
      <c r="HB237" s="110"/>
      <c r="HC237" s="110"/>
      <c r="HD237" s="110"/>
      <c r="HE237" s="110"/>
      <c r="HF237" s="110"/>
      <c r="HG237" s="110"/>
      <c r="HH237" s="110"/>
      <c r="HI237" s="110"/>
      <c r="HJ237" s="110"/>
      <c r="HK237" s="110"/>
      <c r="HL237" s="110"/>
      <c r="HM237" s="110"/>
      <c r="HN237" s="110"/>
      <c r="HO237" s="110"/>
      <c r="HP237" s="110"/>
      <c r="HQ237" s="110"/>
      <c r="HR237" s="110"/>
      <c r="HS237" s="110"/>
      <c r="HT237" s="110"/>
      <c r="HU237" s="110"/>
      <c r="HV237" s="110"/>
      <c r="HW237" s="110"/>
      <c r="HX237" s="110"/>
      <c r="HY237" s="110"/>
      <c r="HZ237" s="110"/>
      <c r="IA237" s="110"/>
      <c r="IB237" s="110"/>
      <c r="IC237" s="110"/>
      <c r="ID237" s="110"/>
      <c r="IE237" s="110"/>
      <c r="IF237" s="110"/>
      <c r="IG237" s="110"/>
      <c r="IH237" s="110"/>
      <c r="II237" s="110"/>
      <c r="IJ237" s="110"/>
      <c r="IK237" s="110"/>
      <c r="IL237" s="110"/>
      <c r="IM237" s="110"/>
      <c r="IN237" s="110"/>
      <c r="IO237" s="110"/>
      <c r="IP237" s="110"/>
      <c r="IQ237" s="110"/>
      <c r="IR237" s="110"/>
      <c r="IS237" s="110"/>
      <c r="IT237" s="110"/>
      <c r="IU237" s="110"/>
      <c r="IV237" s="110"/>
      <c r="IW237" s="110"/>
      <c r="IX237" s="110"/>
      <c r="IY237" s="110"/>
      <c r="IZ237" s="110"/>
      <c r="JA237" s="110"/>
      <c r="JB237" s="110"/>
      <c r="JC237" s="110"/>
      <c r="JD237" s="110"/>
      <c r="JE237" s="110"/>
      <c r="JF237" s="110"/>
      <c r="JG237" s="110"/>
      <c r="JH237" s="110"/>
      <c r="JI237" s="110"/>
      <c r="JJ237" s="110"/>
      <c r="JK237" s="110"/>
      <c r="JL237" s="110"/>
      <c r="JM237" s="110"/>
      <c r="JN237" s="110"/>
      <c r="JO237" s="110"/>
      <c r="JP237" s="110"/>
      <c r="JQ237" s="110"/>
      <c r="JR237" s="110"/>
      <c r="JS237" s="110"/>
      <c r="JT237" s="110"/>
      <c r="JU237" s="110"/>
      <c r="JV237" s="110"/>
      <c r="JW237" s="110"/>
      <c r="JX237" s="110"/>
      <c r="JY237" s="110"/>
      <c r="JZ237" s="110"/>
      <c r="KA237" s="110"/>
      <c r="KB237" s="110"/>
      <c r="KC237" s="110"/>
      <c r="KD237" s="110"/>
      <c r="KE237" s="110"/>
      <c r="KF237" s="110"/>
      <c r="KG237" s="110"/>
      <c r="KH237" s="110"/>
      <c r="KI237" s="110"/>
      <c r="KJ237" s="110"/>
      <c r="KK237" s="110"/>
      <c r="KL237" s="110"/>
      <c r="KM237" s="110"/>
      <c r="KN237" s="110"/>
    </row>
    <row r="238" spans="1:300" ht="19.2" customHeight="1" x14ac:dyDescent="0.3">
      <c r="A238" s="110"/>
      <c r="B238" s="110"/>
      <c r="C238" s="110"/>
      <c r="D238" s="110"/>
      <c r="E238" s="110"/>
      <c r="F238" s="110"/>
      <c r="G238" s="112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  <c r="GA238" s="110"/>
      <c r="GB238" s="110"/>
      <c r="GC238" s="110"/>
      <c r="GD238" s="110"/>
      <c r="GE238" s="110"/>
      <c r="GF238" s="110"/>
      <c r="GG238" s="110"/>
      <c r="GH238" s="110"/>
      <c r="GI238" s="110"/>
      <c r="GJ238" s="110"/>
      <c r="GK238" s="110"/>
      <c r="GL238" s="110"/>
      <c r="GM238" s="110"/>
      <c r="GN238" s="110"/>
      <c r="GO238" s="110"/>
      <c r="GP238" s="110"/>
      <c r="GQ238" s="110"/>
      <c r="GR238" s="110"/>
      <c r="GS238" s="110"/>
      <c r="GT238" s="110"/>
      <c r="GU238" s="110"/>
      <c r="GV238" s="110"/>
      <c r="GW238" s="110"/>
      <c r="GX238" s="110"/>
      <c r="GY238" s="110"/>
      <c r="GZ238" s="110"/>
      <c r="HA238" s="110"/>
      <c r="HB238" s="110"/>
      <c r="HC238" s="110"/>
      <c r="HD238" s="110"/>
      <c r="HE238" s="110"/>
      <c r="HF238" s="110"/>
      <c r="HG238" s="110"/>
      <c r="HH238" s="110"/>
      <c r="HI238" s="110"/>
      <c r="HJ238" s="110"/>
      <c r="HK238" s="110"/>
      <c r="HL238" s="110"/>
      <c r="HM238" s="110"/>
      <c r="HN238" s="110"/>
      <c r="HO238" s="110"/>
      <c r="HP238" s="110"/>
      <c r="HQ238" s="110"/>
      <c r="HR238" s="110"/>
      <c r="HS238" s="110"/>
      <c r="HT238" s="110"/>
      <c r="HU238" s="110"/>
      <c r="HV238" s="110"/>
      <c r="HW238" s="110"/>
      <c r="HX238" s="110"/>
      <c r="HY238" s="110"/>
      <c r="HZ238" s="110"/>
      <c r="IA238" s="110"/>
      <c r="IB238" s="110"/>
      <c r="IC238" s="110"/>
      <c r="ID238" s="110"/>
      <c r="IE238" s="110"/>
      <c r="IF238" s="110"/>
      <c r="IG238" s="110"/>
      <c r="IH238" s="110"/>
      <c r="II238" s="110"/>
      <c r="IJ238" s="110"/>
      <c r="IK238" s="110"/>
      <c r="IL238" s="110"/>
      <c r="IM238" s="110"/>
      <c r="IN238" s="110"/>
      <c r="IO238" s="110"/>
      <c r="IP238" s="110"/>
      <c r="IQ238" s="110"/>
      <c r="IR238" s="110"/>
      <c r="IS238" s="110"/>
      <c r="IT238" s="110"/>
      <c r="IU238" s="110"/>
      <c r="IV238" s="110"/>
      <c r="IW238" s="110"/>
      <c r="IX238" s="110"/>
      <c r="IY238" s="110"/>
      <c r="IZ238" s="110"/>
      <c r="JA238" s="110"/>
      <c r="JB238" s="110"/>
      <c r="JC238" s="110"/>
      <c r="JD238" s="110"/>
      <c r="JE238" s="110"/>
      <c r="JF238" s="110"/>
      <c r="JG238" s="110"/>
      <c r="JH238" s="110"/>
      <c r="JI238" s="110"/>
      <c r="JJ238" s="110"/>
      <c r="JK238" s="110"/>
      <c r="JL238" s="110"/>
      <c r="JM238" s="110"/>
      <c r="JN238" s="110"/>
      <c r="JO238" s="110"/>
      <c r="JP238" s="110"/>
      <c r="JQ238" s="110"/>
      <c r="JR238" s="110"/>
      <c r="JS238" s="110"/>
      <c r="JT238" s="110"/>
      <c r="JU238" s="110"/>
      <c r="JV238" s="110"/>
      <c r="JW238" s="110"/>
      <c r="JX238" s="110"/>
      <c r="JY238" s="110"/>
      <c r="JZ238" s="110"/>
      <c r="KA238" s="110"/>
      <c r="KB238" s="110"/>
      <c r="KC238" s="110"/>
      <c r="KD238" s="110"/>
      <c r="KE238" s="110"/>
      <c r="KF238" s="110"/>
      <c r="KG238" s="110"/>
      <c r="KH238" s="110"/>
      <c r="KI238" s="110"/>
      <c r="KJ238" s="110"/>
      <c r="KK238" s="110"/>
      <c r="KL238" s="110"/>
      <c r="KM238" s="110"/>
      <c r="KN238" s="110"/>
    </row>
    <row r="239" spans="1:300" ht="19.2" customHeight="1" x14ac:dyDescent="0.3">
      <c r="A239" s="110"/>
      <c r="B239" s="110"/>
      <c r="C239" s="110"/>
      <c r="D239" s="110"/>
      <c r="E239" s="110"/>
      <c r="F239" s="110"/>
      <c r="G239" s="112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  <c r="GA239" s="110"/>
      <c r="GB239" s="110"/>
      <c r="GC239" s="110"/>
      <c r="GD239" s="110"/>
      <c r="GE239" s="110"/>
      <c r="GF239" s="110"/>
      <c r="GG239" s="110"/>
      <c r="GH239" s="110"/>
      <c r="GI239" s="110"/>
      <c r="GJ239" s="110"/>
      <c r="GK239" s="110"/>
      <c r="GL239" s="110"/>
      <c r="GM239" s="110"/>
      <c r="GN239" s="110"/>
      <c r="GO239" s="110"/>
      <c r="GP239" s="110"/>
      <c r="GQ239" s="110"/>
      <c r="GR239" s="110"/>
      <c r="GS239" s="110"/>
      <c r="GT239" s="110"/>
      <c r="GU239" s="110"/>
      <c r="GV239" s="110"/>
      <c r="GW239" s="110"/>
      <c r="GX239" s="110"/>
      <c r="GY239" s="110"/>
      <c r="GZ239" s="110"/>
      <c r="HA239" s="110"/>
      <c r="HB239" s="110"/>
      <c r="HC239" s="110"/>
      <c r="HD239" s="110"/>
      <c r="HE239" s="110"/>
      <c r="HF239" s="110"/>
      <c r="HG239" s="110"/>
      <c r="HH239" s="110"/>
      <c r="HI239" s="110"/>
      <c r="HJ239" s="110"/>
      <c r="HK239" s="110"/>
      <c r="HL239" s="110"/>
      <c r="HM239" s="110"/>
      <c r="HN239" s="110"/>
      <c r="HO239" s="110"/>
      <c r="HP239" s="110"/>
      <c r="HQ239" s="110"/>
      <c r="HR239" s="110"/>
      <c r="HS239" s="110"/>
      <c r="HT239" s="110"/>
      <c r="HU239" s="110"/>
      <c r="HV239" s="110"/>
      <c r="HW239" s="110"/>
      <c r="HX239" s="110"/>
      <c r="HY239" s="110"/>
      <c r="HZ239" s="110"/>
      <c r="IA239" s="110"/>
      <c r="IB239" s="110"/>
      <c r="IC239" s="110"/>
      <c r="ID239" s="110"/>
      <c r="IE239" s="110"/>
      <c r="IF239" s="110"/>
      <c r="IG239" s="110"/>
      <c r="IH239" s="110"/>
      <c r="II239" s="110"/>
      <c r="IJ239" s="110"/>
      <c r="IK239" s="110"/>
      <c r="IL239" s="110"/>
      <c r="IM239" s="110"/>
      <c r="IN239" s="110"/>
      <c r="IO239" s="110"/>
      <c r="IP239" s="110"/>
      <c r="IQ239" s="110"/>
      <c r="IR239" s="110"/>
      <c r="IS239" s="110"/>
      <c r="IT239" s="110"/>
      <c r="IU239" s="110"/>
      <c r="IV239" s="110"/>
      <c r="IW239" s="110"/>
      <c r="IX239" s="110"/>
      <c r="IY239" s="110"/>
      <c r="IZ239" s="110"/>
      <c r="JA239" s="110"/>
      <c r="JB239" s="110"/>
      <c r="JC239" s="110"/>
      <c r="JD239" s="110"/>
      <c r="JE239" s="110"/>
      <c r="JF239" s="110"/>
      <c r="JG239" s="110"/>
      <c r="JH239" s="110"/>
      <c r="JI239" s="110"/>
      <c r="JJ239" s="110"/>
      <c r="JK239" s="110"/>
      <c r="JL239" s="110"/>
      <c r="JM239" s="110"/>
      <c r="JN239" s="110"/>
      <c r="JO239" s="110"/>
      <c r="JP239" s="110"/>
      <c r="JQ239" s="110"/>
      <c r="JR239" s="110"/>
      <c r="JS239" s="110"/>
      <c r="JT239" s="110"/>
      <c r="JU239" s="110"/>
      <c r="JV239" s="110"/>
      <c r="JW239" s="110"/>
      <c r="JX239" s="110"/>
      <c r="JY239" s="110"/>
      <c r="JZ239" s="110"/>
      <c r="KA239" s="110"/>
      <c r="KB239" s="110"/>
      <c r="KC239" s="110"/>
      <c r="KD239" s="110"/>
      <c r="KE239" s="110"/>
      <c r="KF239" s="110"/>
      <c r="KG239" s="110"/>
      <c r="KH239" s="110"/>
      <c r="KI239" s="110"/>
      <c r="KJ239" s="110"/>
      <c r="KK239" s="110"/>
      <c r="KL239" s="110"/>
      <c r="KM239" s="110"/>
      <c r="KN239" s="110"/>
    </row>
    <row r="240" spans="1:300" ht="19.2" customHeight="1" x14ac:dyDescent="0.3">
      <c r="A240" s="110"/>
      <c r="B240" s="110"/>
      <c r="C240" s="110"/>
      <c r="D240" s="110"/>
      <c r="E240" s="110"/>
      <c r="F240" s="110"/>
      <c r="G240" s="112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  <c r="GA240" s="110"/>
      <c r="GB240" s="110"/>
      <c r="GC240" s="110"/>
      <c r="GD240" s="110"/>
      <c r="GE240" s="110"/>
      <c r="GF240" s="110"/>
      <c r="GG240" s="110"/>
      <c r="GH240" s="110"/>
      <c r="GI240" s="110"/>
      <c r="GJ240" s="110"/>
      <c r="GK240" s="110"/>
      <c r="GL240" s="110"/>
      <c r="GM240" s="110"/>
      <c r="GN240" s="110"/>
      <c r="GO240" s="110"/>
      <c r="GP240" s="110"/>
      <c r="GQ240" s="110"/>
      <c r="GR240" s="110"/>
      <c r="GS240" s="110"/>
      <c r="GT240" s="110"/>
      <c r="GU240" s="110"/>
      <c r="GV240" s="110"/>
      <c r="GW240" s="110"/>
      <c r="GX240" s="110"/>
      <c r="GY240" s="110"/>
      <c r="GZ240" s="110"/>
      <c r="HA240" s="110"/>
      <c r="HB240" s="110"/>
      <c r="HC240" s="110"/>
      <c r="HD240" s="110"/>
      <c r="HE240" s="110"/>
      <c r="HF240" s="110"/>
      <c r="HG240" s="110"/>
      <c r="HH240" s="110"/>
      <c r="HI240" s="110"/>
      <c r="HJ240" s="110"/>
      <c r="HK240" s="110"/>
      <c r="HL240" s="110"/>
      <c r="HM240" s="110"/>
      <c r="HN240" s="110"/>
      <c r="HO240" s="110"/>
      <c r="HP240" s="110"/>
      <c r="HQ240" s="110"/>
      <c r="HR240" s="110"/>
      <c r="HS240" s="110"/>
      <c r="HT240" s="110"/>
      <c r="HU240" s="110"/>
      <c r="HV240" s="110"/>
      <c r="HW240" s="110"/>
      <c r="HX240" s="110"/>
      <c r="HY240" s="110"/>
      <c r="HZ240" s="110"/>
      <c r="IA240" s="110"/>
      <c r="IB240" s="110"/>
      <c r="IC240" s="110"/>
      <c r="ID240" s="110"/>
      <c r="IE240" s="110"/>
      <c r="IF240" s="110"/>
      <c r="IG240" s="110"/>
      <c r="IH240" s="110"/>
      <c r="II240" s="110"/>
      <c r="IJ240" s="110"/>
      <c r="IK240" s="110"/>
      <c r="IL240" s="110"/>
      <c r="IM240" s="110"/>
      <c r="IN240" s="110"/>
      <c r="IO240" s="110"/>
      <c r="IP240" s="110"/>
      <c r="IQ240" s="110"/>
      <c r="IR240" s="110"/>
      <c r="IS240" s="110"/>
      <c r="IT240" s="110"/>
      <c r="IU240" s="110"/>
      <c r="IV240" s="110"/>
      <c r="IW240" s="110"/>
      <c r="IX240" s="110"/>
      <c r="IY240" s="110"/>
      <c r="IZ240" s="110"/>
      <c r="JA240" s="110"/>
      <c r="JB240" s="110"/>
      <c r="JC240" s="110"/>
      <c r="JD240" s="110"/>
      <c r="JE240" s="110"/>
      <c r="JF240" s="110"/>
      <c r="JG240" s="110"/>
      <c r="JH240" s="110"/>
      <c r="JI240" s="110"/>
      <c r="JJ240" s="110"/>
      <c r="JK240" s="110"/>
      <c r="JL240" s="110"/>
      <c r="JM240" s="110"/>
      <c r="JN240" s="110"/>
      <c r="JO240" s="110"/>
      <c r="JP240" s="110"/>
      <c r="JQ240" s="110"/>
      <c r="JR240" s="110"/>
      <c r="JS240" s="110"/>
      <c r="JT240" s="110"/>
      <c r="JU240" s="110"/>
      <c r="JV240" s="110"/>
      <c r="JW240" s="110"/>
      <c r="JX240" s="110"/>
      <c r="JY240" s="110"/>
      <c r="JZ240" s="110"/>
      <c r="KA240" s="110"/>
      <c r="KB240" s="110"/>
      <c r="KC240" s="110"/>
      <c r="KD240" s="110"/>
      <c r="KE240" s="110"/>
      <c r="KF240" s="110"/>
      <c r="KG240" s="110"/>
      <c r="KH240" s="110"/>
      <c r="KI240" s="110"/>
      <c r="KJ240" s="110"/>
      <c r="KK240" s="110"/>
      <c r="KL240" s="110"/>
      <c r="KM240" s="110"/>
      <c r="KN240" s="110"/>
    </row>
    <row r="241" spans="1:300" ht="19.2" customHeight="1" x14ac:dyDescent="0.3">
      <c r="A241" s="110"/>
      <c r="B241" s="110"/>
      <c r="C241" s="110"/>
      <c r="D241" s="110"/>
      <c r="E241" s="110"/>
      <c r="F241" s="110"/>
      <c r="G241" s="112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  <c r="GA241" s="110"/>
      <c r="GB241" s="110"/>
      <c r="GC241" s="110"/>
      <c r="GD241" s="110"/>
      <c r="GE241" s="110"/>
      <c r="GF241" s="110"/>
      <c r="GG241" s="110"/>
      <c r="GH241" s="110"/>
      <c r="GI241" s="110"/>
      <c r="GJ241" s="110"/>
      <c r="GK241" s="110"/>
      <c r="GL241" s="110"/>
      <c r="GM241" s="110"/>
      <c r="GN241" s="110"/>
      <c r="GO241" s="110"/>
      <c r="GP241" s="110"/>
      <c r="GQ241" s="110"/>
      <c r="GR241" s="110"/>
      <c r="GS241" s="110"/>
      <c r="GT241" s="110"/>
      <c r="GU241" s="110"/>
      <c r="GV241" s="110"/>
      <c r="GW241" s="110"/>
      <c r="GX241" s="110"/>
      <c r="GY241" s="110"/>
      <c r="GZ241" s="110"/>
      <c r="HA241" s="110"/>
      <c r="HB241" s="110"/>
      <c r="HC241" s="110"/>
      <c r="HD241" s="110"/>
      <c r="HE241" s="110"/>
      <c r="HF241" s="110"/>
      <c r="HG241" s="110"/>
      <c r="HH241" s="110"/>
      <c r="HI241" s="110"/>
      <c r="HJ241" s="110"/>
      <c r="HK241" s="110"/>
      <c r="HL241" s="110"/>
      <c r="HM241" s="110"/>
      <c r="HN241" s="110"/>
      <c r="HO241" s="110"/>
      <c r="HP241" s="110"/>
      <c r="HQ241" s="110"/>
      <c r="HR241" s="110"/>
      <c r="HS241" s="110"/>
      <c r="HT241" s="110"/>
      <c r="HU241" s="110"/>
      <c r="HV241" s="110"/>
      <c r="HW241" s="110"/>
      <c r="HX241" s="110"/>
      <c r="HY241" s="110"/>
      <c r="HZ241" s="110"/>
      <c r="IA241" s="110"/>
      <c r="IB241" s="110"/>
      <c r="IC241" s="110"/>
      <c r="ID241" s="110"/>
      <c r="IE241" s="110"/>
      <c r="IF241" s="110"/>
      <c r="IG241" s="110"/>
      <c r="IH241" s="110"/>
      <c r="II241" s="110"/>
      <c r="IJ241" s="110"/>
      <c r="IK241" s="110"/>
      <c r="IL241" s="110"/>
      <c r="IM241" s="110"/>
      <c r="IN241" s="110"/>
      <c r="IO241" s="110"/>
      <c r="IP241" s="110"/>
      <c r="IQ241" s="110"/>
      <c r="IR241" s="110"/>
      <c r="IS241" s="110"/>
      <c r="IT241" s="110"/>
      <c r="IU241" s="110"/>
      <c r="IV241" s="110"/>
      <c r="IW241" s="110"/>
      <c r="IX241" s="110"/>
      <c r="IY241" s="110"/>
      <c r="IZ241" s="110"/>
      <c r="JA241" s="110"/>
      <c r="JB241" s="110"/>
      <c r="JC241" s="110"/>
      <c r="JD241" s="110"/>
      <c r="JE241" s="110"/>
      <c r="JF241" s="110"/>
      <c r="JG241" s="110"/>
      <c r="JH241" s="110"/>
      <c r="JI241" s="110"/>
      <c r="JJ241" s="110"/>
      <c r="JK241" s="110"/>
      <c r="JL241" s="110"/>
      <c r="JM241" s="110"/>
      <c r="JN241" s="110"/>
      <c r="JO241" s="110"/>
      <c r="JP241" s="110"/>
      <c r="JQ241" s="110"/>
      <c r="JR241" s="110"/>
      <c r="JS241" s="110"/>
      <c r="JT241" s="110"/>
      <c r="JU241" s="110"/>
      <c r="JV241" s="110"/>
      <c r="JW241" s="110"/>
      <c r="JX241" s="110"/>
      <c r="JY241" s="110"/>
      <c r="JZ241" s="110"/>
      <c r="KA241" s="110"/>
      <c r="KB241" s="110"/>
      <c r="KC241" s="110"/>
      <c r="KD241" s="110"/>
      <c r="KE241" s="110"/>
      <c r="KF241" s="110"/>
      <c r="KG241" s="110"/>
      <c r="KH241" s="110"/>
      <c r="KI241" s="110"/>
      <c r="KJ241" s="110"/>
      <c r="KK241" s="110"/>
      <c r="KL241" s="110"/>
      <c r="KM241" s="110"/>
      <c r="KN241" s="110"/>
    </row>
    <row r="242" spans="1:300" ht="19.2" customHeight="1" x14ac:dyDescent="0.3">
      <c r="A242" s="110"/>
      <c r="B242" s="110"/>
      <c r="C242" s="110"/>
      <c r="D242" s="110"/>
      <c r="E242" s="110"/>
      <c r="F242" s="110"/>
      <c r="G242" s="112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  <c r="GA242" s="110"/>
      <c r="GB242" s="110"/>
      <c r="GC242" s="110"/>
      <c r="GD242" s="110"/>
      <c r="GE242" s="110"/>
      <c r="GF242" s="110"/>
      <c r="GG242" s="110"/>
      <c r="GH242" s="110"/>
      <c r="GI242" s="110"/>
      <c r="GJ242" s="110"/>
      <c r="GK242" s="110"/>
      <c r="GL242" s="110"/>
      <c r="GM242" s="110"/>
      <c r="GN242" s="110"/>
      <c r="GO242" s="110"/>
      <c r="GP242" s="110"/>
      <c r="GQ242" s="110"/>
      <c r="GR242" s="110"/>
      <c r="GS242" s="110"/>
      <c r="GT242" s="110"/>
      <c r="GU242" s="110"/>
      <c r="GV242" s="110"/>
      <c r="GW242" s="110"/>
      <c r="GX242" s="110"/>
      <c r="GY242" s="110"/>
      <c r="GZ242" s="110"/>
      <c r="HA242" s="110"/>
      <c r="HB242" s="110"/>
      <c r="HC242" s="110"/>
      <c r="HD242" s="110"/>
      <c r="HE242" s="110"/>
      <c r="HF242" s="110"/>
      <c r="HG242" s="110"/>
      <c r="HH242" s="110"/>
      <c r="HI242" s="110"/>
      <c r="HJ242" s="110"/>
      <c r="HK242" s="110"/>
      <c r="HL242" s="110"/>
      <c r="HM242" s="110"/>
      <c r="HN242" s="110"/>
      <c r="HO242" s="110"/>
      <c r="HP242" s="110"/>
      <c r="HQ242" s="110"/>
      <c r="HR242" s="110"/>
      <c r="HS242" s="110"/>
      <c r="HT242" s="110"/>
      <c r="HU242" s="110"/>
      <c r="HV242" s="110"/>
      <c r="HW242" s="110"/>
      <c r="HX242" s="110"/>
      <c r="HY242" s="110"/>
      <c r="HZ242" s="110"/>
      <c r="IA242" s="110"/>
      <c r="IB242" s="110"/>
      <c r="IC242" s="110"/>
      <c r="ID242" s="110"/>
      <c r="IE242" s="110"/>
      <c r="IF242" s="110"/>
      <c r="IG242" s="110"/>
      <c r="IH242" s="110"/>
      <c r="II242" s="110"/>
      <c r="IJ242" s="110"/>
      <c r="IK242" s="110"/>
      <c r="IL242" s="110"/>
      <c r="IM242" s="110"/>
      <c r="IN242" s="110"/>
      <c r="IO242" s="110"/>
      <c r="IP242" s="110"/>
      <c r="IQ242" s="110"/>
      <c r="IR242" s="110"/>
      <c r="IS242" s="110"/>
      <c r="IT242" s="110"/>
      <c r="IU242" s="110"/>
      <c r="IV242" s="110"/>
      <c r="IW242" s="110"/>
      <c r="IX242" s="110"/>
      <c r="IY242" s="110"/>
      <c r="IZ242" s="110"/>
      <c r="JA242" s="110"/>
      <c r="JB242" s="110"/>
      <c r="JC242" s="110"/>
      <c r="JD242" s="110"/>
      <c r="JE242" s="110"/>
      <c r="JF242" s="110"/>
      <c r="JG242" s="110"/>
      <c r="JH242" s="110"/>
      <c r="JI242" s="110"/>
      <c r="JJ242" s="110"/>
      <c r="JK242" s="110"/>
      <c r="JL242" s="110"/>
      <c r="JM242" s="110"/>
      <c r="JN242" s="110"/>
      <c r="JO242" s="110"/>
      <c r="JP242" s="110"/>
      <c r="JQ242" s="110"/>
      <c r="JR242" s="110"/>
      <c r="JS242" s="110"/>
      <c r="JT242" s="110"/>
      <c r="JU242" s="110"/>
      <c r="JV242" s="110"/>
      <c r="JW242" s="110"/>
      <c r="JX242" s="110"/>
      <c r="JY242" s="110"/>
      <c r="JZ242" s="110"/>
      <c r="KA242" s="110"/>
      <c r="KB242" s="110"/>
      <c r="KC242" s="110"/>
      <c r="KD242" s="110"/>
      <c r="KE242" s="110"/>
      <c r="KF242" s="110"/>
      <c r="KG242" s="110"/>
      <c r="KH242" s="110"/>
      <c r="KI242" s="110"/>
      <c r="KJ242" s="110"/>
      <c r="KK242" s="110"/>
      <c r="KL242" s="110"/>
      <c r="KM242" s="110"/>
      <c r="KN242" s="110"/>
    </row>
    <row r="243" spans="1:300" ht="19.2" customHeight="1" x14ac:dyDescent="0.3">
      <c r="A243" s="110"/>
      <c r="B243" s="110"/>
      <c r="C243" s="110"/>
      <c r="D243" s="110"/>
      <c r="E243" s="110"/>
      <c r="F243" s="110"/>
      <c r="G243" s="112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  <c r="GA243" s="110"/>
      <c r="GB243" s="110"/>
      <c r="GC243" s="110"/>
      <c r="GD243" s="110"/>
      <c r="GE243" s="110"/>
      <c r="GF243" s="110"/>
      <c r="GG243" s="110"/>
      <c r="GH243" s="110"/>
      <c r="GI243" s="110"/>
      <c r="GJ243" s="110"/>
      <c r="GK243" s="110"/>
      <c r="GL243" s="110"/>
      <c r="GM243" s="110"/>
      <c r="GN243" s="110"/>
      <c r="GO243" s="110"/>
      <c r="GP243" s="110"/>
      <c r="GQ243" s="110"/>
      <c r="GR243" s="110"/>
      <c r="GS243" s="110"/>
      <c r="GT243" s="110"/>
      <c r="GU243" s="110"/>
      <c r="GV243" s="110"/>
      <c r="GW243" s="110"/>
      <c r="GX243" s="110"/>
      <c r="GY243" s="110"/>
      <c r="GZ243" s="110"/>
      <c r="HA243" s="110"/>
      <c r="HB243" s="110"/>
      <c r="HC243" s="110"/>
      <c r="HD243" s="110"/>
      <c r="HE243" s="110"/>
      <c r="HF243" s="110"/>
      <c r="HG243" s="110"/>
      <c r="HH243" s="110"/>
      <c r="HI243" s="110"/>
      <c r="HJ243" s="110"/>
      <c r="HK243" s="110"/>
      <c r="HL243" s="110"/>
      <c r="HM243" s="110"/>
      <c r="HN243" s="110"/>
      <c r="HO243" s="110"/>
      <c r="HP243" s="110"/>
      <c r="HQ243" s="110"/>
      <c r="HR243" s="110"/>
      <c r="HS243" s="110"/>
      <c r="HT243" s="110"/>
      <c r="HU243" s="110"/>
      <c r="HV243" s="110"/>
      <c r="HW243" s="110"/>
      <c r="HX243" s="110"/>
      <c r="HY243" s="110"/>
      <c r="HZ243" s="110"/>
      <c r="IA243" s="110"/>
      <c r="IB243" s="110"/>
      <c r="IC243" s="110"/>
      <c r="ID243" s="110"/>
      <c r="IE243" s="110"/>
      <c r="IF243" s="110"/>
      <c r="IG243" s="110"/>
      <c r="IH243" s="110"/>
      <c r="II243" s="110"/>
      <c r="IJ243" s="110"/>
      <c r="IK243" s="110"/>
      <c r="IL243" s="110"/>
      <c r="IM243" s="110"/>
      <c r="IN243" s="110"/>
      <c r="IO243" s="110"/>
      <c r="IP243" s="110"/>
      <c r="IQ243" s="110"/>
      <c r="IR243" s="110"/>
      <c r="IS243" s="110"/>
      <c r="IT243" s="110"/>
      <c r="IU243" s="110"/>
      <c r="IV243" s="110"/>
      <c r="IW243" s="110"/>
      <c r="IX243" s="110"/>
      <c r="IY243" s="110"/>
      <c r="IZ243" s="110"/>
      <c r="JA243" s="110"/>
      <c r="JB243" s="110"/>
      <c r="JC243" s="110"/>
      <c r="JD243" s="110"/>
      <c r="JE243" s="110"/>
      <c r="JF243" s="110"/>
      <c r="JG243" s="110"/>
      <c r="JH243" s="110"/>
      <c r="JI243" s="110"/>
      <c r="JJ243" s="110"/>
      <c r="JK243" s="110"/>
      <c r="JL243" s="110"/>
      <c r="JM243" s="110"/>
      <c r="JN243" s="110"/>
      <c r="JO243" s="110"/>
      <c r="JP243" s="110"/>
      <c r="JQ243" s="110"/>
      <c r="JR243" s="110"/>
      <c r="JS243" s="110"/>
      <c r="JT243" s="110"/>
      <c r="JU243" s="110"/>
      <c r="JV243" s="110"/>
      <c r="JW243" s="110"/>
      <c r="JX243" s="110"/>
      <c r="JY243" s="110"/>
      <c r="JZ243" s="110"/>
      <c r="KA243" s="110"/>
      <c r="KB243" s="110"/>
      <c r="KC243" s="110"/>
      <c r="KD243" s="110"/>
      <c r="KE243" s="110"/>
      <c r="KF243" s="110"/>
      <c r="KG243" s="110"/>
      <c r="KH243" s="110"/>
      <c r="KI243" s="110"/>
      <c r="KJ243" s="110"/>
      <c r="KK243" s="110"/>
      <c r="KL243" s="110"/>
      <c r="KM243" s="110"/>
      <c r="KN243" s="110"/>
    </row>
    <row r="244" spans="1:300" ht="19.2" customHeight="1" x14ac:dyDescent="0.3">
      <c r="A244" s="110"/>
      <c r="B244" s="110"/>
      <c r="C244" s="110"/>
      <c r="D244" s="110"/>
      <c r="E244" s="110"/>
      <c r="F244" s="110"/>
      <c r="G244" s="112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  <c r="GA244" s="110"/>
      <c r="GB244" s="110"/>
      <c r="GC244" s="110"/>
      <c r="GD244" s="110"/>
      <c r="GE244" s="110"/>
      <c r="GF244" s="110"/>
      <c r="GG244" s="110"/>
      <c r="GH244" s="110"/>
      <c r="GI244" s="110"/>
      <c r="GJ244" s="110"/>
      <c r="GK244" s="110"/>
      <c r="GL244" s="110"/>
      <c r="GM244" s="110"/>
      <c r="GN244" s="110"/>
      <c r="GO244" s="110"/>
      <c r="GP244" s="110"/>
      <c r="GQ244" s="110"/>
      <c r="GR244" s="110"/>
      <c r="GS244" s="110"/>
      <c r="GT244" s="110"/>
      <c r="GU244" s="110"/>
      <c r="GV244" s="110"/>
      <c r="GW244" s="110"/>
      <c r="GX244" s="110"/>
      <c r="GY244" s="110"/>
      <c r="GZ244" s="110"/>
      <c r="HA244" s="110"/>
      <c r="HB244" s="110"/>
      <c r="HC244" s="110"/>
      <c r="HD244" s="110"/>
      <c r="HE244" s="110"/>
      <c r="HF244" s="110"/>
      <c r="HG244" s="110"/>
      <c r="HH244" s="110"/>
      <c r="HI244" s="110"/>
      <c r="HJ244" s="110"/>
      <c r="HK244" s="110"/>
      <c r="HL244" s="110"/>
      <c r="HM244" s="110"/>
      <c r="HN244" s="110"/>
      <c r="HO244" s="110"/>
      <c r="HP244" s="110"/>
      <c r="HQ244" s="110"/>
      <c r="HR244" s="110"/>
      <c r="HS244" s="110"/>
      <c r="HT244" s="110"/>
      <c r="HU244" s="110"/>
      <c r="HV244" s="110"/>
      <c r="HW244" s="110"/>
      <c r="HX244" s="110"/>
      <c r="HY244" s="110"/>
      <c r="HZ244" s="110"/>
      <c r="IA244" s="110"/>
      <c r="IB244" s="110"/>
      <c r="IC244" s="110"/>
      <c r="ID244" s="110"/>
      <c r="IE244" s="110"/>
      <c r="IF244" s="110"/>
      <c r="IG244" s="110"/>
      <c r="IH244" s="110"/>
      <c r="II244" s="110"/>
      <c r="IJ244" s="110"/>
      <c r="IK244" s="110"/>
      <c r="IL244" s="110"/>
      <c r="IM244" s="110"/>
      <c r="IN244" s="110"/>
      <c r="IO244" s="110"/>
      <c r="IP244" s="110"/>
      <c r="IQ244" s="110"/>
      <c r="IR244" s="110"/>
      <c r="IS244" s="110"/>
      <c r="IT244" s="110"/>
      <c r="IU244" s="110"/>
      <c r="IV244" s="110"/>
      <c r="IW244" s="110"/>
      <c r="IX244" s="110"/>
      <c r="IY244" s="110"/>
      <c r="IZ244" s="110"/>
      <c r="JA244" s="110"/>
      <c r="JB244" s="110"/>
      <c r="JC244" s="110"/>
      <c r="JD244" s="110"/>
      <c r="JE244" s="110"/>
      <c r="JF244" s="110"/>
      <c r="JG244" s="110"/>
      <c r="JH244" s="110"/>
      <c r="JI244" s="110"/>
      <c r="JJ244" s="110"/>
      <c r="JK244" s="110"/>
      <c r="JL244" s="110"/>
      <c r="JM244" s="110"/>
      <c r="JN244" s="110"/>
      <c r="JO244" s="110"/>
      <c r="JP244" s="110"/>
      <c r="JQ244" s="110"/>
      <c r="JR244" s="110"/>
      <c r="JS244" s="110"/>
      <c r="JT244" s="110"/>
      <c r="JU244" s="110"/>
      <c r="JV244" s="110"/>
      <c r="JW244" s="110"/>
      <c r="JX244" s="110"/>
      <c r="JY244" s="110"/>
      <c r="JZ244" s="110"/>
      <c r="KA244" s="110"/>
      <c r="KB244" s="110"/>
      <c r="KC244" s="110"/>
      <c r="KD244" s="110"/>
      <c r="KE244" s="110"/>
      <c r="KF244" s="110"/>
      <c r="KG244" s="110"/>
      <c r="KH244" s="110"/>
      <c r="KI244" s="110"/>
      <c r="KJ244" s="110"/>
      <c r="KK244" s="110"/>
      <c r="KL244" s="110"/>
      <c r="KM244" s="110"/>
      <c r="KN244" s="110"/>
    </row>
    <row r="245" spans="1:300" ht="19.2" customHeight="1" x14ac:dyDescent="0.3">
      <c r="A245" s="110"/>
      <c r="B245" s="110"/>
      <c r="C245" s="110"/>
      <c r="D245" s="110"/>
      <c r="E245" s="110"/>
      <c r="F245" s="110"/>
      <c r="G245" s="112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  <c r="GA245" s="110"/>
      <c r="GB245" s="110"/>
      <c r="GC245" s="110"/>
      <c r="GD245" s="110"/>
      <c r="GE245" s="110"/>
      <c r="GF245" s="110"/>
      <c r="GG245" s="110"/>
      <c r="GH245" s="110"/>
      <c r="GI245" s="110"/>
      <c r="GJ245" s="110"/>
      <c r="GK245" s="110"/>
      <c r="GL245" s="110"/>
      <c r="GM245" s="110"/>
      <c r="GN245" s="110"/>
      <c r="GO245" s="110"/>
      <c r="GP245" s="110"/>
      <c r="GQ245" s="110"/>
      <c r="GR245" s="110"/>
      <c r="GS245" s="110"/>
      <c r="GT245" s="110"/>
      <c r="GU245" s="110"/>
      <c r="GV245" s="110"/>
      <c r="GW245" s="110"/>
      <c r="GX245" s="110"/>
      <c r="GY245" s="110"/>
      <c r="GZ245" s="110"/>
      <c r="HA245" s="110"/>
      <c r="HB245" s="110"/>
      <c r="HC245" s="110"/>
      <c r="HD245" s="110"/>
      <c r="HE245" s="110"/>
      <c r="HF245" s="110"/>
      <c r="HG245" s="110"/>
      <c r="HH245" s="110"/>
      <c r="HI245" s="110"/>
      <c r="HJ245" s="110"/>
      <c r="HK245" s="110"/>
      <c r="HL245" s="110"/>
      <c r="HM245" s="110"/>
      <c r="HN245" s="110"/>
      <c r="HO245" s="110"/>
      <c r="HP245" s="110"/>
      <c r="HQ245" s="110"/>
      <c r="HR245" s="110"/>
      <c r="HS245" s="110"/>
      <c r="HT245" s="110"/>
      <c r="HU245" s="110"/>
      <c r="HV245" s="110"/>
      <c r="HW245" s="110"/>
      <c r="HX245" s="110"/>
      <c r="HY245" s="110"/>
      <c r="HZ245" s="110"/>
      <c r="IA245" s="110"/>
      <c r="IB245" s="110"/>
      <c r="IC245" s="110"/>
      <c r="ID245" s="110"/>
      <c r="IE245" s="110"/>
      <c r="IF245" s="110"/>
      <c r="IG245" s="110"/>
      <c r="IH245" s="110"/>
      <c r="II245" s="110"/>
      <c r="IJ245" s="110"/>
      <c r="IK245" s="110"/>
      <c r="IL245" s="110"/>
      <c r="IM245" s="110"/>
      <c r="IN245" s="110"/>
      <c r="IO245" s="110"/>
      <c r="IP245" s="110"/>
      <c r="IQ245" s="110"/>
      <c r="IR245" s="110"/>
      <c r="IS245" s="110"/>
      <c r="IT245" s="110"/>
      <c r="IU245" s="110"/>
      <c r="IV245" s="110"/>
      <c r="IW245" s="110"/>
      <c r="IX245" s="110"/>
      <c r="IY245" s="110"/>
      <c r="IZ245" s="110"/>
      <c r="JA245" s="110"/>
      <c r="JB245" s="110"/>
      <c r="JC245" s="110"/>
      <c r="JD245" s="110"/>
      <c r="JE245" s="110"/>
      <c r="JF245" s="110"/>
      <c r="JG245" s="110"/>
      <c r="JH245" s="110"/>
      <c r="JI245" s="110"/>
      <c r="JJ245" s="110"/>
      <c r="JK245" s="110"/>
      <c r="JL245" s="110"/>
      <c r="JM245" s="110"/>
      <c r="JN245" s="110"/>
      <c r="JO245" s="110"/>
      <c r="JP245" s="110"/>
      <c r="JQ245" s="110"/>
      <c r="JR245" s="110"/>
      <c r="JS245" s="110"/>
      <c r="JT245" s="110"/>
      <c r="JU245" s="110"/>
      <c r="JV245" s="110"/>
      <c r="JW245" s="110"/>
      <c r="JX245" s="110"/>
      <c r="JY245" s="110"/>
      <c r="JZ245" s="110"/>
      <c r="KA245" s="110"/>
      <c r="KB245" s="110"/>
      <c r="KC245" s="110"/>
      <c r="KD245" s="110"/>
      <c r="KE245" s="110"/>
      <c r="KF245" s="110"/>
      <c r="KG245" s="110"/>
      <c r="KH245" s="110"/>
      <c r="KI245" s="110"/>
      <c r="KJ245" s="110"/>
      <c r="KK245" s="110"/>
      <c r="KL245" s="110"/>
      <c r="KM245" s="110"/>
      <c r="KN245" s="110"/>
    </row>
    <row r="246" spans="1:300" ht="19.2" customHeight="1" x14ac:dyDescent="0.3">
      <c r="A246" s="110"/>
      <c r="B246" s="110"/>
      <c r="C246" s="110"/>
      <c r="D246" s="110"/>
      <c r="E246" s="110"/>
      <c r="F246" s="110"/>
      <c r="G246" s="112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  <c r="GA246" s="110"/>
      <c r="GB246" s="110"/>
      <c r="GC246" s="110"/>
      <c r="GD246" s="110"/>
      <c r="GE246" s="110"/>
      <c r="GF246" s="110"/>
      <c r="GG246" s="110"/>
      <c r="GH246" s="110"/>
      <c r="GI246" s="110"/>
      <c r="GJ246" s="110"/>
      <c r="GK246" s="110"/>
      <c r="GL246" s="110"/>
      <c r="GM246" s="110"/>
      <c r="GN246" s="110"/>
      <c r="GO246" s="110"/>
      <c r="GP246" s="110"/>
      <c r="GQ246" s="110"/>
      <c r="GR246" s="110"/>
      <c r="GS246" s="110"/>
      <c r="GT246" s="110"/>
      <c r="GU246" s="110"/>
      <c r="GV246" s="110"/>
      <c r="GW246" s="110"/>
      <c r="GX246" s="110"/>
      <c r="GY246" s="110"/>
      <c r="GZ246" s="110"/>
      <c r="HA246" s="110"/>
      <c r="HB246" s="110"/>
      <c r="HC246" s="110"/>
      <c r="HD246" s="110"/>
      <c r="HE246" s="110"/>
      <c r="HF246" s="110"/>
      <c r="HG246" s="110"/>
      <c r="HH246" s="110"/>
      <c r="HI246" s="110"/>
      <c r="HJ246" s="110"/>
      <c r="HK246" s="110"/>
      <c r="HL246" s="110"/>
      <c r="HM246" s="110"/>
      <c r="HN246" s="110"/>
      <c r="HO246" s="110"/>
      <c r="HP246" s="110"/>
      <c r="HQ246" s="110"/>
      <c r="HR246" s="110"/>
      <c r="HS246" s="110"/>
      <c r="HT246" s="110"/>
      <c r="HU246" s="110"/>
      <c r="HV246" s="110"/>
      <c r="HW246" s="110"/>
      <c r="HX246" s="110"/>
      <c r="HY246" s="110"/>
      <c r="HZ246" s="110"/>
      <c r="IA246" s="110"/>
      <c r="IB246" s="110"/>
      <c r="IC246" s="110"/>
      <c r="ID246" s="110"/>
      <c r="IE246" s="110"/>
      <c r="IF246" s="110"/>
      <c r="IG246" s="110"/>
      <c r="IH246" s="110"/>
      <c r="II246" s="110"/>
      <c r="IJ246" s="110"/>
      <c r="IK246" s="110"/>
      <c r="IL246" s="110"/>
      <c r="IM246" s="110"/>
      <c r="IN246" s="110"/>
      <c r="IO246" s="110"/>
      <c r="IP246" s="110"/>
      <c r="IQ246" s="110"/>
      <c r="IR246" s="110"/>
      <c r="IS246" s="110"/>
      <c r="IT246" s="110"/>
      <c r="IU246" s="110"/>
      <c r="IV246" s="110"/>
      <c r="IW246" s="110"/>
      <c r="IX246" s="110"/>
      <c r="IY246" s="110"/>
      <c r="IZ246" s="110"/>
      <c r="JA246" s="110"/>
      <c r="JB246" s="110"/>
      <c r="JC246" s="110"/>
      <c r="JD246" s="110"/>
      <c r="JE246" s="110"/>
      <c r="JF246" s="110"/>
      <c r="JG246" s="110"/>
      <c r="JH246" s="110"/>
      <c r="JI246" s="110"/>
      <c r="JJ246" s="110"/>
      <c r="JK246" s="110"/>
      <c r="JL246" s="110"/>
      <c r="JM246" s="110"/>
      <c r="JN246" s="110"/>
      <c r="JO246" s="110"/>
      <c r="JP246" s="110"/>
      <c r="JQ246" s="110"/>
      <c r="JR246" s="110"/>
      <c r="JS246" s="110"/>
      <c r="JT246" s="110"/>
      <c r="JU246" s="110"/>
      <c r="JV246" s="110"/>
      <c r="JW246" s="110"/>
      <c r="JX246" s="110"/>
      <c r="JY246" s="110"/>
      <c r="JZ246" s="110"/>
      <c r="KA246" s="110"/>
      <c r="KB246" s="110"/>
      <c r="KC246" s="110"/>
      <c r="KD246" s="110"/>
      <c r="KE246" s="110"/>
      <c r="KF246" s="110"/>
      <c r="KG246" s="110"/>
      <c r="KH246" s="110"/>
      <c r="KI246" s="110"/>
      <c r="KJ246" s="110"/>
      <c r="KK246" s="110"/>
      <c r="KL246" s="110"/>
      <c r="KM246" s="110"/>
      <c r="KN246" s="110"/>
    </row>
    <row r="247" spans="1:300" ht="19.2" customHeight="1" x14ac:dyDescent="0.3">
      <c r="A247" s="110"/>
      <c r="B247" s="110"/>
      <c r="C247" s="110"/>
      <c r="D247" s="110"/>
      <c r="E247" s="110"/>
      <c r="F247" s="110"/>
      <c r="G247" s="112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  <c r="GA247" s="110"/>
      <c r="GB247" s="110"/>
      <c r="GC247" s="110"/>
      <c r="GD247" s="110"/>
      <c r="GE247" s="110"/>
      <c r="GF247" s="110"/>
      <c r="GG247" s="110"/>
      <c r="GH247" s="110"/>
      <c r="GI247" s="110"/>
      <c r="GJ247" s="110"/>
      <c r="GK247" s="110"/>
      <c r="GL247" s="110"/>
      <c r="GM247" s="110"/>
      <c r="GN247" s="110"/>
      <c r="GO247" s="110"/>
      <c r="GP247" s="110"/>
      <c r="GQ247" s="110"/>
      <c r="GR247" s="110"/>
      <c r="GS247" s="110"/>
      <c r="GT247" s="110"/>
      <c r="GU247" s="110"/>
      <c r="GV247" s="110"/>
      <c r="GW247" s="110"/>
      <c r="GX247" s="110"/>
      <c r="GY247" s="110"/>
      <c r="GZ247" s="110"/>
      <c r="HA247" s="110"/>
      <c r="HB247" s="110"/>
      <c r="HC247" s="110"/>
      <c r="HD247" s="110"/>
      <c r="HE247" s="110"/>
      <c r="HF247" s="110"/>
      <c r="HG247" s="110"/>
      <c r="HH247" s="110"/>
      <c r="HI247" s="110"/>
      <c r="HJ247" s="110"/>
      <c r="HK247" s="110"/>
      <c r="HL247" s="110"/>
      <c r="HM247" s="110"/>
      <c r="HN247" s="110"/>
      <c r="HO247" s="110"/>
      <c r="HP247" s="110"/>
      <c r="HQ247" s="110"/>
      <c r="HR247" s="110"/>
      <c r="HS247" s="110"/>
      <c r="HT247" s="110"/>
      <c r="HU247" s="110"/>
      <c r="HV247" s="110"/>
      <c r="HW247" s="110"/>
      <c r="HX247" s="110"/>
      <c r="HY247" s="110"/>
      <c r="HZ247" s="110"/>
      <c r="IA247" s="110"/>
      <c r="IB247" s="110"/>
      <c r="IC247" s="110"/>
      <c r="ID247" s="110"/>
      <c r="IE247" s="110"/>
      <c r="IF247" s="110"/>
      <c r="IG247" s="110"/>
      <c r="IH247" s="110"/>
      <c r="II247" s="110"/>
      <c r="IJ247" s="110"/>
      <c r="IK247" s="110"/>
      <c r="IL247" s="110"/>
      <c r="IM247" s="110"/>
      <c r="IN247" s="110"/>
      <c r="IO247" s="110"/>
      <c r="IP247" s="110"/>
      <c r="IQ247" s="110"/>
      <c r="IR247" s="110"/>
      <c r="IS247" s="110"/>
      <c r="IT247" s="110"/>
      <c r="IU247" s="110"/>
      <c r="IV247" s="110"/>
      <c r="IW247" s="110"/>
      <c r="IX247" s="110"/>
      <c r="IY247" s="110"/>
      <c r="IZ247" s="110"/>
      <c r="JA247" s="110"/>
      <c r="JB247" s="110"/>
      <c r="JC247" s="110"/>
      <c r="JD247" s="110"/>
      <c r="JE247" s="110"/>
      <c r="JF247" s="110"/>
      <c r="JG247" s="110"/>
      <c r="JH247" s="110"/>
      <c r="JI247" s="110"/>
      <c r="JJ247" s="110"/>
      <c r="JK247" s="110"/>
      <c r="JL247" s="110"/>
      <c r="JM247" s="110"/>
      <c r="JN247" s="110"/>
      <c r="JO247" s="110"/>
      <c r="JP247" s="110"/>
      <c r="JQ247" s="110"/>
      <c r="JR247" s="110"/>
      <c r="JS247" s="110"/>
      <c r="JT247" s="110"/>
      <c r="JU247" s="110"/>
      <c r="JV247" s="110"/>
      <c r="JW247" s="110"/>
      <c r="JX247" s="110"/>
      <c r="JY247" s="110"/>
      <c r="JZ247" s="110"/>
      <c r="KA247" s="110"/>
      <c r="KB247" s="110"/>
      <c r="KC247" s="110"/>
      <c r="KD247" s="110"/>
      <c r="KE247" s="110"/>
      <c r="KF247" s="110"/>
      <c r="KG247" s="110"/>
      <c r="KH247" s="110"/>
      <c r="KI247" s="110"/>
      <c r="KJ247" s="110"/>
      <c r="KK247" s="110"/>
      <c r="KL247" s="110"/>
      <c r="KM247" s="110"/>
      <c r="KN247" s="110"/>
    </row>
    <row r="248" spans="1:300" ht="19.2" customHeight="1" x14ac:dyDescent="0.3">
      <c r="A248" s="110"/>
      <c r="B248" s="110"/>
      <c r="C248" s="110"/>
      <c r="D248" s="110"/>
      <c r="E248" s="110"/>
      <c r="F248" s="110"/>
      <c r="G248" s="112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  <c r="GA248" s="110"/>
      <c r="GB248" s="110"/>
      <c r="GC248" s="110"/>
      <c r="GD248" s="110"/>
      <c r="GE248" s="110"/>
      <c r="GF248" s="110"/>
      <c r="GG248" s="110"/>
      <c r="GH248" s="110"/>
      <c r="GI248" s="110"/>
      <c r="GJ248" s="110"/>
      <c r="GK248" s="110"/>
      <c r="GL248" s="110"/>
      <c r="GM248" s="110"/>
      <c r="GN248" s="110"/>
      <c r="GO248" s="110"/>
      <c r="GP248" s="110"/>
      <c r="GQ248" s="110"/>
      <c r="GR248" s="110"/>
      <c r="GS248" s="110"/>
      <c r="GT248" s="110"/>
      <c r="GU248" s="110"/>
      <c r="GV248" s="110"/>
      <c r="GW248" s="110"/>
      <c r="GX248" s="110"/>
      <c r="GY248" s="110"/>
      <c r="GZ248" s="110"/>
      <c r="HA248" s="110"/>
      <c r="HB248" s="110"/>
      <c r="HC248" s="110"/>
      <c r="HD248" s="110"/>
      <c r="HE248" s="110"/>
      <c r="HF248" s="110"/>
      <c r="HG248" s="110"/>
      <c r="HH248" s="110"/>
      <c r="HI248" s="110"/>
      <c r="HJ248" s="110"/>
      <c r="HK248" s="110"/>
      <c r="HL248" s="110"/>
      <c r="HM248" s="110"/>
      <c r="HN248" s="110"/>
      <c r="HO248" s="110"/>
      <c r="HP248" s="110"/>
      <c r="HQ248" s="110"/>
      <c r="HR248" s="110"/>
      <c r="HS248" s="110"/>
      <c r="HT248" s="110"/>
      <c r="HU248" s="110"/>
      <c r="HV248" s="110"/>
      <c r="HW248" s="110"/>
      <c r="HX248" s="110"/>
      <c r="HY248" s="110"/>
      <c r="HZ248" s="110"/>
      <c r="IA248" s="110"/>
      <c r="IB248" s="110"/>
      <c r="IC248" s="110"/>
      <c r="ID248" s="110"/>
      <c r="IE248" s="110"/>
      <c r="IF248" s="110"/>
      <c r="IG248" s="110"/>
      <c r="IH248" s="110"/>
      <c r="II248" s="110"/>
      <c r="IJ248" s="110"/>
      <c r="IK248" s="110"/>
      <c r="IL248" s="110"/>
      <c r="IM248" s="110"/>
      <c r="IN248" s="110"/>
      <c r="IO248" s="110"/>
      <c r="IP248" s="110"/>
      <c r="IQ248" s="110"/>
      <c r="IR248" s="110"/>
      <c r="IS248" s="110"/>
      <c r="IT248" s="110"/>
      <c r="IU248" s="110"/>
      <c r="IV248" s="110"/>
      <c r="IW248" s="110"/>
      <c r="IX248" s="110"/>
      <c r="IY248" s="110"/>
      <c r="IZ248" s="110"/>
      <c r="JA248" s="110"/>
      <c r="JB248" s="110"/>
      <c r="JC248" s="110"/>
      <c r="JD248" s="110"/>
      <c r="JE248" s="110"/>
      <c r="JF248" s="110"/>
      <c r="JG248" s="110"/>
      <c r="JH248" s="110"/>
      <c r="JI248" s="110"/>
      <c r="JJ248" s="110"/>
      <c r="JK248" s="110"/>
      <c r="JL248" s="110"/>
      <c r="JM248" s="110"/>
      <c r="JN248" s="110"/>
      <c r="JO248" s="110"/>
      <c r="JP248" s="110"/>
      <c r="JQ248" s="110"/>
      <c r="JR248" s="110"/>
      <c r="JS248" s="110"/>
      <c r="JT248" s="110"/>
      <c r="JU248" s="110"/>
      <c r="JV248" s="110"/>
      <c r="JW248" s="110"/>
      <c r="JX248" s="110"/>
      <c r="JY248" s="110"/>
      <c r="JZ248" s="110"/>
      <c r="KA248" s="110"/>
      <c r="KB248" s="110"/>
      <c r="KC248" s="110"/>
      <c r="KD248" s="110"/>
      <c r="KE248" s="110"/>
      <c r="KF248" s="110"/>
      <c r="KG248" s="110"/>
      <c r="KH248" s="110"/>
      <c r="KI248" s="110"/>
      <c r="KJ248" s="110"/>
      <c r="KK248" s="110"/>
      <c r="KL248" s="110"/>
      <c r="KM248" s="110"/>
      <c r="KN248" s="110"/>
    </row>
    <row r="249" spans="1:300" ht="19.2" customHeight="1" x14ac:dyDescent="0.3">
      <c r="A249" s="110"/>
      <c r="B249" s="110"/>
      <c r="C249" s="110"/>
      <c r="D249" s="110"/>
      <c r="E249" s="110"/>
      <c r="F249" s="110"/>
      <c r="G249" s="112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  <c r="GA249" s="110"/>
      <c r="GB249" s="110"/>
      <c r="GC249" s="110"/>
      <c r="GD249" s="110"/>
      <c r="GE249" s="110"/>
      <c r="GF249" s="110"/>
      <c r="GG249" s="110"/>
      <c r="GH249" s="110"/>
      <c r="GI249" s="110"/>
      <c r="GJ249" s="110"/>
      <c r="GK249" s="110"/>
      <c r="GL249" s="110"/>
      <c r="GM249" s="110"/>
      <c r="GN249" s="110"/>
      <c r="GO249" s="110"/>
      <c r="GP249" s="110"/>
      <c r="GQ249" s="110"/>
      <c r="GR249" s="110"/>
      <c r="GS249" s="110"/>
      <c r="GT249" s="110"/>
      <c r="GU249" s="110"/>
      <c r="GV249" s="110"/>
      <c r="GW249" s="110"/>
      <c r="GX249" s="110"/>
      <c r="GY249" s="110"/>
      <c r="GZ249" s="110"/>
      <c r="HA249" s="110"/>
      <c r="HB249" s="110"/>
      <c r="HC249" s="110"/>
      <c r="HD249" s="110"/>
      <c r="HE249" s="110"/>
      <c r="HF249" s="110"/>
      <c r="HG249" s="110"/>
      <c r="HH249" s="110"/>
      <c r="HI249" s="110"/>
      <c r="HJ249" s="110"/>
      <c r="HK249" s="110"/>
      <c r="HL249" s="110"/>
      <c r="HM249" s="110"/>
      <c r="HN249" s="110"/>
      <c r="HO249" s="110"/>
      <c r="HP249" s="110"/>
      <c r="HQ249" s="110"/>
      <c r="HR249" s="110"/>
      <c r="HS249" s="110"/>
      <c r="HT249" s="110"/>
      <c r="HU249" s="110"/>
      <c r="HV249" s="110"/>
      <c r="HW249" s="110"/>
      <c r="HX249" s="110"/>
      <c r="HY249" s="110"/>
      <c r="HZ249" s="110"/>
      <c r="IA249" s="110"/>
      <c r="IB249" s="110"/>
      <c r="IC249" s="110"/>
      <c r="ID249" s="110"/>
      <c r="IE249" s="110"/>
      <c r="IF249" s="110"/>
      <c r="IG249" s="110"/>
      <c r="IH249" s="110"/>
      <c r="II249" s="110"/>
      <c r="IJ249" s="110"/>
      <c r="IK249" s="110"/>
      <c r="IL249" s="110"/>
      <c r="IM249" s="110"/>
      <c r="IN249" s="110"/>
      <c r="IO249" s="110"/>
      <c r="IP249" s="110"/>
      <c r="IQ249" s="110"/>
      <c r="IR249" s="110"/>
      <c r="IS249" s="110"/>
      <c r="IT249" s="110"/>
      <c r="IU249" s="110"/>
      <c r="IV249" s="110"/>
      <c r="IW249" s="110"/>
      <c r="IX249" s="110"/>
      <c r="IY249" s="110"/>
      <c r="IZ249" s="110"/>
      <c r="JA249" s="110"/>
      <c r="JB249" s="110"/>
      <c r="JC249" s="110"/>
      <c r="JD249" s="110"/>
      <c r="JE249" s="110"/>
      <c r="JF249" s="110"/>
      <c r="JG249" s="110"/>
      <c r="JH249" s="110"/>
      <c r="JI249" s="110"/>
      <c r="JJ249" s="110"/>
      <c r="JK249" s="110"/>
      <c r="JL249" s="110"/>
      <c r="JM249" s="110"/>
      <c r="JN249" s="110"/>
      <c r="JO249" s="110"/>
      <c r="JP249" s="110"/>
      <c r="JQ249" s="110"/>
      <c r="JR249" s="110"/>
      <c r="JS249" s="110"/>
      <c r="JT249" s="110"/>
      <c r="JU249" s="110"/>
      <c r="JV249" s="110"/>
      <c r="JW249" s="110"/>
      <c r="JX249" s="110"/>
      <c r="JY249" s="110"/>
      <c r="JZ249" s="110"/>
      <c r="KA249" s="110"/>
      <c r="KB249" s="110"/>
      <c r="KC249" s="110"/>
      <c r="KD249" s="110"/>
      <c r="KE249" s="110"/>
      <c r="KF249" s="110"/>
      <c r="KG249" s="110"/>
      <c r="KH249" s="110"/>
      <c r="KI249" s="110"/>
      <c r="KJ249" s="110"/>
      <c r="KK249" s="110"/>
      <c r="KL249" s="110"/>
      <c r="KM249" s="110"/>
      <c r="KN249" s="110"/>
    </row>
    <row r="250" spans="1:300" ht="19.2" customHeight="1" x14ac:dyDescent="0.3">
      <c r="A250" s="110"/>
      <c r="B250" s="110"/>
      <c r="C250" s="110"/>
      <c r="D250" s="110"/>
      <c r="E250" s="110"/>
      <c r="F250" s="110"/>
      <c r="G250" s="112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  <c r="GA250" s="110"/>
      <c r="GB250" s="110"/>
      <c r="GC250" s="110"/>
      <c r="GD250" s="110"/>
      <c r="GE250" s="110"/>
      <c r="GF250" s="110"/>
      <c r="GG250" s="110"/>
      <c r="GH250" s="110"/>
      <c r="GI250" s="110"/>
      <c r="GJ250" s="110"/>
      <c r="GK250" s="110"/>
      <c r="GL250" s="110"/>
      <c r="GM250" s="110"/>
      <c r="GN250" s="110"/>
      <c r="GO250" s="110"/>
      <c r="GP250" s="110"/>
      <c r="GQ250" s="110"/>
      <c r="GR250" s="110"/>
      <c r="GS250" s="110"/>
      <c r="GT250" s="110"/>
      <c r="GU250" s="110"/>
      <c r="GV250" s="110"/>
      <c r="GW250" s="110"/>
      <c r="GX250" s="110"/>
      <c r="GY250" s="110"/>
      <c r="GZ250" s="110"/>
      <c r="HA250" s="110"/>
      <c r="HB250" s="110"/>
      <c r="HC250" s="110"/>
      <c r="HD250" s="110"/>
      <c r="HE250" s="110"/>
      <c r="HF250" s="110"/>
      <c r="HG250" s="110"/>
      <c r="HH250" s="110"/>
      <c r="HI250" s="110"/>
      <c r="HJ250" s="110"/>
      <c r="HK250" s="110"/>
      <c r="HL250" s="110"/>
      <c r="HM250" s="110"/>
      <c r="HN250" s="110"/>
      <c r="HO250" s="110"/>
      <c r="HP250" s="110"/>
      <c r="HQ250" s="110"/>
      <c r="HR250" s="110"/>
      <c r="HS250" s="110"/>
      <c r="HT250" s="110"/>
      <c r="HU250" s="110"/>
      <c r="HV250" s="110"/>
      <c r="HW250" s="110"/>
      <c r="HX250" s="110"/>
      <c r="HY250" s="110"/>
      <c r="HZ250" s="110"/>
      <c r="IA250" s="110"/>
      <c r="IB250" s="110"/>
      <c r="IC250" s="110"/>
      <c r="ID250" s="110"/>
      <c r="IE250" s="110"/>
      <c r="IF250" s="110"/>
      <c r="IG250" s="110"/>
      <c r="IH250" s="110"/>
      <c r="II250" s="110"/>
      <c r="IJ250" s="110"/>
      <c r="IK250" s="110"/>
      <c r="IL250" s="110"/>
      <c r="IM250" s="110"/>
      <c r="IN250" s="110"/>
      <c r="IO250" s="110"/>
      <c r="IP250" s="110"/>
      <c r="IQ250" s="110"/>
      <c r="IR250" s="110"/>
      <c r="IS250" s="110"/>
      <c r="IT250" s="110"/>
      <c r="IU250" s="110"/>
      <c r="IV250" s="110"/>
      <c r="IW250" s="110"/>
      <c r="IX250" s="110"/>
      <c r="IY250" s="110"/>
      <c r="IZ250" s="110"/>
      <c r="JA250" s="110"/>
      <c r="JB250" s="110"/>
      <c r="JC250" s="110"/>
      <c r="JD250" s="110"/>
      <c r="JE250" s="110"/>
      <c r="JF250" s="110"/>
      <c r="JG250" s="110"/>
      <c r="JH250" s="110"/>
      <c r="JI250" s="110"/>
      <c r="JJ250" s="110"/>
      <c r="JK250" s="110"/>
      <c r="JL250" s="110"/>
      <c r="JM250" s="110"/>
      <c r="JN250" s="110"/>
      <c r="JO250" s="110"/>
      <c r="JP250" s="110"/>
      <c r="JQ250" s="110"/>
      <c r="JR250" s="110"/>
      <c r="JS250" s="110"/>
      <c r="JT250" s="110"/>
      <c r="JU250" s="110"/>
      <c r="JV250" s="110"/>
      <c r="JW250" s="110"/>
      <c r="JX250" s="110"/>
      <c r="JY250" s="110"/>
      <c r="JZ250" s="110"/>
      <c r="KA250" s="110"/>
      <c r="KB250" s="110"/>
      <c r="KC250" s="110"/>
      <c r="KD250" s="110"/>
      <c r="KE250" s="110"/>
      <c r="KF250" s="110"/>
      <c r="KG250" s="110"/>
      <c r="KH250" s="110"/>
      <c r="KI250" s="110"/>
      <c r="KJ250" s="110"/>
      <c r="KK250" s="110"/>
      <c r="KL250" s="110"/>
      <c r="KM250" s="110"/>
      <c r="KN250" s="110"/>
    </row>
    <row r="251" spans="1:300" ht="19.2" customHeight="1" x14ac:dyDescent="0.3">
      <c r="A251" s="110"/>
      <c r="B251" s="110"/>
      <c r="C251" s="110"/>
      <c r="D251" s="110"/>
      <c r="E251" s="110"/>
      <c r="F251" s="110"/>
      <c r="G251" s="112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  <c r="GA251" s="110"/>
      <c r="GB251" s="110"/>
      <c r="GC251" s="110"/>
      <c r="GD251" s="110"/>
      <c r="GE251" s="110"/>
      <c r="GF251" s="110"/>
      <c r="GG251" s="110"/>
      <c r="GH251" s="110"/>
      <c r="GI251" s="110"/>
      <c r="GJ251" s="110"/>
      <c r="GK251" s="110"/>
      <c r="GL251" s="110"/>
      <c r="GM251" s="110"/>
      <c r="GN251" s="110"/>
      <c r="GO251" s="110"/>
      <c r="GP251" s="110"/>
      <c r="GQ251" s="110"/>
      <c r="GR251" s="110"/>
      <c r="GS251" s="110"/>
      <c r="GT251" s="110"/>
      <c r="GU251" s="110"/>
      <c r="GV251" s="110"/>
      <c r="GW251" s="110"/>
      <c r="GX251" s="110"/>
      <c r="GY251" s="110"/>
      <c r="GZ251" s="110"/>
      <c r="HA251" s="110"/>
      <c r="HB251" s="110"/>
      <c r="HC251" s="110"/>
      <c r="HD251" s="110"/>
      <c r="HE251" s="110"/>
      <c r="HF251" s="110"/>
      <c r="HG251" s="110"/>
      <c r="HH251" s="110"/>
      <c r="HI251" s="110"/>
      <c r="HJ251" s="110"/>
      <c r="HK251" s="110"/>
      <c r="HL251" s="110"/>
      <c r="HM251" s="110"/>
      <c r="HN251" s="110"/>
      <c r="HO251" s="110"/>
      <c r="HP251" s="110"/>
      <c r="HQ251" s="110"/>
      <c r="HR251" s="110"/>
      <c r="HS251" s="110"/>
      <c r="HT251" s="110"/>
      <c r="HU251" s="110"/>
      <c r="HV251" s="110"/>
      <c r="HW251" s="110"/>
      <c r="HX251" s="110"/>
      <c r="HY251" s="110"/>
      <c r="HZ251" s="110"/>
      <c r="IA251" s="110"/>
      <c r="IB251" s="110"/>
      <c r="IC251" s="110"/>
      <c r="ID251" s="110"/>
      <c r="IE251" s="110"/>
      <c r="IF251" s="110"/>
      <c r="IG251" s="110"/>
      <c r="IH251" s="110"/>
      <c r="II251" s="110"/>
      <c r="IJ251" s="110"/>
      <c r="IK251" s="110"/>
      <c r="IL251" s="110"/>
      <c r="IM251" s="110"/>
      <c r="IN251" s="110"/>
      <c r="IO251" s="110"/>
      <c r="IP251" s="110"/>
      <c r="IQ251" s="110"/>
      <c r="IR251" s="110"/>
      <c r="IS251" s="110"/>
      <c r="IT251" s="110"/>
      <c r="IU251" s="110"/>
      <c r="IV251" s="110"/>
      <c r="IW251" s="110"/>
      <c r="IX251" s="110"/>
      <c r="IY251" s="110"/>
      <c r="IZ251" s="110"/>
      <c r="JA251" s="110"/>
      <c r="JB251" s="110"/>
      <c r="JC251" s="110"/>
      <c r="JD251" s="110"/>
      <c r="JE251" s="110"/>
      <c r="JF251" s="110"/>
      <c r="JG251" s="110"/>
      <c r="JH251" s="110"/>
      <c r="JI251" s="110"/>
      <c r="JJ251" s="110"/>
      <c r="JK251" s="110"/>
      <c r="JL251" s="110"/>
      <c r="JM251" s="110"/>
      <c r="JN251" s="110"/>
      <c r="JO251" s="110"/>
      <c r="JP251" s="110"/>
      <c r="JQ251" s="110"/>
      <c r="JR251" s="110"/>
      <c r="JS251" s="110"/>
      <c r="JT251" s="110"/>
      <c r="JU251" s="110"/>
      <c r="JV251" s="110"/>
      <c r="JW251" s="110"/>
      <c r="JX251" s="110"/>
      <c r="JY251" s="110"/>
      <c r="JZ251" s="110"/>
      <c r="KA251" s="110"/>
      <c r="KB251" s="110"/>
      <c r="KC251" s="110"/>
      <c r="KD251" s="110"/>
      <c r="KE251" s="110"/>
      <c r="KF251" s="110"/>
      <c r="KG251" s="110"/>
      <c r="KH251" s="110"/>
      <c r="KI251" s="110"/>
      <c r="KJ251" s="110"/>
      <c r="KK251" s="110"/>
      <c r="KL251" s="110"/>
      <c r="KM251" s="110"/>
      <c r="KN251" s="110"/>
    </row>
    <row r="252" spans="1:300" ht="19.2" customHeight="1" x14ac:dyDescent="0.3">
      <c r="A252" s="110"/>
      <c r="B252" s="110"/>
      <c r="C252" s="110"/>
      <c r="D252" s="110"/>
      <c r="E252" s="110"/>
      <c r="F252" s="110"/>
      <c r="G252" s="112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  <c r="GA252" s="110"/>
      <c r="GB252" s="110"/>
      <c r="GC252" s="110"/>
      <c r="GD252" s="110"/>
      <c r="GE252" s="110"/>
      <c r="GF252" s="110"/>
      <c r="GG252" s="110"/>
      <c r="GH252" s="110"/>
      <c r="GI252" s="110"/>
      <c r="GJ252" s="110"/>
      <c r="GK252" s="110"/>
      <c r="GL252" s="110"/>
      <c r="GM252" s="110"/>
      <c r="GN252" s="110"/>
      <c r="GO252" s="110"/>
      <c r="GP252" s="110"/>
      <c r="GQ252" s="110"/>
      <c r="GR252" s="110"/>
      <c r="GS252" s="110"/>
      <c r="GT252" s="110"/>
      <c r="GU252" s="110"/>
      <c r="GV252" s="110"/>
      <c r="GW252" s="110"/>
      <c r="GX252" s="110"/>
      <c r="GY252" s="110"/>
      <c r="GZ252" s="110"/>
      <c r="HA252" s="110"/>
      <c r="HB252" s="110"/>
      <c r="HC252" s="110"/>
      <c r="HD252" s="110"/>
      <c r="HE252" s="110"/>
      <c r="HF252" s="110"/>
      <c r="HG252" s="110"/>
      <c r="HH252" s="110"/>
      <c r="HI252" s="110"/>
      <c r="HJ252" s="110"/>
      <c r="HK252" s="110"/>
      <c r="HL252" s="110"/>
      <c r="HM252" s="110"/>
      <c r="HN252" s="110"/>
      <c r="HO252" s="110"/>
      <c r="HP252" s="110"/>
      <c r="HQ252" s="110"/>
      <c r="HR252" s="110"/>
      <c r="HS252" s="110"/>
      <c r="HT252" s="110"/>
      <c r="HU252" s="110"/>
      <c r="HV252" s="110"/>
      <c r="HW252" s="110"/>
      <c r="HX252" s="110"/>
      <c r="HY252" s="110"/>
      <c r="HZ252" s="110"/>
      <c r="IA252" s="110"/>
      <c r="IB252" s="110"/>
      <c r="IC252" s="110"/>
      <c r="ID252" s="110"/>
      <c r="IE252" s="110"/>
      <c r="IF252" s="110"/>
      <c r="IG252" s="110"/>
      <c r="IH252" s="110"/>
      <c r="II252" s="110"/>
      <c r="IJ252" s="110"/>
      <c r="IK252" s="110"/>
      <c r="IL252" s="110"/>
      <c r="IM252" s="110"/>
      <c r="IN252" s="110"/>
      <c r="IO252" s="110"/>
      <c r="IP252" s="110"/>
      <c r="IQ252" s="110"/>
      <c r="IR252" s="110"/>
      <c r="IS252" s="110"/>
      <c r="IT252" s="110"/>
      <c r="IU252" s="110"/>
      <c r="IV252" s="110"/>
      <c r="IW252" s="110"/>
      <c r="IX252" s="110"/>
      <c r="IY252" s="110"/>
      <c r="IZ252" s="110"/>
      <c r="JA252" s="110"/>
      <c r="JB252" s="110"/>
      <c r="JC252" s="110"/>
      <c r="JD252" s="110"/>
      <c r="JE252" s="110"/>
      <c r="JF252" s="110"/>
      <c r="JG252" s="110"/>
      <c r="JH252" s="110"/>
      <c r="JI252" s="110"/>
      <c r="JJ252" s="110"/>
      <c r="JK252" s="110"/>
      <c r="JL252" s="110"/>
      <c r="JM252" s="110"/>
      <c r="JN252" s="110"/>
      <c r="JO252" s="110"/>
      <c r="JP252" s="110"/>
      <c r="JQ252" s="110"/>
      <c r="JR252" s="110"/>
      <c r="JS252" s="110"/>
      <c r="JT252" s="110"/>
      <c r="JU252" s="110"/>
      <c r="JV252" s="110"/>
      <c r="JW252" s="110"/>
      <c r="JX252" s="110"/>
      <c r="JY252" s="110"/>
      <c r="JZ252" s="110"/>
      <c r="KA252" s="110"/>
      <c r="KB252" s="110"/>
      <c r="KC252" s="110"/>
      <c r="KD252" s="110"/>
      <c r="KE252" s="110"/>
      <c r="KF252" s="110"/>
      <c r="KG252" s="110"/>
      <c r="KH252" s="110"/>
      <c r="KI252" s="110"/>
      <c r="KJ252" s="110"/>
      <c r="KK252" s="110"/>
      <c r="KL252" s="110"/>
      <c r="KM252" s="110"/>
      <c r="KN252" s="110"/>
    </row>
    <row r="253" spans="1:300" ht="19.2" customHeight="1" x14ac:dyDescent="0.3">
      <c r="A253" s="110"/>
      <c r="B253" s="110"/>
      <c r="C253" s="110"/>
      <c r="D253" s="110"/>
      <c r="E253" s="110"/>
      <c r="F253" s="110"/>
      <c r="G253" s="112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  <c r="GA253" s="110"/>
      <c r="GB253" s="110"/>
      <c r="GC253" s="110"/>
      <c r="GD253" s="110"/>
      <c r="GE253" s="110"/>
      <c r="GF253" s="110"/>
      <c r="GG253" s="110"/>
      <c r="GH253" s="110"/>
      <c r="GI253" s="110"/>
      <c r="GJ253" s="110"/>
      <c r="GK253" s="110"/>
      <c r="GL253" s="110"/>
      <c r="GM253" s="110"/>
      <c r="GN253" s="110"/>
      <c r="GO253" s="110"/>
      <c r="GP253" s="110"/>
      <c r="GQ253" s="110"/>
      <c r="GR253" s="110"/>
      <c r="GS253" s="110"/>
      <c r="GT253" s="110"/>
      <c r="GU253" s="110"/>
      <c r="GV253" s="110"/>
      <c r="GW253" s="110"/>
      <c r="GX253" s="110"/>
      <c r="GY253" s="110"/>
      <c r="GZ253" s="110"/>
      <c r="HA253" s="110"/>
      <c r="HB253" s="110"/>
      <c r="HC253" s="110"/>
      <c r="HD253" s="110"/>
      <c r="HE253" s="110"/>
      <c r="HF253" s="110"/>
      <c r="HG253" s="110"/>
      <c r="HH253" s="110"/>
      <c r="HI253" s="110"/>
      <c r="HJ253" s="110"/>
      <c r="HK253" s="110"/>
      <c r="HL253" s="110"/>
      <c r="HM253" s="110"/>
      <c r="HN253" s="110"/>
      <c r="HO253" s="110"/>
      <c r="HP253" s="110"/>
      <c r="HQ253" s="110"/>
      <c r="HR253" s="110"/>
      <c r="HS253" s="110"/>
      <c r="HT253" s="110"/>
      <c r="HU253" s="110"/>
      <c r="HV253" s="110"/>
      <c r="HW253" s="110"/>
      <c r="HX253" s="110"/>
      <c r="HY253" s="110"/>
      <c r="HZ253" s="110"/>
      <c r="IA253" s="110"/>
      <c r="IB253" s="110"/>
      <c r="IC253" s="110"/>
      <c r="ID253" s="110"/>
      <c r="IE253" s="110"/>
      <c r="IF253" s="110"/>
      <c r="IG253" s="110"/>
      <c r="IH253" s="110"/>
      <c r="II253" s="110"/>
      <c r="IJ253" s="110"/>
      <c r="IK253" s="110"/>
      <c r="IL253" s="110"/>
      <c r="IM253" s="110"/>
      <c r="IN253" s="110"/>
      <c r="IO253" s="110"/>
      <c r="IP253" s="110"/>
      <c r="IQ253" s="110"/>
      <c r="IR253" s="110"/>
      <c r="IS253" s="110"/>
      <c r="IT253" s="110"/>
      <c r="IU253" s="110"/>
      <c r="IV253" s="110"/>
      <c r="IW253" s="110"/>
      <c r="IX253" s="110"/>
      <c r="IY253" s="110"/>
      <c r="IZ253" s="110"/>
      <c r="JA253" s="110"/>
      <c r="JB253" s="110"/>
      <c r="JC253" s="110"/>
      <c r="JD253" s="110"/>
      <c r="JE253" s="110"/>
      <c r="JF253" s="110"/>
      <c r="JG253" s="110"/>
      <c r="JH253" s="110"/>
      <c r="JI253" s="110"/>
      <c r="JJ253" s="110"/>
      <c r="JK253" s="110"/>
      <c r="JL253" s="110"/>
      <c r="JM253" s="110"/>
      <c r="JN253" s="110"/>
      <c r="JO253" s="110"/>
      <c r="JP253" s="110"/>
      <c r="JQ253" s="110"/>
      <c r="JR253" s="110"/>
      <c r="JS253" s="110"/>
      <c r="JT253" s="110"/>
      <c r="JU253" s="110"/>
      <c r="JV253" s="110"/>
      <c r="JW253" s="110"/>
      <c r="JX253" s="110"/>
      <c r="JY253" s="110"/>
      <c r="JZ253" s="110"/>
      <c r="KA253" s="110"/>
      <c r="KB253" s="110"/>
      <c r="KC253" s="110"/>
      <c r="KD253" s="110"/>
      <c r="KE253" s="110"/>
      <c r="KF253" s="110"/>
      <c r="KG253" s="110"/>
      <c r="KH253" s="110"/>
      <c r="KI253" s="110"/>
      <c r="KJ253" s="110"/>
      <c r="KK253" s="110"/>
      <c r="KL253" s="110"/>
      <c r="KM253" s="110"/>
      <c r="KN253" s="110"/>
    </row>
    <row r="254" spans="1:300" ht="19.2" customHeight="1" x14ac:dyDescent="0.3">
      <c r="A254" s="110"/>
      <c r="B254" s="110"/>
      <c r="C254" s="110"/>
      <c r="D254" s="110"/>
      <c r="E254" s="110"/>
      <c r="F254" s="110"/>
      <c r="G254" s="112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  <c r="GA254" s="110"/>
      <c r="GB254" s="110"/>
      <c r="GC254" s="110"/>
      <c r="GD254" s="110"/>
      <c r="GE254" s="110"/>
      <c r="GF254" s="110"/>
      <c r="GG254" s="110"/>
      <c r="GH254" s="110"/>
      <c r="GI254" s="110"/>
      <c r="GJ254" s="110"/>
      <c r="GK254" s="110"/>
      <c r="GL254" s="110"/>
      <c r="GM254" s="110"/>
      <c r="GN254" s="110"/>
      <c r="GO254" s="110"/>
      <c r="GP254" s="110"/>
      <c r="GQ254" s="110"/>
      <c r="GR254" s="110"/>
      <c r="GS254" s="110"/>
      <c r="GT254" s="110"/>
      <c r="GU254" s="110"/>
      <c r="GV254" s="110"/>
      <c r="GW254" s="110"/>
      <c r="GX254" s="110"/>
      <c r="GY254" s="110"/>
      <c r="GZ254" s="110"/>
      <c r="HA254" s="110"/>
      <c r="HB254" s="110"/>
      <c r="HC254" s="110"/>
      <c r="HD254" s="110"/>
      <c r="HE254" s="110"/>
      <c r="HF254" s="110"/>
      <c r="HG254" s="110"/>
      <c r="HH254" s="110"/>
      <c r="HI254" s="110"/>
      <c r="HJ254" s="110"/>
      <c r="HK254" s="110"/>
      <c r="HL254" s="110"/>
      <c r="HM254" s="110"/>
      <c r="HN254" s="110"/>
      <c r="HO254" s="110"/>
      <c r="HP254" s="110"/>
      <c r="HQ254" s="110"/>
      <c r="HR254" s="110"/>
      <c r="HS254" s="110"/>
      <c r="HT254" s="110"/>
      <c r="HU254" s="110"/>
      <c r="HV254" s="110"/>
      <c r="HW254" s="110"/>
      <c r="HX254" s="110"/>
      <c r="HY254" s="110"/>
      <c r="HZ254" s="110"/>
      <c r="IA254" s="110"/>
      <c r="IB254" s="110"/>
      <c r="IC254" s="110"/>
      <c r="ID254" s="110"/>
      <c r="IE254" s="110"/>
      <c r="IF254" s="110"/>
      <c r="IG254" s="110"/>
      <c r="IH254" s="110"/>
      <c r="II254" s="110"/>
      <c r="IJ254" s="110"/>
      <c r="IK254" s="110"/>
      <c r="IL254" s="110"/>
      <c r="IM254" s="110"/>
      <c r="IN254" s="110"/>
      <c r="IO254" s="110"/>
      <c r="IP254" s="110"/>
      <c r="IQ254" s="110"/>
      <c r="IR254" s="110"/>
      <c r="IS254" s="110"/>
      <c r="IT254" s="110"/>
      <c r="IU254" s="110"/>
      <c r="IV254" s="110"/>
      <c r="IW254" s="110"/>
      <c r="IX254" s="110"/>
      <c r="IY254" s="110"/>
      <c r="IZ254" s="110"/>
      <c r="JA254" s="110"/>
      <c r="JB254" s="110"/>
      <c r="JC254" s="110"/>
      <c r="JD254" s="110"/>
      <c r="JE254" s="110"/>
      <c r="JF254" s="110"/>
      <c r="JG254" s="110"/>
      <c r="JH254" s="110"/>
      <c r="JI254" s="110"/>
      <c r="JJ254" s="110"/>
      <c r="JK254" s="110"/>
      <c r="JL254" s="110"/>
      <c r="JM254" s="110"/>
      <c r="JN254" s="110"/>
      <c r="JO254" s="110"/>
      <c r="JP254" s="110"/>
      <c r="JQ254" s="110"/>
      <c r="JR254" s="110"/>
      <c r="JS254" s="110"/>
      <c r="JT254" s="110"/>
      <c r="JU254" s="110"/>
      <c r="JV254" s="110"/>
      <c r="JW254" s="110"/>
      <c r="JX254" s="110"/>
      <c r="JY254" s="110"/>
      <c r="JZ254" s="110"/>
      <c r="KA254" s="110"/>
      <c r="KB254" s="110"/>
      <c r="KC254" s="110"/>
      <c r="KD254" s="110"/>
      <c r="KE254" s="110"/>
      <c r="KF254" s="110"/>
      <c r="KG254" s="110"/>
      <c r="KH254" s="110"/>
      <c r="KI254" s="110"/>
      <c r="KJ254" s="110"/>
      <c r="KK254" s="110"/>
      <c r="KL254" s="110"/>
      <c r="KM254" s="110"/>
      <c r="KN254" s="110"/>
    </row>
    <row r="255" spans="1:300" ht="19.2" customHeight="1" x14ac:dyDescent="0.3">
      <c r="A255" s="110"/>
      <c r="B255" s="110"/>
      <c r="C255" s="110"/>
      <c r="D255" s="110"/>
      <c r="E255" s="110"/>
      <c r="F255" s="110"/>
      <c r="G255" s="112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  <c r="GA255" s="110"/>
      <c r="GB255" s="110"/>
      <c r="GC255" s="110"/>
      <c r="GD255" s="110"/>
      <c r="GE255" s="110"/>
      <c r="GF255" s="110"/>
      <c r="GG255" s="110"/>
      <c r="GH255" s="110"/>
      <c r="GI255" s="110"/>
      <c r="GJ255" s="110"/>
      <c r="GK255" s="110"/>
      <c r="GL255" s="110"/>
      <c r="GM255" s="110"/>
      <c r="GN255" s="110"/>
      <c r="GO255" s="110"/>
      <c r="GP255" s="110"/>
      <c r="GQ255" s="110"/>
      <c r="GR255" s="110"/>
      <c r="GS255" s="110"/>
      <c r="GT255" s="110"/>
      <c r="GU255" s="110"/>
      <c r="GV255" s="110"/>
      <c r="GW255" s="110"/>
      <c r="GX255" s="110"/>
      <c r="GY255" s="110"/>
      <c r="GZ255" s="110"/>
      <c r="HA255" s="110"/>
      <c r="HB255" s="110"/>
      <c r="HC255" s="110"/>
      <c r="HD255" s="110"/>
      <c r="HE255" s="110"/>
      <c r="HF255" s="110"/>
      <c r="HG255" s="110"/>
      <c r="HH255" s="110"/>
      <c r="HI255" s="110"/>
      <c r="HJ255" s="110"/>
      <c r="HK255" s="110"/>
      <c r="HL255" s="110"/>
      <c r="HM255" s="110"/>
      <c r="HN255" s="110"/>
      <c r="HO255" s="110"/>
      <c r="HP255" s="110"/>
      <c r="HQ255" s="110"/>
      <c r="HR255" s="110"/>
      <c r="HS255" s="110"/>
      <c r="HT255" s="110"/>
      <c r="HU255" s="110"/>
      <c r="HV255" s="110"/>
      <c r="HW255" s="110"/>
      <c r="HX255" s="110"/>
      <c r="HY255" s="110"/>
      <c r="HZ255" s="110"/>
      <c r="IA255" s="110"/>
      <c r="IB255" s="110"/>
      <c r="IC255" s="110"/>
      <c r="ID255" s="110"/>
      <c r="IE255" s="110"/>
      <c r="IF255" s="110"/>
      <c r="IG255" s="110"/>
      <c r="IH255" s="110"/>
      <c r="II255" s="110"/>
      <c r="IJ255" s="110"/>
      <c r="IK255" s="110"/>
      <c r="IL255" s="110"/>
      <c r="IM255" s="110"/>
      <c r="IN255" s="110"/>
      <c r="IO255" s="110"/>
      <c r="IP255" s="110"/>
      <c r="IQ255" s="110"/>
      <c r="IR255" s="110"/>
      <c r="IS255" s="110"/>
      <c r="IT255" s="110"/>
      <c r="IU255" s="110"/>
      <c r="IV255" s="110"/>
      <c r="IW255" s="110"/>
      <c r="IX255" s="110"/>
      <c r="IY255" s="110"/>
      <c r="IZ255" s="110"/>
      <c r="JA255" s="110"/>
      <c r="JB255" s="110"/>
      <c r="JC255" s="110"/>
      <c r="JD255" s="110"/>
      <c r="JE255" s="110"/>
      <c r="JF255" s="110"/>
      <c r="JG255" s="110"/>
      <c r="JH255" s="110"/>
      <c r="JI255" s="110"/>
      <c r="JJ255" s="110"/>
      <c r="JK255" s="110"/>
      <c r="JL255" s="110"/>
      <c r="JM255" s="110"/>
      <c r="JN255" s="110"/>
      <c r="JO255" s="110"/>
      <c r="JP255" s="110"/>
      <c r="JQ255" s="110"/>
      <c r="JR255" s="110"/>
      <c r="JS255" s="110"/>
      <c r="JT255" s="110"/>
      <c r="JU255" s="110"/>
      <c r="JV255" s="110"/>
      <c r="JW255" s="110"/>
      <c r="JX255" s="110"/>
      <c r="JY255" s="110"/>
      <c r="JZ255" s="110"/>
      <c r="KA255" s="110"/>
      <c r="KB255" s="110"/>
      <c r="KC255" s="110"/>
      <c r="KD255" s="110"/>
      <c r="KE255" s="110"/>
      <c r="KF255" s="110"/>
      <c r="KG255" s="110"/>
      <c r="KH255" s="110"/>
      <c r="KI255" s="110"/>
      <c r="KJ255" s="110"/>
      <c r="KK255" s="110"/>
      <c r="KL255" s="110"/>
      <c r="KM255" s="110"/>
      <c r="KN255" s="110"/>
    </row>
    <row r="256" spans="1:300" ht="19.2" customHeight="1" x14ac:dyDescent="0.3">
      <c r="A256" s="110"/>
      <c r="B256" s="110"/>
      <c r="C256" s="110"/>
      <c r="D256" s="110"/>
      <c r="E256" s="110"/>
      <c r="F256" s="110"/>
      <c r="G256" s="112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  <c r="GA256" s="110"/>
      <c r="GB256" s="110"/>
      <c r="GC256" s="110"/>
      <c r="GD256" s="110"/>
      <c r="GE256" s="110"/>
      <c r="GF256" s="110"/>
      <c r="GG256" s="110"/>
      <c r="GH256" s="110"/>
      <c r="GI256" s="110"/>
      <c r="GJ256" s="110"/>
      <c r="GK256" s="110"/>
      <c r="GL256" s="110"/>
      <c r="GM256" s="110"/>
      <c r="GN256" s="110"/>
      <c r="GO256" s="110"/>
      <c r="GP256" s="110"/>
      <c r="GQ256" s="110"/>
      <c r="GR256" s="110"/>
      <c r="GS256" s="110"/>
      <c r="GT256" s="110"/>
      <c r="GU256" s="110"/>
      <c r="GV256" s="110"/>
      <c r="GW256" s="110"/>
      <c r="GX256" s="110"/>
      <c r="GY256" s="110"/>
      <c r="GZ256" s="110"/>
      <c r="HA256" s="110"/>
      <c r="HB256" s="110"/>
      <c r="HC256" s="110"/>
      <c r="HD256" s="110"/>
      <c r="HE256" s="110"/>
      <c r="HF256" s="110"/>
      <c r="HG256" s="110"/>
      <c r="HH256" s="110"/>
      <c r="HI256" s="110"/>
      <c r="HJ256" s="110"/>
      <c r="HK256" s="110"/>
      <c r="HL256" s="110"/>
      <c r="HM256" s="110"/>
      <c r="HN256" s="110"/>
      <c r="HO256" s="110"/>
      <c r="HP256" s="110"/>
      <c r="HQ256" s="110"/>
      <c r="HR256" s="110"/>
      <c r="HS256" s="110"/>
      <c r="HT256" s="110"/>
      <c r="HU256" s="110"/>
      <c r="HV256" s="110"/>
      <c r="HW256" s="110"/>
      <c r="HX256" s="110"/>
      <c r="HY256" s="110"/>
      <c r="HZ256" s="110"/>
      <c r="IA256" s="110"/>
      <c r="IB256" s="110"/>
      <c r="IC256" s="110"/>
      <c r="ID256" s="110"/>
      <c r="IE256" s="110"/>
      <c r="IF256" s="110"/>
      <c r="IG256" s="110"/>
      <c r="IH256" s="110"/>
      <c r="II256" s="110"/>
      <c r="IJ256" s="110"/>
      <c r="IK256" s="110"/>
      <c r="IL256" s="110"/>
      <c r="IM256" s="110"/>
      <c r="IN256" s="110"/>
      <c r="IO256" s="110"/>
      <c r="IP256" s="110"/>
      <c r="IQ256" s="110"/>
      <c r="IR256" s="110"/>
      <c r="IS256" s="110"/>
      <c r="IT256" s="110"/>
      <c r="IU256" s="110"/>
      <c r="IV256" s="110"/>
      <c r="IW256" s="110"/>
      <c r="IX256" s="110"/>
      <c r="IY256" s="110"/>
      <c r="IZ256" s="110"/>
      <c r="JA256" s="110"/>
      <c r="JB256" s="110"/>
      <c r="JC256" s="110"/>
      <c r="JD256" s="110"/>
      <c r="JE256" s="110"/>
      <c r="JF256" s="110"/>
      <c r="JG256" s="110"/>
      <c r="JH256" s="110"/>
      <c r="JI256" s="110"/>
      <c r="JJ256" s="110"/>
      <c r="JK256" s="110"/>
      <c r="JL256" s="110"/>
      <c r="JM256" s="110"/>
      <c r="JN256" s="110"/>
      <c r="JO256" s="110"/>
      <c r="JP256" s="110"/>
      <c r="JQ256" s="110"/>
      <c r="JR256" s="110"/>
      <c r="JS256" s="110"/>
      <c r="JT256" s="110"/>
      <c r="JU256" s="110"/>
      <c r="JV256" s="110"/>
      <c r="JW256" s="110"/>
      <c r="JX256" s="110"/>
      <c r="JY256" s="110"/>
      <c r="JZ256" s="110"/>
      <c r="KA256" s="110"/>
      <c r="KB256" s="110"/>
      <c r="KC256" s="110"/>
      <c r="KD256" s="110"/>
      <c r="KE256" s="110"/>
      <c r="KF256" s="110"/>
      <c r="KG256" s="110"/>
      <c r="KH256" s="110"/>
      <c r="KI256" s="110"/>
      <c r="KJ256" s="110"/>
      <c r="KK256" s="110"/>
      <c r="KL256" s="110"/>
      <c r="KM256" s="110"/>
      <c r="KN256" s="110"/>
    </row>
    <row r="257" spans="1:300" ht="19.2" customHeight="1" x14ac:dyDescent="0.3">
      <c r="A257" s="110"/>
      <c r="B257" s="110"/>
      <c r="C257" s="110"/>
      <c r="D257" s="110"/>
      <c r="E257" s="110"/>
      <c r="F257" s="110"/>
      <c r="G257" s="112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  <c r="GA257" s="110"/>
      <c r="GB257" s="110"/>
      <c r="GC257" s="110"/>
      <c r="GD257" s="110"/>
      <c r="GE257" s="110"/>
      <c r="GF257" s="110"/>
      <c r="GG257" s="110"/>
      <c r="GH257" s="110"/>
      <c r="GI257" s="110"/>
      <c r="GJ257" s="110"/>
      <c r="GK257" s="110"/>
      <c r="GL257" s="110"/>
      <c r="GM257" s="110"/>
      <c r="GN257" s="110"/>
      <c r="GO257" s="110"/>
      <c r="GP257" s="110"/>
      <c r="GQ257" s="110"/>
      <c r="GR257" s="110"/>
      <c r="GS257" s="110"/>
      <c r="GT257" s="110"/>
      <c r="GU257" s="110"/>
      <c r="GV257" s="110"/>
      <c r="GW257" s="110"/>
      <c r="GX257" s="110"/>
      <c r="GY257" s="110"/>
      <c r="GZ257" s="110"/>
      <c r="HA257" s="110"/>
      <c r="HB257" s="110"/>
      <c r="HC257" s="110"/>
      <c r="HD257" s="110"/>
      <c r="HE257" s="110"/>
      <c r="HF257" s="110"/>
      <c r="HG257" s="110"/>
      <c r="HH257" s="110"/>
      <c r="HI257" s="110"/>
      <c r="HJ257" s="110"/>
      <c r="HK257" s="110"/>
      <c r="HL257" s="110"/>
      <c r="HM257" s="110"/>
      <c r="HN257" s="110"/>
      <c r="HO257" s="110"/>
      <c r="HP257" s="110"/>
      <c r="HQ257" s="110"/>
      <c r="HR257" s="110"/>
      <c r="HS257" s="110"/>
      <c r="HT257" s="110"/>
      <c r="HU257" s="110"/>
      <c r="HV257" s="110"/>
      <c r="HW257" s="110"/>
      <c r="HX257" s="110"/>
      <c r="HY257" s="110"/>
      <c r="HZ257" s="110"/>
      <c r="IA257" s="110"/>
      <c r="IB257" s="110"/>
      <c r="IC257" s="110"/>
      <c r="ID257" s="110"/>
      <c r="IE257" s="110"/>
      <c r="IF257" s="110"/>
      <c r="IG257" s="110"/>
      <c r="IH257" s="110"/>
      <c r="II257" s="110"/>
      <c r="IJ257" s="110"/>
      <c r="IK257" s="110"/>
      <c r="IL257" s="110"/>
      <c r="IM257" s="110"/>
      <c r="IN257" s="110"/>
      <c r="IO257" s="110"/>
      <c r="IP257" s="110"/>
      <c r="IQ257" s="110"/>
      <c r="IR257" s="110"/>
      <c r="IS257" s="110"/>
      <c r="IT257" s="110"/>
      <c r="IU257" s="110"/>
      <c r="IV257" s="110"/>
      <c r="IW257" s="110"/>
      <c r="IX257" s="110"/>
      <c r="IY257" s="110"/>
      <c r="IZ257" s="110"/>
      <c r="JA257" s="110"/>
      <c r="JB257" s="110"/>
      <c r="JC257" s="110"/>
      <c r="JD257" s="110"/>
      <c r="JE257" s="110"/>
      <c r="JF257" s="110"/>
      <c r="JG257" s="110"/>
      <c r="JH257" s="110"/>
      <c r="JI257" s="110"/>
      <c r="JJ257" s="110"/>
      <c r="JK257" s="110"/>
      <c r="JL257" s="110"/>
      <c r="JM257" s="110"/>
      <c r="JN257" s="110"/>
      <c r="JO257" s="110"/>
      <c r="JP257" s="110"/>
      <c r="JQ257" s="110"/>
      <c r="JR257" s="110"/>
      <c r="JS257" s="110"/>
      <c r="JT257" s="110"/>
      <c r="JU257" s="110"/>
      <c r="JV257" s="110"/>
      <c r="JW257" s="110"/>
      <c r="JX257" s="110"/>
      <c r="JY257" s="110"/>
      <c r="JZ257" s="110"/>
      <c r="KA257" s="110"/>
      <c r="KB257" s="110"/>
      <c r="KC257" s="110"/>
      <c r="KD257" s="110"/>
      <c r="KE257" s="110"/>
      <c r="KF257" s="110"/>
      <c r="KG257" s="110"/>
      <c r="KH257" s="110"/>
      <c r="KI257" s="110"/>
      <c r="KJ257" s="110"/>
      <c r="KK257" s="110"/>
      <c r="KL257" s="110"/>
      <c r="KM257" s="110"/>
      <c r="KN257" s="110"/>
    </row>
    <row r="258" spans="1:300" ht="19.2" customHeight="1" x14ac:dyDescent="0.3">
      <c r="A258" s="110"/>
      <c r="B258" s="110"/>
      <c r="C258" s="110"/>
      <c r="D258" s="110"/>
      <c r="E258" s="110"/>
      <c r="F258" s="110"/>
      <c r="G258" s="112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  <c r="GA258" s="110"/>
      <c r="GB258" s="110"/>
      <c r="GC258" s="110"/>
      <c r="GD258" s="110"/>
      <c r="GE258" s="110"/>
      <c r="GF258" s="110"/>
      <c r="GG258" s="110"/>
      <c r="GH258" s="110"/>
      <c r="GI258" s="110"/>
      <c r="GJ258" s="110"/>
      <c r="GK258" s="110"/>
      <c r="GL258" s="110"/>
      <c r="GM258" s="110"/>
      <c r="GN258" s="110"/>
      <c r="GO258" s="110"/>
      <c r="GP258" s="110"/>
      <c r="GQ258" s="110"/>
      <c r="GR258" s="110"/>
      <c r="GS258" s="110"/>
      <c r="GT258" s="110"/>
      <c r="GU258" s="110"/>
      <c r="GV258" s="110"/>
      <c r="GW258" s="110"/>
      <c r="GX258" s="110"/>
      <c r="GY258" s="110"/>
      <c r="GZ258" s="110"/>
      <c r="HA258" s="110"/>
      <c r="HB258" s="110"/>
      <c r="HC258" s="110"/>
      <c r="HD258" s="110"/>
      <c r="HE258" s="110"/>
      <c r="HF258" s="110"/>
      <c r="HG258" s="110"/>
      <c r="HH258" s="110"/>
      <c r="HI258" s="110"/>
      <c r="HJ258" s="110"/>
      <c r="HK258" s="110"/>
      <c r="HL258" s="110"/>
      <c r="HM258" s="110"/>
      <c r="HN258" s="110"/>
      <c r="HO258" s="110"/>
      <c r="HP258" s="110"/>
      <c r="HQ258" s="110"/>
      <c r="HR258" s="110"/>
      <c r="HS258" s="110"/>
      <c r="HT258" s="110"/>
      <c r="HU258" s="110"/>
      <c r="HV258" s="110"/>
      <c r="HW258" s="110"/>
      <c r="HX258" s="110"/>
      <c r="HY258" s="110"/>
      <c r="HZ258" s="110"/>
      <c r="IA258" s="110"/>
      <c r="IB258" s="110"/>
      <c r="IC258" s="110"/>
      <c r="ID258" s="110"/>
      <c r="IE258" s="110"/>
      <c r="IF258" s="110"/>
      <c r="IG258" s="110"/>
      <c r="IH258" s="110"/>
      <c r="II258" s="110"/>
      <c r="IJ258" s="110"/>
      <c r="IK258" s="110"/>
      <c r="IL258" s="110"/>
      <c r="IM258" s="110"/>
      <c r="IN258" s="110"/>
      <c r="IO258" s="110"/>
      <c r="IP258" s="110"/>
      <c r="IQ258" s="110"/>
      <c r="IR258" s="110"/>
      <c r="IS258" s="110"/>
      <c r="IT258" s="110"/>
      <c r="IU258" s="110"/>
      <c r="IV258" s="110"/>
      <c r="IW258" s="110"/>
      <c r="IX258" s="110"/>
      <c r="IY258" s="110"/>
      <c r="IZ258" s="110"/>
      <c r="JA258" s="110"/>
      <c r="JB258" s="110"/>
      <c r="JC258" s="110"/>
      <c r="JD258" s="110"/>
      <c r="JE258" s="110"/>
      <c r="JF258" s="110"/>
      <c r="JG258" s="110"/>
      <c r="JH258" s="110"/>
      <c r="JI258" s="110"/>
      <c r="JJ258" s="110"/>
      <c r="JK258" s="110"/>
      <c r="JL258" s="110"/>
      <c r="JM258" s="110"/>
      <c r="JN258" s="110"/>
      <c r="JO258" s="110"/>
      <c r="JP258" s="110"/>
      <c r="JQ258" s="110"/>
      <c r="JR258" s="110"/>
      <c r="JS258" s="110"/>
      <c r="JT258" s="110"/>
      <c r="JU258" s="110"/>
      <c r="JV258" s="110"/>
      <c r="JW258" s="110"/>
      <c r="JX258" s="110"/>
      <c r="JY258" s="110"/>
      <c r="JZ258" s="110"/>
      <c r="KA258" s="110"/>
      <c r="KB258" s="110"/>
      <c r="KC258" s="110"/>
      <c r="KD258" s="110"/>
      <c r="KE258" s="110"/>
      <c r="KF258" s="110"/>
      <c r="KG258" s="110"/>
      <c r="KH258" s="110"/>
      <c r="KI258" s="110"/>
      <c r="KJ258" s="110"/>
      <c r="KK258" s="110"/>
      <c r="KL258" s="110"/>
      <c r="KM258" s="110"/>
      <c r="KN258" s="110"/>
    </row>
    <row r="259" spans="1:300" ht="19.2" customHeight="1" x14ac:dyDescent="0.3">
      <c r="A259" s="110"/>
      <c r="B259" s="110"/>
      <c r="C259" s="110"/>
      <c r="D259" s="110"/>
      <c r="E259" s="110"/>
      <c r="F259" s="110"/>
      <c r="G259" s="112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  <c r="GA259" s="110"/>
      <c r="GB259" s="110"/>
      <c r="GC259" s="110"/>
      <c r="GD259" s="110"/>
      <c r="GE259" s="110"/>
      <c r="GF259" s="110"/>
      <c r="GG259" s="110"/>
      <c r="GH259" s="110"/>
      <c r="GI259" s="110"/>
      <c r="GJ259" s="110"/>
      <c r="GK259" s="110"/>
      <c r="GL259" s="110"/>
      <c r="GM259" s="110"/>
      <c r="GN259" s="110"/>
      <c r="GO259" s="110"/>
      <c r="GP259" s="110"/>
      <c r="GQ259" s="110"/>
      <c r="GR259" s="110"/>
      <c r="GS259" s="110"/>
      <c r="GT259" s="110"/>
      <c r="GU259" s="110"/>
      <c r="GV259" s="110"/>
      <c r="GW259" s="110"/>
      <c r="GX259" s="110"/>
      <c r="GY259" s="110"/>
      <c r="GZ259" s="110"/>
      <c r="HA259" s="110"/>
      <c r="HB259" s="110"/>
      <c r="HC259" s="110"/>
      <c r="HD259" s="110"/>
      <c r="HE259" s="110"/>
      <c r="HF259" s="110"/>
      <c r="HG259" s="110"/>
      <c r="HH259" s="110"/>
      <c r="HI259" s="110"/>
      <c r="HJ259" s="110"/>
      <c r="HK259" s="110"/>
      <c r="HL259" s="110"/>
      <c r="HM259" s="110"/>
      <c r="HN259" s="110"/>
      <c r="HO259" s="110"/>
      <c r="HP259" s="110"/>
      <c r="HQ259" s="110"/>
      <c r="HR259" s="110"/>
      <c r="HS259" s="110"/>
      <c r="HT259" s="110"/>
      <c r="HU259" s="110"/>
      <c r="HV259" s="110"/>
      <c r="HW259" s="110"/>
      <c r="HX259" s="110"/>
      <c r="HY259" s="110"/>
      <c r="HZ259" s="110"/>
      <c r="IA259" s="110"/>
      <c r="IB259" s="110"/>
      <c r="IC259" s="110"/>
      <c r="ID259" s="110"/>
      <c r="IE259" s="110"/>
      <c r="IF259" s="110"/>
      <c r="IG259" s="110"/>
      <c r="IH259" s="110"/>
      <c r="II259" s="110"/>
      <c r="IJ259" s="110"/>
      <c r="IK259" s="110"/>
      <c r="IL259" s="110"/>
      <c r="IM259" s="110"/>
      <c r="IN259" s="110"/>
      <c r="IO259" s="110"/>
      <c r="IP259" s="110"/>
      <c r="IQ259" s="110"/>
      <c r="IR259" s="110"/>
      <c r="IS259" s="110"/>
      <c r="IT259" s="110"/>
      <c r="IU259" s="110"/>
      <c r="IV259" s="110"/>
      <c r="IW259" s="110"/>
      <c r="IX259" s="110"/>
      <c r="IY259" s="110"/>
      <c r="IZ259" s="110"/>
      <c r="JA259" s="110"/>
      <c r="JB259" s="110"/>
      <c r="JC259" s="110"/>
      <c r="JD259" s="110"/>
      <c r="JE259" s="110"/>
      <c r="JF259" s="110"/>
      <c r="JG259" s="110"/>
      <c r="JH259" s="110"/>
      <c r="JI259" s="110"/>
      <c r="JJ259" s="110"/>
      <c r="JK259" s="110"/>
      <c r="JL259" s="110"/>
      <c r="JM259" s="110"/>
      <c r="JN259" s="110"/>
      <c r="JO259" s="110"/>
      <c r="JP259" s="110"/>
      <c r="JQ259" s="110"/>
      <c r="JR259" s="110"/>
      <c r="JS259" s="110"/>
      <c r="JT259" s="110"/>
      <c r="JU259" s="110"/>
      <c r="JV259" s="110"/>
      <c r="JW259" s="110"/>
      <c r="JX259" s="110"/>
      <c r="JY259" s="110"/>
      <c r="JZ259" s="110"/>
      <c r="KA259" s="110"/>
      <c r="KB259" s="110"/>
      <c r="KC259" s="110"/>
      <c r="KD259" s="110"/>
      <c r="KE259" s="110"/>
      <c r="KF259" s="110"/>
      <c r="KG259" s="110"/>
      <c r="KH259" s="110"/>
      <c r="KI259" s="110"/>
      <c r="KJ259" s="110"/>
      <c r="KK259" s="110"/>
      <c r="KL259" s="110"/>
      <c r="KM259" s="110"/>
      <c r="KN259" s="110"/>
    </row>
    <row r="260" spans="1:300" ht="19.2" customHeight="1" x14ac:dyDescent="0.3">
      <c r="A260" s="110"/>
      <c r="B260" s="110"/>
      <c r="C260" s="110"/>
      <c r="D260" s="110"/>
      <c r="E260" s="110"/>
      <c r="F260" s="110"/>
      <c r="G260" s="112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  <c r="GA260" s="110"/>
      <c r="GB260" s="110"/>
      <c r="GC260" s="110"/>
      <c r="GD260" s="110"/>
      <c r="GE260" s="110"/>
      <c r="GF260" s="110"/>
      <c r="GG260" s="110"/>
      <c r="GH260" s="110"/>
      <c r="GI260" s="110"/>
      <c r="GJ260" s="110"/>
      <c r="GK260" s="110"/>
      <c r="GL260" s="110"/>
      <c r="GM260" s="110"/>
      <c r="GN260" s="110"/>
      <c r="GO260" s="110"/>
      <c r="GP260" s="110"/>
      <c r="GQ260" s="110"/>
      <c r="GR260" s="110"/>
      <c r="GS260" s="110"/>
      <c r="GT260" s="110"/>
      <c r="GU260" s="110"/>
      <c r="GV260" s="110"/>
      <c r="GW260" s="110"/>
      <c r="GX260" s="110"/>
      <c r="GY260" s="110"/>
      <c r="GZ260" s="110"/>
      <c r="HA260" s="110"/>
      <c r="HB260" s="110"/>
      <c r="HC260" s="110"/>
      <c r="HD260" s="110"/>
      <c r="HE260" s="110"/>
      <c r="HF260" s="110"/>
      <c r="HG260" s="110"/>
      <c r="HH260" s="110"/>
      <c r="HI260" s="110"/>
      <c r="HJ260" s="110"/>
      <c r="HK260" s="110"/>
      <c r="HL260" s="110"/>
      <c r="HM260" s="110"/>
      <c r="HN260" s="110"/>
      <c r="HO260" s="110"/>
      <c r="HP260" s="110"/>
      <c r="HQ260" s="110"/>
      <c r="HR260" s="110"/>
      <c r="HS260" s="110"/>
      <c r="HT260" s="110"/>
      <c r="HU260" s="110"/>
      <c r="HV260" s="110"/>
      <c r="HW260" s="110"/>
      <c r="HX260" s="110"/>
      <c r="HY260" s="110"/>
      <c r="HZ260" s="110"/>
      <c r="IA260" s="110"/>
      <c r="IB260" s="110"/>
      <c r="IC260" s="110"/>
      <c r="ID260" s="110"/>
      <c r="IE260" s="110"/>
      <c r="IF260" s="110"/>
      <c r="IG260" s="110"/>
      <c r="IH260" s="110"/>
      <c r="II260" s="110"/>
      <c r="IJ260" s="110"/>
      <c r="IK260" s="110"/>
      <c r="IL260" s="110"/>
      <c r="IM260" s="110"/>
      <c r="IN260" s="110"/>
      <c r="IO260" s="110"/>
      <c r="IP260" s="110"/>
      <c r="IQ260" s="110"/>
      <c r="IR260" s="110"/>
      <c r="IS260" s="110"/>
      <c r="IT260" s="110"/>
      <c r="IU260" s="110"/>
      <c r="IV260" s="110"/>
      <c r="IW260" s="110"/>
      <c r="IX260" s="110"/>
      <c r="IY260" s="110"/>
      <c r="IZ260" s="110"/>
      <c r="JA260" s="110"/>
      <c r="JB260" s="110"/>
      <c r="JC260" s="110"/>
      <c r="JD260" s="110"/>
      <c r="JE260" s="110"/>
      <c r="JF260" s="110"/>
      <c r="JG260" s="110"/>
      <c r="JH260" s="110"/>
      <c r="JI260" s="110"/>
      <c r="JJ260" s="110"/>
      <c r="JK260" s="110"/>
      <c r="JL260" s="110"/>
      <c r="JM260" s="110"/>
      <c r="JN260" s="110"/>
      <c r="JO260" s="110"/>
      <c r="JP260" s="110"/>
      <c r="JQ260" s="110"/>
      <c r="JR260" s="110"/>
      <c r="JS260" s="110"/>
      <c r="JT260" s="110"/>
      <c r="JU260" s="110"/>
      <c r="JV260" s="110"/>
      <c r="JW260" s="110"/>
      <c r="JX260" s="110"/>
      <c r="JY260" s="110"/>
      <c r="JZ260" s="110"/>
      <c r="KA260" s="110"/>
      <c r="KB260" s="110"/>
      <c r="KC260" s="110"/>
      <c r="KD260" s="110"/>
      <c r="KE260" s="110"/>
      <c r="KF260" s="110"/>
      <c r="KG260" s="110"/>
      <c r="KH260" s="110"/>
      <c r="KI260" s="110"/>
      <c r="KJ260" s="110"/>
      <c r="KK260" s="110"/>
      <c r="KL260" s="110"/>
      <c r="KM260" s="110"/>
      <c r="KN260" s="110"/>
    </row>
    <row r="261" spans="1:300" ht="19.2" customHeight="1" x14ac:dyDescent="0.3">
      <c r="A261" s="110"/>
      <c r="B261" s="110"/>
      <c r="C261" s="110"/>
      <c r="D261" s="110"/>
      <c r="E261" s="110"/>
      <c r="F261" s="110"/>
      <c r="G261" s="112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  <c r="GA261" s="110"/>
      <c r="GB261" s="110"/>
      <c r="GC261" s="110"/>
      <c r="GD261" s="110"/>
      <c r="GE261" s="110"/>
      <c r="GF261" s="110"/>
      <c r="GG261" s="110"/>
      <c r="GH261" s="110"/>
      <c r="GI261" s="110"/>
      <c r="GJ261" s="110"/>
      <c r="GK261" s="110"/>
      <c r="GL261" s="110"/>
      <c r="GM261" s="110"/>
      <c r="GN261" s="110"/>
      <c r="GO261" s="110"/>
      <c r="GP261" s="110"/>
      <c r="GQ261" s="110"/>
      <c r="GR261" s="110"/>
      <c r="GS261" s="110"/>
      <c r="GT261" s="110"/>
      <c r="GU261" s="110"/>
      <c r="GV261" s="110"/>
      <c r="GW261" s="110"/>
      <c r="GX261" s="110"/>
      <c r="GY261" s="110"/>
      <c r="GZ261" s="110"/>
      <c r="HA261" s="110"/>
      <c r="HB261" s="110"/>
      <c r="HC261" s="110"/>
      <c r="HD261" s="110"/>
      <c r="HE261" s="110"/>
      <c r="HF261" s="110"/>
      <c r="HG261" s="110"/>
      <c r="HH261" s="110"/>
      <c r="HI261" s="110"/>
      <c r="HJ261" s="110"/>
      <c r="HK261" s="110"/>
      <c r="HL261" s="110"/>
      <c r="HM261" s="110"/>
      <c r="HN261" s="110"/>
      <c r="HO261" s="110"/>
      <c r="HP261" s="110"/>
      <c r="HQ261" s="110"/>
      <c r="HR261" s="110"/>
      <c r="HS261" s="110"/>
      <c r="HT261" s="110"/>
      <c r="HU261" s="110"/>
      <c r="HV261" s="110"/>
      <c r="HW261" s="110"/>
      <c r="HX261" s="110"/>
      <c r="HY261" s="110"/>
      <c r="HZ261" s="110"/>
      <c r="IA261" s="110"/>
      <c r="IB261" s="110"/>
      <c r="IC261" s="110"/>
      <c r="ID261" s="110"/>
      <c r="IE261" s="110"/>
      <c r="IF261" s="110"/>
      <c r="IG261" s="110"/>
      <c r="IH261" s="110"/>
      <c r="II261" s="110"/>
      <c r="IJ261" s="110"/>
      <c r="IK261" s="110"/>
      <c r="IL261" s="110"/>
      <c r="IM261" s="110"/>
      <c r="IN261" s="110"/>
      <c r="IO261" s="110"/>
      <c r="IP261" s="110"/>
      <c r="IQ261" s="110"/>
      <c r="IR261" s="110"/>
      <c r="IS261" s="110"/>
      <c r="IT261" s="110"/>
      <c r="IU261" s="110"/>
      <c r="IV261" s="110"/>
      <c r="IW261" s="110"/>
      <c r="IX261" s="110"/>
      <c r="IY261" s="110"/>
      <c r="IZ261" s="110"/>
      <c r="JA261" s="110"/>
      <c r="JB261" s="110"/>
      <c r="JC261" s="110"/>
      <c r="JD261" s="110"/>
      <c r="JE261" s="110"/>
      <c r="JF261" s="110"/>
      <c r="JG261" s="110"/>
      <c r="JH261" s="110"/>
      <c r="JI261" s="110"/>
      <c r="JJ261" s="110"/>
      <c r="JK261" s="110"/>
      <c r="JL261" s="110"/>
      <c r="JM261" s="110"/>
      <c r="JN261" s="110"/>
      <c r="JO261" s="110"/>
      <c r="JP261" s="110"/>
      <c r="JQ261" s="110"/>
      <c r="JR261" s="110"/>
      <c r="JS261" s="110"/>
      <c r="JT261" s="110"/>
      <c r="JU261" s="110"/>
      <c r="JV261" s="110"/>
      <c r="JW261" s="110"/>
      <c r="JX261" s="110"/>
      <c r="JY261" s="110"/>
      <c r="JZ261" s="110"/>
      <c r="KA261" s="110"/>
      <c r="KB261" s="110"/>
      <c r="KC261" s="110"/>
      <c r="KD261" s="110"/>
      <c r="KE261" s="110"/>
      <c r="KF261" s="110"/>
      <c r="KG261" s="110"/>
      <c r="KH261" s="110"/>
      <c r="KI261" s="110"/>
      <c r="KJ261" s="110"/>
      <c r="KK261" s="110"/>
      <c r="KL261" s="110"/>
      <c r="KM261" s="110"/>
      <c r="KN261" s="110"/>
    </row>
    <row r="262" spans="1:300" ht="19.2" customHeight="1" x14ac:dyDescent="0.3">
      <c r="A262" s="110"/>
      <c r="B262" s="110"/>
      <c r="C262" s="110"/>
      <c r="D262" s="110"/>
      <c r="E262" s="110"/>
      <c r="F262" s="110"/>
      <c r="G262" s="112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  <c r="GA262" s="110"/>
      <c r="GB262" s="110"/>
      <c r="GC262" s="110"/>
      <c r="GD262" s="110"/>
      <c r="GE262" s="110"/>
      <c r="GF262" s="110"/>
      <c r="GG262" s="110"/>
      <c r="GH262" s="110"/>
      <c r="GI262" s="110"/>
      <c r="GJ262" s="110"/>
      <c r="GK262" s="110"/>
      <c r="GL262" s="110"/>
      <c r="GM262" s="110"/>
      <c r="GN262" s="110"/>
      <c r="GO262" s="110"/>
      <c r="GP262" s="110"/>
      <c r="GQ262" s="110"/>
      <c r="GR262" s="110"/>
      <c r="GS262" s="110"/>
      <c r="GT262" s="110"/>
      <c r="GU262" s="110"/>
      <c r="GV262" s="110"/>
      <c r="GW262" s="110"/>
      <c r="GX262" s="110"/>
      <c r="GY262" s="110"/>
      <c r="GZ262" s="110"/>
      <c r="HA262" s="110"/>
      <c r="HB262" s="110"/>
      <c r="HC262" s="110"/>
      <c r="HD262" s="110"/>
      <c r="HE262" s="110"/>
      <c r="HF262" s="110"/>
      <c r="HG262" s="110"/>
      <c r="HH262" s="110"/>
      <c r="HI262" s="110"/>
      <c r="HJ262" s="110"/>
      <c r="HK262" s="110"/>
      <c r="HL262" s="110"/>
      <c r="HM262" s="110"/>
      <c r="HN262" s="110"/>
      <c r="HO262" s="110"/>
      <c r="HP262" s="110"/>
      <c r="HQ262" s="110"/>
      <c r="HR262" s="110"/>
      <c r="HS262" s="110"/>
      <c r="HT262" s="110"/>
      <c r="HU262" s="110"/>
      <c r="HV262" s="110"/>
      <c r="HW262" s="110"/>
      <c r="HX262" s="110"/>
      <c r="HY262" s="110"/>
      <c r="HZ262" s="110"/>
      <c r="IA262" s="110"/>
      <c r="IB262" s="110"/>
      <c r="IC262" s="110"/>
      <c r="ID262" s="110"/>
      <c r="IE262" s="110"/>
      <c r="IF262" s="110"/>
      <c r="IG262" s="110"/>
      <c r="IH262" s="110"/>
      <c r="II262" s="110"/>
      <c r="IJ262" s="110"/>
      <c r="IK262" s="110"/>
      <c r="IL262" s="110"/>
      <c r="IM262" s="110"/>
      <c r="IN262" s="110"/>
      <c r="IO262" s="110"/>
      <c r="IP262" s="110"/>
      <c r="IQ262" s="110"/>
      <c r="IR262" s="110"/>
      <c r="IS262" s="110"/>
      <c r="IT262" s="110"/>
      <c r="IU262" s="110"/>
      <c r="IV262" s="110"/>
      <c r="IW262" s="110"/>
      <c r="IX262" s="110"/>
      <c r="IY262" s="110"/>
      <c r="IZ262" s="110"/>
      <c r="JA262" s="110"/>
      <c r="JB262" s="110"/>
      <c r="JC262" s="110"/>
      <c r="JD262" s="110"/>
      <c r="JE262" s="110"/>
      <c r="JF262" s="110"/>
      <c r="JG262" s="110"/>
      <c r="JH262" s="110"/>
      <c r="JI262" s="110"/>
      <c r="JJ262" s="110"/>
      <c r="JK262" s="110"/>
      <c r="JL262" s="110"/>
      <c r="JM262" s="110"/>
      <c r="JN262" s="110"/>
      <c r="JO262" s="110"/>
      <c r="JP262" s="110"/>
      <c r="JQ262" s="110"/>
      <c r="JR262" s="110"/>
      <c r="JS262" s="110"/>
      <c r="JT262" s="110"/>
      <c r="JU262" s="110"/>
      <c r="JV262" s="110"/>
      <c r="JW262" s="110"/>
      <c r="JX262" s="110"/>
      <c r="JY262" s="110"/>
      <c r="JZ262" s="110"/>
      <c r="KA262" s="110"/>
      <c r="KB262" s="110"/>
      <c r="KC262" s="110"/>
      <c r="KD262" s="110"/>
      <c r="KE262" s="110"/>
      <c r="KF262" s="110"/>
      <c r="KG262" s="110"/>
      <c r="KH262" s="110"/>
      <c r="KI262" s="110"/>
      <c r="KJ262" s="110"/>
      <c r="KK262" s="110"/>
      <c r="KL262" s="110"/>
      <c r="KM262" s="110"/>
      <c r="KN262" s="110"/>
    </row>
    <row r="263" spans="1:300" ht="19.2" customHeight="1" x14ac:dyDescent="0.3">
      <c r="A263" s="110"/>
      <c r="B263" s="110"/>
      <c r="C263" s="110"/>
      <c r="D263" s="110"/>
      <c r="E263" s="110"/>
      <c r="F263" s="110"/>
      <c r="G263" s="112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  <c r="GA263" s="110"/>
      <c r="GB263" s="110"/>
      <c r="GC263" s="110"/>
      <c r="GD263" s="110"/>
      <c r="GE263" s="110"/>
      <c r="GF263" s="110"/>
      <c r="GG263" s="110"/>
      <c r="GH263" s="110"/>
      <c r="GI263" s="110"/>
      <c r="GJ263" s="110"/>
      <c r="GK263" s="110"/>
      <c r="GL263" s="110"/>
      <c r="GM263" s="110"/>
      <c r="GN263" s="110"/>
      <c r="GO263" s="110"/>
      <c r="GP263" s="110"/>
      <c r="GQ263" s="110"/>
      <c r="GR263" s="110"/>
      <c r="GS263" s="110"/>
      <c r="GT263" s="110"/>
      <c r="GU263" s="110"/>
      <c r="GV263" s="110"/>
      <c r="GW263" s="110"/>
      <c r="GX263" s="110"/>
      <c r="GY263" s="110"/>
      <c r="GZ263" s="110"/>
      <c r="HA263" s="110"/>
      <c r="HB263" s="110"/>
      <c r="HC263" s="110"/>
      <c r="HD263" s="110"/>
      <c r="HE263" s="110"/>
      <c r="HF263" s="110"/>
      <c r="HG263" s="110"/>
      <c r="HH263" s="110"/>
      <c r="HI263" s="110"/>
      <c r="HJ263" s="110"/>
      <c r="HK263" s="110"/>
      <c r="HL263" s="110"/>
      <c r="HM263" s="110"/>
      <c r="HN263" s="110"/>
      <c r="HO263" s="110"/>
      <c r="HP263" s="110"/>
      <c r="HQ263" s="110"/>
      <c r="HR263" s="110"/>
      <c r="HS263" s="110"/>
      <c r="HT263" s="110"/>
      <c r="HU263" s="110"/>
      <c r="HV263" s="110"/>
      <c r="HW263" s="110"/>
      <c r="HX263" s="110"/>
      <c r="HY263" s="110"/>
      <c r="HZ263" s="110"/>
      <c r="IA263" s="110"/>
      <c r="IB263" s="110"/>
      <c r="IC263" s="110"/>
      <c r="ID263" s="110"/>
      <c r="IE263" s="110"/>
      <c r="IF263" s="110"/>
      <c r="IG263" s="110"/>
      <c r="IH263" s="110"/>
      <c r="II263" s="110"/>
      <c r="IJ263" s="110"/>
      <c r="IK263" s="110"/>
      <c r="IL263" s="110"/>
      <c r="IM263" s="110"/>
      <c r="IN263" s="110"/>
      <c r="IO263" s="110"/>
      <c r="IP263" s="110"/>
      <c r="IQ263" s="110"/>
      <c r="IR263" s="110"/>
      <c r="IS263" s="110"/>
      <c r="IT263" s="110"/>
      <c r="IU263" s="110"/>
      <c r="IV263" s="110"/>
      <c r="IW263" s="110"/>
      <c r="IX263" s="110"/>
      <c r="IY263" s="110"/>
      <c r="IZ263" s="110"/>
      <c r="JA263" s="110"/>
      <c r="JB263" s="110"/>
      <c r="JC263" s="110"/>
      <c r="JD263" s="110"/>
      <c r="JE263" s="110"/>
      <c r="JF263" s="110"/>
      <c r="JG263" s="110"/>
      <c r="JH263" s="110"/>
      <c r="JI263" s="110"/>
      <c r="JJ263" s="110"/>
      <c r="JK263" s="110"/>
      <c r="JL263" s="110"/>
      <c r="JM263" s="110"/>
      <c r="JN263" s="110"/>
      <c r="JO263" s="110"/>
      <c r="JP263" s="110"/>
      <c r="JQ263" s="110"/>
      <c r="JR263" s="110"/>
      <c r="JS263" s="110"/>
      <c r="JT263" s="110"/>
      <c r="JU263" s="110"/>
      <c r="JV263" s="110"/>
      <c r="JW263" s="110"/>
      <c r="JX263" s="110"/>
      <c r="JY263" s="110"/>
      <c r="JZ263" s="110"/>
      <c r="KA263" s="110"/>
      <c r="KB263" s="110"/>
      <c r="KC263" s="110"/>
      <c r="KD263" s="110"/>
      <c r="KE263" s="110"/>
      <c r="KF263" s="110"/>
      <c r="KG263" s="110"/>
      <c r="KH263" s="110"/>
      <c r="KI263" s="110"/>
      <c r="KJ263" s="110"/>
      <c r="KK263" s="110"/>
      <c r="KL263" s="110"/>
      <c r="KM263" s="110"/>
      <c r="KN263" s="110"/>
    </row>
    <row r="264" spans="1:300" ht="19.2" customHeight="1" x14ac:dyDescent="0.3">
      <c r="A264" s="110"/>
      <c r="B264" s="110"/>
      <c r="C264" s="110"/>
      <c r="D264" s="110"/>
      <c r="E264" s="110"/>
      <c r="F264" s="110"/>
      <c r="G264" s="112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  <c r="GA264" s="110"/>
      <c r="GB264" s="110"/>
      <c r="GC264" s="110"/>
      <c r="GD264" s="110"/>
      <c r="GE264" s="110"/>
      <c r="GF264" s="110"/>
      <c r="GG264" s="110"/>
      <c r="GH264" s="110"/>
      <c r="GI264" s="110"/>
      <c r="GJ264" s="110"/>
      <c r="GK264" s="110"/>
      <c r="GL264" s="110"/>
      <c r="GM264" s="110"/>
      <c r="GN264" s="110"/>
      <c r="GO264" s="110"/>
      <c r="GP264" s="110"/>
      <c r="GQ264" s="110"/>
      <c r="GR264" s="110"/>
      <c r="GS264" s="110"/>
      <c r="GT264" s="110"/>
      <c r="GU264" s="110"/>
      <c r="GV264" s="110"/>
      <c r="GW264" s="110"/>
      <c r="GX264" s="110"/>
      <c r="GY264" s="110"/>
      <c r="GZ264" s="110"/>
      <c r="HA264" s="110"/>
      <c r="HB264" s="110"/>
      <c r="HC264" s="110"/>
      <c r="HD264" s="110"/>
      <c r="HE264" s="110"/>
      <c r="HF264" s="110"/>
      <c r="HG264" s="110"/>
      <c r="HH264" s="110"/>
      <c r="HI264" s="110"/>
      <c r="HJ264" s="110"/>
      <c r="HK264" s="110"/>
      <c r="HL264" s="110"/>
      <c r="HM264" s="110"/>
      <c r="HN264" s="110"/>
      <c r="HO264" s="110"/>
      <c r="HP264" s="110"/>
      <c r="HQ264" s="110"/>
      <c r="HR264" s="110"/>
      <c r="HS264" s="110"/>
      <c r="HT264" s="110"/>
      <c r="HU264" s="110"/>
      <c r="HV264" s="110"/>
      <c r="HW264" s="110"/>
      <c r="HX264" s="110"/>
      <c r="HY264" s="110"/>
      <c r="HZ264" s="110"/>
      <c r="IA264" s="110"/>
      <c r="IB264" s="110"/>
      <c r="IC264" s="110"/>
      <c r="ID264" s="110"/>
      <c r="IE264" s="110"/>
      <c r="IF264" s="110"/>
      <c r="IG264" s="110"/>
      <c r="IH264" s="110"/>
      <c r="II264" s="110"/>
      <c r="IJ264" s="110"/>
      <c r="IK264" s="110"/>
      <c r="IL264" s="110"/>
      <c r="IM264" s="110"/>
      <c r="IN264" s="110"/>
      <c r="IO264" s="110"/>
      <c r="IP264" s="110"/>
      <c r="IQ264" s="110"/>
      <c r="IR264" s="110"/>
      <c r="IS264" s="110"/>
      <c r="IT264" s="110"/>
      <c r="IU264" s="110"/>
      <c r="IV264" s="110"/>
      <c r="IW264" s="110"/>
      <c r="IX264" s="110"/>
      <c r="IY264" s="110"/>
      <c r="IZ264" s="110"/>
      <c r="JA264" s="110"/>
      <c r="JB264" s="110"/>
      <c r="JC264" s="110"/>
      <c r="JD264" s="110"/>
      <c r="JE264" s="110"/>
      <c r="JF264" s="110"/>
      <c r="JG264" s="110"/>
      <c r="JH264" s="110"/>
      <c r="JI264" s="110"/>
      <c r="JJ264" s="110"/>
      <c r="JK264" s="110"/>
      <c r="JL264" s="110"/>
      <c r="JM264" s="110"/>
      <c r="JN264" s="110"/>
      <c r="JO264" s="110"/>
      <c r="JP264" s="110"/>
      <c r="JQ264" s="110"/>
      <c r="JR264" s="110"/>
      <c r="JS264" s="110"/>
      <c r="JT264" s="110"/>
      <c r="JU264" s="110"/>
      <c r="JV264" s="110"/>
      <c r="JW264" s="110"/>
      <c r="JX264" s="110"/>
      <c r="JY264" s="110"/>
      <c r="JZ264" s="110"/>
      <c r="KA264" s="110"/>
      <c r="KB264" s="110"/>
      <c r="KC264" s="110"/>
      <c r="KD264" s="110"/>
      <c r="KE264" s="110"/>
      <c r="KF264" s="110"/>
      <c r="KG264" s="110"/>
      <c r="KH264" s="110"/>
      <c r="KI264" s="110"/>
      <c r="KJ264" s="110"/>
      <c r="KK264" s="110"/>
      <c r="KL264" s="110"/>
      <c r="KM264" s="110"/>
      <c r="KN264" s="110"/>
    </row>
    <row r="265" spans="1:300" ht="19.2" customHeight="1" x14ac:dyDescent="0.3">
      <c r="A265" s="110"/>
      <c r="B265" s="110"/>
      <c r="C265" s="110"/>
      <c r="D265" s="110"/>
      <c r="E265" s="110"/>
      <c r="F265" s="110"/>
      <c r="G265" s="112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  <c r="GA265" s="110"/>
      <c r="GB265" s="110"/>
      <c r="GC265" s="110"/>
      <c r="GD265" s="110"/>
      <c r="GE265" s="110"/>
      <c r="GF265" s="110"/>
      <c r="GG265" s="110"/>
      <c r="GH265" s="110"/>
      <c r="GI265" s="110"/>
      <c r="GJ265" s="110"/>
      <c r="GK265" s="110"/>
      <c r="GL265" s="110"/>
      <c r="GM265" s="110"/>
      <c r="GN265" s="110"/>
      <c r="GO265" s="110"/>
      <c r="GP265" s="110"/>
      <c r="GQ265" s="110"/>
      <c r="GR265" s="110"/>
      <c r="GS265" s="110"/>
      <c r="GT265" s="110"/>
      <c r="GU265" s="110"/>
      <c r="GV265" s="110"/>
      <c r="GW265" s="110"/>
      <c r="GX265" s="110"/>
      <c r="GY265" s="110"/>
      <c r="GZ265" s="110"/>
      <c r="HA265" s="110"/>
      <c r="HB265" s="110"/>
      <c r="HC265" s="110"/>
      <c r="HD265" s="110"/>
      <c r="HE265" s="110"/>
      <c r="HF265" s="110"/>
      <c r="HG265" s="110"/>
      <c r="HH265" s="110"/>
      <c r="HI265" s="110"/>
      <c r="HJ265" s="110"/>
      <c r="HK265" s="110"/>
      <c r="HL265" s="110"/>
      <c r="HM265" s="110"/>
      <c r="HN265" s="110"/>
      <c r="HO265" s="110"/>
      <c r="HP265" s="110"/>
      <c r="HQ265" s="110"/>
      <c r="HR265" s="110"/>
      <c r="HS265" s="110"/>
      <c r="HT265" s="110"/>
      <c r="HU265" s="110"/>
      <c r="HV265" s="110"/>
      <c r="HW265" s="110"/>
      <c r="HX265" s="110"/>
      <c r="HY265" s="110"/>
      <c r="HZ265" s="110"/>
      <c r="IA265" s="110"/>
      <c r="IB265" s="110"/>
      <c r="IC265" s="110"/>
      <c r="ID265" s="110"/>
      <c r="IE265" s="110"/>
      <c r="IF265" s="110"/>
      <c r="IG265" s="110"/>
      <c r="IH265" s="110"/>
      <c r="II265" s="110"/>
      <c r="IJ265" s="110"/>
      <c r="IK265" s="110"/>
      <c r="IL265" s="110"/>
      <c r="IM265" s="110"/>
      <c r="IN265" s="110"/>
      <c r="IO265" s="110"/>
      <c r="IP265" s="110"/>
      <c r="IQ265" s="110"/>
      <c r="IR265" s="110"/>
      <c r="IS265" s="110"/>
      <c r="IT265" s="110"/>
      <c r="IU265" s="110"/>
      <c r="IV265" s="110"/>
      <c r="IW265" s="110"/>
      <c r="IX265" s="110"/>
      <c r="IY265" s="110"/>
      <c r="IZ265" s="110"/>
      <c r="JA265" s="110"/>
      <c r="JB265" s="110"/>
      <c r="JC265" s="110"/>
      <c r="JD265" s="110"/>
      <c r="JE265" s="110"/>
      <c r="JF265" s="110"/>
      <c r="JG265" s="110"/>
      <c r="JH265" s="110"/>
      <c r="JI265" s="110"/>
      <c r="JJ265" s="110"/>
      <c r="JK265" s="110"/>
      <c r="JL265" s="110"/>
      <c r="JM265" s="110"/>
      <c r="JN265" s="110"/>
      <c r="JO265" s="110"/>
      <c r="JP265" s="110"/>
      <c r="JQ265" s="110"/>
      <c r="JR265" s="110"/>
      <c r="JS265" s="110"/>
      <c r="JT265" s="110"/>
      <c r="JU265" s="110"/>
      <c r="JV265" s="110"/>
      <c r="JW265" s="110"/>
      <c r="JX265" s="110"/>
      <c r="JY265" s="110"/>
      <c r="JZ265" s="110"/>
      <c r="KA265" s="110"/>
      <c r="KB265" s="110"/>
      <c r="KC265" s="110"/>
      <c r="KD265" s="110"/>
      <c r="KE265" s="110"/>
      <c r="KF265" s="110"/>
      <c r="KG265" s="110"/>
      <c r="KH265" s="110"/>
      <c r="KI265" s="110"/>
      <c r="KJ265" s="110"/>
      <c r="KK265" s="110"/>
      <c r="KL265" s="110"/>
      <c r="KM265" s="110"/>
      <c r="KN265" s="110"/>
    </row>
    <row r="266" spans="1:300" ht="19.2" customHeight="1" x14ac:dyDescent="0.3">
      <c r="A266" s="110"/>
      <c r="B266" s="110"/>
      <c r="C266" s="110"/>
      <c r="D266" s="110"/>
      <c r="E266" s="110"/>
      <c r="F266" s="110"/>
      <c r="G266" s="112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  <c r="GA266" s="110"/>
      <c r="GB266" s="110"/>
      <c r="GC266" s="110"/>
      <c r="GD266" s="110"/>
      <c r="GE266" s="110"/>
      <c r="GF266" s="110"/>
      <c r="GG266" s="110"/>
      <c r="GH266" s="110"/>
      <c r="GI266" s="110"/>
      <c r="GJ266" s="110"/>
      <c r="GK266" s="110"/>
      <c r="GL266" s="110"/>
      <c r="GM266" s="110"/>
      <c r="GN266" s="110"/>
      <c r="GO266" s="110"/>
      <c r="GP266" s="110"/>
      <c r="GQ266" s="110"/>
      <c r="GR266" s="110"/>
      <c r="GS266" s="110"/>
      <c r="GT266" s="110"/>
      <c r="GU266" s="110"/>
      <c r="GV266" s="110"/>
      <c r="GW266" s="110"/>
      <c r="GX266" s="110"/>
      <c r="GY266" s="110"/>
      <c r="GZ266" s="110"/>
      <c r="HA266" s="110"/>
      <c r="HB266" s="110"/>
      <c r="HC266" s="110"/>
      <c r="HD266" s="110"/>
      <c r="HE266" s="110"/>
      <c r="HF266" s="110"/>
      <c r="HG266" s="110"/>
      <c r="HH266" s="110"/>
      <c r="HI266" s="110"/>
      <c r="HJ266" s="110"/>
      <c r="HK266" s="110"/>
      <c r="HL266" s="110"/>
      <c r="HM266" s="110"/>
      <c r="HN266" s="110"/>
      <c r="HO266" s="110"/>
      <c r="HP266" s="110"/>
      <c r="HQ266" s="110"/>
      <c r="HR266" s="110"/>
      <c r="HS266" s="110"/>
      <c r="HT266" s="110"/>
      <c r="HU266" s="110"/>
      <c r="HV266" s="110"/>
      <c r="HW266" s="110"/>
      <c r="HX266" s="110"/>
      <c r="HY266" s="110"/>
      <c r="HZ266" s="110"/>
      <c r="IA266" s="110"/>
      <c r="IB266" s="110"/>
      <c r="IC266" s="110"/>
      <c r="ID266" s="110"/>
      <c r="IE266" s="110"/>
      <c r="IF266" s="110"/>
      <c r="IG266" s="110"/>
      <c r="IH266" s="110"/>
      <c r="II266" s="110"/>
      <c r="IJ266" s="110"/>
      <c r="IK266" s="110"/>
      <c r="IL266" s="110"/>
      <c r="IM266" s="110"/>
      <c r="IN266" s="110"/>
      <c r="IO266" s="110"/>
      <c r="IP266" s="110"/>
      <c r="IQ266" s="110"/>
      <c r="IR266" s="110"/>
      <c r="IS266" s="110"/>
      <c r="IT266" s="110"/>
      <c r="IU266" s="110"/>
      <c r="IV266" s="110"/>
      <c r="IW266" s="110"/>
      <c r="IX266" s="110"/>
      <c r="IY266" s="110"/>
      <c r="IZ266" s="110"/>
      <c r="JA266" s="110"/>
      <c r="JB266" s="110"/>
      <c r="JC266" s="110"/>
      <c r="JD266" s="110"/>
      <c r="JE266" s="110"/>
      <c r="JF266" s="110"/>
      <c r="JG266" s="110"/>
      <c r="JH266" s="110"/>
      <c r="JI266" s="110"/>
      <c r="JJ266" s="110"/>
      <c r="JK266" s="110"/>
      <c r="JL266" s="110"/>
      <c r="JM266" s="110"/>
      <c r="JN266" s="110"/>
      <c r="JO266" s="110"/>
      <c r="JP266" s="110"/>
      <c r="JQ266" s="110"/>
      <c r="JR266" s="110"/>
      <c r="JS266" s="110"/>
      <c r="JT266" s="110"/>
      <c r="JU266" s="110"/>
      <c r="JV266" s="110"/>
      <c r="JW266" s="110"/>
      <c r="JX266" s="110"/>
      <c r="JY266" s="110"/>
      <c r="JZ266" s="110"/>
      <c r="KA266" s="110"/>
      <c r="KB266" s="110"/>
      <c r="KC266" s="110"/>
      <c r="KD266" s="110"/>
      <c r="KE266" s="110"/>
      <c r="KF266" s="110"/>
      <c r="KG266" s="110"/>
      <c r="KH266" s="110"/>
      <c r="KI266" s="110"/>
      <c r="KJ266" s="110"/>
      <c r="KK266" s="110"/>
      <c r="KL266" s="110"/>
      <c r="KM266" s="110"/>
      <c r="KN266" s="110"/>
    </row>
    <row r="267" spans="1:300" ht="19.2" customHeight="1" x14ac:dyDescent="0.3">
      <c r="A267" s="110"/>
      <c r="B267" s="110"/>
      <c r="C267" s="110"/>
      <c r="D267" s="110"/>
      <c r="E267" s="110"/>
      <c r="F267" s="110"/>
      <c r="G267" s="112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  <c r="GA267" s="110"/>
      <c r="GB267" s="110"/>
      <c r="GC267" s="110"/>
      <c r="GD267" s="110"/>
      <c r="GE267" s="110"/>
      <c r="GF267" s="110"/>
      <c r="GG267" s="110"/>
      <c r="GH267" s="110"/>
      <c r="GI267" s="110"/>
      <c r="GJ267" s="110"/>
      <c r="GK267" s="110"/>
      <c r="GL267" s="110"/>
      <c r="GM267" s="110"/>
      <c r="GN267" s="110"/>
      <c r="GO267" s="110"/>
      <c r="GP267" s="110"/>
      <c r="GQ267" s="110"/>
      <c r="GR267" s="110"/>
      <c r="GS267" s="110"/>
      <c r="GT267" s="110"/>
      <c r="GU267" s="110"/>
      <c r="GV267" s="110"/>
      <c r="GW267" s="110"/>
      <c r="GX267" s="110"/>
      <c r="GY267" s="110"/>
      <c r="GZ267" s="110"/>
      <c r="HA267" s="110"/>
      <c r="HB267" s="110"/>
      <c r="HC267" s="110"/>
      <c r="HD267" s="110"/>
      <c r="HE267" s="110"/>
      <c r="HF267" s="110"/>
      <c r="HG267" s="110"/>
      <c r="HH267" s="110"/>
      <c r="HI267" s="110"/>
      <c r="HJ267" s="110"/>
      <c r="HK267" s="110"/>
      <c r="HL267" s="110"/>
      <c r="HM267" s="110"/>
      <c r="HN267" s="110"/>
      <c r="HO267" s="110"/>
      <c r="HP267" s="110"/>
      <c r="HQ267" s="110"/>
      <c r="HR267" s="110"/>
      <c r="HS267" s="110"/>
      <c r="HT267" s="110"/>
      <c r="HU267" s="110"/>
      <c r="HV267" s="110"/>
      <c r="HW267" s="110"/>
      <c r="HX267" s="110"/>
      <c r="HY267" s="110"/>
      <c r="HZ267" s="110"/>
      <c r="IA267" s="110"/>
      <c r="IB267" s="110"/>
      <c r="IC267" s="110"/>
      <c r="ID267" s="110"/>
      <c r="IE267" s="110"/>
      <c r="IF267" s="110"/>
      <c r="IG267" s="110"/>
      <c r="IH267" s="110"/>
      <c r="II267" s="110"/>
      <c r="IJ267" s="110"/>
      <c r="IK267" s="110"/>
      <c r="IL267" s="110"/>
      <c r="IM267" s="110"/>
      <c r="IN267" s="110"/>
      <c r="IO267" s="110"/>
      <c r="IP267" s="110"/>
      <c r="IQ267" s="110"/>
      <c r="IR267" s="110"/>
      <c r="IS267" s="110"/>
      <c r="IT267" s="110"/>
      <c r="IU267" s="110"/>
      <c r="IV267" s="110"/>
      <c r="IW267" s="110"/>
      <c r="IX267" s="110"/>
      <c r="IY267" s="110"/>
      <c r="IZ267" s="110"/>
      <c r="JA267" s="110"/>
      <c r="JB267" s="110"/>
      <c r="JC267" s="110"/>
      <c r="JD267" s="110"/>
      <c r="JE267" s="110"/>
      <c r="JF267" s="110"/>
      <c r="JG267" s="110"/>
      <c r="JH267" s="110"/>
      <c r="JI267" s="110"/>
      <c r="JJ267" s="110"/>
      <c r="JK267" s="110"/>
      <c r="JL267" s="110"/>
      <c r="JM267" s="110"/>
      <c r="JN267" s="110"/>
      <c r="JO267" s="110"/>
      <c r="JP267" s="110"/>
      <c r="JQ267" s="110"/>
      <c r="JR267" s="110"/>
      <c r="JS267" s="110"/>
      <c r="JT267" s="110"/>
      <c r="JU267" s="110"/>
      <c r="JV267" s="110"/>
      <c r="JW267" s="110"/>
      <c r="JX267" s="110"/>
      <c r="JY267" s="110"/>
      <c r="JZ267" s="110"/>
      <c r="KA267" s="110"/>
      <c r="KB267" s="110"/>
      <c r="KC267" s="110"/>
      <c r="KD267" s="110"/>
      <c r="KE267" s="110"/>
      <c r="KF267" s="110"/>
      <c r="KG267" s="110"/>
      <c r="KH267" s="110"/>
      <c r="KI267" s="110"/>
      <c r="KJ267" s="110"/>
      <c r="KK267" s="110"/>
      <c r="KL267" s="110"/>
      <c r="KM267" s="110"/>
      <c r="KN267" s="110"/>
    </row>
    <row r="268" spans="1:300" ht="19.2" customHeight="1" x14ac:dyDescent="0.3">
      <c r="A268" s="110"/>
      <c r="B268" s="110"/>
      <c r="C268" s="110"/>
      <c r="D268" s="110"/>
      <c r="E268" s="110"/>
      <c r="F268" s="110"/>
      <c r="G268" s="112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  <c r="GA268" s="110"/>
      <c r="GB268" s="110"/>
      <c r="GC268" s="110"/>
      <c r="GD268" s="110"/>
      <c r="GE268" s="110"/>
      <c r="GF268" s="110"/>
      <c r="GG268" s="110"/>
      <c r="GH268" s="110"/>
      <c r="GI268" s="110"/>
      <c r="GJ268" s="110"/>
      <c r="GK268" s="110"/>
      <c r="GL268" s="110"/>
      <c r="GM268" s="110"/>
      <c r="GN268" s="110"/>
      <c r="GO268" s="110"/>
      <c r="GP268" s="110"/>
      <c r="GQ268" s="110"/>
      <c r="GR268" s="110"/>
      <c r="GS268" s="110"/>
      <c r="GT268" s="110"/>
      <c r="GU268" s="110"/>
      <c r="GV268" s="110"/>
      <c r="GW268" s="110"/>
      <c r="GX268" s="110"/>
      <c r="GY268" s="110"/>
      <c r="GZ268" s="110"/>
      <c r="HA268" s="110"/>
      <c r="HB268" s="110"/>
      <c r="HC268" s="110"/>
      <c r="HD268" s="110"/>
      <c r="HE268" s="110"/>
      <c r="HF268" s="110"/>
      <c r="HG268" s="110"/>
      <c r="HH268" s="110"/>
      <c r="HI268" s="110"/>
      <c r="HJ268" s="110"/>
      <c r="HK268" s="110"/>
      <c r="HL268" s="110"/>
      <c r="HM268" s="110"/>
      <c r="HN268" s="110"/>
      <c r="HO268" s="110"/>
      <c r="HP268" s="110"/>
      <c r="HQ268" s="110"/>
      <c r="HR268" s="110"/>
      <c r="HS268" s="110"/>
      <c r="HT268" s="110"/>
      <c r="HU268" s="110"/>
      <c r="HV268" s="110"/>
      <c r="HW268" s="110"/>
      <c r="HX268" s="110"/>
      <c r="HY268" s="110"/>
      <c r="HZ268" s="110"/>
      <c r="IA268" s="110"/>
      <c r="IB268" s="110"/>
      <c r="IC268" s="110"/>
      <c r="ID268" s="110"/>
      <c r="IE268" s="110"/>
      <c r="IF268" s="110"/>
      <c r="IG268" s="110"/>
      <c r="IH268" s="110"/>
      <c r="II268" s="110"/>
      <c r="IJ268" s="110"/>
      <c r="IK268" s="110"/>
      <c r="IL268" s="110"/>
      <c r="IM268" s="110"/>
      <c r="IN268" s="110"/>
      <c r="IO268" s="110"/>
      <c r="IP268" s="110"/>
      <c r="IQ268" s="110"/>
      <c r="IR268" s="110"/>
      <c r="IS268" s="110"/>
      <c r="IT268" s="110"/>
      <c r="IU268" s="110"/>
      <c r="IV268" s="110"/>
      <c r="IW268" s="110"/>
      <c r="IX268" s="110"/>
      <c r="IY268" s="110"/>
      <c r="IZ268" s="110"/>
      <c r="JA268" s="110"/>
      <c r="JB268" s="110"/>
      <c r="JC268" s="110"/>
      <c r="JD268" s="110"/>
      <c r="JE268" s="110"/>
      <c r="JF268" s="110"/>
      <c r="JG268" s="110"/>
      <c r="JH268" s="110"/>
      <c r="JI268" s="110"/>
      <c r="JJ268" s="110"/>
      <c r="JK268" s="110"/>
      <c r="JL268" s="110"/>
      <c r="JM268" s="110"/>
      <c r="JN268" s="110"/>
      <c r="JO268" s="110"/>
      <c r="JP268" s="110"/>
      <c r="JQ268" s="110"/>
      <c r="JR268" s="110"/>
      <c r="JS268" s="110"/>
      <c r="JT268" s="110"/>
      <c r="JU268" s="110"/>
      <c r="JV268" s="110"/>
      <c r="JW268" s="110"/>
      <c r="JX268" s="110"/>
      <c r="JY268" s="110"/>
      <c r="JZ268" s="110"/>
      <c r="KA268" s="110"/>
      <c r="KB268" s="110"/>
      <c r="KC268" s="110"/>
      <c r="KD268" s="110"/>
      <c r="KE268" s="110"/>
      <c r="KF268" s="110"/>
      <c r="KG268" s="110"/>
      <c r="KH268" s="110"/>
      <c r="KI268" s="110"/>
      <c r="KJ268" s="110"/>
      <c r="KK268" s="110"/>
      <c r="KL268" s="110"/>
      <c r="KM268" s="110"/>
      <c r="KN268" s="110"/>
    </row>
    <row r="269" spans="1:300" ht="19.2" customHeight="1" x14ac:dyDescent="0.3">
      <c r="A269" s="110"/>
      <c r="B269" s="110"/>
      <c r="C269" s="110"/>
      <c r="D269" s="110"/>
      <c r="E269" s="110"/>
      <c r="F269" s="110"/>
      <c r="G269" s="112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  <c r="GA269" s="110"/>
      <c r="GB269" s="110"/>
      <c r="GC269" s="110"/>
      <c r="GD269" s="110"/>
      <c r="GE269" s="110"/>
      <c r="GF269" s="110"/>
      <c r="GG269" s="110"/>
      <c r="GH269" s="110"/>
      <c r="GI269" s="110"/>
      <c r="GJ269" s="110"/>
      <c r="GK269" s="110"/>
      <c r="GL269" s="110"/>
      <c r="GM269" s="110"/>
      <c r="GN269" s="110"/>
      <c r="GO269" s="110"/>
      <c r="GP269" s="110"/>
      <c r="GQ269" s="110"/>
      <c r="GR269" s="110"/>
      <c r="GS269" s="110"/>
      <c r="GT269" s="110"/>
      <c r="GU269" s="110"/>
      <c r="GV269" s="110"/>
      <c r="GW269" s="110"/>
      <c r="GX269" s="110"/>
      <c r="GY269" s="110"/>
      <c r="GZ269" s="110"/>
      <c r="HA269" s="110"/>
      <c r="HB269" s="110"/>
      <c r="HC269" s="110"/>
      <c r="HD269" s="110"/>
      <c r="HE269" s="110"/>
      <c r="HF269" s="110"/>
      <c r="HG269" s="110"/>
      <c r="HH269" s="110"/>
      <c r="HI269" s="110"/>
      <c r="HJ269" s="110"/>
      <c r="HK269" s="110"/>
      <c r="HL269" s="110"/>
      <c r="HM269" s="110"/>
      <c r="HN269" s="110"/>
      <c r="HO269" s="110"/>
      <c r="HP269" s="110"/>
      <c r="HQ269" s="110"/>
      <c r="HR269" s="110"/>
      <c r="HS269" s="110"/>
      <c r="HT269" s="110"/>
      <c r="HU269" s="110"/>
      <c r="HV269" s="110"/>
      <c r="HW269" s="110"/>
      <c r="HX269" s="110"/>
      <c r="HY269" s="110"/>
      <c r="HZ269" s="110"/>
      <c r="IA269" s="110"/>
      <c r="IB269" s="110"/>
      <c r="IC269" s="110"/>
      <c r="ID269" s="110"/>
      <c r="IE269" s="110"/>
      <c r="IF269" s="110"/>
      <c r="IG269" s="110"/>
      <c r="IH269" s="110"/>
      <c r="II269" s="110"/>
      <c r="IJ269" s="110"/>
      <c r="IK269" s="110"/>
      <c r="IL269" s="110"/>
      <c r="IM269" s="110"/>
      <c r="IN269" s="110"/>
      <c r="IO269" s="110"/>
      <c r="IP269" s="110"/>
      <c r="IQ269" s="110"/>
      <c r="IR269" s="110"/>
      <c r="IS269" s="110"/>
      <c r="IT269" s="110"/>
      <c r="IU269" s="110"/>
      <c r="IV269" s="110"/>
      <c r="IW269" s="110"/>
      <c r="IX269" s="110"/>
      <c r="IY269" s="110"/>
      <c r="IZ269" s="110"/>
      <c r="JA269" s="110"/>
      <c r="JB269" s="110"/>
      <c r="JC269" s="110"/>
      <c r="JD269" s="110"/>
      <c r="JE269" s="110"/>
      <c r="JF269" s="110"/>
      <c r="JG269" s="110"/>
      <c r="JH269" s="110"/>
      <c r="JI269" s="110"/>
      <c r="JJ269" s="110"/>
      <c r="JK269" s="110"/>
      <c r="JL269" s="110"/>
      <c r="JM269" s="110"/>
      <c r="JN269" s="110"/>
      <c r="JO269" s="110"/>
      <c r="JP269" s="110"/>
      <c r="JQ269" s="110"/>
      <c r="JR269" s="110"/>
      <c r="JS269" s="110"/>
      <c r="JT269" s="110"/>
      <c r="JU269" s="110"/>
      <c r="JV269" s="110"/>
      <c r="JW269" s="110"/>
      <c r="JX269" s="110"/>
      <c r="JY269" s="110"/>
      <c r="JZ269" s="110"/>
      <c r="KA269" s="110"/>
      <c r="KB269" s="110"/>
      <c r="KC269" s="110"/>
      <c r="KD269" s="110"/>
      <c r="KE269" s="110"/>
      <c r="KF269" s="110"/>
      <c r="KG269" s="110"/>
      <c r="KH269" s="110"/>
      <c r="KI269" s="110"/>
      <c r="KJ269" s="110"/>
      <c r="KK269" s="110"/>
      <c r="KL269" s="110"/>
      <c r="KM269" s="110"/>
      <c r="KN269" s="110"/>
    </row>
    <row r="270" spans="1:300" ht="19.2" customHeight="1" x14ac:dyDescent="0.3">
      <c r="A270" s="110"/>
      <c r="B270" s="110"/>
      <c r="C270" s="110"/>
      <c r="D270" s="110"/>
      <c r="E270" s="110"/>
      <c r="F270" s="110"/>
      <c r="G270" s="112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  <c r="GA270" s="110"/>
      <c r="GB270" s="110"/>
      <c r="GC270" s="110"/>
      <c r="GD270" s="110"/>
      <c r="GE270" s="110"/>
      <c r="GF270" s="110"/>
      <c r="GG270" s="110"/>
      <c r="GH270" s="110"/>
      <c r="GI270" s="110"/>
      <c r="GJ270" s="110"/>
      <c r="GK270" s="110"/>
      <c r="GL270" s="110"/>
      <c r="GM270" s="110"/>
      <c r="GN270" s="110"/>
      <c r="GO270" s="110"/>
      <c r="GP270" s="110"/>
      <c r="GQ270" s="110"/>
      <c r="GR270" s="110"/>
      <c r="GS270" s="110"/>
      <c r="GT270" s="110"/>
      <c r="GU270" s="110"/>
      <c r="GV270" s="110"/>
      <c r="GW270" s="110"/>
      <c r="GX270" s="110"/>
      <c r="GY270" s="110"/>
      <c r="GZ270" s="110"/>
      <c r="HA270" s="110"/>
      <c r="HB270" s="110"/>
      <c r="HC270" s="110"/>
      <c r="HD270" s="110"/>
      <c r="HE270" s="110"/>
      <c r="HF270" s="110"/>
      <c r="HG270" s="110"/>
      <c r="HH270" s="110"/>
      <c r="HI270" s="110"/>
      <c r="HJ270" s="110"/>
      <c r="HK270" s="110"/>
      <c r="HL270" s="110"/>
      <c r="HM270" s="110"/>
      <c r="HN270" s="110"/>
      <c r="HO270" s="110"/>
      <c r="HP270" s="110"/>
      <c r="HQ270" s="110"/>
      <c r="HR270" s="110"/>
      <c r="HS270" s="110"/>
      <c r="HT270" s="110"/>
      <c r="HU270" s="110"/>
      <c r="HV270" s="110"/>
      <c r="HW270" s="110"/>
      <c r="HX270" s="110"/>
      <c r="HY270" s="110"/>
      <c r="HZ270" s="110"/>
      <c r="IA270" s="110"/>
      <c r="IB270" s="110"/>
      <c r="IC270" s="110"/>
      <c r="ID270" s="110"/>
      <c r="IE270" s="110"/>
      <c r="IF270" s="110"/>
      <c r="IG270" s="110"/>
      <c r="IH270" s="110"/>
      <c r="II270" s="110"/>
      <c r="IJ270" s="110"/>
      <c r="IK270" s="110"/>
      <c r="IL270" s="110"/>
      <c r="IM270" s="110"/>
      <c r="IN270" s="110"/>
      <c r="IO270" s="110"/>
      <c r="IP270" s="110"/>
      <c r="IQ270" s="110"/>
      <c r="IR270" s="110"/>
      <c r="IS270" s="110"/>
      <c r="IT270" s="110"/>
      <c r="IU270" s="110"/>
      <c r="IV270" s="110"/>
      <c r="IW270" s="110"/>
      <c r="IX270" s="110"/>
      <c r="IY270" s="110"/>
      <c r="IZ270" s="110"/>
      <c r="JA270" s="110"/>
      <c r="JB270" s="110"/>
      <c r="JC270" s="110"/>
      <c r="JD270" s="110"/>
      <c r="JE270" s="110"/>
      <c r="JF270" s="110"/>
      <c r="JG270" s="110"/>
      <c r="JH270" s="110"/>
      <c r="JI270" s="110"/>
      <c r="JJ270" s="110"/>
      <c r="JK270" s="110"/>
      <c r="JL270" s="110"/>
      <c r="JM270" s="110"/>
      <c r="JN270" s="110"/>
      <c r="JO270" s="110"/>
      <c r="JP270" s="110"/>
      <c r="JQ270" s="110"/>
      <c r="JR270" s="110"/>
      <c r="JS270" s="110"/>
      <c r="JT270" s="110"/>
      <c r="JU270" s="110"/>
      <c r="JV270" s="110"/>
      <c r="JW270" s="110"/>
      <c r="JX270" s="110"/>
      <c r="JY270" s="110"/>
      <c r="JZ270" s="110"/>
      <c r="KA270" s="110"/>
      <c r="KB270" s="110"/>
      <c r="KC270" s="110"/>
      <c r="KD270" s="110"/>
      <c r="KE270" s="110"/>
      <c r="KF270" s="110"/>
      <c r="KG270" s="110"/>
      <c r="KH270" s="110"/>
      <c r="KI270" s="110"/>
      <c r="KJ270" s="110"/>
      <c r="KK270" s="110"/>
      <c r="KL270" s="110"/>
      <c r="KM270" s="110"/>
      <c r="KN270" s="110"/>
    </row>
    <row r="271" spans="1:300" ht="19.2" customHeight="1" x14ac:dyDescent="0.3">
      <c r="A271" s="110"/>
      <c r="B271" s="110"/>
      <c r="C271" s="110"/>
      <c r="D271" s="110"/>
      <c r="E271" s="110"/>
      <c r="F271" s="110"/>
      <c r="G271" s="112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  <c r="GA271" s="110"/>
      <c r="GB271" s="110"/>
      <c r="GC271" s="110"/>
      <c r="GD271" s="110"/>
      <c r="GE271" s="110"/>
      <c r="GF271" s="110"/>
      <c r="GG271" s="110"/>
      <c r="GH271" s="110"/>
      <c r="GI271" s="110"/>
      <c r="GJ271" s="110"/>
      <c r="GK271" s="110"/>
      <c r="GL271" s="110"/>
      <c r="GM271" s="110"/>
      <c r="GN271" s="110"/>
      <c r="GO271" s="110"/>
      <c r="GP271" s="110"/>
      <c r="GQ271" s="110"/>
      <c r="GR271" s="110"/>
      <c r="GS271" s="110"/>
      <c r="GT271" s="110"/>
      <c r="GU271" s="110"/>
      <c r="GV271" s="110"/>
      <c r="GW271" s="110"/>
      <c r="GX271" s="110"/>
      <c r="GY271" s="110"/>
      <c r="GZ271" s="110"/>
      <c r="HA271" s="110"/>
      <c r="HB271" s="110"/>
      <c r="HC271" s="110"/>
      <c r="HD271" s="110"/>
      <c r="HE271" s="110"/>
      <c r="HF271" s="110"/>
      <c r="HG271" s="110"/>
      <c r="HH271" s="110"/>
      <c r="HI271" s="110"/>
      <c r="HJ271" s="110"/>
      <c r="HK271" s="110"/>
      <c r="HL271" s="110"/>
      <c r="HM271" s="110"/>
      <c r="HN271" s="110"/>
      <c r="HO271" s="110"/>
      <c r="HP271" s="110"/>
      <c r="HQ271" s="110"/>
      <c r="HR271" s="110"/>
      <c r="HS271" s="110"/>
      <c r="HT271" s="110"/>
      <c r="HU271" s="110"/>
      <c r="HV271" s="110"/>
      <c r="HW271" s="110"/>
      <c r="HX271" s="110"/>
      <c r="HY271" s="110"/>
      <c r="HZ271" s="110"/>
      <c r="IA271" s="110"/>
      <c r="IB271" s="110"/>
      <c r="IC271" s="110"/>
      <c r="ID271" s="110"/>
      <c r="IE271" s="110"/>
      <c r="IF271" s="110"/>
      <c r="IG271" s="110"/>
      <c r="IH271" s="110"/>
      <c r="II271" s="110"/>
      <c r="IJ271" s="110"/>
      <c r="IK271" s="110"/>
      <c r="IL271" s="110"/>
      <c r="IM271" s="110"/>
      <c r="IN271" s="110"/>
      <c r="IO271" s="110"/>
      <c r="IP271" s="110"/>
      <c r="IQ271" s="110"/>
      <c r="IR271" s="110"/>
      <c r="IS271" s="110"/>
      <c r="IT271" s="110"/>
      <c r="IU271" s="110"/>
      <c r="IV271" s="110"/>
      <c r="IW271" s="110"/>
      <c r="IX271" s="110"/>
      <c r="IY271" s="110"/>
      <c r="IZ271" s="110"/>
      <c r="JA271" s="110"/>
      <c r="JB271" s="110"/>
      <c r="JC271" s="110"/>
      <c r="JD271" s="110"/>
      <c r="JE271" s="110"/>
      <c r="JF271" s="110"/>
      <c r="JG271" s="110"/>
      <c r="JH271" s="110"/>
      <c r="JI271" s="110"/>
      <c r="JJ271" s="110"/>
      <c r="JK271" s="110"/>
      <c r="JL271" s="110"/>
      <c r="JM271" s="110"/>
      <c r="JN271" s="110"/>
      <c r="JO271" s="110"/>
      <c r="JP271" s="110"/>
      <c r="JQ271" s="110"/>
      <c r="JR271" s="110"/>
      <c r="JS271" s="110"/>
      <c r="JT271" s="110"/>
      <c r="JU271" s="110"/>
      <c r="JV271" s="110"/>
      <c r="JW271" s="110"/>
      <c r="JX271" s="110"/>
      <c r="JY271" s="110"/>
      <c r="JZ271" s="110"/>
      <c r="KA271" s="110"/>
      <c r="KB271" s="110"/>
      <c r="KC271" s="110"/>
      <c r="KD271" s="110"/>
      <c r="KE271" s="110"/>
      <c r="KF271" s="110"/>
      <c r="KG271" s="110"/>
      <c r="KH271" s="110"/>
      <c r="KI271" s="110"/>
      <c r="KJ271" s="110"/>
      <c r="KK271" s="110"/>
      <c r="KL271" s="110"/>
      <c r="KM271" s="110"/>
      <c r="KN271" s="110"/>
    </row>
    <row r="272" spans="1:300" ht="19.2" customHeight="1" x14ac:dyDescent="0.3">
      <c r="A272" s="110"/>
      <c r="B272" s="110"/>
      <c r="C272" s="110"/>
      <c r="D272" s="110"/>
      <c r="E272" s="110"/>
      <c r="F272" s="110"/>
      <c r="G272" s="112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  <c r="GA272" s="110"/>
      <c r="GB272" s="110"/>
      <c r="GC272" s="110"/>
      <c r="GD272" s="110"/>
      <c r="GE272" s="110"/>
      <c r="GF272" s="110"/>
      <c r="GG272" s="110"/>
      <c r="GH272" s="110"/>
      <c r="GI272" s="110"/>
      <c r="GJ272" s="110"/>
      <c r="GK272" s="110"/>
      <c r="GL272" s="110"/>
      <c r="GM272" s="110"/>
      <c r="GN272" s="110"/>
      <c r="GO272" s="110"/>
      <c r="GP272" s="110"/>
      <c r="GQ272" s="110"/>
      <c r="GR272" s="110"/>
      <c r="GS272" s="110"/>
      <c r="GT272" s="110"/>
      <c r="GU272" s="110"/>
      <c r="GV272" s="110"/>
      <c r="GW272" s="110"/>
      <c r="GX272" s="110"/>
      <c r="GY272" s="110"/>
      <c r="GZ272" s="110"/>
      <c r="HA272" s="110"/>
      <c r="HB272" s="110"/>
      <c r="HC272" s="110"/>
      <c r="HD272" s="110"/>
      <c r="HE272" s="110"/>
      <c r="HF272" s="110"/>
      <c r="HG272" s="110"/>
      <c r="HH272" s="110"/>
      <c r="HI272" s="110"/>
      <c r="HJ272" s="110"/>
      <c r="HK272" s="110"/>
      <c r="HL272" s="110"/>
      <c r="HM272" s="110"/>
      <c r="HN272" s="110"/>
      <c r="HO272" s="110"/>
      <c r="HP272" s="110"/>
      <c r="HQ272" s="110"/>
      <c r="HR272" s="110"/>
      <c r="HS272" s="110"/>
      <c r="HT272" s="110"/>
      <c r="HU272" s="110"/>
      <c r="HV272" s="110"/>
      <c r="HW272" s="110"/>
      <c r="HX272" s="110"/>
      <c r="HY272" s="110"/>
      <c r="HZ272" s="110"/>
      <c r="IA272" s="110"/>
      <c r="IB272" s="110"/>
      <c r="IC272" s="110"/>
      <c r="ID272" s="110"/>
      <c r="IE272" s="110"/>
      <c r="IF272" s="110"/>
      <c r="IG272" s="110"/>
      <c r="IH272" s="110"/>
      <c r="II272" s="110"/>
      <c r="IJ272" s="110"/>
      <c r="IK272" s="110"/>
      <c r="IL272" s="110"/>
      <c r="IM272" s="110"/>
      <c r="IN272" s="110"/>
      <c r="IO272" s="110"/>
      <c r="IP272" s="110"/>
      <c r="IQ272" s="110"/>
      <c r="IR272" s="110"/>
      <c r="IS272" s="110"/>
      <c r="IT272" s="110"/>
      <c r="IU272" s="110"/>
      <c r="IV272" s="110"/>
      <c r="IW272" s="110"/>
      <c r="IX272" s="110"/>
      <c r="IY272" s="110"/>
      <c r="IZ272" s="110"/>
      <c r="JA272" s="110"/>
      <c r="JB272" s="110"/>
      <c r="JC272" s="110"/>
      <c r="JD272" s="110"/>
      <c r="JE272" s="110"/>
      <c r="JF272" s="110"/>
      <c r="JG272" s="110"/>
      <c r="JH272" s="110"/>
      <c r="JI272" s="110"/>
      <c r="JJ272" s="110"/>
      <c r="JK272" s="110"/>
      <c r="JL272" s="110"/>
      <c r="JM272" s="110"/>
      <c r="JN272" s="110"/>
      <c r="JO272" s="110"/>
      <c r="JP272" s="110"/>
      <c r="JQ272" s="110"/>
      <c r="JR272" s="110"/>
      <c r="JS272" s="110"/>
      <c r="JT272" s="110"/>
      <c r="JU272" s="110"/>
      <c r="JV272" s="110"/>
      <c r="JW272" s="110"/>
      <c r="JX272" s="110"/>
      <c r="JY272" s="110"/>
      <c r="JZ272" s="110"/>
      <c r="KA272" s="110"/>
      <c r="KB272" s="110"/>
      <c r="KC272" s="110"/>
      <c r="KD272" s="110"/>
      <c r="KE272" s="110"/>
      <c r="KF272" s="110"/>
      <c r="KG272" s="110"/>
      <c r="KH272" s="110"/>
      <c r="KI272" s="110"/>
      <c r="KJ272" s="110"/>
      <c r="KK272" s="110"/>
      <c r="KL272" s="110"/>
      <c r="KM272" s="110"/>
      <c r="KN272" s="110"/>
    </row>
    <row r="273" spans="1:300" ht="19.2" customHeight="1" x14ac:dyDescent="0.3">
      <c r="A273" s="110"/>
      <c r="B273" s="110"/>
      <c r="C273" s="110"/>
      <c r="D273" s="110"/>
      <c r="E273" s="110"/>
      <c r="F273" s="110"/>
      <c r="G273" s="112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  <c r="GA273" s="110"/>
      <c r="GB273" s="110"/>
      <c r="GC273" s="110"/>
      <c r="GD273" s="110"/>
      <c r="GE273" s="110"/>
      <c r="GF273" s="110"/>
      <c r="GG273" s="110"/>
      <c r="GH273" s="110"/>
      <c r="GI273" s="110"/>
      <c r="GJ273" s="110"/>
      <c r="GK273" s="110"/>
      <c r="GL273" s="110"/>
      <c r="GM273" s="110"/>
      <c r="GN273" s="110"/>
      <c r="GO273" s="110"/>
      <c r="GP273" s="110"/>
      <c r="GQ273" s="110"/>
      <c r="GR273" s="110"/>
      <c r="GS273" s="110"/>
      <c r="GT273" s="110"/>
      <c r="GU273" s="110"/>
      <c r="GV273" s="110"/>
      <c r="GW273" s="110"/>
      <c r="GX273" s="110"/>
      <c r="GY273" s="110"/>
      <c r="GZ273" s="110"/>
      <c r="HA273" s="110"/>
      <c r="HB273" s="110"/>
      <c r="HC273" s="110"/>
      <c r="HD273" s="110"/>
      <c r="HE273" s="110"/>
      <c r="HF273" s="110"/>
      <c r="HG273" s="110"/>
      <c r="HH273" s="110"/>
      <c r="HI273" s="110"/>
      <c r="HJ273" s="110"/>
      <c r="HK273" s="110"/>
      <c r="HL273" s="110"/>
      <c r="HM273" s="110"/>
      <c r="HN273" s="110"/>
      <c r="HO273" s="110"/>
      <c r="HP273" s="110"/>
      <c r="HQ273" s="110"/>
      <c r="HR273" s="110"/>
      <c r="HS273" s="110"/>
      <c r="HT273" s="110"/>
      <c r="HU273" s="110"/>
      <c r="HV273" s="110"/>
      <c r="HW273" s="110"/>
      <c r="HX273" s="110"/>
      <c r="HY273" s="110"/>
      <c r="HZ273" s="110"/>
      <c r="IA273" s="110"/>
      <c r="IB273" s="110"/>
      <c r="IC273" s="110"/>
      <c r="ID273" s="110"/>
      <c r="IE273" s="110"/>
      <c r="IF273" s="110"/>
      <c r="IG273" s="110"/>
      <c r="IH273" s="110"/>
      <c r="II273" s="110"/>
      <c r="IJ273" s="110"/>
      <c r="IK273" s="110"/>
      <c r="IL273" s="110"/>
      <c r="IM273" s="110"/>
      <c r="IN273" s="110"/>
      <c r="IO273" s="110"/>
      <c r="IP273" s="110"/>
      <c r="IQ273" s="110"/>
      <c r="IR273" s="110"/>
      <c r="IS273" s="110"/>
      <c r="IT273" s="110"/>
      <c r="IU273" s="110"/>
      <c r="IV273" s="110"/>
      <c r="IW273" s="110"/>
      <c r="IX273" s="110"/>
      <c r="IY273" s="110"/>
      <c r="IZ273" s="110"/>
      <c r="JA273" s="110"/>
      <c r="JB273" s="110"/>
      <c r="JC273" s="110"/>
      <c r="JD273" s="110"/>
      <c r="JE273" s="110"/>
      <c r="JF273" s="110"/>
      <c r="JG273" s="110"/>
      <c r="JH273" s="110"/>
      <c r="JI273" s="110"/>
      <c r="JJ273" s="110"/>
      <c r="JK273" s="110"/>
      <c r="JL273" s="110"/>
      <c r="JM273" s="110"/>
      <c r="JN273" s="110"/>
      <c r="JO273" s="110"/>
      <c r="JP273" s="110"/>
      <c r="JQ273" s="110"/>
      <c r="JR273" s="110"/>
      <c r="JS273" s="110"/>
      <c r="JT273" s="110"/>
      <c r="JU273" s="110"/>
      <c r="JV273" s="110"/>
      <c r="JW273" s="110"/>
      <c r="JX273" s="110"/>
      <c r="JY273" s="110"/>
      <c r="JZ273" s="110"/>
      <c r="KA273" s="110"/>
      <c r="KB273" s="110"/>
      <c r="KC273" s="110"/>
      <c r="KD273" s="110"/>
      <c r="KE273" s="110"/>
      <c r="KF273" s="110"/>
      <c r="KG273" s="110"/>
      <c r="KH273" s="110"/>
      <c r="KI273" s="110"/>
      <c r="KJ273" s="110"/>
      <c r="KK273" s="110"/>
      <c r="KL273" s="110"/>
      <c r="KM273" s="110"/>
      <c r="KN273" s="110"/>
    </row>
    <row r="274" spans="1:300" ht="19.2" customHeight="1" x14ac:dyDescent="0.3">
      <c r="A274" s="110"/>
      <c r="B274" s="110"/>
      <c r="C274" s="110"/>
      <c r="D274" s="110"/>
      <c r="E274" s="110"/>
      <c r="F274" s="110"/>
      <c r="G274" s="112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  <c r="GA274" s="110"/>
      <c r="GB274" s="110"/>
      <c r="GC274" s="110"/>
      <c r="GD274" s="110"/>
      <c r="GE274" s="110"/>
      <c r="GF274" s="110"/>
      <c r="GG274" s="110"/>
      <c r="GH274" s="110"/>
      <c r="GI274" s="110"/>
      <c r="GJ274" s="110"/>
      <c r="GK274" s="110"/>
      <c r="GL274" s="110"/>
      <c r="GM274" s="110"/>
      <c r="GN274" s="110"/>
      <c r="GO274" s="110"/>
      <c r="GP274" s="110"/>
      <c r="GQ274" s="110"/>
      <c r="GR274" s="110"/>
      <c r="GS274" s="110"/>
      <c r="GT274" s="110"/>
      <c r="GU274" s="110"/>
      <c r="GV274" s="110"/>
      <c r="GW274" s="110"/>
      <c r="GX274" s="110"/>
      <c r="GY274" s="110"/>
      <c r="GZ274" s="110"/>
      <c r="HA274" s="110"/>
      <c r="HB274" s="110"/>
      <c r="HC274" s="110"/>
      <c r="HD274" s="110"/>
      <c r="HE274" s="110"/>
      <c r="HF274" s="110"/>
      <c r="HG274" s="110"/>
      <c r="HH274" s="110"/>
      <c r="HI274" s="110"/>
      <c r="HJ274" s="110"/>
      <c r="HK274" s="110"/>
      <c r="HL274" s="110"/>
      <c r="HM274" s="110"/>
      <c r="HN274" s="110"/>
      <c r="HO274" s="110"/>
      <c r="HP274" s="110"/>
      <c r="HQ274" s="110"/>
      <c r="HR274" s="110"/>
      <c r="HS274" s="110"/>
      <c r="HT274" s="110"/>
      <c r="HU274" s="110"/>
      <c r="HV274" s="110"/>
      <c r="HW274" s="110"/>
      <c r="HX274" s="110"/>
      <c r="HY274" s="110"/>
      <c r="HZ274" s="110"/>
      <c r="IA274" s="110"/>
      <c r="IB274" s="110"/>
      <c r="IC274" s="110"/>
      <c r="ID274" s="110"/>
      <c r="IE274" s="110"/>
      <c r="IF274" s="110"/>
      <c r="IG274" s="110"/>
      <c r="IH274" s="110"/>
      <c r="II274" s="110"/>
      <c r="IJ274" s="110"/>
      <c r="IK274" s="110"/>
      <c r="IL274" s="110"/>
      <c r="IM274" s="110"/>
      <c r="IN274" s="110"/>
      <c r="IO274" s="110"/>
      <c r="IP274" s="110"/>
      <c r="IQ274" s="110"/>
      <c r="IR274" s="110"/>
      <c r="IS274" s="110"/>
      <c r="IT274" s="110"/>
      <c r="IU274" s="110"/>
      <c r="IV274" s="110"/>
      <c r="IW274" s="110"/>
      <c r="IX274" s="110"/>
      <c r="IY274" s="110"/>
      <c r="IZ274" s="110"/>
      <c r="JA274" s="110"/>
      <c r="JB274" s="110"/>
      <c r="JC274" s="110"/>
      <c r="JD274" s="110"/>
      <c r="JE274" s="110"/>
      <c r="JF274" s="110"/>
      <c r="JG274" s="110"/>
      <c r="JH274" s="110"/>
      <c r="JI274" s="110"/>
      <c r="JJ274" s="110"/>
      <c r="JK274" s="110"/>
      <c r="JL274" s="110"/>
      <c r="JM274" s="110"/>
      <c r="JN274" s="110"/>
      <c r="JO274" s="110"/>
      <c r="JP274" s="110"/>
      <c r="JQ274" s="110"/>
      <c r="JR274" s="110"/>
      <c r="JS274" s="110"/>
      <c r="JT274" s="110"/>
      <c r="JU274" s="110"/>
      <c r="JV274" s="110"/>
      <c r="JW274" s="110"/>
      <c r="JX274" s="110"/>
      <c r="JY274" s="110"/>
      <c r="JZ274" s="110"/>
      <c r="KA274" s="110"/>
      <c r="KB274" s="110"/>
      <c r="KC274" s="110"/>
      <c r="KD274" s="110"/>
      <c r="KE274" s="110"/>
      <c r="KF274" s="110"/>
      <c r="KG274" s="110"/>
      <c r="KH274" s="110"/>
      <c r="KI274" s="110"/>
      <c r="KJ274" s="110"/>
      <c r="KK274" s="110"/>
      <c r="KL274" s="110"/>
      <c r="KM274" s="110"/>
      <c r="KN274" s="110"/>
    </row>
    <row r="275" spans="1:300" ht="19.2" customHeight="1" x14ac:dyDescent="0.3">
      <c r="A275" s="110"/>
      <c r="B275" s="110"/>
      <c r="C275" s="110"/>
      <c r="D275" s="110"/>
      <c r="E275" s="110"/>
      <c r="F275" s="110"/>
      <c r="G275" s="112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  <c r="JK275" s="110"/>
      <c r="JL275" s="110"/>
      <c r="JM275" s="110"/>
      <c r="JN275" s="110"/>
      <c r="JO275" s="110"/>
      <c r="JP275" s="110"/>
      <c r="JQ275" s="110"/>
      <c r="JR275" s="110"/>
      <c r="JS275" s="110"/>
      <c r="JT275" s="110"/>
      <c r="JU275" s="110"/>
      <c r="JV275" s="110"/>
      <c r="JW275" s="110"/>
      <c r="JX275" s="110"/>
      <c r="JY275" s="110"/>
      <c r="JZ275" s="110"/>
      <c r="KA275" s="110"/>
      <c r="KB275" s="110"/>
      <c r="KC275" s="110"/>
      <c r="KD275" s="110"/>
      <c r="KE275" s="110"/>
      <c r="KF275" s="110"/>
      <c r="KG275" s="110"/>
      <c r="KH275" s="110"/>
      <c r="KI275" s="110"/>
      <c r="KJ275" s="110"/>
      <c r="KK275" s="110"/>
      <c r="KL275" s="110"/>
      <c r="KM275" s="110"/>
      <c r="KN275" s="110"/>
    </row>
    <row r="276" spans="1:300" ht="19.2" customHeight="1" x14ac:dyDescent="0.3">
      <c r="A276" s="110"/>
      <c r="B276" s="110"/>
      <c r="C276" s="110"/>
      <c r="D276" s="110"/>
      <c r="E276" s="110"/>
      <c r="F276" s="110"/>
      <c r="G276" s="112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  <c r="GA276" s="110"/>
      <c r="GB276" s="110"/>
      <c r="GC276" s="110"/>
      <c r="GD276" s="110"/>
      <c r="GE276" s="110"/>
      <c r="GF276" s="110"/>
      <c r="GG276" s="110"/>
      <c r="GH276" s="110"/>
      <c r="GI276" s="110"/>
      <c r="GJ276" s="110"/>
      <c r="GK276" s="110"/>
      <c r="GL276" s="110"/>
      <c r="GM276" s="110"/>
      <c r="GN276" s="110"/>
      <c r="GO276" s="110"/>
      <c r="GP276" s="110"/>
      <c r="GQ276" s="110"/>
      <c r="GR276" s="110"/>
      <c r="GS276" s="110"/>
      <c r="GT276" s="110"/>
      <c r="GU276" s="110"/>
      <c r="GV276" s="110"/>
      <c r="GW276" s="110"/>
      <c r="GX276" s="110"/>
      <c r="GY276" s="110"/>
      <c r="GZ276" s="110"/>
      <c r="HA276" s="110"/>
      <c r="HB276" s="110"/>
      <c r="HC276" s="110"/>
      <c r="HD276" s="110"/>
      <c r="HE276" s="110"/>
      <c r="HF276" s="110"/>
      <c r="HG276" s="110"/>
      <c r="HH276" s="110"/>
      <c r="HI276" s="110"/>
      <c r="HJ276" s="110"/>
      <c r="HK276" s="110"/>
      <c r="HL276" s="110"/>
      <c r="HM276" s="110"/>
      <c r="HN276" s="110"/>
      <c r="HO276" s="110"/>
      <c r="HP276" s="110"/>
      <c r="HQ276" s="110"/>
      <c r="HR276" s="110"/>
      <c r="HS276" s="110"/>
      <c r="HT276" s="110"/>
      <c r="HU276" s="110"/>
      <c r="HV276" s="110"/>
      <c r="HW276" s="110"/>
      <c r="HX276" s="110"/>
      <c r="HY276" s="110"/>
      <c r="HZ276" s="110"/>
      <c r="IA276" s="110"/>
      <c r="IB276" s="110"/>
      <c r="IC276" s="110"/>
      <c r="ID276" s="110"/>
      <c r="IE276" s="110"/>
      <c r="IF276" s="110"/>
      <c r="IG276" s="110"/>
      <c r="IH276" s="110"/>
      <c r="II276" s="110"/>
      <c r="IJ276" s="110"/>
      <c r="IK276" s="110"/>
      <c r="IL276" s="110"/>
      <c r="IM276" s="110"/>
      <c r="IN276" s="110"/>
      <c r="IO276" s="110"/>
      <c r="IP276" s="110"/>
      <c r="IQ276" s="110"/>
      <c r="IR276" s="110"/>
      <c r="IS276" s="110"/>
      <c r="IT276" s="110"/>
      <c r="IU276" s="110"/>
      <c r="IV276" s="110"/>
      <c r="IW276" s="110"/>
      <c r="IX276" s="110"/>
      <c r="IY276" s="110"/>
      <c r="IZ276" s="110"/>
      <c r="JA276" s="110"/>
      <c r="JB276" s="110"/>
      <c r="JC276" s="110"/>
      <c r="JD276" s="110"/>
      <c r="JE276" s="110"/>
      <c r="JF276" s="110"/>
      <c r="JG276" s="110"/>
      <c r="JH276" s="110"/>
      <c r="JI276" s="110"/>
      <c r="JJ276" s="110"/>
      <c r="JK276" s="110"/>
      <c r="JL276" s="110"/>
      <c r="JM276" s="110"/>
      <c r="JN276" s="110"/>
      <c r="JO276" s="110"/>
      <c r="JP276" s="110"/>
      <c r="JQ276" s="110"/>
      <c r="JR276" s="110"/>
      <c r="JS276" s="110"/>
      <c r="JT276" s="110"/>
      <c r="JU276" s="110"/>
      <c r="JV276" s="110"/>
      <c r="JW276" s="110"/>
      <c r="JX276" s="110"/>
      <c r="JY276" s="110"/>
      <c r="JZ276" s="110"/>
      <c r="KA276" s="110"/>
      <c r="KB276" s="110"/>
      <c r="KC276" s="110"/>
      <c r="KD276" s="110"/>
      <c r="KE276" s="110"/>
      <c r="KF276" s="110"/>
      <c r="KG276" s="110"/>
      <c r="KH276" s="110"/>
      <c r="KI276" s="110"/>
      <c r="KJ276" s="110"/>
      <c r="KK276" s="110"/>
      <c r="KL276" s="110"/>
      <c r="KM276" s="110"/>
      <c r="KN276" s="110"/>
    </row>
    <row r="277" spans="1:300" ht="19.2" customHeight="1" x14ac:dyDescent="0.3">
      <c r="A277" s="110"/>
      <c r="B277" s="110"/>
      <c r="C277" s="110"/>
      <c r="D277" s="110"/>
      <c r="E277" s="110"/>
      <c r="F277" s="110"/>
      <c r="G277" s="112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  <c r="GA277" s="110"/>
      <c r="GB277" s="110"/>
      <c r="GC277" s="110"/>
      <c r="GD277" s="110"/>
      <c r="GE277" s="110"/>
      <c r="GF277" s="110"/>
      <c r="GG277" s="110"/>
      <c r="GH277" s="110"/>
      <c r="GI277" s="110"/>
      <c r="GJ277" s="110"/>
      <c r="GK277" s="110"/>
      <c r="GL277" s="110"/>
      <c r="GM277" s="110"/>
      <c r="GN277" s="110"/>
      <c r="GO277" s="110"/>
      <c r="GP277" s="110"/>
      <c r="GQ277" s="110"/>
      <c r="GR277" s="110"/>
      <c r="GS277" s="110"/>
      <c r="GT277" s="110"/>
      <c r="GU277" s="110"/>
      <c r="GV277" s="110"/>
      <c r="GW277" s="110"/>
      <c r="GX277" s="110"/>
      <c r="GY277" s="110"/>
      <c r="GZ277" s="110"/>
      <c r="HA277" s="110"/>
      <c r="HB277" s="110"/>
      <c r="HC277" s="110"/>
      <c r="HD277" s="110"/>
      <c r="HE277" s="110"/>
      <c r="HF277" s="110"/>
      <c r="HG277" s="110"/>
      <c r="HH277" s="110"/>
      <c r="HI277" s="110"/>
      <c r="HJ277" s="110"/>
      <c r="HK277" s="110"/>
      <c r="HL277" s="110"/>
      <c r="HM277" s="110"/>
      <c r="HN277" s="110"/>
      <c r="HO277" s="110"/>
      <c r="HP277" s="110"/>
      <c r="HQ277" s="110"/>
      <c r="HR277" s="110"/>
      <c r="HS277" s="110"/>
      <c r="HT277" s="110"/>
      <c r="HU277" s="110"/>
      <c r="HV277" s="110"/>
      <c r="HW277" s="110"/>
      <c r="HX277" s="110"/>
      <c r="HY277" s="110"/>
      <c r="HZ277" s="110"/>
      <c r="IA277" s="110"/>
      <c r="IB277" s="110"/>
      <c r="IC277" s="110"/>
      <c r="ID277" s="110"/>
      <c r="IE277" s="110"/>
      <c r="IF277" s="110"/>
      <c r="IG277" s="110"/>
      <c r="IH277" s="110"/>
      <c r="II277" s="110"/>
      <c r="IJ277" s="110"/>
      <c r="IK277" s="110"/>
      <c r="IL277" s="110"/>
      <c r="IM277" s="110"/>
      <c r="IN277" s="110"/>
      <c r="IO277" s="110"/>
      <c r="IP277" s="110"/>
      <c r="IQ277" s="110"/>
      <c r="IR277" s="110"/>
      <c r="IS277" s="110"/>
      <c r="IT277" s="110"/>
      <c r="IU277" s="110"/>
      <c r="IV277" s="110"/>
      <c r="IW277" s="110"/>
      <c r="IX277" s="110"/>
      <c r="IY277" s="110"/>
      <c r="IZ277" s="110"/>
      <c r="JA277" s="110"/>
      <c r="JB277" s="110"/>
      <c r="JC277" s="110"/>
      <c r="JD277" s="110"/>
      <c r="JE277" s="110"/>
      <c r="JF277" s="110"/>
      <c r="JG277" s="110"/>
      <c r="JH277" s="110"/>
      <c r="JI277" s="110"/>
      <c r="JJ277" s="110"/>
      <c r="JK277" s="110"/>
      <c r="JL277" s="110"/>
      <c r="JM277" s="110"/>
      <c r="JN277" s="110"/>
      <c r="JO277" s="110"/>
      <c r="JP277" s="110"/>
      <c r="JQ277" s="110"/>
      <c r="JR277" s="110"/>
      <c r="JS277" s="110"/>
      <c r="JT277" s="110"/>
      <c r="JU277" s="110"/>
      <c r="JV277" s="110"/>
      <c r="JW277" s="110"/>
      <c r="JX277" s="110"/>
      <c r="JY277" s="110"/>
      <c r="JZ277" s="110"/>
      <c r="KA277" s="110"/>
      <c r="KB277" s="110"/>
      <c r="KC277" s="110"/>
      <c r="KD277" s="110"/>
      <c r="KE277" s="110"/>
      <c r="KF277" s="110"/>
      <c r="KG277" s="110"/>
      <c r="KH277" s="110"/>
      <c r="KI277" s="110"/>
      <c r="KJ277" s="110"/>
      <c r="KK277" s="110"/>
      <c r="KL277" s="110"/>
      <c r="KM277" s="110"/>
      <c r="KN277" s="110"/>
    </row>
    <row r="278" spans="1:300" ht="19.2" customHeight="1" x14ac:dyDescent="0.3">
      <c r="A278" s="110"/>
      <c r="B278" s="110"/>
      <c r="C278" s="110"/>
      <c r="D278" s="110"/>
      <c r="E278" s="110"/>
      <c r="F278" s="110"/>
      <c r="G278" s="112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  <c r="GA278" s="110"/>
      <c r="GB278" s="110"/>
      <c r="GC278" s="110"/>
      <c r="GD278" s="110"/>
      <c r="GE278" s="110"/>
      <c r="GF278" s="110"/>
      <c r="GG278" s="110"/>
      <c r="GH278" s="110"/>
      <c r="GI278" s="110"/>
      <c r="GJ278" s="110"/>
      <c r="GK278" s="110"/>
      <c r="GL278" s="110"/>
      <c r="GM278" s="110"/>
      <c r="GN278" s="110"/>
      <c r="GO278" s="110"/>
      <c r="GP278" s="110"/>
      <c r="GQ278" s="110"/>
      <c r="GR278" s="110"/>
      <c r="GS278" s="110"/>
      <c r="GT278" s="110"/>
      <c r="GU278" s="110"/>
      <c r="GV278" s="110"/>
      <c r="GW278" s="110"/>
      <c r="GX278" s="110"/>
      <c r="GY278" s="110"/>
      <c r="GZ278" s="110"/>
      <c r="HA278" s="110"/>
      <c r="HB278" s="110"/>
      <c r="HC278" s="110"/>
      <c r="HD278" s="110"/>
      <c r="HE278" s="110"/>
      <c r="HF278" s="110"/>
      <c r="HG278" s="110"/>
      <c r="HH278" s="110"/>
      <c r="HI278" s="110"/>
      <c r="HJ278" s="110"/>
      <c r="HK278" s="110"/>
      <c r="HL278" s="110"/>
      <c r="HM278" s="110"/>
      <c r="HN278" s="110"/>
      <c r="HO278" s="110"/>
      <c r="HP278" s="110"/>
      <c r="HQ278" s="110"/>
      <c r="HR278" s="110"/>
      <c r="HS278" s="110"/>
      <c r="HT278" s="110"/>
      <c r="HU278" s="110"/>
      <c r="HV278" s="110"/>
      <c r="HW278" s="110"/>
      <c r="HX278" s="110"/>
      <c r="HY278" s="110"/>
      <c r="HZ278" s="110"/>
      <c r="IA278" s="110"/>
      <c r="IB278" s="110"/>
      <c r="IC278" s="110"/>
      <c r="ID278" s="110"/>
      <c r="IE278" s="110"/>
      <c r="IF278" s="110"/>
      <c r="IG278" s="110"/>
      <c r="IH278" s="110"/>
      <c r="II278" s="110"/>
      <c r="IJ278" s="110"/>
      <c r="IK278" s="110"/>
      <c r="IL278" s="110"/>
      <c r="IM278" s="110"/>
      <c r="IN278" s="110"/>
      <c r="IO278" s="110"/>
      <c r="IP278" s="110"/>
      <c r="IQ278" s="110"/>
      <c r="IR278" s="110"/>
      <c r="IS278" s="110"/>
      <c r="IT278" s="110"/>
      <c r="IU278" s="110"/>
      <c r="IV278" s="110"/>
      <c r="IW278" s="110"/>
      <c r="IX278" s="110"/>
      <c r="IY278" s="110"/>
      <c r="IZ278" s="110"/>
      <c r="JA278" s="110"/>
      <c r="JB278" s="110"/>
      <c r="JC278" s="110"/>
      <c r="JD278" s="110"/>
      <c r="JE278" s="110"/>
      <c r="JF278" s="110"/>
      <c r="JG278" s="110"/>
      <c r="JH278" s="110"/>
      <c r="JI278" s="110"/>
      <c r="JJ278" s="110"/>
      <c r="JK278" s="110"/>
      <c r="JL278" s="110"/>
      <c r="JM278" s="110"/>
      <c r="JN278" s="110"/>
      <c r="JO278" s="110"/>
      <c r="JP278" s="110"/>
      <c r="JQ278" s="110"/>
      <c r="JR278" s="110"/>
      <c r="JS278" s="110"/>
      <c r="JT278" s="110"/>
      <c r="JU278" s="110"/>
      <c r="JV278" s="110"/>
      <c r="JW278" s="110"/>
      <c r="JX278" s="110"/>
      <c r="JY278" s="110"/>
      <c r="JZ278" s="110"/>
      <c r="KA278" s="110"/>
      <c r="KB278" s="110"/>
      <c r="KC278" s="110"/>
      <c r="KD278" s="110"/>
      <c r="KE278" s="110"/>
      <c r="KF278" s="110"/>
      <c r="KG278" s="110"/>
      <c r="KH278" s="110"/>
      <c r="KI278" s="110"/>
      <c r="KJ278" s="110"/>
      <c r="KK278" s="110"/>
      <c r="KL278" s="110"/>
      <c r="KM278" s="110"/>
      <c r="KN278" s="110"/>
    </row>
    <row r="279" spans="1:300" ht="19.2" customHeight="1" x14ac:dyDescent="0.3">
      <c r="A279" s="110"/>
      <c r="B279" s="110"/>
      <c r="C279" s="110"/>
      <c r="D279" s="110"/>
      <c r="E279" s="110"/>
      <c r="F279" s="110"/>
      <c r="G279" s="112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  <c r="GA279" s="110"/>
      <c r="GB279" s="110"/>
      <c r="GC279" s="110"/>
      <c r="GD279" s="110"/>
      <c r="GE279" s="110"/>
      <c r="GF279" s="110"/>
      <c r="GG279" s="110"/>
      <c r="GH279" s="110"/>
      <c r="GI279" s="110"/>
      <c r="GJ279" s="110"/>
      <c r="GK279" s="110"/>
      <c r="GL279" s="110"/>
      <c r="GM279" s="110"/>
      <c r="GN279" s="110"/>
      <c r="GO279" s="110"/>
      <c r="GP279" s="110"/>
      <c r="GQ279" s="110"/>
      <c r="GR279" s="110"/>
      <c r="GS279" s="110"/>
      <c r="GT279" s="110"/>
      <c r="GU279" s="110"/>
      <c r="GV279" s="110"/>
      <c r="GW279" s="110"/>
      <c r="GX279" s="110"/>
      <c r="GY279" s="110"/>
      <c r="GZ279" s="110"/>
      <c r="HA279" s="110"/>
      <c r="HB279" s="110"/>
      <c r="HC279" s="110"/>
      <c r="HD279" s="110"/>
      <c r="HE279" s="110"/>
      <c r="HF279" s="110"/>
      <c r="HG279" s="110"/>
      <c r="HH279" s="110"/>
      <c r="HI279" s="110"/>
      <c r="HJ279" s="110"/>
      <c r="HK279" s="110"/>
      <c r="HL279" s="110"/>
      <c r="HM279" s="110"/>
      <c r="HN279" s="110"/>
      <c r="HO279" s="110"/>
      <c r="HP279" s="110"/>
      <c r="HQ279" s="110"/>
      <c r="HR279" s="110"/>
      <c r="HS279" s="110"/>
      <c r="HT279" s="110"/>
      <c r="HU279" s="110"/>
      <c r="HV279" s="110"/>
      <c r="HW279" s="110"/>
      <c r="HX279" s="110"/>
      <c r="HY279" s="110"/>
      <c r="HZ279" s="110"/>
      <c r="IA279" s="110"/>
      <c r="IB279" s="110"/>
      <c r="IC279" s="110"/>
      <c r="ID279" s="110"/>
      <c r="IE279" s="110"/>
      <c r="IF279" s="110"/>
      <c r="IG279" s="110"/>
      <c r="IH279" s="110"/>
      <c r="II279" s="110"/>
      <c r="IJ279" s="110"/>
      <c r="IK279" s="110"/>
      <c r="IL279" s="110"/>
      <c r="IM279" s="110"/>
      <c r="IN279" s="110"/>
      <c r="IO279" s="110"/>
      <c r="IP279" s="110"/>
      <c r="IQ279" s="110"/>
      <c r="IR279" s="110"/>
      <c r="IS279" s="110"/>
      <c r="IT279" s="110"/>
      <c r="IU279" s="110"/>
      <c r="IV279" s="110"/>
      <c r="IW279" s="110"/>
      <c r="IX279" s="110"/>
      <c r="IY279" s="110"/>
      <c r="IZ279" s="110"/>
      <c r="JA279" s="110"/>
      <c r="JB279" s="110"/>
      <c r="JC279" s="110"/>
      <c r="JD279" s="110"/>
      <c r="JE279" s="110"/>
      <c r="JF279" s="110"/>
      <c r="JG279" s="110"/>
      <c r="JH279" s="110"/>
      <c r="JI279" s="110"/>
      <c r="JJ279" s="110"/>
      <c r="JK279" s="110"/>
      <c r="JL279" s="110"/>
      <c r="JM279" s="110"/>
      <c r="JN279" s="110"/>
      <c r="JO279" s="110"/>
      <c r="JP279" s="110"/>
      <c r="JQ279" s="110"/>
      <c r="JR279" s="110"/>
      <c r="JS279" s="110"/>
      <c r="JT279" s="110"/>
      <c r="JU279" s="110"/>
      <c r="JV279" s="110"/>
      <c r="JW279" s="110"/>
      <c r="JX279" s="110"/>
      <c r="JY279" s="110"/>
      <c r="JZ279" s="110"/>
      <c r="KA279" s="110"/>
      <c r="KB279" s="110"/>
      <c r="KC279" s="110"/>
      <c r="KD279" s="110"/>
      <c r="KE279" s="110"/>
      <c r="KF279" s="110"/>
      <c r="KG279" s="110"/>
      <c r="KH279" s="110"/>
      <c r="KI279" s="110"/>
      <c r="KJ279" s="110"/>
      <c r="KK279" s="110"/>
      <c r="KL279" s="110"/>
      <c r="KM279" s="110"/>
      <c r="KN279" s="110"/>
    </row>
    <row r="280" spans="1:300" ht="19.2" customHeight="1" x14ac:dyDescent="0.3">
      <c r="A280" s="110"/>
      <c r="B280" s="110"/>
      <c r="C280" s="110"/>
      <c r="D280" s="110"/>
      <c r="E280" s="110"/>
      <c r="F280" s="110"/>
      <c r="G280" s="112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  <c r="GA280" s="110"/>
      <c r="GB280" s="110"/>
      <c r="GC280" s="110"/>
      <c r="GD280" s="110"/>
      <c r="GE280" s="110"/>
      <c r="GF280" s="110"/>
      <c r="GG280" s="110"/>
      <c r="GH280" s="110"/>
      <c r="GI280" s="110"/>
      <c r="GJ280" s="110"/>
      <c r="GK280" s="110"/>
      <c r="GL280" s="110"/>
      <c r="GM280" s="110"/>
      <c r="GN280" s="110"/>
      <c r="GO280" s="110"/>
      <c r="GP280" s="110"/>
      <c r="GQ280" s="110"/>
      <c r="GR280" s="110"/>
      <c r="GS280" s="110"/>
      <c r="GT280" s="110"/>
      <c r="GU280" s="110"/>
      <c r="GV280" s="110"/>
      <c r="GW280" s="110"/>
      <c r="GX280" s="110"/>
      <c r="GY280" s="110"/>
      <c r="GZ280" s="110"/>
      <c r="HA280" s="110"/>
      <c r="HB280" s="110"/>
      <c r="HC280" s="110"/>
      <c r="HD280" s="110"/>
      <c r="HE280" s="110"/>
      <c r="HF280" s="110"/>
      <c r="HG280" s="110"/>
      <c r="HH280" s="110"/>
      <c r="HI280" s="110"/>
      <c r="HJ280" s="110"/>
      <c r="HK280" s="110"/>
      <c r="HL280" s="110"/>
      <c r="HM280" s="110"/>
      <c r="HN280" s="110"/>
      <c r="HO280" s="110"/>
      <c r="HP280" s="110"/>
      <c r="HQ280" s="110"/>
      <c r="HR280" s="110"/>
      <c r="HS280" s="110"/>
      <c r="HT280" s="110"/>
      <c r="HU280" s="110"/>
      <c r="HV280" s="110"/>
      <c r="HW280" s="110"/>
      <c r="HX280" s="110"/>
      <c r="HY280" s="110"/>
      <c r="HZ280" s="110"/>
      <c r="IA280" s="110"/>
      <c r="IB280" s="110"/>
      <c r="IC280" s="110"/>
      <c r="ID280" s="110"/>
      <c r="IE280" s="110"/>
      <c r="IF280" s="110"/>
      <c r="IG280" s="110"/>
      <c r="IH280" s="110"/>
      <c r="II280" s="110"/>
      <c r="IJ280" s="110"/>
      <c r="IK280" s="110"/>
      <c r="IL280" s="110"/>
      <c r="IM280" s="110"/>
      <c r="IN280" s="110"/>
      <c r="IO280" s="110"/>
      <c r="IP280" s="110"/>
      <c r="IQ280" s="110"/>
      <c r="IR280" s="110"/>
      <c r="IS280" s="110"/>
      <c r="IT280" s="110"/>
      <c r="IU280" s="110"/>
      <c r="IV280" s="110"/>
      <c r="IW280" s="110"/>
      <c r="IX280" s="110"/>
      <c r="IY280" s="110"/>
      <c r="IZ280" s="110"/>
      <c r="JA280" s="110"/>
      <c r="JB280" s="110"/>
      <c r="JC280" s="110"/>
      <c r="JD280" s="110"/>
      <c r="JE280" s="110"/>
      <c r="JF280" s="110"/>
      <c r="JG280" s="110"/>
      <c r="JH280" s="110"/>
      <c r="JI280" s="110"/>
      <c r="JJ280" s="110"/>
      <c r="JK280" s="110"/>
      <c r="JL280" s="110"/>
      <c r="JM280" s="110"/>
      <c r="JN280" s="110"/>
      <c r="JO280" s="110"/>
      <c r="JP280" s="110"/>
      <c r="JQ280" s="110"/>
      <c r="JR280" s="110"/>
      <c r="JS280" s="110"/>
      <c r="JT280" s="110"/>
      <c r="JU280" s="110"/>
      <c r="JV280" s="110"/>
      <c r="JW280" s="110"/>
      <c r="JX280" s="110"/>
      <c r="JY280" s="110"/>
      <c r="JZ280" s="110"/>
      <c r="KA280" s="110"/>
      <c r="KB280" s="110"/>
      <c r="KC280" s="110"/>
      <c r="KD280" s="110"/>
      <c r="KE280" s="110"/>
      <c r="KF280" s="110"/>
      <c r="KG280" s="110"/>
      <c r="KH280" s="110"/>
      <c r="KI280" s="110"/>
      <c r="KJ280" s="110"/>
      <c r="KK280" s="110"/>
      <c r="KL280" s="110"/>
      <c r="KM280" s="110"/>
      <c r="KN280" s="110"/>
    </row>
    <row r="281" spans="1:300" ht="19.2" customHeight="1" x14ac:dyDescent="0.3">
      <c r="A281" s="110"/>
      <c r="B281" s="110"/>
      <c r="C281" s="110"/>
      <c r="D281" s="110"/>
      <c r="E281" s="110"/>
      <c r="F281" s="110"/>
      <c r="G281" s="112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  <c r="GA281" s="110"/>
      <c r="GB281" s="110"/>
      <c r="GC281" s="110"/>
      <c r="GD281" s="110"/>
      <c r="GE281" s="110"/>
      <c r="GF281" s="110"/>
      <c r="GG281" s="110"/>
      <c r="GH281" s="110"/>
      <c r="GI281" s="110"/>
      <c r="GJ281" s="110"/>
      <c r="GK281" s="110"/>
      <c r="GL281" s="110"/>
      <c r="GM281" s="110"/>
      <c r="GN281" s="110"/>
      <c r="GO281" s="110"/>
      <c r="GP281" s="110"/>
      <c r="GQ281" s="110"/>
      <c r="GR281" s="110"/>
      <c r="GS281" s="110"/>
      <c r="GT281" s="110"/>
      <c r="GU281" s="110"/>
      <c r="GV281" s="110"/>
      <c r="GW281" s="110"/>
      <c r="GX281" s="110"/>
      <c r="GY281" s="110"/>
      <c r="GZ281" s="110"/>
      <c r="HA281" s="110"/>
      <c r="HB281" s="110"/>
      <c r="HC281" s="110"/>
      <c r="HD281" s="110"/>
      <c r="HE281" s="110"/>
      <c r="HF281" s="110"/>
      <c r="HG281" s="110"/>
      <c r="HH281" s="110"/>
      <c r="HI281" s="110"/>
      <c r="HJ281" s="110"/>
      <c r="HK281" s="110"/>
      <c r="HL281" s="110"/>
      <c r="HM281" s="110"/>
      <c r="HN281" s="110"/>
      <c r="HO281" s="110"/>
      <c r="HP281" s="110"/>
      <c r="HQ281" s="110"/>
      <c r="HR281" s="110"/>
      <c r="HS281" s="110"/>
      <c r="HT281" s="110"/>
      <c r="HU281" s="110"/>
      <c r="HV281" s="110"/>
      <c r="HW281" s="110"/>
      <c r="HX281" s="110"/>
      <c r="HY281" s="110"/>
      <c r="HZ281" s="110"/>
      <c r="IA281" s="110"/>
      <c r="IB281" s="110"/>
      <c r="IC281" s="110"/>
      <c r="ID281" s="110"/>
      <c r="IE281" s="110"/>
      <c r="IF281" s="110"/>
      <c r="IG281" s="110"/>
      <c r="IH281" s="110"/>
      <c r="II281" s="110"/>
      <c r="IJ281" s="110"/>
      <c r="IK281" s="110"/>
      <c r="IL281" s="110"/>
      <c r="IM281" s="110"/>
      <c r="IN281" s="110"/>
      <c r="IO281" s="110"/>
      <c r="IP281" s="110"/>
      <c r="IQ281" s="110"/>
      <c r="IR281" s="110"/>
      <c r="IS281" s="110"/>
      <c r="IT281" s="110"/>
      <c r="IU281" s="110"/>
      <c r="IV281" s="110"/>
      <c r="IW281" s="110"/>
      <c r="IX281" s="110"/>
      <c r="IY281" s="110"/>
      <c r="IZ281" s="110"/>
      <c r="JA281" s="110"/>
      <c r="JB281" s="110"/>
      <c r="JC281" s="110"/>
      <c r="JD281" s="110"/>
      <c r="JE281" s="110"/>
      <c r="JF281" s="110"/>
      <c r="JG281" s="110"/>
      <c r="JH281" s="110"/>
      <c r="JI281" s="110"/>
      <c r="JJ281" s="110"/>
      <c r="JK281" s="110"/>
      <c r="JL281" s="110"/>
      <c r="JM281" s="110"/>
      <c r="JN281" s="110"/>
      <c r="JO281" s="110"/>
      <c r="JP281" s="110"/>
      <c r="JQ281" s="110"/>
      <c r="JR281" s="110"/>
      <c r="JS281" s="110"/>
      <c r="JT281" s="110"/>
      <c r="JU281" s="110"/>
      <c r="JV281" s="110"/>
      <c r="JW281" s="110"/>
      <c r="JX281" s="110"/>
      <c r="JY281" s="110"/>
      <c r="JZ281" s="110"/>
      <c r="KA281" s="110"/>
      <c r="KB281" s="110"/>
      <c r="KC281" s="110"/>
      <c r="KD281" s="110"/>
      <c r="KE281" s="110"/>
      <c r="KF281" s="110"/>
      <c r="KG281" s="110"/>
      <c r="KH281" s="110"/>
      <c r="KI281" s="110"/>
      <c r="KJ281" s="110"/>
      <c r="KK281" s="110"/>
      <c r="KL281" s="110"/>
      <c r="KM281" s="110"/>
      <c r="KN281" s="110"/>
    </row>
    <row r="282" spans="1:300" ht="19.2" customHeight="1" x14ac:dyDescent="0.3">
      <c r="A282" s="110"/>
      <c r="B282" s="110"/>
      <c r="C282" s="110"/>
      <c r="D282" s="110"/>
      <c r="E282" s="110"/>
      <c r="F282" s="110"/>
      <c r="G282" s="112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  <c r="GA282" s="110"/>
      <c r="GB282" s="110"/>
      <c r="GC282" s="110"/>
      <c r="GD282" s="110"/>
      <c r="GE282" s="110"/>
      <c r="GF282" s="110"/>
      <c r="GG282" s="110"/>
      <c r="GH282" s="110"/>
      <c r="GI282" s="110"/>
      <c r="GJ282" s="110"/>
      <c r="GK282" s="110"/>
      <c r="GL282" s="110"/>
      <c r="GM282" s="110"/>
      <c r="GN282" s="110"/>
      <c r="GO282" s="110"/>
      <c r="GP282" s="110"/>
      <c r="GQ282" s="110"/>
      <c r="GR282" s="110"/>
      <c r="GS282" s="110"/>
      <c r="GT282" s="110"/>
      <c r="GU282" s="110"/>
      <c r="GV282" s="110"/>
      <c r="GW282" s="110"/>
      <c r="GX282" s="110"/>
      <c r="GY282" s="110"/>
      <c r="GZ282" s="110"/>
      <c r="HA282" s="110"/>
      <c r="HB282" s="110"/>
      <c r="HC282" s="110"/>
      <c r="HD282" s="110"/>
      <c r="HE282" s="110"/>
      <c r="HF282" s="110"/>
      <c r="HG282" s="110"/>
      <c r="HH282" s="110"/>
      <c r="HI282" s="110"/>
      <c r="HJ282" s="110"/>
      <c r="HK282" s="110"/>
      <c r="HL282" s="110"/>
      <c r="HM282" s="110"/>
      <c r="HN282" s="110"/>
      <c r="HO282" s="110"/>
      <c r="HP282" s="110"/>
      <c r="HQ282" s="110"/>
      <c r="HR282" s="110"/>
      <c r="HS282" s="110"/>
      <c r="HT282" s="110"/>
      <c r="HU282" s="110"/>
      <c r="HV282" s="110"/>
      <c r="HW282" s="110"/>
      <c r="HX282" s="110"/>
      <c r="HY282" s="110"/>
      <c r="HZ282" s="110"/>
      <c r="IA282" s="110"/>
      <c r="IB282" s="110"/>
      <c r="IC282" s="110"/>
      <c r="ID282" s="110"/>
      <c r="IE282" s="110"/>
      <c r="IF282" s="110"/>
      <c r="IG282" s="110"/>
      <c r="IH282" s="110"/>
      <c r="II282" s="110"/>
      <c r="IJ282" s="110"/>
      <c r="IK282" s="110"/>
      <c r="IL282" s="110"/>
      <c r="IM282" s="110"/>
      <c r="IN282" s="110"/>
      <c r="IO282" s="110"/>
      <c r="IP282" s="110"/>
      <c r="IQ282" s="110"/>
      <c r="IR282" s="110"/>
      <c r="IS282" s="110"/>
      <c r="IT282" s="110"/>
      <c r="IU282" s="110"/>
      <c r="IV282" s="110"/>
      <c r="IW282" s="110"/>
      <c r="IX282" s="110"/>
      <c r="IY282" s="110"/>
      <c r="IZ282" s="110"/>
      <c r="JA282" s="110"/>
      <c r="JB282" s="110"/>
      <c r="JC282" s="110"/>
      <c r="JD282" s="110"/>
      <c r="JE282" s="110"/>
      <c r="JF282" s="110"/>
      <c r="JG282" s="110"/>
      <c r="JH282" s="110"/>
      <c r="JI282" s="110"/>
      <c r="JJ282" s="110"/>
      <c r="JK282" s="110"/>
      <c r="JL282" s="110"/>
      <c r="JM282" s="110"/>
      <c r="JN282" s="110"/>
      <c r="JO282" s="110"/>
      <c r="JP282" s="110"/>
      <c r="JQ282" s="110"/>
      <c r="JR282" s="110"/>
      <c r="JS282" s="110"/>
      <c r="JT282" s="110"/>
      <c r="JU282" s="110"/>
      <c r="JV282" s="110"/>
      <c r="JW282" s="110"/>
      <c r="JX282" s="110"/>
      <c r="JY282" s="110"/>
      <c r="JZ282" s="110"/>
      <c r="KA282" s="110"/>
      <c r="KB282" s="110"/>
      <c r="KC282" s="110"/>
      <c r="KD282" s="110"/>
      <c r="KE282" s="110"/>
      <c r="KF282" s="110"/>
      <c r="KG282" s="110"/>
      <c r="KH282" s="110"/>
      <c r="KI282" s="110"/>
      <c r="KJ282" s="110"/>
      <c r="KK282" s="110"/>
      <c r="KL282" s="110"/>
      <c r="KM282" s="110"/>
      <c r="KN282" s="110"/>
    </row>
    <row r="283" spans="1:300" ht="19.2" customHeight="1" x14ac:dyDescent="0.3">
      <c r="A283" s="110"/>
      <c r="B283" s="110"/>
      <c r="C283" s="110"/>
      <c r="D283" s="110"/>
      <c r="E283" s="110"/>
      <c r="F283" s="110"/>
      <c r="G283" s="112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  <c r="GA283" s="110"/>
      <c r="GB283" s="110"/>
      <c r="GC283" s="110"/>
      <c r="GD283" s="110"/>
      <c r="GE283" s="110"/>
      <c r="GF283" s="110"/>
      <c r="GG283" s="110"/>
      <c r="GH283" s="110"/>
      <c r="GI283" s="110"/>
      <c r="GJ283" s="110"/>
      <c r="GK283" s="110"/>
      <c r="GL283" s="110"/>
      <c r="GM283" s="110"/>
      <c r="GN283" s="110"/>
      <c r="GO283" s="110"/>
      <c r="GP283" s="110"/>
      <c r="GQ283" s="110"/>
      <c r="GR283" s="110"/>
      <c r="GS283" s="110"/>
      <c r="GT283" s="110"/>
      <c r="GU283" s="110"/>
      <c r="GV283" s="110"/>
      <c r="GW283" s="110"/>
      <c r="GX283" s="110"/>
      <c r="GY283" s="110"/>
      <c r="GZ283" s="110"/>
      <c r="HA283" s="110"/>
      <c r="HB283" s="110"/>
      <c r="HC283" s="110"/>
      <c r="HD283" s="110"/>
      <c r="HE283" s="110"/>
      <c r="HF283" s="110"/>
      <c r="HG283" s="110"/>
      <c r="HH283" s="110"/>
      <c r="HI283" s="110"/>
      <c r="HJ283" s="110"/>
      <c r="HK283" s="110"/>
      <c r="HL283" s="110"/>
      <c r="HM283" s="110"/>
      <c r="HN283" s="110"/>
      <c r="HO283" s="110"/>
      <c r="HP283" s="110"/>
      <c r="HQ283" s="110"/>
      <c r="HR283" s="110"/>
      <c r="HS283" s="110"/>
      <c r="HT283" s="110"/>
      <c r="HU283" s="110"/>
      <c r="HV283" s="110"/>
      <c r="HW283" s="110"/>
      <c r="HX283" s="110"/>
      <c r="HY283" s="110"/>
      <c r="HZ283" s="110"/>
      <c r="IA283" s="110"/>
      <c r="IB283" s="110"/>
      <c r="IC283" s="110"/>
      <c r="ID283" s="110"/>
      <c r="IE283" s="110"/>
      <c r="IF283" s="110"/>
      <c r="IG283" s="110"/>
      <c r="IH283" s="110"/>
      <c r="II283" s="110"/>
      <c r="IJ283" s="110"/>
      <c r="IK283" s="110"/>
      <c r="IL283" s="110"/>
      <c r="IM283" s="110"/>
      <c r="IN283" s="110"/>
      <c r="IO283" s="110"/>
      <c r="IP283" s="110"/>
      <c r="IQ283" s="110"/>
      <c r="IR283" s="110"/>
      <c r="IS283" s="110"/>
      <c r="IT283" s="110"/>
      <c r="IU283" s="110"/>
      <c r="IV283" s="110"/>
      <c r="IW283" s="110"/>
      <c r="IX283" s="110"/>
      <c r="IY283" s="110"/>
      <c r="IZ283" s="110"/>
      <c r="JA283" s="110"/>
      <c r="JB283" s="110"/>
      <c r="JC283" s="110"/>
      <c r="JD283" s="110"/>
      <c r="JE283" s="110"/>
      <c r="JF283" s="110"/>
      <c r="JG283" s="110"/>
      <c r="JH283" s="110"/>
      <c r="JI283" s="110"/>
      <c r="JJ283" s="110"/>
      <c r="JK283" s="110"/>
      <c r="JL283" s="110"/>
      <c r="JM283" s="110"/>
      <c r="JN283" s="110"/>
      <c r="JO283" s="110"/>
      <c r="JP283" s="110"/>
      <c r="JQ283" s="110"/>
      <c r="JR283" s="110"/>
      <c r="JS283" s="110"/>
      <c r="JT283" s="110"/>
      <c r="JU283" s="110"/>
      <c r="JV283" s="110"/>
      <c r="JW283" s="110"/>
      <c r="JX283" s="110"/>
      <c r="JY283" s="110"/>
      <c r="JZ283" s="110"/>
      <c r="KA283" s="110"/>
      <c r="KB283" s="110"/>
      <c r="KC283" s="110"/>
      <c r="KD283" s="110"/>
      <c r="KE283" s="110"/>
      <c r="KF283" s="110"/>
      <c r="KG283" s="110"/>
      <c r="KH283" s="110"/>
      <c r="KI283" s="110"/>
      <c r="KJ283" s="110"/>
      <c r="KK283" s="110"/>
      <c r="KL283" s="110"/>
      <c r="KM283" s="110"/>
      <c r="KN283" s="110"/>
    </row>
    <row r="284" spans="1:300" ht="19.2" customHeight="1" x14ac:dyDescent="0.3">
      <c r="A284" s="110"/>
      <c r="B284" s="110"/>
      <c r="C284" s="110"/>
      <c r="D284" s="110"/>
      <c r="E284" s="110"/>
      <c r="F284" s="110"/>
      <c r="G284" s="112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  <c r="GA284" s="110"/>
      <c r="GB284" s="110"/>
      <c r="GC284" s="110"/>
      <c r="GD284" s="110"/>
      <c r="GE284" s="110"/>
      <c r="GF284" s="110"/>
      <c r="GG284" s="110"/>
      <c r="GH284" s="110"/>
      <c r="GI284" s="110"/>
      <c r="GJ284" s="110"/>
      <c r="GK284" s="110"/>
      <c r="GL284" s="110"/>
      <c r="GM284" s="110"/>
      <c r="GN284" s="110"/>
      <c r="GO284" s="110"/>
      <c r="GP284" s="110"/>
      <c r="GQ284" s="110"/>
      <c r="GR284" s="110"/>
      <c r="GS284" s="110"/>
      <c r="GT284" s="110"/>
      <c r="GU284" s="110"/>
      <c r="GV284" s="110"/>
      <c r="GW284" s="110"/>
      <c r="GX284" s="110"/>
      <c r="GY284" s="110"/>
      <c r="GZ284" s="110"/>
      <c r="HA284" s="110"/>
      <c r="HB284" s="110"/>
      <c r="HC284" s="110"/>
      <c r="HD284" s="110"/>
      <c r="HE284" s="110"/>
      <c r="HF284" s="110"/>
      <c r="HG284" s="110"/>
      <c r="HH284" s="110"/>
      <c r="HI284" s="110"/>
      <c r="HJ284" s="110"/>
      <c r="HK284" s="110"/>
      <c r="HL284" s="110"/>
      <c r="HM284" s="110"/>
      <c r="HN284" s="110"/>
      <c r="HO284" s="110"/>
      <c r="HP284" s="110"/>
      <c r="HQ284" s="110"/>
      <c r="HR284" s="110"/>
      <c r="HS284" s="110"/>
      <c r="HT284" s="110"/>
      <c r="HU284" s="110"/>
      <c r="HV284" s="110"/>
      <c r="HW284" s="110"/>
      <c r="HX284" s="110"/>
      <c r="HY284" s="110"/>
      <c r="HZ284" s="110"/>
      <c r="IA284" s="110"/>
      <c r="IB284" s="110"/>
      <c r="IC284" s="110"/>
      <c r="ID284" s="110"/>
      <c r="IE284" s="110"/>
      <c r="IF284" s="110"/>
      <c r="IG284" s="110"/>
      <c r="IH284" s="110"/>
      <c r="II284" s="110"/>
      <c r="IJ284" s="110"/>
      <c r="IK284" s="110"/>
      <c r="IL284" s="110"/>
      <c r="IM284" s="110"/>
      <c r="IN284" s="110"/>
      <c r="IO284" s="110"/>
      <c r="IP284" s="110"/>
      <c r="IQ284" s="110"/>
      <c r="IR284" s="110"/>
      <c r="IS284" s="110"/>
      <c r="IT284" s="110"/>
      <c r="IU284" s="110"/>
      <c r="IV284" s="110"/>
      <c r="IW284" s="110"/>
      <c r="IX284" s="110"/>
      <c r="IY284" s="110"/>
      <c r="IZ284" s="110"/>
      <c r="JA284" s="110"/>
      <c r="JB284" s="110"/>
      <c r="JC284" s="110"/>
      <c r="JD284" s="110"/>
      <c r="JE284" s="110"/>
      <c r="JF284" s="110"/>
      <c r="JG284" s="110"/>
      <c r="JH284" s="110"/>
      <c r="JI284" s="110"/>
      <c r="JJ284" s="110"/>
      <c r="JK284" s="110"/>
      <c r="JL284" s="110"/>
      <c r="JM284" s="110"/>
      <c r="JN284" s="110"/>
      <c r="JO284" s="110"/>
      <c r="JP284" s="110"/>
      <c r="JQ284" s="110"/>
      <c r="JR284" s="110"/>
      <c r="JS284" s="110"/>
      <c r="JT284" s="110"/>
      <c r="JU284" s="110"/>
      <c r="JV284" s="110"/>
      <c r="JW284" s="110"/>
      <c r="JX284" s="110"/>
      <c r="JY284" s="110"/>
      <c r="JZ284" s="110"/>
      <c r="KA284" s="110"/>
      <c r="KB284" s="110"/>
      <c r="KC284" s="110"/>
      <c r="KD284" s="110"/>
      <c r="KE284" s="110"/>
      <c r="KF284" s="110"/>
      <c r="KG284" s="110"/>
      <c r="KH284" s="110"/>
      <c r="KI284" s="110"/>
      <c r="KJ284" s="110"/>
      <c r="KK284" s="110"/>
      <c r="KL284" s="110"/>
      <c r="KM284" s="110"/>
      <c r="KN284" s="110"/>
    </row>
    <row r="285" spans="1:300" ht="19.2" customHeight="1" x14ac:dyDescent="0.3">
      <c r="A285" s="110"/>
      <c r="B285" s="110"/>
      <c r="C285" s="110"/>
      <c r="D285" s="110"/>
      <c r="E285" s="110"/>
      <c r="F285" s="110"/>
      <c r="G285" s="112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  <c r="GA285" s="110"/>
      <c r="GB285" s="110"/>
      <c r="GC285" s="110"/>
      <c r="GD285" s="110"/>
      <c r="GE285" s="110"/>
      <c r="GF285" s="110"/>
      <c r="GG285" s="110"/>
      <c r="GH285" s="110"/>
      <c r="GI285" s="110"/>
      <c r="GJ285" s="110"/>
      <c r="GK285" s="110"/>
      <c r="GL285" s="110"/>
      <c r="GM285" s="110"/>
      <c r="GN285" s="110"/>
      <c r="GO285" s="110"/>
      <c r="GP285" s="110"/>
      <c r="GQ285" s="110"/>
      <c r="GR285" s="110"/>
      <c r="GS285" s="110"/>
      <c r="GT285" s="110"/>
      <c r="GU285" s="110"/>
      <c r="GV285" s="110"/>
      <c r="GW285" s="110"/>
      <c r="GX285" s="110"/>
      <c r="GY285" s="110"/>
      <c r="GZ285" s="110"/>
      <c r="HA285" s="110"/>
      <c r="HB285" s="110"/>
      <c r="HC285" s="110"/>
      <c r="HD285" s="110"/>
      <c r="HE285" s="110"/>
      <c r="HF285" s="110"/>
      <c r="HG285" s="110"/>
      <c r="HH285" s="110"/>
      <c r="HI285" s="110"/>
      <c r="HJ285" s="110"/>
      <c r="HK285" s="110"/>
      <c r="HL285" s="110"/>
      <c r="HM285" s="110"/>
      <c r="HN285" s="110"/>
      <c r="HO285" s="110"/>
      <c r="HP285" s="110"/>
      <c r="HQ285" s="110"/>
      <c r="HR285" s="110"/>
      <c r="HS285" s="110"/>
      <c r="HT285" s="110"/>
      <c r="HU285" s="110"/>
      <c r="HV285" s="110"/>
      <c r="HW285" s="110"/>
      <c r="HX285" s="110"/>
      <c r="HY285" s="110"/>
      <c r="HZ285" s="110"/>
      <c r="IA285" s="110"/>
      <c r="IB285" s="110"/>
      <c r="IC285" s="110"/>
      <c r="ID285" s="110"/>
      <c r="IE285" s="110"/>
      <c r="IF285" s="110"/>
      <c r="IG285" s="110"/>
      <c r="IH285" s="110"/>
      <c r="II285" s="110"/>
      <c r="IJ285" s="110"/>
      <c r="IK285" s="110"/>
      <c r="IL285" s="110"/>
      <c r="IM285" s="110"/>
      <c r="IN285" s="110"/>
      <c r="IO285" s="110"/>
      <c r="IP285" s="110"/>
      <c r="IQ285" s="110"/>
      <c r="IR285" s="110"/>
      <c r="IS285" s="110"/>
      <c r="IT285" s="110"/>
      <c r="IU285" s="110"/>
      <c r="IV285" s="110"/>
      <c r="IW285" s="110"/>
      <c r="IX285" s="110"/>
      <c r="IY285" s="110"/>
      <c r="IZ285" s="110"/>
      <c r="JA285" s="110"/>
      <c r="JB285" s="110"/>
      <c r="JC285" s="110"/>
      <c r="JD285" s="110"/>
      <c r="JE285" s="110"/>
      <c r="JF285" s="110"/>
      <c r="JG285" s="110"/>
      <c r="JH285" s="110"/>
      <c r="JI285" s="110"/>
      <c r="JJ285" s="110"/>
      <c r="JK285" s="110"/>
      <c r="JL285" s="110"/>
      <c r="JM285" s="110"/>
      <c r="JN285" s="110"/>
      <c r="JO285" s="110"/>
      <c r="JP285" s="110"/>
      <c r="JQ285" s="110"/>
      <c r="JR285" s="110"/>
      <c r="JS285" s="110"/>
      <c r="JT285" s="110"/>
      <c r="JU285" s="110"/>
      <c r="JV285" s="110"/>
      <c r="JW285" s="110"/>
      <c r="JX285" s="110"/>
      <c r="JY285" s="110"/>
      <c r="JZ285" s="110"/>
      <c r="KA285" s="110"/>
      <c r="KB285" s="110"/>
      <c r="KC285" s="110"/>
      <c r="KD285" s="110"/>
      <c r="KE285" s="110"/>
      <c r="KF285" s="110"/>
      <c r="KG285" s="110"/>
      <c r="KH285" s="110"/>
      <c r="KI285" s="110"/>
      <c r="KJ285" s="110"/>
      <c r="KK285" s="110"/>
      <c r="KL285" s="110"/>
      <c r="KM285" s="110"/>
      <c r="KN285" s="110"/>
    </row>
    <row r="286" spans="1:300" ht="19.2" customHeight="1" x14ac:dyDescent="0.3">
      <c r="A286" s="110"/>
      <c r="B286" s="110"/>
      <c r="C286" s="110"/>
      <c r="D286" s="110"/>
      <c r="E286" s="110"/>
      <c r="F286" s="110"/>
      <c r="G286" s="112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  <c r="GA286" s="110"/>
      <c r="GB286" s="110"/>
      <c r="GC286" s="110"/>
      <c r="GD286" s="110"/>
      <c r="GE286" s="110"/>
      <c r="GF286" s="110"/>
      <c r="GG286" s="110"/>
      <c r="GH286" s="110"/>
      <c r="GI286" s="110"/>
      <c r="GJ286" s="110"/>
      <c r="GK286" s="110"/>
      <c r="GL286" s="110"/>
      <c r="GM286" s="110"/>
      <c r="GN286" s="110"/>
      <c r="GO286" s="110"/>
      <c r="GP286" s="110"/>
      <c r="GQ286" s="110"/>
      <c r="GR286" s="110"/>
      <c r="GS286" s="110"/>
      <c r="GT286" s="110"/>
      <c r="GU286" s="110"/>
      <c r="GV286" s="110"/>
      <c r="GW286" s="110"/>
      <c r="GX286" s="110"/>
      <c r="GY286" s="110"/>
      <c r="GZ286" s="110"/>
      <c r="HA286" s="110"/>
      <c r="HB286" s="110"/>
      <c r="HC286" s="110"/>
      <c r="HD286" s="110"/>
      <c r="HE286" s="110"/>
      <c r="HF286" s="110"/>
      <c r="HG286" s="110"/>
      <c r="HH286" s="110"/>
      <c r="HI286" s="110"/>
      <c r="HJ286" s="110"/>
      <c r="HK286" s="110"/>
      <c r="HL286" s="110"/>
      <c r="HM286" s="110"/>
      <c r="HN286" s="110"/>
      <c r="HO286" s="110"/>
      <c r="HP286" s="110"/>
      <c r="HQ286" s="110"/>
      <c r="HR286" s="110"/>
      <c r="HS286" s="110"/>
      <c r="HT286" s="110"/>
      <c r="HU286" s="110"/>
      <c r="HV286" s="110"/>
      <c r="HW286" s="110"/>
      <c r="HX286" s="110"/>
      <c r="HY286" s="110"/>
      <c r="HZ286" s="110"/>
      <c r="IA286" s="110"/>
      <c r="IB286" s="110"/>
      <c r="IC286" s="110"/>
      <c r="ID286" s="110"/>
      <c r="IE286" s="110"/>
      <c r="IF286" s="110"/>
      <c r="IG286" s="110"/>
      <c r="IH286" s="110"/>
      <c r="II286" s="110"/>
      <c r="IJ286" s="110"/>
      <c r="IK286" s="110"/>
      <c r="IL286" s="110"/>
      <c r="IM286" s="110"/>
      <c r="IN286" s="110"/>
      <c r="IO286" s="110"/>
      <c r="IP286" s="110"/>
      <c r="IQ286" s="110"/>
      <c r="IR286" s="110"/>
      <c r="IS286" s="110"/>
      <c r="IT286" s="110"/>
      <c r="IU286" s="110"/>
      <c r="IV286" s="110"/>
      <c r="IW286" s="110"/>
      <c r="IX286" s="110"/>
      <c r="IY286" s="110"/>
      <c r="IZ286" s="110"/>
      <c r="JA286" s="110"/>
      <c r="JB286" s="110"/>
      <c r="JC286" s="110"/>
      <c r="JD286" s="110"/>
      <c r="JE286" s="110"/>
      <c r="JF286" s="110"/>
      <c r="JG286" s="110"/>
      <c r="JH286" s="110"/>
      <c r="JI286" s="110"/>
      <c r="JJ286" s="110"/>
      <c r="JK286" s="110"/>
      <c r="JL286" s="110"/>
      <c r="JM286" s="110"/>
      <c r="JN286" s="110"/>
      <c r="JO286" s="110"/>
      <c r="JP286" s="110"/>
      <c r="JQ286" s="110"/>
      <c r="JR286" s="110"/>
      <c r="JS286" s="110"/>
      <c r="JT286" s="110"/>
      <c r="JU286" s="110"/>
      <c r="JV286" s="110"/>
      <c r="JW286" s="110"/>
      <c r="JX286" s="110"/>
      <c r="JY286" s="110"/>
      <c r="JZ286" s="110"/>
      <c r="KA286" s="110"/>
      <c r="KB286" s="110"/>
      <c r="KC286" s="110"/>
      <c r="KD286" s="110"/>
      <c r="KE286" s="110"/>
      <c r="KF286" s="110"/>
      <c r="KG286" s="110"/>
      <c r="KH286" s="110"/>
      <c r="KI286" s="110"/>
      <c r="KJ286" s="110"/>
      <c r="KK286" s="110"/>
      <c r="KL286" s="110"/>
      <c r="KM286" s="110"/>
      <c r="KN286" s="110"/>
    </row>
    <row r="287" spans="1:300" ht="19.2" customHeight="1" x14ac:dyDescent="0.3">
      <c r="A287" s="110"/>
      <c r="B287" s="110"/>
      <c r="C287" s="110"/>
      <c r="D287" s="110"/>
      <c r="E287" s="110"/>
      <c r="F287" s="110"/>
      <c r="G287" s="112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  <c r="GA287" s="110"/>
      <c r="GB287" s="110"/>
      <c r="GC287" s="110"/>
      <c r="GD287" s="110"/>
      <c r="GE287" s="110"/>
      <c r="GF287" s="110"/>
      <c r="GG287" s="110"/>
      <c r="GH287" s="110"/>
      <c r="GI287" s="110"/>
      <c r="GJ287" s="110"/>
      <c r="GK287" s="110"/>
      <c r="GL287" s="110"/>
      <c r="GM287" s="110"/>
      <c r="GN287" s="110"/>
      <c r="GO287" s="110"/>
      <c r="GP287" s="110"/>
      <c r="GQ287" s="110"/>
      <c r="GR287" s="110"/>
      <c r="GS287" s="110"/>
      <c r="GT287" s="110"/>
      <c r="GU287" s="110"/>
      <c r="GV287" s="110"/>
      <c r="GW287" s="110"/>
      <c r="GX287" s="110"/>
      <c r="GY287" s="110"/>
      <c r="GZ287" s="110"/>
      <c r="HA287" s="110"/>
      <c r="HB287" s="110"/>
      <c r="HC287" s="110"/>
      <c r="HD287" s="110"/>
      <c r="HE287" s="110"/>
      <c r="HF287" s="110"/>
      <c r="HG287" s="110"/>
      <c r="HH287" s="110"/>
      <c r="HI287" s="110"/>
      <c r="HJ287" s="110"/>
      <c r="HK287" s="110"/>
      <c r="HL287" s="110"/>
      <c r="HM287" s="110"/>
      <c r="HN287" s="110"/>
      <c r="HO287" s="110"/>
      <c r="HP287" s="110"/>
      <c r="HQ287" s="110"/>
      <c r="HR287" s="110"/>
      <c r="HS287" s="110"/>
      <c r="HT287" s="110"/>
      <c r="HU287" s="110"/>
      <c r="HV287" s="110"/>
      <c r="HW287" s="110"/>
      <c r="HX287" s="110"/>
      <c r="HY287" s="110"/>
      <c r="HZ287" s="110"/>
      <c r="IA287" s="110"/>
      <c r="IB287" s="110"/>
      <c r="IC287" s="110"/>
      <c r="ID287" s="110"/>
      <c r="IE287" s="110"/>
      <c r="IF287" s="110"/>
      <c r="IG287" s="110"/>
      <c r="IH287" s="110"/>
      <c r="II287" s="110"/>
      <c r="IJ287" s="110"/>
      <c r="IK287" s="110"/>
      <c r="IL287" s="110"/>
      <c r="IM287" s="110"/>
      <c r="IN287" s="110"/>
      <c r="IO287" s="110"/>
      <c r="IP287" s="110"/>
      <c r="IQ287" s="110"/>
      <c r="IR287" s="110"/>
      <c r="IS287" s="110"/>
      <c r="IT287" s="110"/>
      <c r="IU287" s="110"/>
      <c r="IV287" s="110"/>
      <c r="IW287" s="110"/>
      <c r="IX287" s="110"/>
      <c r="IY287" s="110"/>
      <c r="IZ287" s="110"/>
      <c r="JA287" s="110"/>
      <c r="JB287" s="110"/>
      <c r="JC287" s="110"/>
      <c r="JD287" s="110"/>
      <c r="JE287" s="110"/>
      <c r="JF287" s="110"/>
      <c r="JG287" s="110"/>
      <c r="JH287" s="110"/>
      <c r="JI287" s="110"/>
      <c r="JJ287" s="110"/>
      <c r="JK287" s="110"/>
      <c r="JL287" s="110"/>
      <c r="JM287" s="110"/>
      <c r="JN287" s="110"/>
      <c r="JO287" s="110"/>
      <c r="JP287" s="110"/>
      <c r="JQ287" s="110"/>
      <c r="JR287" s="110"/>
      <c r="JS287" s="110"/>
      <c r="JT287" s="110"/>
      <c r="JU287" s="110"/>
      <c r="JV287" s="110"/>
      <c r="JW287" s="110"/>
      <c r="JX287" s="110"/>
      <c r="JY287" s="110"/>
      <c r="JZ287" s="110"/>
      <c r="KA287" s="110"/>
      <c r="KB287" s="110"/>
      <c r="KC287" s="110"/>
      <c r="KD287" s="110"/>
      <c r="KE287" s="110"/>
      <c r="KF287" s="110"/>
      <c r="KG287" s="110"/>
      <c r="KH287" s="110"/>
      <c r="KI287" s="110"/>
      <c r="KJ287" s="110"/>
      <c r="KK287" s="110"/>
      <c r="KL287" s="110"/>
      <c r="KM287" s="110"/>
      <c r="KN287" s="110"/>
    </row>
    <row r="288" spans="1:300" ht="19.2" customHeight="1" x14ac:dyDescent="0.3">
      <c r="A288" s="110"/>
      <c r="B288" s="110"/>
      <c r="C288" s="110"/>
      <c r="D288" s="110"/>
      <c r="E288" s="110"/>
      <c r="F288" s="110"/>
      <c r="G288" s="112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  <c r="GA288" s="110"/>
      <c r="GB288" s="110"/>
      <c r="GC288" s="110"/>
      <c r="GD288" s="110"/>
      <c r="GE288" s="110"/>
      <c r="GF288" s="110"/>
      <c r="GG288" s="110"/>
      <c r="GH288" s="110"/>
      <c r="GI288" s="110"/>
      <c r="GJ288" s="110"/>
      <c r="GK288" s="110"/>
      <c r="GL288" s="110"/>
      <c r="GM288" s="110"/>
      <c r="GN288" s="110"/>
      <c r="GO288" s="110"/>
      <c r="GP288" s="110"/>
      <c r="GQ288" s="110"/>
      <c r="GR288" s="110"/>
      <c r="GS288" s="110"/>
      <c r="GT288" s="110"/>
      <c r="GU288" s="110"/>
      <c r="GV288" s="110"/>
      <c r="GW288" s="110"/>
      <c r="GX288" s="110"/>
      <c r="GY288" s="110"/>
      <c r="GZ288" s="110"/>
      <c r="HA288" s="110"/>
      <c r="HB288" s="110"/>
      <c r="HC288" s="110"/>
      <c r="HD288" s="110"/>
      <c r="HE288" s="110"/>
      <c r="HF288" s="110"/>
      <c r="HG288" s="110"/>
      <c r="HH288" s="110"/>
      <c r="HI288" s="110"/>
      <c r="HJ288" s="110"/>
      <c r="HK288" s="110"/>
      <c r="HL288" s="110"/>
      <c r="HM288" s="110"/>
      <c r="HN288" s="110"/>
      <c r="HO288" s="110"/>
      <c r="HP288" s="110"/>
      <c r="HQ288" s="110"/>
      <c r="HR288" s="110"/>
      <c r="HS288" s="110"/>
      <c r="HT288" s="110"/>
      <c r="HU288" s="110"/>
      <c r="HV288" s="110"/>
      <c r="HW288" s="110"/>
      <c r="HX288" s="110"/>
      <c r="HY288" s="110"/>
      <c r="HZ288" s="110"/>
      <c r="IA288" s="110"/>
      <c r="IB288" s="110"/>
      <c r="IC288" s="110"/>
      <c r="ID288" s="110"/>
      <c r="IE288" s="110"/>
      <c r="IF288" s="110"/>
      <c r="IG288" s="110"/>
      <c r="IH288" s="110"/>
      <c r="II288" s="110"/>
      <c r="IJ288" s="110"/>
      <c r="IK288" s="110"/>
      <c r="IL288" s="110"/>
      <c r="IM288" s="110"/>
      <c r="IN288" s="110"/>
      <c r="IO288" s="110"/>
      <c r="IP288" s="110"/>
      <c r="IQ288" s="110"/>
      <c r="IR288" s="110"/>
      <c r="IS288" s="110"/>
      <c r="IT288" s="110"/>
      <c r="IU288" s="110"/>
      <c r="IV288" s="110"/>
      <c r="IW288" s="110"/>
      <c r="IX288" s="110"/>
      <c r="IY288" s="110"/>
      <c r="IZ288" s="110"/>
      <c r="JA288" s="110"/>
      <c r="JB288" s="110"/>
      <c r="JC288" s="110"/>
      <c r="JD288" s="110"/>
      <c r="JE288" s="110"/>
      <c r="JF288" s="110"/>
      <c r="JG288" s="110"/>
      <c r="JH288" s="110"/>
      <c r="JI288" s="110"/>
      <c r="JJ288" s="110"/>
      <c r="JK288" s="110"/>
      <c r="JL288" s="110"/>
      <c r="JM288" s="110"/>
      <c r="JN288" s="110"/>
      <c r="JO288" s="110"/>
      <c r="JP288" s="110"/>
      <c r="JQ288" s="110"/>
      <c r="JR288" s="110"/>
      <c r="JS288" s="110"/>
      <c r="JT288" s="110"/>
      <c r="JU288" s="110"/>
      <c r="JV288" s="110"/>
      <c r="JW288" s="110"/>
      <c r="JX288" s="110"/>
      <c r="JY288" s="110"/>
      <c r="JZ288" s="110"/>
      <c r="KA288" s="110"/>
      <c r="KB288" s="110"/>
      <c r="KC288" s="110"/>
      <c r="KD288" s="110"/>
      <c r="KE288" s="110"/>
      <c r="KF288" s="110"/>
      <c r="KG288" s="110"/>
      <c r="KH288" s="110"/>
      <c r="KI288" s="110"/>
      <c r="KJ288" s="110"/>
      <c r="KK288" s="110"/>
      <c r="KL288" s="110"/>
      <c r="KM288" s="110"/>
      <c r="KN288" s="110"/>
    </row>
    <row r="289" spans="1:300" ht="19.2" customHeight="1" x14ac:dyDescent="0.3">
      <c r="A289" s="110"/>
      <c r="B289" s="110"/>
      <c r="C289" s="110"/>
      <c r="D289" s="110"/>
      <c r="E289" s="110"/>
      <c r="F289" s="110"/>
      <c r="G289" s="112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  <c r="GA289" s="110"/>
      <c r="GB289" s="110"/>
      <c r="GC289" s="110"/>
      <c r="GD289" s="110"/>
      <c r="GE289" s="110"/>
      <c r="GF289" s="110"/>
      <c r="GG289" s="110"/>
      <c r="GH289" s="110"/>
      <c r="GI289" s="110"/>
      <c r="GJ289" s="110"/>
      <c r="GK289" s="110"/>
      <c r="GL289" s="110"/>
      <c r="GM289" s="110"/>
      <c r="GN289" s="110"/>
      <c r="GO289" s="110"/>
      <c r="GP289" s="110"/>
      <c r="GQ289" s="110"/>
      <c r="GR289" s="110"/>
      <c r="GS289" s="110"/>
      <c r="GT289" s="110"/>
      <c r="GU289" s="110"/>
      <c r="GV289" s="110"/>
      <c r="GW289" s="110"/>
      <c r="GX289" s="110"/>
      <c r="GY289" s="110"/>
      <c r="GZ289" s="110"/>
      <c r="HA289" s="110"/>
      <c r="HB289" s="110"/>
      <c r="HC289" s="110"/>
      <c r="HD289" s="110"/>
      <c r="HE289" s="110"/>
      <c r="HF289" s="110"/>
      <c r="HG289" s="110"/>
      <c r="HH289" s="110"/>
      <c r="HI289" s="110"/>
      <c r="HJ289" s="110"/>
      <c r="HK289" s="110"/>
      <c r="HL289" s="110"/>
      <c r="HM289" s="110"/>
      <c r="HN289" s="110"/>
      <c r="HO289" s="110"/>
      <c r="HP289" s="110"/>
      <c r="HQ289" s="110"/>
      <c r="HR289" s="110"/>
      <c r="HS289" s="110"/>
      <c r="HT289" s="110"/>
      <c r="HU289" s="110"/>
      <c r="HV289" s="110"/>
      <c r="HW289" s="110"/>
      <c r="HX289" s="110"/>
      <c r="HY289" s="110"/>
      <c r="HZ289" s="110"/>
      <c r="IA289" s="110"/>
      <c r="IB289" s="110"/>
      <c r="IC289" s="110"/>
      <c r="ID289" s="110"/>
      <c r="IE289" s="110"/>
      <c r="IF289" s="110"/>
      <c r="IG289" s="110"/>
      <c r="IH289" s="110"/>
      <c r="II289" s="110"/>
      <c r="IJ289" s="110"/>
      <c r="IK289" s="110"/>
      <c r="IL289" s="110"/>
      <c r="IM289" s="110"/>
      <c r="IN289" s="110"/>
      <c r="IO289" s="110"/>
      <c r="IP289" s="110"/>
      <c r="IQ289" s="110"/>
      <c r="IR289" s="110"/>
      <c r="IS289" s="110"/>
      <c r="IT289" s="110"/>
      <c r="IU289" s="110"/>
      <c r="IV289" s="110"/>
      <c r="IW289" s="110"/>
      <c r="IX289" s="110"/>
      <c r="IY289" s="110"/>
      <c r="IZ289" s="110"/>
      <c r="JA289" s="110"/>
      <c r="JB289" s="110"/>
      <c r="JC289" s="110"/>
      <c r="JD289" s="110"/>
      <c r="JE289" s="110"/>
      <c r="JF289" s="110"/>
      <c r="JG289" s="110"/>
      <c r="JH289" s="110"/>
      <c r="JI289" s="110"/>
      <c r="JJ289" s="110"/>
      <c r="JK289" s="110"/>
      <c r="JL289" s="110"/>
      <c r="JM289" s="110"/>
      <c r="JN289" s="110"/>
      <c r="JO289" s="110"/>
      <c r="JP289" s="110"/>
      <c r="JQ289" s="110"/>
      <c r="JR289" s="110"/>
      <c r="JS289" s="110"/>
      <c r="JT289" s="110"/>
      <c r="JU289" s="110"/>
      <c r="JV289" s="110"/>
      <c r="JW289" s="110"/>
      <c r="JX289" s="110"/>
      <c r="JY289" s="110"/>
      <c r="JZ289" s="110"/>
      <c r="KA289" s="110"/>
      <c r="KB289" s="110"/>
      <c r="KC289" s="110"/>
      <c r="KD289" s="110"/>
      <c r="KE289" s="110"/>
      <c r="KF289" s="110"/>
      <c r="KG289" s="110"/>
      <c r="KH289" s="110"/>
      <c r="KI289" s="110"/>
      <c r="KJ289" s="110"/>
      <c r="KK289" s="110"/>
      <c r="KL289" s="110"/>
      <c r="KM289" s="110"/>
      <c r="KN289" s="110"/>
    </row>
    <row r="290" spans="1:300" ht="19.2" customHeight="1" x14ac:dyDescent="0.3">
      <c r="A290" s="110"/>
      <c r="B290" s="110"/>
      <c r="C290" s="110"/>
      <c r="D290" s="110"/>
      <c r="E290" s="110"/>
      <c r="F290" s="110"/>
      <c r="G290" s="112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  <c r="GA290" s="110"/>
      <c r="GB290" s="110"/>
      <c r="GC290" s="110"/>
      <c r="GD290" s="110"/>
      <c r="GE290" s="110"/>
      <c r="GF290" s="110"/>
      <c r="GG290" s="110"/>
      <c r="GH290" s="110"/>
      <c r="GI290" s="110"/>
      <c r="GJ290" s="110"/>
      <c r="GK290" s="110"/>
      <c r="GL290" s="110"/>
      <c r="GM290" s="110"/>
      <c r="GN290" s="110"/>
      <c r="GO290" s="110"/>
      <c r="GP290" s="110"/>
      <c r="GQ290" s="110"/>
      <c r="GR290" s="110"/>
      <c r="GS290" s="110"/>
      <c r="GT290" s="110"/>
      <c r="GU290" s="110"/>
      <c r="GV290" s="110"/>
      <c r="GW290" s="110"/>
      <c r="GX290" s="110"/>
      <c r="GY290" s="110"/>
      <c r="GZ290" s="110"/>
      <c r="HA290" s="110"/>
      <c r="HB290" s="110"/>
      <c r="HC290" s="110"/>
      <c r="HD290" s="110"/>
      <c r="HE290" s="110"/>
      <c r="HF290" s="110"/>
      <c r="HG290" s="110"/>
      <c r="HH290" s="110"/>
      <c r="HI290" s="110"/>
      <c r="HJ290" s="110"/>
      <c r="HK290" s="110"/>
      <c r="HL290" s="110"/>
      <c r="HM290" s="110"/>
      <c r="HN290" s="110"/>
      <c r="HO290" s="110"/>
      <c r="HP290" s="110"/>
      <c r="HQ290" s="110"/>
      <c r="HR290" s="110"/>
      <c r="HS290" s="110"/>
      <c r="HT290" s="110"/>
      <c r="HU290" s="110"/>
      <c r="HV290" s="110"/>
      <c r="HW290" s="110"/>
      <c r="HX290" s="110"/>
      <c r="HY290" s="110"/>
      <c r="HZ290" s="110"/>
      <c r="IA290" s="110"/>
      <c r="IB290" s="110"/>
      <c r="IC290" s="110"/>
      <c r="ID290" s="110"/>
      <c r="IE290" s="110"/>
      <c r="IF290" s="110"/>
      <c r="IG290" s="110"/>
      <c r="IH290" s="110"/>
      <c r="II290" s="110"/>
      <c r="IJ290" s="110"/>
      <c r="IK290" s="110"/>
      <c r="IL290" s="110"/>
      <c r="IM290" s="110"/>
      <c r="IN290" s="110"/>
      <c r="IO290" s="110"/>
      <c r="IP290" s="110"/>
      <c r="IQ290" s="110"/>
      <c r="IR290" s="110"/>
      <c r="IS290" s="110"/>
      <c r="IT290" s="110"/>
      <c r="IU290" s="110"/>
      <c r="IV290" s="110"/>
      <c r="IW290" s="110"/>
      <c r="IX290" s="110"/>
      <c r="IY290" s="110"/>
      <c r="IZ290" s="110"/>
      <c r="JA290" s="110"/>
      <c r="JB290" s="110"/>
      <c r="JC290" s="110"/>
      <c r="JD290" s="110"/>
      <c r="JE290" s="110"/>
      <c r="JF290" s="110"/>
      <c r="JG290" s="110"/>
      <c r="JH290" s="110"/>
      <c r="JI290" s="110"/>
      <c r="JJ290" s="110"/>
      <c r="JK290" s="110"/>
      <c r="JL290" s="110"/>
      <c r="JM290" s="110"/>
      <c r="JN290" s="110"/>
      <c r="JO290" s="110"/>
      <c r="JP290" s="110"/>
      <c r="JQ290" s="110"/>
      <c r="JR290" s="110"/>
      <c r="JS290" s="110"/>
      <c r="JT290" s="110"/>
      <c r="JU290" s="110"/>
      <c r="JV290" s="110"/>
      <c r="JW290" s="110"/>
      <c r="JX290" s="110"/>
      <c r="JY290" s="110"/>
      <c r="JZ290" s="110"/>
      <c r="KA290" s="110"/>
      <c r="KB290" s="110"/>
      <c r="KC290" s="110"/>
      <c r="KD290" s="110"/>
      <c r="KE290" s="110"/>
      <c r="KF290" s="110"/>
      <c r="KG290" s="110"/>
      <c r="KH290" s="110"/>
      <c r="KI290" s="110"/>
      <c r="KJ290" s="110"/>
      <c r="KK290" s="110"/>
      <c r="KL290" s="110"/>
      <c r="KM290" s="110"/>
      <c r="KN290" s="110"/>
    </row>
    <row r="291" spans="1:300" ht="19.2" customHeight="1" x14ac:dyDescent="0.3">
      <c r="A291" s="110"/>
      <c r="B291" s="110"/>
      <c r="C291" s="110"/>
      <c r="D291" s="110"/>
      <c r="E291" s="110"/>
      <c r="F291" s="110"/>
      <c r="G291" s="112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  <c r="GA291" s="110"/>
      <c r="GB291" s="110"/>
      <c r="GC291" s="110"/>
      <c r="GD291" s="110"/>
      <c r="GE291" s="110"/>
      <c r="GF291" s="110"/>
      <c r="GG291" s="110"/>
      <c r="GH291" s="110"/>
      <c r="GI291" s="110"/>
      <c r="GJ291" s="110"/>
      <c r="GK291" s="110"/>
      <c r="GL291" s="110"/>
      <c r="GM291" s="110"/>
      <c r="GN291" s="110"/>
      <c r="GO291" s="110"/>
      <c r="GP291" s="110"/>
      <c r="GQ291" s="110"/>
      <c r="GR291" s="110"/>
      <c r="GS291" s="110"/>
      <c r="GT291" s="110"/>
      <c r="GU291" s="110"/>
      <c r="GV291" s="110"/>
      <c r="GW291" s="110"/>
      <c r="GX291" s="110"/>
      <c r="GY291" s="110"/>
      <c r="GZ291" s="110"/>
      <c r="HA291" s="110"/>
      <c r="HB291" s="110"/>
      <c r="HC291" s="110"/>
      <c r="HD291" s="110"/>
      <c r="HE291" s="110"/>
      <c r="HF291" s="110"/>
      <c r="HG291" s="110"/>
      <c r="HH291" s="110"/>
      <c r="HI291" s="110"/>
      <c r="HJ291" s="110"/>
      <c r="HK291" s="110"/>
      <c r="HL291" s="110"/>
      <c r="HM291" s="110"/>
      <c r="HN291" s="110"/>
      <c r="HO291" s="110"/>
      <c r="HP291" s="110"/>
      <c r="HQ291" s="110"/>
      <c r="HR291" s="110"/>
      <c r="HS291" s="110"/>
      <c r="HT291" s="110"/>
      <c r="HU291" s="110"/>
      <c r="HV291" s="110"/>
      <c r="HW291" s="110"/>
      <c r="HX291" s="110"/>
      <c r="HY291" s="110"/>
      <c r="HZ291" s="110"/>
      <c r="IA291" s="110"/>
      <c r="IB291" s="110"/>
      <c r="IC291" s="110"/>
      <c r="ID291" s="110"/>
      <c r="IE291" s="110"/>
      <c r="IF291" s="110"/>
      <c r="IG291" s="110"/>
      <c r="IH291" s="110"/>
      <c r="II291" s="110"/>
      <c r="IJ291" s="110"/>
      <c r="IK291" s="110"/>
      <c r="IL291" s="110"/>
      <c r="IM291" s="110"/>
      <c r="IN291" s="110"/>
      <c r="IO291" s="110"/>
      <c r="IP291" s="110"/>
      <c r="IQ291" s="110"/>
      <c r="IR291" s="110"/>
      <c r="IS291" s="110"/>
      <c r="IT291" s="110"/>
      <c r="IU291" s="110"/>
      <c r="IV291" s="110"/>
      <c r="IW291" s="110"/>
      <c r="IX291" s="110"/>
      <c r="IY291" s="110"/>
      <c r="IZ291" s="110"/>
      <c r="JA291" s="110"/>
      <c r="JB291" s="110"/>
      <c r="JC291" s="110"/>
      <c r="JD291" s="110"/>
      <c r="JE291" s="110"/>
      <c r="JF291" s="110"/>
      <c r="JG291" s="110"/>
      <c r="JH291" s="110"/>
      <c r="JI291" s="110"/>
      <c r="JJ291" s="110"/>
      <c r="JK291" s="110"/>
      <c r="JL291" s="110"/>
      <c r="JM291" s="110"/>
      <c r="JN291" s="110"/>
      <c r="JO291" s="110"/>
      <c r="JP291" s="110"/>
      <c r="JQ291" s="110"/>
      <c r="JR291" s="110"/>
      <c r="JS291" s="110"/>
      <c r="JT291" s="110"/>
      <c r="JU291" s="110"/>
      <c r="JV291" s="110"/>
      <c r="JW291" s="110"/>
      <c r="JX291" s="110"/>
      <c r="JY291" s="110"/>
      <c r="JZ291" s="110"/>
      <c r="KA291" s="110"/>
      <c r="KB291" s="110"/>
      <c r="KC291" s="110"/>
      <c r="KD291" s="110"/>
      <c r="KE291" s="110"/>
      <c r="KF291" s="110"/>
      <c r="KG291" s="110"/>
      <c r="KH291" s="110"/>
      <c r="KI291" s="110"/>
      <c r="KJ291" s="110"/>
      <c r="KK291" s="110"/>
      <c r="KL291" s="110"/>
      <c r="KM291" s="110"/>
      <c r="KN291" s="110"/>
    </row>
    <row r="292" spans="1:300" ht="19.2" customHeight="1" x14ac:dyDescent="0.3">
      <c r="A292" s="110"/>
      <c r="B292" s="110"/>
      <c r="C292" s="110"/>
      <c r="D292" s="110"/>
      <c r="E292" s="110"/>
      <c r="F292" s="110"/>
      <c r="G292" s="112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  <c r="GA292" s="110"/>
      <c r="GB292" s="110"/>
      <c r="GC292" s="110"/>
      <c r="GD292" s="110"/>
      <c r="GE292" s="110"/>
      <c r="GF292" s="110"/>
      <c r="GG292" s="110"/>
      <c r="GH292" s="110"/>
      <c r="GI292" s="110"/>
      <c r="GJ292" s="110"/>
      <c r="GK292" s="110"/>
      <c r="GL292" s="110"/>
      <c r="GM292" s="110"/>
      <c r="GN292" s="110"/>
      <c r="GO292" s="110"/>
      <c r="GP292" s="110"/>
      <c r="GQ292" s="110"/>
      <c r="GR292" s="110"/>
      <c r="GS292" s="110"/>
      <c r="GT292" s="110"/>
      <c r="GU292" s="110"/>
      <c r="GV292" s="110"/>
      <c r="GW292" s="110"/>
      <c r="GX292" s="110"/>
      <c r="GY292" s="110"/>
      <c r="GZ292" s="110"/>
      <c r="HA292" s="110"/>
      <c r="HB292" s="110"/>
      <c r="HC292" s="110"/>
      <c r="HD292" s="110"/>
      <c r="HE292" s="110"/>
      <c r="HF292" s="110"/>
      <c r="HG292" s="110"/>
      <c r="HH292" s="110"/>
      <c r="HI292" s="110"/>
      <c r="HJ292" s="110"/>
      <c r="HK292" s="110"/>
      <c r="HL292" s="110"/>
      <c r="HM292" s="110"/>
      <c r="HN292" s="110"/>
      <c r="HO292" s="110"/>
      <c r="HP292" s="110"/>
      <c r="HQ292" s="110"/>
      <c r="HR292" s="110"/>
      <c r="HS292" s="110"/>
      <c r="HT292" s="110"/>
      <c r="HU292" s="110"/>
      <c r="HV292" s="110"/>
      <c r="HW292" s="110"/>
      <c r="HX292" s="110"/>
      <c r="HY292" s="110"/>
      <c r="HZ292" s="110"/>
      <c r="IA292" s="110"/>
      <c r="IB292" s="110"/>
      <c r="IC292" s="110"/>
      <c r="ID292" s="110"/>
      <c r="IE292" s="110"/>
      <c r="IF292" s="110"/>
      <c r="IG292" s="110"/>
      <c r="IH292" s="110"/>
      <c r="II292" s="110"/>
      <c r="IJ292" s="110"/>
      <c r="IK292" s="110"/>
      <c r="IL292" s="110"/>
      <c r="IM292" s="110"/>
      <c r="IN292" s="110"/>
      <c r="IO292" s="110"/>
      <c r="IP292" s="110"/>
      <c r="IQ292" s="110"/>
      <c r="IR292" s="110"/>
      <c r="IS292" s="110"/>
      <c r="IT292" s="110"/>
      <c r="IU292" s="110"/>
      <c r="IV292" s="110"/>
      <c r="IW292" s="110"/>
      <c r="IX292" s="110"/>
      <c r="IY292" s="110"/>
      <c r="IZ292" s="110"/>
      <c r="JA292" s="110"/>
      <c r="JB292" s="110"/>
      <c r="JC292" s="110"/>
      <c r="JD292" s="110"/>
      <c r="JE292" s="110"/>
      <c r="JF292" s="110"/>
      <c r="JG292" s="110"/>
      <c r="JH292" s="110"/>
      <c r="JI292" s="110"/>
      <c r="JJ292" s="110"/>
      <c r="JK292" s="110"/>
      <c r="JL292" s="110"/>
      <c r="JM292" s="110"/>
      <c r="JN292" s="110"/>
      <c r="JO292" s="110"/>
      <c r="JP292" s="110"/>
      <c r="JQ292" s="110"/>
      <c r="JR292" s="110"/>
      <c r="JS292" s="110"/>
      <c r="JT292" s="110"/>
      <c r="JU292" s="110"/>
      <c r="JV292" s="110"/>
      <c r="JW292" s="110"/>
      <c r="JX292" s="110"/>
      <c r="JY292" s="110"/>
      <c r="JZ292" s="110"/>
      <c r="KA292" s="110"/>
      <c r="KB292" s="110"/>
      <c r="KC292" s="110"/>
      <c r="KD292" s="110"/>
      <c r="KE292" s="110"/>
      <c r="KF292" s="110"/>
      <c r="KG292" s="110"/>
      <c r="KH292" s="110"/>
      <c r="KI292" s="110"/>
      <c r="KJ292" s="110"/>
      <c r="KK292" s="110"/>
      <c r="KL292" s="110"/>
      <c r="KM292" s="110"/>
      <c r="KN292" s="110"/>
    </row>
    <row r="293" spans="1:300" ht="19.2" customHeight="1" x14ac:dyDescent="0.3">
      <c r="A293" s="110"/>
      <c r="B293" s="110"/>
      <c r="C293" s="110"/>
      <c r="D293" s="110"/>
      <c r="E293" s="110"/>
      <c r="F293" s="110"/>
      <c r="G293" s="112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  <c r="GA293" s="110"/>
      <c r="GB293" s="110"/>
      <c r="GC293" s="110"/>
      <c r="GD293" s="110"/>
      <c r="GE293" s="110"/>
      <c r="GF293" s="110"/>
      <c r="GG293" s="110"/>
      <c r="GH293" s="110"/>
      <c r="GI293" s="110"/>
      <c r="GJ293" s="110"/>
      <c r="GK293" s="110"/>
      <c r="GL293" s="110"/>
      <c r="GM293" s="110"/>
      <c r="GN293" s="110"/>
      <c r="GO293" s="110"/>
      <c r="GP293" s="110"/>
      <c r="GQ293" s="110"/>
      <c r="GR293" s="110"/>
      <c r="GS293" s="110"/>
      <c r="GT293" s="110"/>
      <c r="GU293" s="110"/>
      <c r="GV293" s="110"/>
      <c r="GW293" s="110"/>
      <c r="GX293" s="110"/>
      <c r="GY293" s="110"/>
      <c r="GZ293" s="110"/>
      <c r="HA293" s="110"/>
      <c r="HB293" s="110"/>
      <c r="HC293" s="110"/>
      <c r="HD293" s="110"/>
      <c r="HE293" s="110"/>
      <c r="HF293" s="110"/>
      <c r="HG293" s="110"/>
      <c r="HH293" s="110"/>
      <c r="HI293" s="110"/>
      <c r="HJ293" s="110"/>
      <c r="HK293" s="110"/>
      <c r="HL293" s="110"/>
      <c r="HM293" s="110"/>
      <c r="HN293" s="110"/>
      <c r="HO293" s="110"/>
      <c r="HP293" s="110"/>
      <c r="HQ293" s="110"/>
      <c r="HR293" s="110"/>
      <c r="HS293" s="110"/>
      <c r="HT293" s="110"/>
      <c r="HU293" s="110"/>
      <c r="HV293" s="110"/>
      <c r="HW293" s="110"/>
      <c r="HX293" s="110"/>
      <c r="HY293" s="110"/>
      <c r="HZ293" s="110"/>
      <c r="IA293" s="110"/>
      <c r="IB293" s="110"/>
      <c r="IC293" s="110"/>
      <c r="ID293" s="110"/>
      <c r="IE293" s="110"/>
      <c r="IF293" s="110"/>
      <c r="IG293" s="110"/>
      <c r="IH293" s="110"/>
      <c r="II293" s="110"/>
      <c r="IJ293" s="110"/>
      <c r="IK293" s="110"/>
      <c r="IL293" s="110"/>
      <c r="IM293" s="110"/>
      <c r="IN293" s="110"/>
      <c r="IO293" s="110"/>
      <c r="IP293" s="110"/>
      <c r="IQ293" s="110"/>
      <c r="IR293" s="110"/>
      <c r="IS293" s="110"/>
      <c r="IT293" s="110"/>
      <c r="IU293" s="110"/>
      <c r="IV293" s="110"/>
      <c r="IW293" s="110"/>
      <c r="IX293" s="110"/>
      <c r="IY293" s="110"/>
      <c r="IZ293" s="110"/>
      <c r="JA293" s="110"/>
      <c r="JB293" s="110"/>
      <c r="JC293" s="110"/>
      <c r="JD293" s="110"/>
      <c r="JE293" s="110"/>
      <c r="JF293" s="110"/>
      <c r="JG293" s="110"/>
      <c r="JH293" s="110"/>
      <c r="JI293" s="110"/>
      <c r="JJ293" s="110"/>
      <c r="JK293" s="110"/>
      <c r="JL293" s="110"/>
      <c r="JM293" s="110"/>
      <c r="JN293" s="110"/>
      <c r="JO293" s="110"/>
      <c r="JP293" s="110"/>
      <c r="JQ293" s="110"/>
      <c r="JR293" s="110"/>
      <c r="JS293" s="110"/>
      <c r="JT293" s="110"/>
      <c r="JU293" s="110"/>
      <c r="JV293" s="110"/>
      <c r="JW293" s="110"/>
      <c r="JX293" s="110"/>
      <c r="JY293" s="110"/>
      <c r="JZ293" s="110"/>
      <c r="KA293" s="110"/>
      <c r="KB293" s="110"/>
      <c r="KC293" s="110"/>
      <c r="KD293" s="110"/>
      <c r="KE293" s="110"/>
      <c r="KF293" s="110"/>
      <c r="KG293" s="110"/>
      <c r="KH293" s="110"/>
      <c r="KI293" s="110"/>
      <c r="KJ293" s="110"/>
      <c r="KK293" s="110"/>
      <c r="KL293" s="110"/>
      <c r="KM293" s="110"/>
      <c r="KN293" s="110"/>
    </row>
    <row r="294" spans="1:300" ht="19.2" customHeight="1" x14ac:dyDescent="0.3">
      <c r="A294" s="110"/>
      <c r="B294" s="110"/>
      <c r="C294" s="110"/>
      <c r="D294" s="110"/>
      <c r="E294" s="110"/>
      <c r="F294" s="110"/>
      <c r="G294" s="112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  <c r="GA294" s="110"/>
      <c r="GB294" s="110"/>
      <c r="GC294" s="110"/>
      <c r="GD294" s="110"/>
      <c r="GE294" s="110"/>
      <c r="GF294" s="110"/>
      <c r="GG294" s="110"/>
      <c r="GH294" s="110"/>
      <c r="GI294" s="110"/>
      <c r="GJ294" s="110"/>
      <c r="GK294" s="110"/>
      <c r="GL294" s="110"/>
      <c r="GM294" s="110"/>
      <c r="GN294" s="110"/>
      <c r="GO294" s="110"/>
      <c r="GP294" s="110"/>
      <c r="GQ294" s="110"/>
      <c r="GR294" s="110"/>
      <c r="GS294" s="110"/>
      <c r="GT294" s="110"/>
      <c r="GU294" s="110"/>
      <c r="GV294" s="110"/>
      <c r="GW294" s="110"/>
      <c r="GX294" s="110"/>
      <c r="GY294" s="110"/>
      <c r="GZ294" s="110"/>
      <c r="HA294" s="110"/>
      <c r="HB294" s="110"/>
      <c r="HC294" s="110"/>
      <c r="HD294" s="110"/>
      <c r="HE294" s="110"/>
      <c r="HF294" s="110"/>
      <c r="HG294" s="110"/>
      <c r="HH294" s="110"/>
      <c r="HI294" s="110"/>
      <c r="HJ294" s="110"/>
      <c r="HK294" s="110"/>
      <c r="HL294" s="110"/>
      <c r="HM294" s="110"/>
      <c r="HN294" s="110"/>
      <c r="HO294" s="110"/>
      <c r="HP294" s="110"/>
      <c r="HQ294" s="110"/>
      <c r="HR294" s="110"/>
      <c r="HS294" s="110"/>
      <c r="HT294" s="110"/>
      <c r="HU294" s="110"/>
      <c r="HV294" s="110"/>
      <c r="HW294" s="110"/>
      <c r="HX294" s="110"/>
      <c r="HY294" s="110"/>
      <c r="HZ294" s="110"/>
      <c r="IA294" s="110"/>
      <c r="IB294" s="110"/>
      <c r="IC294" s="110"/>
      <c r="ID294" s="110"/>
      <c r="IE294" s="110"/>
      <c r="IF294" s="110"/>
      <c r="IG294" s="110"/>
      <c r="IH294" s="110"/>
      <c r="II294" s="110"/>
      <c r="IJ294" s="110"/>
      <c r="IK294" s="110"/>
      <c r="IL294" s="110"/>
      <c r="IM294" s="110"/>
      <c r="IN294" s="110"/>
      <c r="IO294" s="110"/>
      <c r="IP294" s="110"/>
      <c r="IQ294" s="110"/>
      <c r="IR294" s="110"/>
      <c r="IS294" s="110"/>
      <c r="IT294" s="110"/>
      <c r="IU294" s="110"/>
      <c r="IV294" s="110"/>
      <c r="IW294" s="110"/>
      <c r="IX294" s="110"/>
      <c r="IY294" s="110"/>
      <c r="IZ294" s="110"/>
      <c r="JA294" s="110"/>
      <c r="JB294" s="110"/>
      <c r="JC294" s="110"/>
      <c r="JD294" s="110"/>
      <c r="JE294" s="110"/>
      <c r="JF294" s="110"/>
      <c r="JG294" s="110"/>
      <c r="JH294" s="110"/>
      <c r="JI294" s="110"/>
      <c r="JJ294" s="110"/>
      <c r="JK294" s="110"/>
      <c r="JL294" s="110"/>
      <c r="JM294" s="110"/>
      <c r="JN294" s="110"/>
      <c r="JO294" s="110"/>
      <c r="JP294" s="110"/>
      <c r="JQ294" s="110"/>
      <c r="JR294" s="110"/>
      <c r="JS294" s="110"/>
      <c r="JT294" s="110"/>
      <c r="JU294" s="110"/>
      <c r="JV294" s="110"/>
      <c r="JW294" s="110"/>
      <c r="JX294" s="110"/>
      <c r="JY294" s="110"/>
      <c r="JZ294" s="110"/>
      <c r="KA294" s="110"/>
      <c r="KB294" s="110"/>
      <c r="KC294" s="110"/>
      <c r="KD294" s="110"/>
      <c r="KE294" s="110"/>
      <c r="KF294" s="110"/>
      <c r="KG294" s="110"/>
      <c r="KH294" s="110"/>
      <c r="KI294" s="110"/>
      <c r="KJ294" s="110"/>
      <c r="KK294" s="110"/>
      <c r="KL294" s="110"/>
      <c r="KM294" s="110"/>
      <c r="KN294" s="110"/>
    </row>
    <row r="295" spans="1:300" ht="19.2" customHeight="1" x14ac:dyDescent="0.3">
      <c r="A295" s="110"/>
      <c r="B295" s="110"/>
      <c r="C295" s="110"/>
      <c r="D295" s="110"/>
      <c r="E295" s="110"/>
      <c r="F295" s="110"/>
      <c r="G295" s="112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  <c r="GA295" s="110"/>
      <c r="GB295" s="110"/>
      <c r="GC295" s="110"/>
      <c r="GD295" s="110"/>
      <c r="GE295" s="110"/>
      <c r="GF295" s="110"/>
      <c r="GG295" s="110"/>
      <c r="GH295" s="110"/>
      <c r="GI295" s="110"/>
      <c r="GJ295" s="110"/>
      <c r="GK295" s="110"/>
      <c r="GL295" s="110"/>
      <c r="GM295" s="110"/>
      <c r="GN295" s="110"/>
      <c r="GO295" s="110"/>
      <c r="GP295" s="110"/>
      <c r="GQ295" s="110"/>
      <c r="GR295" s="110"/>
      <c r="GS295" s="110"/>
      <c r="GT295" s="110"/>
      <c r="GU295" s="110"/>
      <c r="GV295" s="110"/>
      <c r="GW295" s="110"/>
      <c r="GX295" s="110"/>
      <c r="GY295" s="110"/>
      <c r="GZ295" s="110"/>
      <c r="HA295" s="110"/>
      <c r="HB295" s="110"/>
      <c r="HC295" s="110"/>
      <c r="HD295" s="110"/>
      <c r="HE295" s="110"/>
      <c r="HF295" s="110"/>
      <c r="HG295" s="110"/>
      <c r="HH295" s="110"/>
      <c r="HI295" s="110"/>
      <c r="HJ295" s="110"/>
      <c r="HK295" s="110"/>
      <c r="HL295" s="110"/>
      <c r="HM295" s="110"/>
      <c r="HN295" s="110"/>
      <c r="HO295" s="110"/>
      <c r="HP295" s="110"/>
      <c r="HQ295" s="110"/>
      <c r="HR295" s="110"/>
      <c r="HS295" s="110"/>
      <c r="HT295" s="110"/>
      <c r="HU295" s="110"/>
      <c r="HV295" s="110"/>
      <c r="HW295" s="110"/>
      <c r="HX295" s="110"/>
      <c r="HY295" s="110"/>
      <c r="HZ295" s="110"/>
      <c r="IA295" s="110"/>
      <c r="IB295" s="110"/>
      <c r="IC295" s="110"/>
      <c r="ID295" s="110"/>
      <c r="IE295" s="110"/>
      <c r="IF295" s="110"/>
      <c r="IG295" s="110"/>
      <c r="IH295" s="110"/>
      <c r="II295" s="110"/>
      <c r="IJ295" s="110"/>
      <c r="IK295" s="110"/>
      <c r="IL295" s="110"/>
      <c r="IM295" s="110"/>
      <c r="IN295" s="110"/>
      <c r="IO295" s="110"/>
      <c r="IP295" s="110"/>
      <c r="IQ295" s="110"/>
      <c r="IR295" s="110"/>
      <c r="IS295" s="110"/>
      <c r="IT295" s="110"/>
      <c r="IU295" s="110"/>
      <c r="IV295" s="110"/>
      <c r="IW295" s="110"/>
      <c r="IX295" s="110"/>
      <c r="IY295" s="110"/>
      <c r="IZ295" s="110"/>
      <c r="JA295" s="110"/>
      <c r="JB295" s="110"/>
      <c r="JC295" s="110"/>
      <c r="JD295" s="110"/>
      <c r="JE295" s="110"/>
      <c r="JF295" s="110"/>
      <c r="JG295" s="110"/>
      <c r="JH295" s="110"/>
      <c r="JI295" s="110"/>
      <c r="JJ295" s="110"/>
      <c r="JK295" s="110"/>
      <c r="JL295" s="110"/>
      <c r="JM295" s="110"/>
      <c r="JN295" s="110"/>
      <c r="JO295" s="110"/>
      <c r="JP295" s="110"/>
      <c r="JQ295" s="110"/>
      <c r="JR295" s="110"/>
      <c r="JS295" s="110"/>
      <c r="JT295" s="110"/>
      <c r="JU295" s="110"/>
      <c r="JV295" s="110"/>
      <c r="JW295" s="110"/>
      <c r="JX295" s="110"/>
      <c r="JY295" s="110"/>
      <c r="JZ295" s="110"/>
      <c r="KA295" s="110"/>
      <c r="KB295" s="110"/>
      <c r="KC295" s="110"/>
      <c r="KD295" s="110"/>
      <c r="KE295" s="110"/>
      <c r="KF295" s="110"/>
      <c r="KG295" s="110"/>
      <c r="KH295" s="110"/>
      <c r="KI295" s="110"/>
      <c r="KJ295" s="110"/>
      <c r="KK295" s="110"/>
      <c r="KL295" s="110"/>
      <c r="KM295" s="110"/>
      <c r="KN295" s="110"/>
    </row>
    <row r="296" spans="1:300" ht="19.2" customHeight="1" x14ac:dyDescent="0.3">
      <c r="A296" s="110"/>
      <c r="B296" s="110"/>
      <c r="C296" s="110"/>
      <c r="D296" s="110"/>
      <c r="E296" s="110"/>
      <c r="F296" s="110"/>
      <c r="G296" s="112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  <c r="GA296" s="110"/>
      <c r="GB296" s="110"/>
      <c r="GC296" s="110"/>
      <c r="GD296" s="110"/>
      <c r="GE296" s="110"/>
      <c r="GF296" s="110"/>
      <c r="GG296" s="110"/>
      <c r="GH296" s="110"/>
      <c r="GI296" s="110"/>
      <c r="GJ296" s="110"/>
      <c r="GK296" s="110"/>
      <c r="GL296" s="110"/>
      <c r="GM296" s="110"/>
      <c r="GN296" s="110"/>
      <c r="GO296" s="110"/>
      <c r="GP296" s="110"/>
      <c r="GQ296" s="110"/>
      <c r="GR296" s="110"/>
      <c r="GS296" s="110"/>
      <c r="GT296" s="110"/>
      <c r="GU296" s="110"/>
      <c r="GV296" s="110"/>
      <c r="GW296" s="110"/>
      <c r="GX296" s="110"/>
      <c r="GY296" s="110"/>
      <c r="GZ296" s="110"/>
      <c r="HA296" s="110"/>
      <c r="HB296" s="110"/>
      <c r="HC296" s="110"/>
      <c r="HD296" s="110"/>
      <c r="HE296" s="110"/>
      <c r="HF296" s="110"/>
      <c r="HG296" s="110"/>
      <c r="HH296" s="110"/>
      <c r="HI296" s="110"/>
      <c r="HJ296" s="110"/>
      <c r="HK296" s="110"/>
      <c r="HL296" s="110"/>
      <c r="HM296" s="110"/>
      <c r="HN296" s="110"/>
      <c r="HO296" s="110"/>
      <c r="HP296" s="110"/>
      <c r="HQ296" s="110"/>
      <c r="HR296" s="110"/>
      <c r="HS296" s="110"/>
      <c r="HT296" s="110"/>
      <c r="HU296" s="110"/>
      <c r="HV296" s="110"/>
      <c r="HW296" s="110"/>
      <c r="HX296" s="110"/>
      <c r="HY296" s="110"/>
      <c r="HZ296" s="110"/>
      <c r="IA296" s="110"/>
      <c r="IB296" s="110"/>
      <c r="IC296" s="110"/>
      <c r="ID296" s="110"/>
      <c r="IE296" s="110"/>
      <c r="IF296" s="110"/>
      <c r="IG296" s="110"/>
      <c r="IH296" s="110"/>
      <c r="II296" s="110"/>
      <c r="IJ296" s="110"/>
      <c r="IK296" s="110"/>
      <c r="IL296" s="110"/>
      <c r="IM296" s="110"/>
      <c r="IN296" s="110"/>
      <c r="IO296" s="110"/>
      <c r="IP296" s="110"/>
      <c r="IQ296" s="110"/>
      <c r="IR296" s="110"/>
      <c r="IS296" s="110"/>
      <c r="IT296" s="110"/>
      <c r="IU296" s="110"/>
      <c r="IV296" s="110"/>
      <c r="IW296" s="110"/>
      <c r="IX296" s="110"/>
      <c r="IY296" s="110"/>
      <c r="IZ296" s="110"/>
      <c r="JA296" s="110"/>
      <c r="JB296" s="110"/>
      <c r="JC296" s="110"/>
      <c r="JD296" s="110"/>
      <c r="JE296" s="110"/>
      <c r="JF296" s="110"/>
      <c r="JG296" s="110"/>
      <c r="JH296" s="110"/>
      <c r="JI296" s="110"/>
      <c r="JJ296" s="110"/>
      <c r="JK296" s="110"/>
      <c r="JL296" s="110"/>
      <c r="JM296" s="110"/>
      <c r="JN296" s="110"/>
      <c r="JO296" s="110"/>
      <c r="JP296" s="110"/>
      <c r="JQ296" s="110"/>
      <c r="JR296" s="110"/>
      <c r="JS296" s="110"/>
      <c r="JT296" s="110"/>
      <c r="JU296" s="110"/>
      <c r="JV296" s="110"/>
      <c r="JW296" s="110"/>
      <c r="JX296" s="110"/>
      <c r="JY296" s="110"/>
      <c r="JZ296" s="110"/>
      <c r="KA296" s="110"/>
      <c r="KB296" s="110"/>
      <c r="KC296" s="110"/>
      <c r="KD296" s="110"/>
      <c r="KE296" s="110"/>
      <c r="KF296" s="110"/>
      <c r="KG296" s="110"/>
      <c r="KH296" s="110"/>
      <c r="KI296" s="110"/>
      <c r="KJ296" s="110"/>
      <c r="KK296" s="110"/>
      <c r="KL296" s="110"/>
      <c r="KM296" s="110"/>
      <c r="KN296" s="110"/>
    </row>
    <row r="297" spans="1:300" ht="19.2" customHeight="1" x14ac:dyDescent="0.3">
      <c r="A297" s="110"/>
      <c r="B297" s="110"/>
      <c r="C297" s="110"/>
      <c r="D297" s="110"/>
      <c r="E297" s="110"/>
      <c r="F297" s="110"/>
      <c r="G297" s="112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  <c r="GA297" s="110"/>
      <c r="GB297" s="110"/>
      <c r="GC297" s="110"/>
      <c r="GD297" s="110"/>
      <c r="GE297" s="110"/>
      <c r="GF297" s="110"/>
      <c r="GG297" s="110"/>
      <c r="GH297" s="110"/>
      <c r="GI297" s="110"/>
      <c r="GJ297" s="110"/>
      <c r="GK297" s="110"/>
      <c r="GL297" s="110"/>
      <c r="GM297" s="110"/>
      <c r="GN297" s="110"/>
      <c r="GO297" s="110"/>
      <c r="GP297" s="110"/>
      <c r="GQ297" s="110"/>
      <c r="GR297" s="110"/>
      <c r="GS297" s="110"/>
      <c r="GT297" s="110"/>
      <c r="GU297" s="110"/>
      <c r="GV297" s="110"/>
      <c r="GW297" s="110"/>
      <c r="GX297" s="110"/>
      <c r="GY297" s="110"/>
      <c r="GZ297" s="110"/>
      <c r="HA297" s="110"/>
      <c r="HB297" s="110"/>
      <c r="HC297" s="110"/>
      <c r="HD297" s="110"/>
      <c r="HE297" s="110"/>
      <c r="HF297" s="110"/>
      <c r="HG297" s="110"/>
      <c r="HH297" s="110"/>
      <c r="HI297" s="110"/>
      <c r="HJ297" s="110"/>
      <c r="HK297" s="110"/>
      <c r="HL297" s="110"/>
      <c r="HM297" s="110"/>
      <c r="HN297" s="110"/>
      <c r="HO297" s="110"/>
      <c r="HP297" s="110"/>
      <c r="HQ297" s="110"/>
      <c r="HR297" s="110"/>
      <c r="HS297" s="110"/>
      <c r="HT297" s="110"/>
      <c r="HU297" s="110"/>
      <c r="HV297" s="110"/>
      <c r="HW297" s="110"/>
      <c r="HX297" s="110"/>
      <c r="HY297" s="110"/>
      <c r="HZ297" s="110"/>
      <c r="IA297" s="110"/>
      <c r="IB297" s="110"/>
      <c r="IC297" s="110"/>
      <c r="ID297" s="110"/>
      <c r="IE297" s="110"/>
      <c r="IF297" s="110"/>
      <c r="IG297" s="110"/>
      <c r="IH297" s="110"/>
      <c r="II297" s="110"/>
      <c r="IJ297" s="110"/>
      <c r="IK297" s="110"/>
      <c r="IL297" s="110"/>
      <c r="IM297" s="110"/>
      <c r="IN297" s="110"/>
      <c r="IO297" s="110"/>
      <c r="IP297" s="110"/>
      <c r="IQ297" s="110"/>
      <c r="IR297" s="110"/>
      <c r="IS297" s="110"/>
      <c r="IT297" s="110"/>
      <c r="IU297" s="110"/>
      <c r="IV297" s="110"/>
      <c r="IW297" s="110"/>
      <c r="IX297" s="110"/>
      <c r="IY297" s="110"/>
      <c r="IZ297" s="110"/>
      <c r="JA297" s="110"/>
      <c r="JB297" s="110"/>
      <c r="JC297" s="110"/>
      <c r="JD297" s="110"/>
      <c r="JE297" s="110"/>
      <c r="JF297" s="110"/>
      <c r="JG297" s="110"/>
      <c r="JH297" s="110"/>
      <c r="JI297" s="110"/>
      <c r="JJ297" s="110"/>
      <c r="JK297" s="110"/>
      <c r="JL297" s="110"/>
      <c r="JM297" s="110"/>
      <c r="JN297" s="110"/>
      <c r="JO297" s="110"/>
      <c r="JP297" s="110"/>
      <c r="JQ297" s="110"/>
      <c r="JR297" s="110"/>
      <c r="JS297" s="110"/>
      <c r="JT297" s="110"/>
      <c r="JU297" s="110"/>
      <c r="JV297" s="110"/>
      <c r="JW297" s="110"/>
      <c r="JX297" s="110"/>
      <c r="JY297" s="110"/>
      <c r="JZ297" s="110"/>
      <c r="KA297" s="110"/>
      <c r="KB297" s="110"/>
      <c r="KC297" s="110"/>
      <c r="KD297" s="110"/>
      <c r="KE297" s="110"/>
      <c r="KF297" s="110"/>
      <c r="KG297" s="110"/>
      <c r="KH297" s="110"/>
      <c r="KI297" s="110"/>
      <c r="KJ297" s="110"/>
      <c r="KK297" s="110"/>
      <c r="KL297" s="110"/>
      <c r="KM297" s="110"/>
      <c r="KN297" s="110"/>
    </row>
    <row r="298" spans="1:300" ht="19.2" customHeight="1" x14ac:dyDescent="0.3">
      <c r="A298" s="110"/>
      <c r="B298" s="110"/>
      <c r="C298" s="110"/>
      <c r="D298" s="110"/>
      <c r="E298" s="110"/>
      <c r="F298" s="110"/>
      <c r="G298" s="112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  <c r="GA298" s="110"/>
      <c r="GB298" s="110"/>
      <c r="GC298" s="110"/>
      <c r="GD298" s="110"/>
      <c r="GE298" s="110"/>
      <c r="GF298" s="110"/>
      <c r="GG298" s="110"/>
      <c r="GH298" s="110"/>
      <c r="GI298" s="110"/>
      <c r="GJ298" s="110"/>
      <c r="GK298" s="110"/>
      <c r="GL298" s="110"/>
      <c r="GM298" s="110"/>
      <c r="GN298" s="110"/>
      <c r="GO298" s="110"/>
      <c r="GP298" s="110"/>
      <c r="GQ298" s="110"/>
      <c r="GR298" s="110"/>
      <c r="GS298" s="110"/>
      <c r="GT298" s="110"/>
      <c r="GU298" s="110"/>
      <c r="GV298" s="110"/>
      <c r="GW298" s="110"/>
      <c r="GX298" s="110"/>
      <c r="GY298" s="110"/>
      <c r="GZ298" s="110"/>
      <c r="HA298" s="110"/>
      <c r="HB298" s="110"/>
      <c r="HC298" s="110"/>
      <c r="HD298" s="110"/>
      <c r="HE298" s="110"/>
      <c r="HF298" s="110"/>
      <c r="HG298" s="110"/>
      <c r="HH298" s="110"/>
      <c r="HI298" s="110"/>
      <c r="HJ298" s="110"/>
      <c r="HK298" s="110"/>
      <c r="HL298" s="110"/>
      <c r="HM298" s="110"/>
      <c r="HN298" s="110"/>
      <c r="HO298" s="110"/>
      <c r="HP298" s="110"/>
      <c r="HQ298" s="110"/>
      <c r="HR298" s="110"/>
      <c r="HS298" s="110"/>
      <c r="HT298" s="110"/>
      <c r="HU298" s="110"/>
      <c r="HV298" s="110"/>
      <c r="HW298" s="110"/>
      <c r="HX298" s="110"/>
      <c r="HY298" s="110"/>
      <c r="HZ298" s="110"/>
      <c r="IA298" s="110"/>
      <c r="IB298" s="110"/>
      <c r="IC298" s="110"/>
      <c r="ID298" s="110"/>
      <c r="IE298" s="110"/>
      <c r="IF298" s="110"/>
      <c r="IG298" s="110"/>
      <c r="IH298" s="110"/>
      <c r="II298" s="110"/>
      <c r="IJ298" s="110"/>
      <c r="IK298" s="110"/>
      <c r="IL298" s="110"/>
      <c r="IM298" s="110"/>
      <c r="IN298" s="110"/>
      <c r="IO298" s="110"/>
      <c r="IP298" s="110"/>
      <c r="IQ298" s="110"/>
      <c r="IR298" s="110"/>
      <c r="IS298" s="110"/>
      <c r="IT298" s="110"/>
      <c r="IU298" s="110"/>
      <c r="IV298" s="110"/>
      <c r="IW298" s="110"/>
      <c r="IX298" s="110"/>
      <c r="IY298" s="110"/>
      <c r="IZ298" s="110"/>
      <c r="JA298" s="110"/>
      <c r="JB298" s="110"/>
      <c r="JC298" s="110"/>
      <c r="JD298" s="110"/>
      <c r="JE298" s="110"/>
      <c r="JF298" s="110"/>
      <c r="JG298" s="110"/>
      <c r="JH298" s="110"/>
      <c r="JI298" s="110"/>
      <c r="JJ298" s="110"/>
      <c r="JK298" s="110"/>
      <c r="JL298" s="110"/>
      <c r="JM298" s="110"/>
      <c r="JN298" s="110"/>
      <c r="JO298" s="110"/>
      <c r="JP298" s="110"/>
      <c r="JQ298" s="110"/>
      <c r="JR298" s="110"/>
      <c r="JS298" s="110"/>
      <c r="JT298" s="110"/>
      <c r="JU298" s="110"/>
      <c r="JV298" s="110"/>
      <c r="JW298" s="110"/>
      <c r="JX298" s="110"/>
      <c r="JY298" s="110"/>
      <c r="JZ298" s="110"/>
      <c r="KA298" s="110"/>
      <c r="KB298" s="110"/>
      <c r="KC298" s="110"/>
      <c r="KD298" s="110"/>
      <c r="KE298" s="110"/>
      <c r="KF298" s="110"/>
      <c r="KG298" s="110"/>
      <c r="KH298" s="110"/>
      <c r="KI298" s="110"/>
      <c r="KJ298" s="110"/>
      <c r="KK298" s="110"/>
      <c r="KL298" s="110"/>
      <c r="KM298" s="110"/>
      <c r="KN298" s="110"/>
    </row>
    <row r="299" spans="1:300" ht="19.2" customHeight="1" x14ac:dyDescent="0.3">
      <c r="A299" s="110"/>
      <c r="B299" s="110"/>
      <c r="C299" s="110"/>
      <c r="D299" s="110"/>
      <c r="E299" s="110"/>
      <c r="F299" s="110"/>
      <c r="G299" s="112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  <c r="GA299" s="110"/>
      <c r="GB299" s="110"/>
      <c r="GC299" s="110"/>
      <c r="GD299" s="110"/>
      <c r="GE299" s="110"/>
      <c r="GF299" s="110"/>
      <c r="GG299" s="110"/>
      <c r="GH299" s="110"/>
      <c r="GI299" s="110"/>
      <c r="GJ299" s="110"/>
      <c r="GK299" s="110"/>
      <c r="GL299" s="110"/>
      <c r="GM299" s="110"/>
      <c r="GN299" s="110"/>
      <c r="GO299" s="110"/>
      <c r="GP299" s="110"/>
      <c r="GQ299" s="110"/>
      <c r="GR299" s="110"/>
      <c r="GS299" s="110"/>
      <c r="GT299" s="110"/>
      <c r="GU299" s="110"/>
      <c r="GV299" s="110"/>
      <c r="GW299" s="110"/>
      <c r="GX299" s="110"/>
      <c r="GY299" s="110"/>
      <c r="GZ299" s="110"/>
      <c r="HA299" s="110"/>
      <c r="HB299" s="110"/>
      <c r="HC299" s="110"/>
      <c r="HD299" s="110"/>
      <c r="HE299" s="110"/>
      <c r="HF299" s="110"/>
      <c r="HG299" s="110"/>
      <c r="HH299" s="110"/>
      <c r="HI299" s="110"/>
      <c r="HJ299" s="110"/>
      <c r="HK299" s="110"/>
      <c r="HL299" s="110"/>
      <c r="HM299" s="110"/>
      <c r="HN299" s="110"/>
      <c r="HO299" s="110"/>
      <c r="HP299" s="110"/>
      <c r="HQ299" s="110"/>
      <c r="HR299" s="110"/>
      <c r="HS299" s="110"/>
      <c r="HT299" s="110"/>
      <c r="HU299" s="110"/>
      <c r="HV299" s="110"/>
      <c r="HW299" s="110"/>
      <c r="HX299" s="110"/>
      <c r="HY299" s="110"/>
      <c r="HZ299" s="110"/>
      <c r="IA299" s="110"/>
      <c r="IB299" s="110"/>
      <c r="IC299" s="110"/>
      <c r="ID299" s="110"/>
      <c r="IE299" s="110"/>
      <c r="IF299" s="110"/>
      <c r="IG299" s="110"/>
      <c r="IH299" s="110"/>
      <c r="II299" s="110"/>
      <c r="IJ299" s="110"/>
      <c r="IK299" s="110"/>
      <c r="IL299" s="110"/>
      <c r="IM299" s="110"/>
      <c r="IN299" s="110"/>
      <c r="IO299" s="110"/>
      <c r="IP299" s="110"/>
      <c r="IQ299" s="110"/>
      <c r="IR299" s="110"/>
      <c r="IS299" s="110"/>
      <c r="IT299" s="110"/>
      <c r="IU299" s="110"/>
      <c r="IV299" s="110"/>
      <c r="IW299" s="110"/>
      <c r="IX299" s="110"/>
      <c r="IY299" s="110"/>
      <c r="IZ299" s="110"/>
      <c r="JA299" s="110"/>
      <c r="JB299" s="110"/>
      <c r="JC299" s="110"/>
      <c r="JD299" s="110"/>
      <c r="JE299" s="110"/>
      <c r="JF299" s="110"/>
      <c r="JG299" s="110"/>
      <c r="JH299" s="110"/>
      <c r="JI299" s="110"/>
      <c r="JJ299" s="110"/>
      <c r="JK299" s="110"/>
      <c r="JL299" s="110"/>
      <c r="JM299" s="110"/>
      <c r="JN299" s="110"/>
      <c r="JO299" s="110"/>
      <c r="JP299" s="110"/>
      <c r="JQ299" s="110"/>
      <c r="JR299" s="110"/>
      <c r="JS299" s="110"/>
      <c r="JT299" s="110"/>
      <c r="JU299" s="110"/>
      <c r="JV299" s="110"/>
      <c r="JW299" s="110"/>
      <c r="JX299" s="110"/>
      <c r="JY299" s="110"/>
      <c r="JZ299" s="110"/>
      <c r="KA299" s="110"/>
      <c r="KB299" s="110"/>
      <c r="KC299" s="110"/>
      <c r="KD299" s="110"/>
      <c r="KE299" s="110"/>
      <c r="KF299" s="110"/>
      <c r="KG299" s="110"/>
      <c r="KH299" s="110"/>
      <c r="KI299" s="110"/>
      <c r="KJ299" s="110"/>
      <c r="KK299" s="110"/>
      <c r="KL299" s="110"/>
      <c r="KM299" s="110"/>
      <c r="KN299" s="110"/>
    </row>
    <row r="300" spans="1:300" ht="19.2" customHeight="1" x14ac:dyDescent="0.3">
      <c r="A300" s="110"/>
      <c r="B300" s="110"/>
      <c r="C300" s="110"/>
      <c r="D300" s="110"/>
      <c r="E300" s="110"/>
      <c r="F300" s="110"/>
      <c r="G300" s="112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  <c r="GA300" s="110"/>
      <c r="GB300" s="110"/>
      <c r="GC300" s="110"/>
      <c r="GD300" s="110"/>
      <c r="GE300" s="110"/>
      <c r="GF300" s="110"/>
      <c r="GG300" s="110"/>
      <c r="GH300" s="110"/>
      <c r="GI300" s="110"/>
      <c r="GJ300" s="110"/>
      <c r="GK300" s="110"/>
      <c r="GL300" s="110"/>
      <c r="GM300" s="110"/>
      <c r="GN300" s="110"/>
      <c r="GO300" s="110"/>
      <c r="GP300" s="110"/>
      <c r="GQ300" s="110"/>
      <c r="GR300" s="110"/>
      <c r="GS300" s="110"/>
      <c r="GT300" s="110"/>
      <c r="GU300" s="110"/>
      <c r="GV300" s="110"/>
      <c r="GW300" s="110"/>
      <c r="GX300" s="110"/>
      <c r="GY300" s="110"/>
      <c r="GZ300" s="110"/>
      <c r="HA300" s="110"/>
      <c r="HB300" s="110"/>
      <c r="HC300" s="110"/>
      <c r="HD300" s="110"/>
      <c r="HE300" s="110"/>
      <c r="HF300" s="110"/>
      <c r="HG300" s="110"/>
      <c r="HH300" s="110"/>
      <c r="HI300" s="110"/>
      <c r="HJ300" s="110"/>
      <c r="HK300" s="110"/>
      <c r="HL300" s="110"/>
      <c r="HM300" s="110"/>
      <c r="HN300" s="110"/>
      <c r="HO300" s="110"/>
      <c r="HP300" s="110"/>
      <c r="HQ300" s="110"/>
      <c r="HR300" s="110"/>
      <c r="HS300" s="110"/>
      <c r="HT300" s="110"/>
      <c r="HU300" s="110"/>
      <c r="HV300" s="110"/>
      <c r="HW300" s="110"/>
      <c r="HX300" s="110"/>
      <c r="HY300" s="110"/>
      <c r="HZ300" s="110"/>
      <c r="IA300" s="110"/>
      <c r="IB300" s="110"/>
      <c r="IC300" s="110"/>
      <c r="ID300" s="110"/>
      <c r="IE300" s="110"/>
      <c r="IF300" s="110"/>
      <c r="IG300" s="110"/>
      <c r="IH300" s="110"/>
      <c r="II300" s="110"/>
      <c r="IJ300" s="110"/>
      <c r="IK300" s="110"/>
      <c r="IL300" s="110"/>
      <c r="IM300" s="110"/>
      <c r="IN300" s="110"/>
      <c r="IO300" s="110"/>
      <c r="IP300" s="110"/>
      <c r="IQ300" s="110"/>
      <c r="IR300" s="110"/>
      <c r="IS300" s="110"/>
      <c r="IT300" s="110"/>
      <c r="IU300" s="110"/>
      <c r="IV300" s="110"/>
      <c r="IW300" s="110"/>
      <c r="IX300" s="110"/>
      <c r="IY300" s="110"/>
      <c r="IZ300" s="110"/>
      <c r="JA300" s="110"/>
      <c r="JB300" s="110"/>
      <c r="JC300" s="110"/>
      <c r="JD300" s="110"/>
      <c r="JE300" s="110"/>
      <c r="JF300" s="110"/>
      <c r="JG300" s="110"/>
      <c r="JH300" s="110"/>
      <c r="JI300" s="110"/>
      <c r="JJ300" s="110"/>
      <c r="JK300" s="110"/>
      <c r="JL300" s="110"/>
      <c r="JM300" s="110"/>
      <c r="JN300" s="110"/>
      <c r="JO300" s="110"/>
      <c r="JP300" s="110"/>
      <c r="JQ300" s="110"/>
      <c r="JR300" s="110"/>
      <c r="JS300" s="110"/>
      <c r="JT300" s="110"/>
      <c r="JU300" s="110"/>
      <c r="JV300" s="110"/>
      <c r="JW300" s="110"/>
      <c r="JX300" s="110"/>
      <c r="JY300" s="110"/>
      <c r="JZ300" s="110"/>
      <c r="KA300" s="110"/>
      <c r="KB300" s="110"/>
      <c r="KC300" s="110"/>
      <c r="KD300" s="110"/>
      <c r="KE300" s="110"/>
      <c r="KF300" s="110"/>
      <c r="KG300" s="110"/>
      <c r="KH300" s="110"/>
      <c r="KI300" s="110"/>
      <c r="KJ300" s="110"/>
      <c r="KK300" s="110"/>
      <c r="KL300" s="110"/>
      <c r="KM300" s="110"/>
      <c r="KN300" s="110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9" priority="4">
      <formula>$E$25=FALSE</formula>
    </cfRule>
  </conditionalFormatting>
  <conditionalFormatting sqref="D26:E26">
    <cfRule type="expression" dxfId="8" priority="3">
      <formula>$E$26=FALSE</formula>
    </cfRule>
  </conditionalFormatting>
  <conditionalFormatting sqref="E25">
    <cfRule type="expression" dxfId="7" priority="2">
      <formula>$E$25=FALSE</formula>
    </cfRule>
  </conditionalFormatting>
  <conditionalFormatting sqref="D25:E25">
    <cfRule type="expression" dxfId="6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D38"/>
  <sheetViews>
    <sheetView showGridLines="0" zoomScale="115" zoomScaleNormal="115" workbookViewId="0">
      <selection activeCell="G21" sqref="G21"/>
    </sheetView>
  </sheetViews>
  <sheetFormatPr baseColWidth="10" defaultRowHeight="14.4" x14ac:dyDescent="0.3"/>
  <cols>
    <col min="1" max="1" width="2.77734375" customWidth="1"/>
    <col min="2" max="2" width="17.44140625" bestFit="1" customWidth="1"/>
  </cols>
  <sheetData>
    <row r="1" spans="2:4" ht="15" thickBot="1" x14ac:dyDescent="0.35"/>
    <row r="2" spans="2:4" ht="15" thickBot="1" x14ac:dyDescent="0.35">
      <c r="B2" s="116" t="s">
        <v>51</v>
      </c>
      <c r="C2" s="132" t="s">
        <v>49</v>
      </c>
      <c r="D2" s="133" t="s">
        <v>50</v>
      </c>
    </row>
    <row r="3" spans="2:4" x14ac:dyDescent="0.3">
      <c r="B3" s="121" t="s">
        <v>53</v>
      </c>
      <c r="C3" s="135">
        <v>4</v>
      </c>
      <c r="D3" s="129">
        <v>3</v>
      </c>
    </row>
    <row r="4" spans="2:4" x14ac:dyDescent="0.3">
      <c r="B4" s="122" t="s">
        <v>56</v>
      </c>
      <c r="C4" s="136">
        <v>3</v>
      </c>
      <c r="D4" s="130">
        <v>4</v>
      </c>
    </row>
    <row r="5" spans="2:4" x14ac:dyDescent="0.3">
      <c r="B5" s="122" t="s">
        <v>57</v>
      </c>
      <c r="C5" s="136">
        <v>0</v>
      </c>
      <c r="D5" s="130">
        <v>4</v>
      </c>
    </row>
    <row r="6" spans="2:4" x14ac:dyDescent="0.3">
      <c r="B6" s="122" t="s">
        <v>58</v>
      </c>
      <c r="C6" s="136">
        <v>3</v>
      </c>
      <c r="D6" s="130">
        <v>8</v>
      </c>
    </row>
    <row r="7" spans="2:4" x14ac:dyDescent="0.3">
      <c r="B7" s="122" t="s">
        <v>55</v>
      </c>
      <c r="C7" s="136">
        <v>29</v>
      </c>
      <c r="D7" s="130">
        <v>24</v>
      </c>
    </row>
    <row r="8" spans="2:4" ht="15" thickBot="1" x14ac:dyDescent="0.35">
      <c r="B8" s="123" t="s">
        <v>54</v>
      </c>
      <c r="C8" s="137">
        <v>128</v>
      </c>
      <c r="D8" s="131">
        <v>96</v>
      </c>
    </row>
    <row r="9" spans="2:4" x14ac:dyDescent="0.3">
      <c r="B9" s="145" t="s">
        <v>62</v>
      </c>
      <c r="C9" s="146" cm="1">
        <f t="array" ref="C9:D9">GetImageShape(C16,C18)</f>
        <v>8.9389418877495661</v>
      </c>
      <c r="D9" s="117">
        <v>6.7041859605577256</v>
      </c>
    </row>
    <row r="10" spans="2:4" x14ac:dyDescent="0.3">
      <c r="B10" s="148" t="s">
        <v>63</v>
      </c>
      <c r="C10" s="149" cm="1">
        <f t="array" ref="C10:D10">GetCropedShape(C16,C18,C7,D7,C8,D8)</f>
        <v>2.0252290214432609</v>
      </c>
      <c r="D10" s="150">
        <v>1.6760464901394314</v>
      </c>
    </row>
    <row r="11" spans="2:4" x14ac:dyDescent="0.3">
      <c r="B11" s="128" t="s">
        <v>66</v>
      </c>
      <c r="C11" s="138">
        <v>2</v>
      </c>
      <c r="D11" s="118">
        <f>D7/C7*C11</f>
        <v>1.6551724137931034</v>
      </c>
    </row>
    <row r="12" spans="2:4" ht="15" thickBot="1" x14ac:dyDescent="0.35">
      <c r="B12" s="147" t="s">
        <v>67</v>
      </c>
      <c r="C12" s="139">
        <f>(C8/C7)*C11</f>
        <v>8.8275862068965516</v>
      </c>
      <c r="D12" s="119">
        <f>D8/C8*C12</f>
        <v>6.6206896551724137</v>
      </c>
    </row>
    <row r="13" spans="2:4" ht="15" thickBot="1" x14ac:dyDescent="0.35">
      <c r="B13" s="124" t="s">
        <v>52</v>
      </c>
      <c r="C13" s="140" t="b">
        <f>(C4+C5+C6*(C3-1)+C7*C3)=C8</f>
        <v>1</v>
      </c>
      <c r="D13" s="120" t="b">
        <f>(D4+D5+D6*(D3-1)+D7*D3)=D8</f>
        <v>1</v>
      </c>
    </row>
    <row r="14" spans="2:4" x14ac:dyDescent="0.3">
      <c r="B14" s="143" t="s">
        <v>65</v>
      </c>
      <c r="C14" s="160">
        <v>3</v>
      </c>
      <c r="D14" s="161">
        <v>0</v>
      </c>
    </row>
    <row r="15" spans="2:4" ht="15" thickBot="1" x14ac:dyDescent="0.35">
      <c r="B15" s="144" t="s">
        <v>68</v>
      </c>
      <c r="C15" s="162">
        <v>0.2</v>
      </c>
      <c r="D15" s="163">
        <v>1</v>
      </c>
    </row>
    <row r="16" spans="2:4" x14ac:dyDescent="0.3">
      <c r="B16" s="125" t="s">
        <v>59</v>
      </c>
      <c r="C16" s="181" t="s">
        <v>64</v>
      </c>
      <c r="D16" s="182"/>
    </row>
    <row r="17" spans="2:4" x14ac:dyDescent="0.3">
      <c r="B17" s="126" t="s">
        <v>60</v>
      </c>
      <c r="C17" s="183" t="s">
        <v>47</v>
      </c>
      <c r="D17" s="184"/>
    </row>
    <row r="18" spans="2:4" ht="15" thickBot="1" x14ac:dyDescent="0.35">
      <c r="B18" s="127" t="s">
        <v>61</v>
      </c>
      <c r="C18" s="179" t="str">
        <f>C17&amp;"_Originel"</f>
        <v>Hero_Marche_Originel</v>
      </c>
      <c r="D18" s="180"/>
    </row>
    <row r="19" spans="2:4" x14ac:dyDescent="0.3">
      <c r="B19" s="157"/>
      <c r="C19" s="151"/>
      <c r="D19" s="152"/>
    </row>
    <row r="20" spans="2:4" ht="15" thickBot="1" x14ac:dyDescent="0.35">
      <c r="B20" s="158"/>
      <c r="C20" s="155"/>
      <c r="D20" s="156"/>
    </row>
    <row r="21" spans="2:4" x14ac:dyDescent="0.3">
      <c r="B21" s="159"/>
      <c r="C21" s="153"/>
      <c r="D21" s="154"/>
    </row>
    <row r="22" spans="2:4" ht="15" thickBot="1" x14ac:dyDescent="0.35">
      <c r="B22" s="158"/>
      <c r="C22" s="155"/>
      <c r="D22" s="156"/>
    </row>
    <row r="24" spans="2:4" ht="15" thickBot="1" x14ac:dyDescent="0.35"/>
    <row r="25" spans="2:4" ht="15" thickBot="1" x14ac:dyDescent="0.35">
      <c r="B25" s="116" t="s">
        <v>51</v>
      </c>
      <c r="C25" s="132" t="s">
        <v>49</v>
      </c>
      <c r="D25" s="133" t="s">
        <v>50</v>
      </c>
    </row>
    <row r="26" spans="2:4" x14ac:dyDescent="0.3">
      <c r="B26" s="121" t="s">
        <v>53</v>
      </c>
      <c r="C26" s="135">
        <v>4</v>
      </c>
      <c r="D26" s="129">
        <v>3</v>
      </c>
    </row>
    <row r="27" spans="2:4" x14ac:dyDescent="0.3">
      <c r="B27" s="122" t="s">
        <v>56</v>
      </c>
      <c r="C27" s="136">
        <v>3</v>
      </c>
      <c r="D27" s="130">
        <v>4</v>
      </c>
    </row>
    <row r="28" spans="2:4" x14ac:dyDescent="0.3">
      <c r="B28" s="122" t="s">
        <v>57</v>
      </c>
      <c r="C28" s="136">
        <v>0</v>
      </c>
      <c r="D28" s="130">
        <v>4</v>
      </c>
    </row>
    <row r="29" spans="2:4" x14ac:dyDescent="0.3">
      <c r="B29" s="122" t="s">
        <v>58</v>
      </c>
      <c r="C29" s="136">
        <v>3</v>
      </c>
      <c r="D29" s="130">
        <v>8</v>
      </c>
    </row>
    <row r="30" spans="2:4" x14ac:dyDescent="0.3">
      <c r="B30" s="122" t="s">
        <v>55</v>
      </c>
      <c r="C30" s="136">
        <v>29</v>
      </c>
      <c r="D30" s="130">
        <v>24</v>
      </c>
    </row>
    <row r="31" spans="2:4" ht="15" thickBot="1" x14ac:dyDescent="0.35">
      <c r="B31" s="123" t="s">
        <v>54</v>
      </c>
      <c r="C31" s="137">
        <v>128</v>
      </c>
      <c r="D31" s="131">
        <v>96</v>
      </c>
    </row>
    <row r="32" spans="2:4" x14ac:dyDescent="0.3">
      <c r="B32" s="128" t="s">
        <v>62</v>
      </c>
      <c r="C32" s="138" cm="1">
        <f t="array" ref="C32:D32">GetImageShape(C36,C37)</f>
        <v>2.0248750580681696</v>
      </c>
      <c r="D32" s="118">
        <v>1.6783860598670113</v>
      </c>
    </row>
    <row r="33" spans="2:4" ht="15" thickBot="1" x14ac:dyDescent="0.35">
      <c r="B33" s="128" t="s">
        <v>63</v>
      </c>
      <c r="C33" s="139" cm="1">
        <f t="array" ref="C33:D33">GetCropedShape(C36,C38,C30,D30,C31,D31)</f>
        <v>2.0252290214432609</v>
      </c>
      <c r="D33" s="119">
        <v>1.6760464901394314</v>
      </c>
    </row>
    <row r="34" spans="2:4" ht="15" thickBot="1" x14ac:dyDescent="0.35">
      <c r="B34" s="124" t="s">
        <v>52</v>
      </c>
      <c r="C34" s="140" t="b">
        <f>(C27+C28+C29*(C26-1)+C30*C26)=C31</f>
        <v>1</v>
      </c>
      <c r="D34" s="120" t="b">
        <f>(D27+D28+D29*(D26-1)+D30*D26)=D31</f>
        <v>1</v>
      </c>
    </row>
    <row r="35" spans="2:4" ht="15" thickBot="1" x14ac:dyDescent="0.35">
      <c r="B35" s="134" t="s">
        <v>65</v>
      </c>
      <c r="C35" s="141">
        <v>2</v>
      </c>
      <c r="D35" s="142">
        <v>2</v>
      </c>
    </row>
    <row r="36" spans="2:4" x14ac:dyDescent="0.3">
      <c r="B36" s="125" t="s">
        <v>59</v>
      </c>
      <c r="C36" s="181" t="s">
        <v>64</v>
      </c>
      <c r="D36" s="182"/>
    </row>
    <row r="37" spans="2:4" x14ac:dyDescent="0.3">
      <c r="B37" s="126" t="s">
        <v>60</v>
      </c>
      <c r="C37" s="183" t="s">
        <v>47</v>
      </c>
      <c r="D37" s="184"/>
    </row>
    <row r="38" spans="2:4" ht="15" thickBot="1" x14ac:dyDescent="0.35">
      <c r="B38" s="127" t="s">
        <v>61</v>
      </c>
      <c r="C38" s="179" t="str">
        <f>C37&amp;"_Originel"</f>
        <v>Hero_Marche_Originel</v>
      </c>
      <c r="D38" s="180"/>
    </row>
  </sheetData>
  <mergeCells count="6"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2"/>
      <c r="AY168" s="92"/>
      <c r="AZ168" s="92"/>
      <c r="BA168" s="92"/>
      <c r="BB168" s="92"/>
      <c r="BC168" s="92"/>
      <c r="CD168" s="92"/>
      <c r="CE168" s="92"/>
      <c r="CF168" s="92"/>
      <c r="CG168" s="92"/>
      <c r="CH168" s="92"/>
      <c r="CI168" s="92"/>
    </row>
    <row r="169" spans="13:92" ht="19.2" customHeight="1" x14ac:dyDescent="0.3">
      <c r="R169" s="92"/>
      <c r="S169" s="92"/>
      <c r="T169" s="92"/>
      <c r="U169" s="92"/>
      <c r="V169" s="92"/>
      <c r="W169" s="92"/>
      <c r="AV169" s="92"/>
      <c r="AW169" s="92"/>
      <c r="AX169" s="93"/>
      <c r="AY169" s="93"/>
      <c r="AZ169" s="93"/>
      <c r="BA169" s="93"/>
      <c r="BB169" s="93"/>
      <c r="BC169" s="93"/>
      <c r="BD169" s="92"/>
      <c r="BE169" s="92"/>
      <c r="CB169" s="92"/>
      <c r="CC169" s="92"/>
      <c r="CD169" s="93"/>
      <c r="CE169" s="93"/>
      <c r="CF169" s="93"/>
      <c r="CG169" s="93"/>
      <c r="CH169" s="93"/>
      <c r="CI169" s="93"/>
      <c r="CJ169" s="92"/>
      <c r="CK169" s="92"/>
    </row>
    <row r="170" spans="13:92" ht="19.2" customHeight="1" x14ac:dyDescent="0.3">
      <c r="P170" s="92"/>
      <c r="Q170" s="92"/>
      <c r="R170" s="93"/>
      <c r="S170" s="93"/>
      <c r="T170" s="93"/>
      <c r="U170" s="93"/>
      <c r="V170" s="93"/>
      <c r="W170" s="93"/>
      <c r="X170" s="92"/>
      <c r="Y170" s="92"/>
      <c r="AU170" s="92"/>
      <c r="AV170" s="94"/>
      <c r="AW170" s="93"/>
      <c r="AX170" s="93"/>
      <c r="AY170" s="93"/>
      <c r="AZ170" s="95"/>
      <c r="BA170" s="95"/>
      <c r="BB170" s="93"/>
      <c r="BC170" s="93"/>
      <c r="BD170" s="93"/>
      <c r="BE170" s="94"/>
      <c r="BF170" s="92"/>
      <c r="CA170" s="92"/>
      <c r="CB170" s="94"/>
      <c r="CC170" s="93"/>
      <c r="CD170" s="93"/>
      <c r="CE170" s="93"/>
      <c r="CF170" s="95"/>
      <c r="CG170" s="95"/>
      <c r="CH170" s="93"/>
      <c r="CI170" s="93"/>
      <c r="CJ170" s="93"/>
      <c r="CK170" s="94"/>
      <c r="CL170" s="92"/>
    </row>
    <row r="171" spans="13:92" ht="19.2" customHeight="1" x14ac:dyDescent="0.3">
      <c r="O171" s="92"/>
      <c r="P171" s="94"/>
      <c r="Q171" s="93"/>
      <c r="R171" s="93"/>
      <c r="S171" s="93"/>
      <c r="T171" s="95"/>
      <c r="U171" s="95"/>
      <c r="V171" s="93"/>
      <c r="W171" s="93"/>
      <c r="X171" s="93"/>
      <c r="Y171" s="94"/>
      <c r="Z171" s="92"/>
      <c r="AT171" s="96"/>
      <c r="AU171" s="94"/>
      <c r="AV171" s="97"/>
      <c r="AW171" s="98"/>
      <c r="AX171" s="98"/>
      <c r="AY171" s="98"/>
      <c r="AZ171" s="95"/>
      <c r="BA171" s="95"/>
      <c r="BB171" s="98"/>
      <c r="BC171" s="98"/>
      <c r="BD171" s="98"/>
      <c r="BE171" s="97"/>
      <c r="BF171" s="94"/>
      <c r="BG171" s="96"/>
      <c r="BZ171" s="96"/>
      <c r="CA171" s="94"/>
      <c r="CB171" s="97"/>
      <c r="CC171" s="98"/>
      <c r="CD171" s="98"/>
      <c r="CE171" s="98"/>
      <c r="CF171" s="95"/>
      <c r="CG171" s="95"/>
      <c r="CH171" s="98"/>
      <c r="CI171" s="98"/>
      <c r="CJ171" s="98"/>
      <c r="CK171" s="97"/>
      <c r="CL171" s="94"/>
      <c r="CM171" s="96"/>
    </row>
    <row r="172" spans="13:92" ht="19.2" customHeight="1" x14ac:dyDescent="0.3">
      <c r="N172" s="96"/>
      <c r="O172" s="94"/>
      <c r="P172" s="97"/>
      <c r="Q172" s="98"/>
      <c r="R172" s="98"/>
      <c r="S172" s="98"/>
      <c r="T172" s="95"/>
      <c r="U172" s="95"/>
      <c r="V172" s="98"/>
      <c r="W172" s="98"/>
      <c r="X172" s="98"/>
      <c r="Y172" s="97"/>
      <c r="Z172" s="94"/>
      <c r="AA172" s="96"/>
      <c r="AT172" s="96"/>
      <c r="AU172" s="99"/>
      <c r="AV172" s="97"/>
      <c r="AW172" s="98"/>
      <c r="AX172" s="98"/>
      <c r="AY172" s="98"/>
      <c r="AZ172" s="98"/>
      <c r="BA172" s="98"/>
      <c r="BB172" s="98"/>
      <c r="BC172" s="98"/>
      <c r="BD172" s="98"/>
      <c r="BE172" s="97"/>
      <c r="BF172" s="99"/>
      <c r="BG172" s="96"/>
      <c r="BZ172" s="96"/>
      <c r="CA172" s="99"/>
      <c r="CB172" s="97"/>
      <c r="CC172" s="98"/>
      <c r="CD172" s="98"/>
      <c r="CE172" s="98"/>
      <c r="CF172" s="98"/>
      <c r="CG172" s="98"/>
      <c r="CH172" s="98"/>
      <c r="CI172" s="98"/>
      <c r="CJ172" s="98"/>
      <c r="CK172" s="97"/>
      <c r="CL172" s="99"/>
      <c r="CM172" s="96"/>
    </row>
    <row r="173" spans="13:92" ht="19.2" customHeight="1" x14ac:dyDescent="0.3">
      <c r="N173" s="96"/>
      <c r="O173" s="99"/>
      <c r="P173" s="97"/>
      <c r="Q173" s="98"/>
      <c r="R173" s="98"/>
      <c r="S173" s="98"/>
      <c r="T173" s="98"/>
      <c r="U173" s="98"/>
      <c r="V173" s="98"/>
      <c r="W173" s="98"/>
      <c r="X173" s="98"/>
      <c r="Y173" s="97"/>
      <c r="Z173" s="99"/>
      <c r="AA173" s="96"/>
      <c r="AS173" s="96"/>
      <c r="AT173" s="99"/>
      <c r="AU173" s="99"/>
      <c r="AV173" s="99"/>
      <c r="AW173" s="97"/>
      <c r="AX173" s="98"/>
      <c r="AY173" s="98"/>
      <c r="AZ173" s="98"/>
      <c r="BA173" s="98"/>
      <c r="BB173" s="98"/>
      <c r="BC173" s="98"/>
      <c r="BD173" s="97"/>
      <c r="BE173" s="99"/>
      <c r="BF173" s="99"/>
      <c r="BG173" s="99"/>
      <c r="BH173" s="96"/>
      <c r="BY173" s="96"/>
      <c r="BZ173" s="99"/>
      <c r="CA173" s="99"/>
      <c r="CB173" s="99"/>
      <c r="CC173" s="97"/>
      <c r="CD173" s="98"/>
      <c r="CE173" s="98"/>
      <c r="CF173" s="98"/>
      <c r="CG173" s="98"/>
      <c r="CH173" s="98"/>
      <c r="CI173" s="98"/>
      <c r="CJ173" s="97"/>
      <c r="CK173" s="99"/>
      <c r="CL173" s="99"/>
      <c r="CM173" s="99"/>
      <c r="CN173" s="96"/>
    </row>
    <row r="174" spans="13:92" ht="19.2" customHeight="1" x14ac:dyDescent="0.3">
      <c r="M174" s="96"/>
      <c r="N174" s="99"/>
      <c r="O174" s="99"/>
      <c r="P174" s="99"/>
      <c r="Q174" s="97"/>
      <c r="R174" s="98"/>
      <c r="S174" s="98"/>
      <c r="T174" s="98"/>
      <c r="U174" s="98"/>
      <c r="V174" s="98"/>
      <c r="W174" s="98"/>
      <c r="X174" s="97"/>
      <c r="Y174" s="99"/>
      <c r="Z174" s="99"/>
      <c r="AA174" s="99"/>
      <c r="AB174" s="96"/>
      <c r="AS174" s="96"/>
      <c r="AT174" s="99"/>
      <c r="AU174" s="99"/>
      <c r="AV174" s="99"/>
      <c r="AW174" s="99"/>
      <c r="AX174" s="97"/>
      <c r="AY174" s="97"/>
      <c r="AZ174" s="97"/>
      <c r="BA174" s="97"/>
      <c r="BB174" s="97"/>
      <c r="BC174" s="97"/>
      <c r="BD174" s="99"/>
      <c r="BE174" s="99"/>
      <c r="BF174" s="99"/>
      <c r="BG174" s="99"/>
      <c r="BH174" s="96"/>
      <c r="BY174" s="96"/>
      <c r="BZ174" s="99"/>
      <c r="CA174" s="99"/>
      <c r="CB174" s="99"/>
      <c r="CC174" s="99"/>
      <c r="CD174" s="97"/>
      <c r="CE174" s="97"/>
      <c r="CF174" s="97"/>
      <c r="CG174" s="97"/>
      <c r="CH174" s="97"/>
      <c r="CI174" s="97"/>
      <c r="CJ174" s="99"/>
      <c r="CK174" s="99"/>
      <c r="CL174" s="99"/>
      <c r="CM174" s="99"/>
      <c r="CN174" s="96"/>
    </row>
    <row r="175" spans="13:92" ht="19.2" customHeight="1" x14ac:dyDescent="0.3">
      <c r="M175" s="96"/>
      <c r="N175" s="99"/>
      <c r="O175" s="99"/>
      <c r="P175" s="99"/>
      <c r="Q175" s="99"/>
      <c r="R175" s="97"/>
      <c r="S175" s="97"/>
      <c r="T175" s="97"/>
      <c r="U175" s="97"/>
      <c r="V175" s="97"/>
      <c r="W175" s="97"/>
      <c r="X175" s="99"/>
      <c r="Y175" s="99"/>
      <c r="Z175" s="99"/>
      <c r="AA175" s="99"/>
      <c r="AB175" s="96"/>
      <c r="AS175" s="96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6"/>
      <c r="BY175" s="96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6"/>
    </row>
    <row r="176" spans="13:92" ht="19.2" customHeight="1" x14ac:dyDescent="0.3">
      <c r="M176" s="96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6"/>
      <c r="AS176" s="92"/>
      <c r="AT176" s="92"/>
      <c r="AU176" s="99"/>
      <c r="AV176" s="99"/>
      <c r="AW176" s="99"/>
      <c r="AX176" s="99"/>
      <c r="AY176" s="92"/>
      <c r="AZ176" s="92"/>
      <c r="BA176" s="92"/>
      <c r="BB176" s="92"/>
      <c r="BC176" s="99"/>
      <c r="BD176" s="99"/>
      <c r="BE176" s="99"/>
      <c r="BF176" s="99"/>
      <c r="BG176" s="92"/>
      <c r="BH176" s="96"/>
      <c r="BY176" s="92"/>
      <c r="BZ176" s="92"/>
      <c r="CA176" s="99"/>
      <c r="CB176" s="99"/>
      <c r="CC176" s="99"/>
      <c r="CD176" s="99"/>
      <c r="CE176" s="92"/>
      <c r="CF176" s="92"/>
      <c r="CG176" s="92"/>
      <c r="CH176" s="92"/>
      <c r="CI176" s="99"/>
      <c r="CJ176" s="99"/>
      <c r="CK176" s="99"/>
      <c r="CL176" s="99"/>
      <c r="CM176" s="92"/>
      <c r="CN176" s="96"/>
    </row>
    <row r="177" spans="11:94" ht="19.2" customHeight="1" x14ac:dyDescent="0.3">
      <c r="M177" s="96"/>
      <c r="N177" s="92"/>
      <c r="O177" s="99"/>
      <c r="P177" s="99"/>
      <c r="Q177" s="99"/>
      <c r="R177" s="99"/>
      <c r="S177" s="92"/>
      <c r="T177" s="92"/>
      <c r="U177" s="92"/>
      <c r="V177" s="92"/>
      <c r="W177" s="99"/>
      <c r="X177" s="99"/>
      <c r="Y177" s="99"/>
      <c r="Z177" s="99"/>
      <c r="AA177" s="92"/>
      <c r="AB177" s="96"/>
      <c r="AQ177" s="96"/>
      <c r="AR177" s="92"/>
      <c r="AS177" s="94"/>
      <c r="AT177" s="92"/>
      <c r="AU177" s="99"/>
      <c r="AV177" s="99"/>
      <c r="AW177" s="99"/>
      <c r="AX177" s="99"/>
      <c r="AY177" s="92"/>
      <c r="AZ177" s="92"/>
      <c r="BA177" s="92"/>
      <c r="BB177" s="92"/>
      <c r="BC177" s="99"/>
      <c r="BD177" s="99"/>
      <c r="BE177" s="99"/>
      <c r="BF177" s="99"/>
      <c r="BG177" s="92"/>
      <c r="BH177" s="94"/>
      <c r="BI177" s="96"/>
      <c r="BJ177" s="96"/>
      <c r="BW177" s="96"/>
      <c r="BX177" s="92"/>
      <c r="BY177" s="94"/>
      <c r="BZ177" s="92"/>
      <c r="CA177" s="99"/>
      <c r="CB177" s="99"/>
      <c r="CC177" s="99"/>
      <c r="CD177" s="99"/>
      <c r="CE177" s="92"/>
      <c r="CF177" s="92"/>
      <c r="CG177" s="92"/>
      <c r="CH177" s="92"/>
      <c r="CI177" s="99"/>
      <c r="CJ177" s="99"/>
      <c r="CK177" s="99"/>
      <c r="CL177" s="99"/>
      <c r="CM177" s="92"/>
      <c r="CN177" s="94"/>
      <c r="CO177" s="96"/>
      <c r="CP177" s="96"/>
    </row>
    <row r="178" spans="11:94" ht="19.2" customHeight="1" x14ac:dyDescent="0.3">
      <c r="K178" s="96"/>
      <c r="L178" s="92"/>
      <c r="M178" s="94"/>
      <c r="N178" s="92"/>
      <c r="O178" s="99"/>
      <c r="P178" s="99"/>
      <c r="Q178" s="99"/>
      <c r="R178" s="99"/>
      <c r="S178" s="92"/>
      <c r="T178" s="92"/>
      <c r="U178" s="92"/>
      <c r="V178" s="92"/>
      <c r="W178" s="99"/>
      <c r="X178" s="99"/>
      <c r="Y178" s="99"/>
      <c r="Z178" s="99"/>
      <c r="AA178" s="92"/>
      <c r="AB178" s="94"/>
      <c r="AC178" s="96"/>
      <c r="AD178" s="96"/>
      <c r="AR178" s="96"/>
      <c r="AS178" s="100"/>
      <c r="AT178" s="100"/>
      <c r="AU178" s="92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2"/>
      <c r="BG178" s="100"/>
      <c r="BH178" s="100"/>
      <c r="BI178" s="96"/>
      <c r="BX178" s="96"/>
      <c r="BY178" s="100"/>
      <c r="BZ178" s="100"/>
      <c r="CA178" s="92"/>
      <c r="CB178" s="99"/>
      <c r="CC178" s="99"/>
      <c r="CD178" s="99"/>
      <c r="CE178" s="99"/>
      <c r="CF178" s="99"/>
      <c r="CG178" s="99"/>
      <c r="CH178" s="99"/>
      <c r="CI178" s="99"/>
      <c r="CJ178" s="99"/>
      <c r="CK178" s="99"/>
      <c r="CL178" s="92"/>
      <c r="CM178" s="100"/>
      <c r="CN178" s="100"/>
      <c r="CO178" s="96"/>
    </row>
    <row r="179" spans="11:94" ht="19.2" customHeight="1" x14ac:dyDescent="0.3">
      <c r="L179" s="96"/>
      <c r="M179" s="100"/>
      <c r="N179" s="100"/>
      <c r="O179" s="92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2"/>
      <c r="AA179" s="100"/>
      <c r="AB179" s="100"/>
      <c r="AC179" s="96"/>
      <c r="AS179" s="96"/>
      <c r="AT179" s="100"/>
      <c r="AU179" s="100"/>
      <c r="AV179" s="92"/>
      <c r="AW179" s="92"/>
      <c r="AX179" s="99"/>
      <c r="AY179" s="99"/>
      <c r="AZ179" s="99"/>
      <c r="BA179" s="99"/>
      <c r="BB179" s="99"/>
      <c r="BC179" s="99"/>
      <c r="BD179" s="92"/>
      <c r="BE179" s="92"/>
      <c r="BF179" s="100"/>
      <c r="BG179" s="100"/>
      <c r="BH179" s="96"/>
      <c r="BY179" s="96"/>
      <c r="BZ179" s="100"/>
      <c r="CA179" s="100"/>
      <c r="CB179" s="92"/>
      <c r="CC179" s="92"/>
      <c r="CD179" s="99"/>
      <c r="CE179" s="99"/>
      <c r="CF179" s="99"/>
      <c r="CG179" s="99"/>
      <c r="CH179" s="99"/>
      <c r="CI179" s="99"/>
      <c r="CJ179" s="92"/>
      <c r="CK179" s="92"/>
      <c r="CL179" s="100"/>
      <c r="CM179" s="100"/>
      <c r="CN179" s="96"/>
    </row>
    <row r="180" spans="11:94" ht="19.2" customHeight="1" x14ac:dyDescent="0.3">
      <c r="M180" s="96"/>
      <c r="N180" s="100"/>
      <c r="O180" s="100"/>
      <c r="P180" s="92"/>
      <c r="Q180" s="92"/>
      <c r="R180" s="99"/>
      <c r="S180" s="99"/>
      <c r="T180" s="99"/>
      <c r="U180" s="99"/>
      <c r="V180" s="99"/>
      <c r="W180" s="99"/>
      <c r="X180" s="92"/>
      <c r="Y180" s="92"/>
      <c r="Z180" s="100"/>
      <c r="AA180" s="100"/>
      <c r="AB180" s="96"/>
      <c r="AT180" s="96"/>
      <c r="AU180" s="92"/>
      <c r="AV180" s="100"/>
      <c r="AW180" s="100"/>
      <c r="AX180" s="92"/>
      <c r="AY180" s="92"/>
      <c r="AZ180" s="92"/>
      <c r="BA180" s="92"/>
      <c r="BB180" s="92"/>
      <c r="BC180" s="92"/>
      <c r="BD180" s="100"/>
      <c r="BE180" s="100"/>
      <c r="BF180" s="92"/>
      <c r="BG180" s="96"/>
      <c r="BZ180" s="96"/>
      <c r="CA180" s="92"/>
      <c r="CB180" s="100"/>
      <c r="CC180" s="100"/>
      <c r="CD180" s="92"/>
      <c r="CE180" s="92"/>
      <c r="CF180" s="92"/>
      <c r="CG180" s="92"/>
      <c r="CH180" s="92"/>
      <c r="CI180" s="92"/>
      <c r="CJ180" s="100"/>
      <c r="CK180" s="100"/>
      <c r="CL180" s="92"/>
      <c r="CM180" s="96"/>
    </row>
    <row r="181" spans="11:94" ht="19.2" customHeight="1" x14ac:dyDescent="0.3">
      <c r="N181" s="96"/>
      <c r="O181" s="92"/>
      <c r="P181" s="100"/>
      <c r="Q181" s="100"/>
      <c r="R181" s="92"/>
      <c r="S181" s="92"/>
      <c r="T181" s="92"/>
      <c r="U181" s="92"/>
      <c r="V181" s="92"/>
      <c r="W181" s="92"/>
      <c r="X181" s="100"/>
      <c r="Y181" s="100"/>
      <c r="Z181" s="92"/>
      <c r="AA181" s="96"/>
      <c r="AT181" s="92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96"/>
      <c r="BZ181" s="92"/>
      <c r="CA181" s="100"/>
      <c r="CB181" s="100"/>
      <c r="CC181" s="100"/>
      <c r="CD181" s="100"/>
      <c r="CE181" s="100"/>
      <c r="CF181" s="100"/>
      <c r="CG181" s="100"/>
      <c r="CH181" s="100"/>
      <c r="CI181" s="100"/>
      <c r="CJ181" s="100"/>
      <c r="CK181" s="100"/>
      <c r="CL181" s="100"/>
      <c r="CM181" s="96"/>
    </row>
    <row r="182" spans="11:94" ht="19.2" customHeight="1" x14ac:dyDescent="0.3">
      <c r="N182" s="92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96"/>
      <c r="AU182" s="96"/>
      <c r="AV182" s="96"/>
      <c r="AW182" s="100"/>
      <c r="AX182" s="96"/>
      <c r="AY182" s="100"/>
      <c r="AZ182" s="100"/>
      <c r="BA182" s="100"/>
      <c r="BB182" s="100"/>
      <c r="BC182" s="96"/>
      <c r="BD182" s="100"/>
      <c r="BE182" s="96"/>
      <c r="BF182" s="96"/>
      <c r="CA182" s="96"/>
      <c r="CB182" s="96"/>
      <c r="CC182" s="100"/>
      <c r="CD182" s="96"/>
      <c r="CE182" s="100"/>
      <c r="CF182" s="100"/>
      <c r="CG182" s="100"/>
      <c r="CH182" s="100"/>
      <c r="CI182" s="96"/>
      <c r="CJ182" s="100"/>
      <c r="CK182" s="96"/>
      <c r="CL182" s="96"/>
    </row>
    <row r="183" spans="11:94" ht="19.2" customHeight="1" x14ac:dyDescent="0.3">
      <c r="O183" s="96"/>
      <c r="P183" s="96"/>
      <c r="Q183" s="100"/>
      <c r="R183" s="96"/>
      <c r="S183" s="100"/>
      <c r="T183" s="100"/>
      <c r="U183" s="100"/>
      <c r="V183" s="100"/>
      <c r="W183" s="96"/>
      <c r="X183" s="100"/>
      <c r="Y183" s="96"/>
      <c r="Z183" s="96"/>
      <c r="AV183" s="96"/>
      <c r="AW183" s="96"/>
      <c r="AX183" s="100"/>
      <c r="AY183" s="96"/>
      <c r="AZ183" s="96"/>
      <c r="BA183" s="96"/>
      <c r="BB183" s="96"/>
      <c r="BC183" s="100"/>
      <c r="BD183" s="96"/>
      <c r="BE183" s="96"/>
      <c r="BF183" s="96"/>
      <c r="BG183" s="96"/>
      <c r="BZ183" s="96"/>
      <c r="CA183" s="96"/>
      <c r="CB183" s="96"/>
      <c r="CC183" s="96"/>
      <c r="CD183" s="101"/>
      <c r="CE183" s="96"/>
      <c r="CF183" s="96"/>
      <c r="CG183" s="96"/>
      <c r="CH183" s="96"/>
      <c r="CI183" s="101"/>
      <c r="CJ183" s="96"/>
      <c r="CK183" s="96"/>
    </row>
    <row r="184" spans="11:94" ht="19.2" customHeight="1" x14ac:dyDescent="0.3">
      <c r="O184" s="96"/>
      <c r="P184" s="96"/>
      <c r="Q184" s="96"/>
      <c r="R184" s="100"/>
      <c r="S184" s="96"/>
      <c r="T184" s="96"/>
      <c r="U184" s="96"/>
      <c r="V184" s="96"/>
      <c r="W184" s="100"/>
      <c r="X184" s="96"/>
      <c r="Y184" s="96"/>
      <c r="Z184" s="96"/>
      <c r="AU184" s="96"/>
      <c r="AV184" s="101"/>
      <c r="AW184" s="102"/>
      <c r="AX184" s="96"/>
      <c r="AY184" s="101"/>
      <c r="AZ184" s="101"/>
      <c r="BA184" s="92"/>
      <c r="BB184" s="101"/>
      <c r="BC184" s="96"/>
      <c r="BD184" s="96"/>
      <c r="BE184" s="101"/>
      <c r="BF184" s="103"/>
      <c r="BG184" s="104"/>
      <c r="BH184" s="96"/>
      <c r="BY184" s="96"/>
      <c r="BZ184" s="104"/>
      <c r="CA184" s="103"/>
      <c r="CB184" s="101"/>
      <c r="CC184" s="96"/>
      <c r="CD184" s="96"/>
      <c r="CE184" s="101"/>
      <c r="CF184" s="101"/>
      <c r="CG184" s="92"/>
      <c r="CH184" s="101"/>
      <c r="CI184" s="101"/>
      <c r="CJ184" s="102"/>
      <c r="CK184" s="101"/>
      <c r="CL184" s="96"/>
    </row>
    <row r="185" spans="11:94" ht="19.2" customHeight="1" x14ac:dyDescent="0.3">
      <c r="M185" s="100"/>
      <c r="N185" s="96"/>
      <c r="O185" s="102"/>
      <c r="P185" s="105"/>
      <c r="Q185" s="96"/>
      <c r="R185" s="96"/>
      <c r="S185" s="101"/>
      <c r="T185" s="101"/>
      <c r="U185" s="92"/>
      <c r="V185" s="101"/>
      <c r="W185" s="96"/>
      <c r="X185" s="96"/>
      <c r="Y185" s="105"/>
      <c r="Z185" s="102"/>
      <c r="AA185" s="96"/>
      <c r="AB185" s="100"/>
      <c r="AT185" s="96"/>
      <c r="AU185" s="101"/>
      <c r="AV185" s="102"/>
      <c r="AW185" s="96"/>
      <c r="AX185" s="92"/>
      <c r="AY185" s="101"/>
      <c r="AZ185" s="96"/>
      <c r="BA185" s="103"/>
      <c r="BB185" s="101"/>
      <c r="BC185" s="92"/>
      <c r="BE185" s="96"/>
      <c r="BF185" s="104"/>
      <c r="BG185" s="104"/>
      <c r="BH185" s="96"/>
      <c r="BY185" s="96"/>
      <c r="BZ185" s="104"/>
      <c r="CA185" s="104"/>
      <c r="CB185" s="96"/>
      <c r="CC185" s="101"/>
      <c r="CD185" s="92"/>
      <c r="CE185" s="101"/>
      <c r="CF185" s="96"/>
      <c r="CG185" s="103"/>
      <c r="CH185" s="101"/>
      <c r="CI185" s="96"/>
      <c r="CJ185" s="101"/>
      <c r="CK185" s="102"/>
      <c r="CL185" s="101"/>
      <c r="CM185" s="100"/>
    </row>
    <row r="186" spans="11:94" ht="19.2" customHeight="1" x14ac:dyDescent="0.3">
      <c r="L186" s="100"/>
      <c r="M186" s="106"/>
      <c r="N186" s="103"/>
      <c r="O186" s="101"/>
      <c r="P186" s="96"/>
      <c r="Q186" s="101"/>
      <c r="R186" s="96"/>
      <c r="S186" s="101"/>
      <c r="T186" s="96"/>
      <c r="U186" s="103"/>
      <c r="V186" s="101"/>
      <c r="W186" s="96"/>
      <c r="Y186" s="96"/>
      <c r="Z186" s="101"/>
      <c r="AA186" s="103"/>
      <c r="AB186" s="106"/>
      <c r="AC186" s="100"/>
      <c r="AS186" s="96"/>
      <c r="AT186" s="106"/>
      <c r="AU186" s="104"/>
      <c r="AV186" s="101"/>
      <c r="AW186" s="96"/>
      <c r="AX186" s="92"/>
      <c r="AY186" s="96"/>
      <c r="AZ186" s="103"/>
      <c r="BA186" s="101"/>
      <c r="BB186" s="105"/>
      <c r="BC186" s="92"/>
      <c r="BF186" s="96"/>
      <c r="BG186" s="96"/>
      <c r="BZ186" s="96"/>
      <c r="CA186" s="96"/>
      <c r="CB186" s="105"/>
      <c r="CC186" s="101"/>
      <c r="CD186" s="92"/>
      <c r="CE186" s="96"/>
      <c r="CF186" s="103"/>
      <c r="CG186" s="101"/>
      <c r="CH186" s="105"/>
      <c r="CI186" s="96"/>
      <c r="CJ186" s="96"/>
      <c r="CK186" s="101"/>
      <c r="CL186" s="104"/>
      <c r="CM186" s="106"/>
      <c r="CN186" s="100"/>
    </row>
    <row r="187" spans="11:94" ht="19.2" customHeight="1" x14ac:dyDescent="0.3">
      <c r="L187" s="100"/>
      <c r="M187" s="106"/>
      <c r="N187" s="104"/>
      <c r="O187" s="96"/>
      <c r="P187" s="105"/>
      <c r="Q187" s="101"/>
      <c r="R187" s="96"/>
      <c r="S187" s="96"/>
      <c r="T187" s="103"/>
      <c r="U187" s="101"/>
      <c r="V187" s="105"/>
      <c r="W187" s="96"/>
      <c r="Z187" s="96"/>
      <c r="AA187" s="104"/>
      <c r="AB187" s="106"/>
      <c r="AC187" s="100"/>
      <c r="AS187" s="96"/>
      <c r="AT187" s="106"/>
      <c r="AU187" s="106"/>
      <c r="AV187" s="96"/>
      <c r="AW187" s="103"/>
      <c r="AX187" s="96"/>
      <c r="AY187" s="103"/>
      <c r="AZ187" s="105"/>
      <c r="BA187" s="105"/>
      <c r="BB187" s="105"/>
      <c r="BC187" s="101"/>
      <c r="BD187" s="96"/>
      <c r="BZ187" s="101"/>
      <c r="CA187" s="102"/>
      <c r="CB187" s="97"/>
      <c r="CC187" s="92"/>
      <c r="CD187" s="96"/>
      <c r="CE187" s="103"/>
      <c r="CF187" s="105"/>
      <c r="CG187" s="105"/>
      <c r="CH187" s="105"/>
      <c r="CI187" s="101"/>
      <c r="CJ187" s="96"/>
      <c r="CK187" s="96"/>
      <c r="CL187" s="106"/>
      <c r="CM187" s="106"/>
      <c r="CN187" s="100"/>
    </row>
    <row r="188" spans="11:94" ht="19.2" customHeight="1" x14ac:dyDescent="0.3">
      <c r="M188" s="96"/>
      <c r="N188" s="96"/>
      <c r="O188" s="102"/>
      <c r="P188" s="97"/>
      <c r="Q188" s="103"/>
      <c r="R188" s="96"/>
      <c r="S188" s="103"/>
      <c r="T188" s="105"/>
      <c r="U188" s="105"/>
      <c r="V188" s="105"/>
      <c r="W188" s="101"/>
      <c r="X188" s="96"/>
      <c r="AA188" s="96"/>
      <c r="AB188" s="96"/>
      <c r="AT188" s="96"/>
      <c r="AU188" s="96"/>
      <c r="AV188" s="103"/>
      <c r="AW188" s="103"/>
      <c r="AX188" s="96"/>
      <c r="AY188" s="105"/>
      <c r="AZ188" s="105"/>
      <c r="BA188" s="105"/>
      <c r="BB188" s="101"/>
      <c r="BC188" s="92"/>
      <c r="BD188" s="96"/>
      <c r="BZ188" s="101"/>
      <c r="CA188" s="97"/>
      <c r="CB188" s="103"/>
      <c r="CC188" s="92"/>
      <c r="CD188" s="96"/>
      <c r="CE188" s="101"/>
      <c r="CF188" s="105"/>
      <c r="CG188" s="105"/>
      <c r="CH188" s="101"/>
      <c r="CI188" s="103"/>
      <c r="CJ188" s="96"/>
      <c r="CL188" s="96"/>
      <c r="CM188" s="100"/>
    </row>
    <row r="189" spans="11:94" ht="19.2" customHeight="1" x14ac:dyDescent="0.3">
      <c r="N189" s="96"/>
      <c r="O189" s="97"/>
      <c r="P189" s="103"/>
      <c r="Q189" s="103"/>
      <c r="R189" s="96"/>
      <c r="S189" s="105"/>
      <c r="T189" s="105"/>
      <c r="U189" s="105"/>
      <c r="V189" s="101"/>
      <c r="W189" s="103"/>
      <c r="X189" s="96"/>
      <c r="AT189" s="96"/>
      <c r="AU189" s="103"/>
      <c r="AV189" s="103"/>
      <c r="AW189" s="96"/>
      <c r="AX189" s="92"/>
      <c r="AY189" s="92"/>
      <c r="AZ189" s="92"/>
      <c r="BA189" s="92"/>
      <c r="BB189" s="92"/>
      <c r="BC189" s="92"/>
      <c r="BD189" s="92"/>
      <c r="BZ189" s="96"/>
      <c r="CA189" s="103"/>
      <c r="CB189" s="103"/>
      <c r="CC189" s="96"/>
      <c r="CD189" s="92"/>
      <c r="CE189" s="92"/>
      <c r="CF189" s="92"/>
      <c r="CG189" s="92"/>
      <c r="CH189" s="92"/>
      <c r="CI189" s="92"/>
      <c r="CJ189" s="92"/>
    </row>
    <row r="190" spans="11:94" ht="19.2" customHeight="1" x14ac:dyDescent="0.3">
      <c r="N190" s="96"/>
      <c r="O190" s="103"/>
      <c r="P190" s="103"/>
      <c r="Q190" s="96"/>
      <c r="R190" s="92"/>
      <c r="S190" s="92"/>
      <c r="T190" s="92"/>
      <c r="U190" s="92"/>
      <c r="V190" s="92"/>
      <c r="W190" s="92"/>
      <c r="X190" s="92"/>
      <c r="AU190" s="96"/>
      <c r="AV190" s="96"/>
      <c r="AW190" s="96"/>
      <c r="AX190" s="100"/>
      <c r="AY190" s="100"/>
      <c r="AZ190" s="96"/>
      <c r="BA190" s="92"/>
      <c r="BB190" s="92"/>
      <c r="BC190" s="92"/>
      <c r="BD190" s="92"/>
      <c r="CA190" s="96"/>
      <c r="CB190" s="96"/>
      <c r="CC190" s="92"/>
      <c r="CD190" s="92"/>
      <c r="CE190" s="92"/>
      <c r="CF190" s="92"/>
      <c r="CG190" s="96"/>
      <c r="CH190" s="100"/>
      <c r="CI190" s="100"/>
      <c r="CJ190" s="96"/>
    </row>
    <row r="191" spans="11:94" ht="19.2" customHeight="1" x14ac:dyDescent="0.3">
      <c r="O191" s="96"/>
      <c r="P191" s="96"/>
      <c r="Q191" s="96"/>
      <c r="R191" s="92"/>
      <c r="S191" s="92"/>
      <c r="T191" s="96"/>
      <c r="U191" s="96"/>
      <c r="V191" s="92"/>
      <c r="W191" s="92"/>
      <c r="X191" s="96"/>
      <c r="AX191" s="96"/>
      <c r="AY191" s="96"/>
      <c r="BB191" s="92"/>
      <c r="BC191" s="92"/>
      <c r="BD191" s="96"/>
      <c r="CC191" s="96"/>
      <c r="CD191" s="92"/>
      <c r="CE191" s="92"/>
      <c r="CH191" s="96"/>
      <c r="CI191" s="96"/>
    </row>
    <row r="192" spans="11:94" ht="19.2" customHeight="1" x14ac:dyDescent="0.3">
      <c r="P192" s="96"/>
      <c r="Q192" s="103"/>
      <c r="R192" s="103"/>
      <c r="S192" s="96"/>
      <c r="V192" s="96"/>
      <c r="W192" s="103"/>
      <c r="X192" s="103"/>
      <c r="Y192" s="96"/>
      <c r="BA192" s="96"/>
      <c r="BB192" s="103"/>
      <c r="BC192" s="103"/>
      <c r="BD192" s="96"/>
      <c r="CC192" s="96"/>
      <c r="CD192" s="103"/>
      <c r="CE192" s="103"/>
      <c r="CF192" s="96"/>
    </row>
    <row r="193" spans="12:95" ht="19.2" customHeight="1" x14ac:dyDescent="0.3">
      <c r="P193" s="96"/>
      <c r="Q193" s="94"/>
      <c r="R193" s="94"/>
      <c r="S193" s="96"/>
      <c r="V193" s="96"/>
      <c r="W193" s="94"/>
      <c r="X193" s="94"/>
      <c r="Y193" s="96"/>
      <c r="BA193" s="96"/>
      <c r="BB193" s="94"/>
      <c r="BC193" s="94"/>
      <c r="BD193" s="96"/>
      <c r="CC193" s="96"/>
      <c r="CD193" s="94"/>
      <c r="CE193" s="94"/>
      <c r="CF193" s="96"/>
    </row>
    <row r="194" spans="12:95" ht="19.2" customHeight="1" x14ac:dyDescent="0.3">
      <c r="Q194" s="96"/>
      <c r="R194" s="96"/>
      <c r="W194" s="96"/>
      <c r="X194" s="96"/>
      <c r="BB194" s="96"/>
      <c r="BC194" s="96"/>
      <c r="CD194" s="96"/>
      <c r="CE194" s="96"/>
    </row>
    <row r="200" spans="12:95" ht="19.2" customHeight="1" x14ac:dyDescent="0.3">
      <c r="AX200" s="103"/>
      <c r="AY200" s="103"/>
      <c r="AZ200" s="103"/>
      <c r="BA200" s="103"/>
      <c r="BB200" s="103"/>
      <c r="BC200" s="103"/>
      <c r="CD200" s="103"/>
      <c r="CE200" s="103"/>
      <c r="CF200" s="103"/>
      <c r="CG200" s="103"/>
      <c r="CH200" s="103"/>
      <c r="CI200" s="103"/>
    </row>
    <row r="201" spans="12:95" ht="19.2" customHeight="1" x14ac:dyDescent="0.3">
      <c r="R201" s="103"/>
      <c r="S201" s="103"/>
      <c r="T201" s="103"/>
      <c r="U201" s="103"/>
      <c r="V201" s="103"/>
      <c r="W201" s="103"/>
      <c r="AV201" s="103"/>
      <c r="AW201" s="103"/>
      <c r="AX201" s="99"/>
      <c r="AY201" s="98"/>
      <c r="AZ201" s="98"/>
      <c r="BA201" s="98"/>
      <c r="BB201" s="98"/>
      <c r="BC201" s="99"/>
      <c r="BD201" s="103"/>
      <c r="BE201" s="103"/>
      <c r="CB201" s="103"/>
      <c r="CC201" s="103"/>
      <c r="CD201" s="99"/>
      <c r="CE201" s="98"/>
      <c r="CF201" s="98"/>
      <c r="CG201" s="98"/>
      <c r="CH201" s="98"/>
      <c r="CI201" s="99"/>
      <c r="CJ201" s="103"/>
      <c r="CK201" s="103"/>
    </row>
    <row r="202" spans="12:95" ht="19.2" customHeight="1" x14ac:dyDescent="0.3">
      <c r="P202" s="103"/>
      <c r="Q202" s="103"/>
      <c r="R202" s="99"/>
      <c r="S202" s="98"/>
      <c r="T202" s="98"/>
      <c r="U202" s="98"/>
      <c r="V202" s="98"/>
      <c r="W202" s="99"/>
      <c r="X202" s="103"/>
      <c r="Y202" s="103"/>
      <c r="AU202" s="103"/>
      <c r="AV202" s="99"/>
      <c r="AW202" s="98"/>
      <c r="AX202" s="98"/>
      <c r="AY202" s="98"/>
      <c r="AZ202" s="95"/>
      <c r="BA202" s="95"/>
      <c r="BB202" s="98"/>
      <c r="BC202" s="98"/>
      <c r="BD202" s="98"/>
      <c r="BE202" s="99"/>
      <c r="BF202" s="103"/>
      <c r="CA202" s="103"/>
      <c r="CB202" s="99"/>
      <c r="CC202" s="98"/>
      <c r="CD202" s="98"/>
      <c r="CE202" s="98"/>
      <c r="CF202" s="95"/>
      <c r="CG202" s="95"/>
      <c r="CH202" s="98"/>
      <c r="CI202" s="98"/>
      <c r="CJ202" s="98"/>
      <c r="CK202" s="99"/>
      <c r="CL202" s="103"/>
    </row>
    <row r="203" spans="12:95" ht="19.2" customHeight="1" x14ac:dyDescent="0.3">
      <c r="O203" s="103"/>
      <c r="P203" s="99"/>
      <c r="Q203" s="98"/>
      <c r="R203" s="98"/>
      <c r="S203" s="98"/>
      <c r="T203" s="95"/>
      <c r="U203" s="95"/>
      <c r="V203" s="98"/>
      <c r="W203" s="98"/>
      <c r="X203" s="98"/>
      <c r="Y203" s="99"/>
      <c r="Z203" s="103"/>
      <c r="AT203" s="96"/>
      <c r="AU203" s="99"/>
      <c r="AV203" s="98"/>
      <c r="AW203" s="93"/>
      <c r="AX203" s="93"/>
      <c r="AY203" s="93"/>
      <c r="AZ203" s="103"/>
      <c r="BA203" s="103"/>
      <c r="BB203" s="93"/>
      <c r="BC203" s="93"/>
      <c r="BD203" s="93"/>
      <c r="BE203" s="98"/>
      <c r="BF203" s="99"/>
      <c r="BG203" s="96"/>
      <c r="BZ203" s="96"/>
      <c r="CA203" s="99"/>
      <c r="CB203" s="98"/>
      <c r="CC203" s="93"/>
      <c r="CD203" s="93"/>
      <c r="CE203" s="93"/>
      <c r="CF203" s="103"/>
      <c r="CG203" s="103"/>
      <c r="CH203" s="93"/>
      <c r="CI203" s="93"/>
      <c r="CJ203" s="93"/>
      <c r="CK203" s="98"/>
      <c r="CL203" s="99"/>
      <c r="CM203" s="96"/>
    </row>
    <row r="204" spans="12:95" ht="19.2" customHeight="1" x14ac:dyDescent="0.3">
      <c r="N204" s="96"/>
      <c r="O204" s="99"/>
      <c r="P204" s="98"/>
      <c r="Q204" s="93"/>
      <c r="R204" s="93"/>
      <c r="S204" s="93"/>
      <c r="T204" s="103"/>
      <c r="U204" s="103"/>
      <c r="V204" s="93"/>
      <c r="W204" s="93"/>
      <c r="X204" s="93"/>
      <c r="Y204" s="98"/>
      <c r="Z204" s="99"/>
      <c r="AA204" s="96"/>
      <c r="AT204" s="96"/>
      <c r="AU204" s="94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4"/>
      <c r="BG204" s="96"/>
      <c r="BZ204" s="96"/>
      <c r="CA204" s="94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4"/>
      <c r="CM204" s="96"/>
    </row>
    <row r="205" spans="12:95" ht="19.2" customHeight="1" x14ac:dyDescent="0.3">
      <c r="N205" s="96"/>
      <c r="O205" s="94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4"/>
      <c r="AA205" s="96"/>
      <c r="AS205" s="96"/>
      <c r="AT205" s="99"/>
      <c r="AU205" s="94"/>
      <c r="AV205" s="93"/>
      <c r="AW205" s="93"/>
      <c r="AX205" s="93"/>
      <c r="AY205" s="103"/>
      <c r="AZ205" s="95"/>
      <c r="BA205" s="95"/>
      <c r="BB205" s="103"/>
      <c r="BC205" s="93"/>
      <c r="BD205" s="93"/>
      <c r="BE205" s="93"/>
      <c r="BF205" s="94"/>
      <c r="BG205" s="99"/>
      <c r="BH205" s="96"/>
      <c r="BY205" s="96"/>
      <c r="BZ205" s="99"/>
      <c r="CA205" s="94"/>
      <c r="CB205" s="93"/>
      <c r="CC205" s="93"/>
      <c r="CD205" s="93"/>
      <c r="CE205" s="103"/>
      <c r="CF205" s="95"/>
      <c r="CG205" s="95"/>
      <c r="CH205" s="103"/>
      <c r="CI205" s="93"/>
      <c r="CJ205" s="93"/>
      <c r="CK205" s="93"/>
      <c r="CL205" s="94"/>
      <c r="CM205" s="99"/>
      <c r="CN205" s="96"/>
    </row>
    <row r="206" spans="12:95" ht="19.2" customHeight="1" x14ac:dyDescent="0.3">
      <c r="M206" s="96"/>
      <c r="N206" s="99"/>
      <c r="O206" s="94"/>
      <c r="P206" s="93"/>
      <c r="Q206" s="93"/>
      <c r="R206" s="93"/>
      <c r="S206" s="103"/>
      <c r="T206" s="95"/>
      <c r="U206" s="95"/>
      <c r="V206" s="103"/>
      <c r="W206" s="93"/>
      <c r="X206" s="93"/>
      <c r="Y206" s="93"/>
      <c r="Z206" s="94"/>
      <c r="AA206" s="99"/>
      <c r="AB206" s="96"/>
      <c r="AS206" s="96"/>
      <c r="AT206" s="94"/>
      <c r="AU206" s="94"/>
      <c r="AV206" s="94"/>
      <c r="AW206" s="93"/>
      <c r="AX206" s="92"/>
      <c r="AY206" s="92"/>
      <c r="AZ206" s="94"/>
      <c r="BA206" s="94"/>
      <c r="BB206" s="92"/>
      <c r="BC206" s="92"/>
      <c r="BD206" s="93"/>
      <c r="BE206" s="94"/>
      <c r="BF206" s="94"/>
      <c r="BG206" s="94"/>
      <c r="BH206" s="96"/>
      <c r="BY206" s="96"/>
      <c r="BZ206" s="94"/>
      <c r="CA206" s="94"/>
      <c r="CB206" s="94"/>
      <c r="CC206" s="93"/>
      <c r="CD206" s="92"/>
      <c r="CE206" s="92"/>
      <c r="CF206" s="94"/>
      <c r="CG206" s="94"/>
      <c r="CH206" s="92"/>
      <c r="CI206" s="92"/>
      <c r="CJ206" s="93"/>
      <c r="CK206" s="94"/>
      <c r="CL206" s="94"/>
      <c r="CM206" s="94"/>
      <c r="CN206" s="96"/>
    </row>
    <row r="207" spans="12:95" ht="19.2" customHeight="1" x14ac:dyDescent="0.3">
      <c r="M207" s="96"/>
      <c r="N207" s="94"/>
      <c r="O207" s="94"/>
      <c r="P207" s="94"/>
      <c r="Q207" s="93"/>
      <c r="R207" s="92"/>
      <c r="S207" s="92"/>
      <c r="T207" s="94"/>
      <c r="U207" s="94"/>
      <c r="V207" s="92"/>
      <c r="W207" s="92"/>
      <c r="X207" s="93"/>
      <c r="Y207" s="94"/>
      <c r="Z207" s="94"/>
      <c r="AA207" s="94"/>
      <c r="AB207" s="96"/>
      <c r="AR207" s="92"/>
      <c r="AS207" s="103"/>
      <c r="AT207" s="94"/>
      <c r="AU207" s="94"/>
      <c r="AV207" s="94"/>
      <c r="AW207" s="94"/>
      <c r="AX207" s="92"/>
      <c r="AY207" s="94"/>
      <c r="AZ207" s="103"/>
      <c r="BA207" s="92"/>
      <c r="BB207" s="94"/>
      <c r="BC207" s="92"/>
      <c r="BD207" s="94"/>
      <c r="BE207" s="94"/>
      <c r="BF207" s="94"/>
      <c r="BG207" s="94"/>
      <c r="BH207" s="92"/>
      <c r="BI207" s="92"/>
      <c r="BX207" s="92"/>
      <c r="BY207" s="103"/>
      <c r="BZ207" s="94"/>
      <c r="CA207" s="94"/>
      <c r="CB207" s="94"/>
      <c r="CC207" s="94"/>
      <c r="CD207" s="92"/>
      <c r="CE207" s="94"/>
      <c r="CF207" s="103"/>
      <c r="CG207" s="92"/>
      <c r="CH207" s="94"/>
      <c r="CI207" s="92"/>
      <c r="CJ207" s="94"/>
      <c r="CK207" s="94"/>
      <c r="CL207" s="94"/>
      <c r="CM207" s="94"/>
      <c r="CN207" s="92"/>
      <c r="CO207" s="92"/>
    </row>
    <row r="208" spans="12:95" ht="19.2" customHeight="1" x14ac:dyDescent="0.3">
      <c r="L208" s="92"/>
      <c r="M208" s="103"/>
      <c r="N208" s="94"/>
      <c r="O208" s="94"/>
      <c r="P208" s="94"/>
      <c r="Q208" s="94"/>
      <c r="R208" s="92"/>
      <c r="S208" s="94"/>
      <c r="T208" s="103"/>
      <c r="U208" s="92"/>
      <c r="V208" s="94"/>
      <c r="W208" s="92"/>
      <c r="X208" s="94"/>
      <c r="Y208" s="94"/>
      <c r="Z208" s="94"/>
      <c r="AA208" s="94"/>
      <c r="AB208" s="92"/>
      <c r="AC208" s="92"/>
      <c r="AP208" s="96"/>
      <c r="AQ208" s="92"/>
      <c r="AR208" s="94"/>
      <c r="AS208" s="100"/>
      <c r="AT208" s="96"/>
      <c r="AU208" s="100"/>
      <c r="AV208" s="94"/>
      <c r="AW208" s="94"/>
      <c r="AX208" s="94"/>
      <c r="AY208" s="92"/>
      <c r="AZ208" s="94"/>
      <c r="BA208" s="94"/>
      <c r="BB208" s="92"/>
      <c r="BC208" s="94"/>
      <c r="BD208" s="94"/>
      <c r="BE208" s="94"/>
      <c r="BF208" s="100"/>
      <c r="BG208" s="96"/>
      <c r="BH208" s="100"/>
      <c r="BI208" s="94"/>
      <c r="BJ208" s="92"/>
      <c r="BK208" s="96"/>
      <c r="BV208" s="96"/>
      <c r="BW208" s="92"/>
      <c r="BX208" s="94"/>
      <c r="BY208" s="100"/>
      <c r="BZ208" s="96"/>
      <c r="CA208" s="100"/>
      <c r="CB208" s="94"/>
      <c r="CC208" s="94"/>
      <c r="CD208" s="94"/>
      <c r="CE208" s="92"/>
      <c r="CF208" s="94"/>
      <c r="CG208" s="94"/>
      <c r="CH208" s="92"/>
      <c r="CI208" s="94"/>
      <c r="CJ208" s="94"/>
      <c r="CK208" s="94"/>
      <c r="CL208" s="100"/>
      <c r="CM208" s="96"/>
      <c r="CN208" s="100"/>
      <c r="CO208" s="94"/>
      <c r="CP208" s="92"/>
      <c r="CQ208" s="96"/>
    </row>
    <row r="209" spans="10:94" ht="19.2" customHeight="1" x14ac:dyDescent="0.3">
      <c r="J209" s="96"/>
      <c r="K209" s="92"/>
      <c r="L209" s="94"/>
      <c r="M209" s="100"/>
      <c r="N209" s="96"/>
      <c r="O209" s="100"/>
      <c r="P209" s="94"/>
      <c r="Q209" s="94"/>
      <c r="R209" s="94"/>
      <c r="S209" s="92"/>
      <c r="T209" s="94"/>
      <c r="U209" s="94"/>
      <c r="V209" s="92"/>
      <c r="W209" s="94"/>
      <c r="X209" s="94"/>
      <c r="Y209" s="94"/>
      <c r="Z209" s="100"/>
      <c r="AA209" s="96"/>
      <c r="AB209" s="100"/>
      <c r="AC209" s="94"/>
      <c r="AD209" s="92"/>
      <c r="AE209" s="96"/>
      <c r="AQ209" s="96"/>
      <c r="AR209" s="100"/>
      <c r="AS209" s="100"/>
      <c r="AT209" s="100"/>
      <c r="AU209" s="96"/>
      <c r="AV209" s="103"/>
      <c r="AW209" s="103"/>
      <c r="AX209" s="95"/>
      <c r="AY209" s="95"/>
      <c r="AZ209" s="95"/>
      <c r="BA209" s="95"/>
      <c r="BB209" s="95"/>
      <c r="BC209" s="95"/>
      <c r="BD209" s="103"/>
      <c r="BE209" s="103"/>
      <c r="BF209" s="96"/>
      <c r="BG209" s="100"/>
      <c r="BH209" s="100"/>
      <c r="BI209" s="100"/>
      <c r="BJ209" s="96"/>
      <c r="BW209" s="96"/>
      <c r="BX209" s="100"/>
      <c r="BY209" s="100"/>
      <c r="BZ209" s="100"/>
      <c r="CA209" s="96"/>
      <c r="CB209" s="103"/>
      <c r="CC209" s="103"/>
      <c r="CD209" s="95"/>
      <c r="CE209" s="95"/>
      <c r="CF209" s="95"/>
      <c r="CG209" s="95"/>
      <c r="CH209" s="95"/>
      <c r="CI209" s="95"/>
      <c r="CJ209" s="103"/>
      <c r="CK209" s="103"/>
      <c r="CL209" s="96"/>
      <c r="CM209" s="100"/>
      <c r="CN209" s="100"/>
      <c r="CO209" s="100"/>
      <c r="CP209" s="96"/>
    </row>
    <row r="210" spans="10:94" ht="19.2" customHeight="1" x14ac:dyDescent="0.3">
      <c r="K210" s="96"/>
      <c r="L210" s="100"/>
      <c r="M210" s="100"/>
      <c r="N210" s="100"/>
      <c r="O210" s="96"/>
      <c r="P210" s="103"/>
      <c r="Q210" s="103"/>
      <c r="R210" s="95"/>
      <c r="S210" s="95"/>
      <c r="T210" s="95"/>
      <c r="U210" s="95"/>
      <c r="V210" s="95"/>
      <c r="W210" s="95"/>
      <c r="X210" s="103"/>
      <c r="Y210" s="103"/>
      <c r="Z210" s="96"/>
      <c r="AA210" s="100"/>
      <c r="AB210" s="100"/>
      <c r="AC210" s="100"/>
      <c r="AD210" s="96"/>
      <c r="AR210" s="96"/>
      <c r="AS210" s="100"/>
      <c r="AT210" s="100"/>
      <c r="AU210" s="100"/>
      <c r="AV210" s="92"/>
      <c r="AW210" s="92"/>
      <c r="AX210" s="103"/>
      <c r="AY210" s="95"/>
      <c r="AZ210" s="95"/>
      <c r="BA210" s="95"/>
      <c r="BB210" s="95"/>
      <c r="BC210" s="103"/>
      <c r="BD210" s="92"/>
      <c r="BE210" s="92"/>
      <c r="BF210" s="100"/>
      <c r="BG210" s="100"/>
      <c r="BH210" s="100"/>
      <c r="BI210" s="96"/>
      <c r="BX210" s="96"/>
      <c r="BY210" s="100"/>
      <c r="BZ210" s="100"/>
      <c r="CA210" s="100"/>
      <c r="CB210" s="92"/>
      <c r="CC210" s="92"/>
      <c r="CD210" s="103"/>
      <c r="CE210" s="95"/>
      <c r="CF210" s="95"/>
      <c r="CG210" s="95"/>
      <c r="CH210" s="95"/>
      <c r="CI210" s="103"/>
      <c r="CJ210" s="92"/>
      <c r="CK210" s="92"/>
      <c r="CL210" s="100"/>
      <c r="CM210" s="100"/>
      <c r="CN210" s="100"/>
      <c r="CO210" s="96"/>
    </row>
    <row r="211" spans="10:94" ht="19.2" customHeight="1" x14ac:dyDescent="0.3">
      <c r="L211" s="96"/>
      <c r="M211" s="100"/>
      <c r="N211" s="100"/>
      <c r="O211" s="100"/>
      <c r="P211" s="92"/>
      <c r="Q211" s="92"/>
      <c r="R211" s="103"/>
      <c r="S211" s="95"/>
      <c r="T211" s="95"/>
      <c r="U211" s="95"/>
      <c r="V211" s="95"/>
      <c r="W211" s="103"/>
      <c r="X211" s="92"/>
      <c r="Y211" s="92"/>
      <c r="Z211" s="100"/>
      <c r="AA211" s="100"/>
      <c r="AB211" s="100"/>
      <c r="AC211" s="96"/>
      <c r="AS211" s="96"/>
      <c r="AT211" s="92"/>
      <c r="AU211" s="92"/>
      <c r="AV211" s="104"/>
      <c r="AW211" s="98"/>
      <c r="AX211" s="92"/>
      <c r="AY211" s="92"/>
      <c r="AZ211" s="92"/>
      <c r="BA211" s="92"/>
      <c r="BB211" s="92"/>
      <c r="BC211" s="92"/>
      <c r="BD211" s="98"/>
      <c r="BE211" s="104"/>
      <c r="BF211" s="92"/>
      <c r="BG211" s="92"/>
      <c r="BH211" s="96"/>
      <c r="BY211" s="96"/>
      <c r="BZ211" s="92"/>
      <c r="CA211" s="92"/>
      <c r="CB211" s="104"/>
      <c r="CC211" s="98"/>
      <c r="CD211" s="92"/>
      <c r="CE211" s="92"/>
      <c r="CF211" s="92"/>
      <c r="CG211" s="92"/>
      <c r="CH211" s="92"/>
      <c r="CI211" s="92"/>
      <c r="CJ211" s="98"/>
      <c r="CK211" s="104"/>
      <c r="CL211" s="92"/>
      <c r="CM211" s="92"/>
      <c r="CN211" s="96"/>
    </row>
    <row r="212" spans="10:94" ht="19.2" customHeight="1" x14ac:dyDescent="0.3">
      <c r="M212" s="96"/>
      <c r="N212" s="92"/>
      <c r="O212" s="92"/>
      <c r="P212" s="104"/>
      <c r="Q212" s="98"/>
      <c r="R212" s="92"/>
      <c r="S212" s="92"/>
      <c r="T212" s="92"/>
      <c r="U212" s="92"/>
      <c r="V212" s="92"/>
      <c r="W212" s="92"/>
      <c r="X212" s="98"/>
      <c r="Y212" s="104"/>
      <c r="Z212" s="92"/>
      <c r="AA212" s="92"/>
      <c r="AB212" s="96"/>
      <c r="AR212" s="96"/>
      <c r="AS212" s="92"/>
      <c r="AT212" s="100"/>
      <c r="AU212" s="100"/>
      <c r="AV212" s="106"/>
      <c r="AW212" s="98"/>
      <c r="AX212" s="96"/>
      <c r="AY212" s="106"/>
      <c r="AZ212" s="106"/>
      <c r="BA212" s="106"/>
      <c r="BB212" s="106"/>
      <c r="BC212" s="96"/>
      <c r="BD212" s="98"/>
      <c r="BE212" s="106"/>
      <c r="BF212" s="100"/>
      <c r="BG212" s="100"/>
      <c r="BH212" s="92"/>
      <c r="BI212" s="96"/>
      <c r="BX212" s="96"/>
      <c r="BY212" s="92"/>
      <c r="BZ212" s="100"/>
      <c r="CA212" s="100"/>
      <c r="CB212" s="106"/>
      <c r="CC212" s="98"/>
      <c r="CD212" s="96"/>
      <c r="CE212" s="106"/>
      <c r="CF212" s="106"/>
      <c r="CG212" s="106"/>
      <c r="CH212" s="106"/>
      <c r="CI212" s="96"/>
      <c r="CJ212" s="98"/>
      <c r="CK212" s="106"/>
      <c r="CL212" s="100"/>
      <c r="CM212" s="100"/>
      <c r="CN212" s="92"/>
      <c r="CO212" s="96"/>
    </row>
    <row r="213" spans="10:94" ht="19.2" customHeight="1" x14ac:dyDescent="0.3">
      <c r="L213" s="96"/>
      <c r="M213" s="92"/>
      <c r="N213" s="100"/>
      <c r="O213" s="100"/>
      <c r="P213" s="106"/>
      <c r="Q213" s="98"/>
      <c r="R213" s="96"/>
      <c r="S213" s="106"/>
      <c r="T213" s="106"/>
      <c r="U213" s="106"/>
      <c r="V213" s="106"/>
      <c r="W213" s="96"/>
      <c r="X213" s="98"/>
      <c r="Y213" s="106"/>
      <c r="Z213" s="100"/>
      <c r="AA213" s="100"/>
      <c r="AB213" s="92"/>
      <c r="AC213" s="96"/>
      <c r="AS213" s="96"/>
      <c r="AT213" s="96"/>
      <c r="AU213" s="100"/>
      <c r="AV213" s="92"/>
      <c r="AW213" s="106"/>
      <c r="AX213" s="106"/>
      <c r="AY213" s="106"/>
      <c r="AZ213" s="106"/>
      <c r="BA213" s="106"/>
      <c r="BB213" s="106"/>
      <c r="BC213" s="106"/>
      <c r="BD213" s="106"/>
      <c r="BE213" s="92"/>
      <c r="BF213" s="100"/>
      <c r="BG213" s="96"/>
      <c r="BH213" s="96"/>
      <c r="BY213" s="96"/>
      <c r="BZ213" s="96"/>
      <c r="CA213" s="100"/>
      <c r="CB213" s="92"/>
      <c r="CC213" s="106"/>
      <c r="CD213" s="106"/>
      <c r="CE213" s="106"/>
      <c r="CF213" s="106"/>
      <c r="CG213" s="106"/>
      <c r="CH213" s="106"/>
      <c r="CI213" s="106"/>
      <c r="CJ213" s="106"/>
      <c r="CK213" s="92"/>
      <c r="CL213" s="100"/>
      <c r="CM213" s="96"/>
      <c r="CN213" s="96"/>
    </row>
    <row r="214" spans="10:94" ht="19.2" customHeight="1" x14ac:dyDescent="0.3">
      <c r="M214" s="96"/>
      <c r="N214" s="96"/>
      <c r="O214" s="100"/>
      <c r="P214" s="92"/>
      <c r="Q214" s="106"/>
      <c r="R214" s="106"/>
      <c r="S214" s="106"/>
      <c r="T214" s="106"/>
      <c r="U214" s="106"/>
      <c r="V214" s="106"/>
      <c r="W214" s="106"/>
      <c r="X214" s="106"/>
      <c r="Y214" s="92"/>
      <c r="Z214" s="100"/>
      <c r="AA214" s="96"/>
      <c r="AB214" s="96"/>
      <c r="AT214" s="96"/>
      <c r="AU214" s="96"/>
      <c r="AV214" s="96"/>
      <c r="AW214" s="100"/>
      <c r="AX214" s="104"/>
      <c r="AY214" s="106"/>
      <c r="AZ214" s="104"/>
      <c r="BA214" s="104"/>
      <c r="BB214" s="106"/>
      <c r="BC214" s="104"/>
      <c r="BD214" s="100"/>
      <c r="BE214" s="96"/>
      <c r="BF214" s="96"/>
      <c r="CA214" s="96"/>
      <c r="CB214" s="96"/>
      <c r="CC214" s="100"/>
      <c r="CD214" s="104"/>
      <c r="CE214" s="106"/>
      <c r="CF214" s="104"/>
      <c r="CG214" s="104"/>
      <c r="CH214" s="106"/>
      <c r="CI214" s="104"/>
      <c r="CJ214" s="100"/>
      <c r="CK214" s="101"/>
      <c r="CL214" s="96"/>
      <c r="CM214" s="96"/>
    </row>
    <row r="215" spans="10:94" ht="19.2" customHeight="1" x14ac:dyDescent="0.3">
      <c r="O215" s="96"/>
      <c r="P215" s="96"/>
      <c r="Q215" s="100"/>
      <c r="R215" s="104"/>
      <c r="S215" s="106"/>
      <c r="T215" s="104"/>
      <c r="U215" s="104"/>
      <c r="V215" s="106"/>
      <c r="W215" s="104"/>
      <c r="X215" s="100"/>
      <c r="Y215" s="96"/>
      <c r="Z215" s="96"/>
      <c r="AS215" s="96"/>
      <c r="AT215" s="104"/>
      <c r="AU215" s="104"/>
      <c r="AV215" s="103"/>
      <c r="AW215" s="105"/>
      <c r="AX215" s="96"/>
      <c r="AY215" s="96"/>
      <c r="AZ215" s="100"/>
      <c r="BA215" s="100"/>
      <c r="BB215" s="96"/>
      <c r="BC215" s="96"/>
      <c r="BD215" s="105"/>
      <c r="BE215" s="96"/>
      <c r="CB215" s="96"/>
      <c r="CC215" s="105"/>
      <c r="CD215" s="96"/>
      <c r="CE215" s="96"/>
      <c r="CF215" s="100"/>
      <c r="CG215" s="100"/>
      <c r="CH215" s="96"/>
      <c r="CI215" s="96"/>
      <c r="CJ215" s="103"/>
      <c r="CK215" s="101"/>
      <c r="CL215" s="103"/>
      <c r="CM215" s="104"/>
      <c r="CN215" s="96"/>
    </row>
    <row r="216" spans="10:94" ht="19.2" customHeight="1" x14ac:dyDescent="0.3">
      <c r="P216" s="96"/>
      <c r="Q216" s="105"/>
      <c r="R216" s="96"/>
      <c r="S216" s="96"/>
      <c r="T216" s="100"/>
      <c r="U216" s="100"/>
      <c r="V216" s="96"/>
      <c r="W216" s="96"/>
      <c r="X216" s="105"/>
      <c r="Y216" s="96"/>
      <c r="AS216" s="96"/>
      <c r="AT216" s="104"/>
      <c r="AU216" s="104"/>
      <c r="AV216" s="96"/>
      <c r="AW216" s="101"/>
      <c r="AX216" s="96"/>
      <c r="AY216" s="92"/>
      <c r="AZ216" s="92"/>
      <c r="BA216" s="99"/>
      <c r="BB216" s="101"/>
      <c r="BC216" s="92"/>
      <c r="BD216" s="105"/>
      <c r="BE216" s="100"/>
      <c r="BF216" s="100"/>
      <c r="CA216" s="100"/>
      <c r="CB216" s="100"/>
      <c r="CC216" s="105"/>
      <c r="CD216" s="92"/>
      <c r="CE216" s="92"/>
      <c r="CF216" s="92"/>
      <c r="CG216" s="99"/>
      <c r="CH216" s="101"/>
      <c r="CI216" s="101"/>
      <c r="CJ216" s="96"/>
      <c r="CK216" s="96"/>
      <c r="CL216" s="104"/>
      <c r="CM216" s="104"/>
      <c r="CN216" s="96"/>
    </row>
    <row r="217" spans="10:94" ht="19.2" customHeight="1" x14ac:dyDescent="0.3">
      <c r="M217" s="100"/>
      <c r="N217" s="96"/>
      <c r="O217" s="103"/>
      <c r="P217" s="105"/>
      <c r="Q217" s="96"/>
      <c r="R217" s="101"/>
      <c r="S217" s="92"/>
      <c r="T217" s="92"/>
      <c r="U217" s="97"/>
      <c r="V217" s="101"/>
      <c r="W217" s="101"/>
      <c r="X217" s="96"/>
      <c r="Y217" s="105"/>
      <c r="Z217" s="103"/>
      <c r="AA217" s="96"/>
      <c r="AB217" s="100"/>
      <c r="AT217" s="96"/>
      <c r="AU217" s="96"/>
      <c r="AX217" s="92"/>
      <c r="AY217" s="101"/>
      <c r="AZ217" s="92"/>
      <c r="BA217" s="92"/>
      <c r="BB217" s="101"/>
      <c r="BC217" s="103"/>
      <c r="BD217" s="103"/>
      <c r="BE217" s="106"/>
      <c r="BF217" s="106"/>
      <c r="BG217" s="100"/>
      <c r="BZ217" s="100"/>
      <c r="CA217" s="106"/>
      <c r="CB217" s="106"/>
      <c r="CC217" s="103"/>
      <c r="CD217" s="92"/>
      <c r="CE217" s="101"/>
      <c r="CF217" s="92"/>
      <c r="CG217" s="92"/>
      <c r="CH217" s="101"/>
      <c r="CI217" s="92"/>
      <c r="CJ217" s="105"/>
      <c r="CK217" s="96"/>
      <c r="CL217" s="96"/>
      <c r="CM217" s="96"/>
    </row>
    <row r="218" spans="10:94" ht="19.2" customHeight="1" x14ac:dyDescent="0.3">
      <c r="L218" s="100"/>
      <c r="M218" s="106"/>
      <c r="N218" s="103"/>
      <c r="O218" s="103"/>
      <c r="P218" s="96"/>
      <c r="R218" s="92"/>
      <c r="S218" s="101"/>
      <c r="T218" s="92"/>
      <c r="U218" s="92"/>
      <c r="V218" s="101"/>
      <c r="W218" s="92"/>
      <c r="X218" s="105"/>
      <c r="Y218" s="96"/>
      <c r="Z218" s="103"/>
      <c r="AA218" s="103"/>
      <c r="AB218" s="106"/>
      <c r="AC218" s="100"/>
      <c r="AX218" s="92"/>
      <c r="AY218" s="105"/>
      <c r="AZ218" s="97"/>
      <c r="BA218" s="97"/>
      <c r="BB218" s="92"/>
      <c r="BC218" s="92"/>
      <c r="BD218" s="96"/>
      <c r="BE218" s="106"/>
      <c r="BF218" s="106"/>
      <c r="BG218" s="100"/>
      <c r="BZ218" s="100"/>
      <c r="CA218" s="106"/>
      <c r="CB218" s="106"/>
      <c r="CC218" s="96"/>
      <c r="CD218" s="92"/>
      <c r="CE218" s="105"/>
      <c r="CF218" s="97"/>
      <c r="CG218" s="97"/>
      <c r="CH218" s="92"/>
      <c r="CI218" s="92"/>
      <c r="CJ218" s="101"/>
      <c r="CK218" s="101"/>
      <c r="CL218" s="96"/>
    </row>
    <row r="219" spans="10:94" ht="19.2" customHeight="1" x14ac:dyDescent="0.3">
      <c r="L219" s="100"/>
      <c r="M219" s="106"/>
      <c r="N219" s="104"/>
      <c r="O219" s="96"/>
      <c r="R219" s="92"/>
      <c r="S219" s="105"/>
      <c r="T219" s="97"/>
      <c r="U219" s="97"/>
      <c r="V219" s="92"/>
      <c r="W219" s="92"/>
      <c r="X219" s="105"/>
      <c r="Y219" s="105"/>
      <c r="Z219" s="96"/>
      <c r="AA219" s="104"/>
      <c r="AB219" s="106"/>
      <c r="AC219" s="100"/>
      <c r="AW219" s="92"/>
      <c r="AX219" s="105"/>
      <c r="AY219" s="97"/>
      <c r="AZ219" s="92"/>
      <c r="BA219" s="92"/>
      <c r="BB219" s="97"/>
      <c r="BC219" s="105"/>
      <c r="BD219" s="92"/>
      <c r="BE219" s="96"/>
      <c r="BF219" s="96"/>
      <c r="CA219" s="96"/>
      <c r="CB219" s="96"/>
      <c r="CC219" s="92"/>
      <c r="CD219" s="105"/>
      <c r="CE219" s="97"/>
      <c r="CF219" s="92"/>
      <c r="CG219" s="92"/>
      <c r="CH219" s="97"/>
      <c r="CI219" s="101"/>
      <c r="CJ219" s="92"/>
      <c r="CK219" s="105"/>
      <c r="CL219" s="102"/>
      <c r="CM219" s="101"/>
    </row>
    <row r="220" spans="10:94" ht="19.2" customHeight="1" x14ac:dyDescent="0.3">
      <c r="M220" s="96"/>
      <c r="N220" s="96"/>
      <c r="Q220" s="92"/>
      <c r="R220" s="101"/>
      <c r="S220" s="97"/>
      <c r="T220" s="92"/>
      <c r="U220" s="92"/>
      <c r="V220" s="97"/>
      <c r="W220" s="101"/>
      <c r="X220" s="96"/>
      <c r="Y220" s="105"/>
      <c r="Z220" s="102"/>
      <c r="AA220" s="96"/>
      <c r="AB220" s="96"/>
      <c r="AW220" s="96"/>
      <c r="AX220" s="92"/>
      <c r="AY220" s="95"/>
      <c r="AZ220" s="95"/>
      <c r="BA220" s="95"/>
      <c r="BB220" s="95"/>
      <c r="BC220" s="92"/>
      <c r="BD220" s="92"/>
      <c r="BE220" s="97"/>
      <c r="BF220" s="102"/>
      <c r="BG220" s="96"/>
      <c r="CC220" s="92"/>
      <c r="CD220" s="92"/>
      <c r="CE220" s="95"/>
      <c r="CF220" s="95"/>
      <c r="CG220" s="95"/>
      <c r="CH220" s="95"/>
      <c r="CI220" s="92"/>
      <c r="CJ220" s="95"/>
      <c r="CK220" s="97"/>
      <c r="CL220" s="102"/>
      <c r="CM220" s="96"/>
    </row>
    <row r="221" spans="10:94" ht="19.2" customHeight="1" x14ac:dyDescent="0.3">
      <c r="Q221" s="96"/>
      <c r="R221" s="92"/>
      <c r="S221" s="95"/>
      <c r="T221" s="95"/>
      <c r="U221" s="95"/>
      <c r="V221" s="95"/>
      <c r="W221" s="92"/>
      <c r="X221" s="103"/>
      <c r="Y221" s="97"/>
      <c r="Z221" s="102"/>
      <c r="AA221" s="101"/>
      <c r="AW221" s="96"/>
      <c r="AX221" s="92"/>
      <c r="AY221" s="92"/>
      <c r="AZ221" s="92"/>
      <c r="BA221" s="92"/>
      <c r="BB221" s="92"/>
      <c r="BC221" s="96"/>
      <c r="BD221" s="96"/>
      <c r="BE221" s="103"/>
      <c r="BF221" s="97"/>
      <c r="BG221" s="96"/>
      <c r="CC221" s="96"/>
      <c r="CD221" s="96"/>
      <c r="CE221" s="92"/>
      <c r="CF221" s="92"/>
      <c r="CG221" s="92"/>
      <c r="CH221" s="92"/>
      <c r="CI221" s="92"/>
      <c r="CJ221" s="96"/>
      <c r="CK221" s="103"/>
      <c r="CL221" s="97"/>
      <c r="CM221" s="96"/>
    </row>
    <row r="222" spans="10:94" ht="19.2" customHeight="1" x14ac:dyDescent="0.3">
      <c r="Q222" s="96"/>
      <c r="R222" s="92"/>
      <c r="S222" s="92"/>
      <c r="T222" s="92"/>
      <c r="U222" s="92"/>
      <c r="V222" s="92"/>
      <c r="W222" s="92"/>
      <c r="X222" s="96"/>
      <c r="Y222" s="103"/>
      <c r="Z222" s="97"/>
      <c r="AA222" s="96"/>
      <c r="AX222" s="92"/>
      <c r="AY222" s="92"/>
      <c r="AZ222" s="96"/>
      <c r="BA222" s="96"/>
      <c r="BB222" s="100"/>
      <c r="BC222" s="100"/>
      <c r="BD222" s="96"/>
      <c r="BE222" s="96"/>
      <c r="BF222" s="96"/>
      <c r="CC222" s="96"/>
      <c r="CD222" s="100"/>
      <c r="CE222" s="100"/>
      <c r="CF222" s="96"/>
      <c r="CG222" s="96"/>
      <c r="CH222" s="92"/>
      <c r="CI222" s="92"/>
      <c r="CJ222" s="96"/>
      <c r="CK222" s="96"/>
      <c r="CL222" s="96"/>
    </row>
    <row r="223" spans="10:94" ht="19.2" customHeight="1" x14ac:dyDescent="0.3">
      <c r="Q223" s="96"/>
      <c r="R223" s="92"/>
      <c r="S223" s="92"/>
      <c r="T223" s="96"/>
      <c r="U223" s="96"/>
      <c r="V223" s="92"/>
      <c r="W223" s="92"/>
      <c r="X223" s="96"/>
      <c r="Y223" s="96"/>
      <c r="Z223" s="96"/>
      <c r="AX223" s="96"/>
      <c r="AY223" s="92"/>
      <c r="AZ223" s="92"/>
      <c r="BB223" s="96"/>
      <c r="BC223" s="96"/>
      <c r="CD223" s="96"/>
      <c r="CE223" s="96"/>
      <c r="CG223" s="92"/>
      <c r="CH223" s="92"/>
      <c r="CI223" s="96"/>
    </row>
    <row r="224" spans="10:94" ht="19.2" customHeight="1" x14ac:dyDescent="0.3">
      <c r="P224" s="96"/>
      <c r="Q224" s="94"/>
      <c r="R224" s="92"/>
      <c r="S224" s="96"/>
      <c r="V224" s="96"/>
      <c r="W224" s="92"/>
      <c r="X224" s="103"/>
      <c r="Y224" s="96"/>
      <c r="AW224" s="96"/>
      <c r="AX224" s="94"/>
      <c r="AY224" s="103"/>
      <c r="AZ224" s="96"/>
      <c r="CG224" s="96"/>
      <c r="CH224" s="103"/>
      <c r="CI224" s="94"/>
      <c r="CJ224" s="96"/>
    </row>
    <row r="225" spans="10:93" ht="19.2" customHeight="1" x14ac:dyDescent="0.3">
      <c r="P225" s="96"/>
      <c r="Q225" s="93"/>
      <c r="R225" s="93"/>
      <c r="S225" s="96"/>
      <c r="V225" s="96"/>
      <c r="W225" s="93"/>
      <c r="X225" s="93"/>
      <c r="Y225" s="96"/>
      <c r="AW225" s="96"/>
      <c r="AX225" s="93"/>
      <c r="AY225" s="93"/>
      <c r="AZ225" s="96"/>
      <c r="CG225" s="96"/>
      <c r="CH225" s="93"/>
      <c r="CI225" s="93"/>
      <c r="CJ225" s="96"/>
    </row>
    <row r="226" spans="10:93" ht="19.2" customHeight="1" x14ac:dyDescent="0.3">
      <c r="Q226" s="96"/>
      <c r="R226" s="96"/>
      <c r="W226" s="96"/>
      <c r="X226" s="96"/>
      <c r="AX226" s="96"/>
      <c r="AY226" s="96"/>
      <c r="CH226" s="96"/>
      <c r="CI226" s="96"/>
    </row>
    <row r="232" spans="10:93" ht="19.2" customHeight="1" x14ac:dyDescent="0.3">
      <c r="AX232" s="92"/>
      <c r="AY232" s="92"/>
      <c r="AZ232" s="92"/>
      <c r="BA232" s="103"/>
      <c r="BB232" s="103"/>
      <c r="BC232" s="103"/>
      <c r="CD232" s="92"/>
      <c r="CE232" s="92"/>
      <c r="CF232" s="92"/>
      <c r="CG232" s="103"/>
      <c r="CH232" s="103"/>
      <c r="CI232" s="103"/>
    </row>
    <row r="233" spans="10:93" ht="19.2" customHeight="1" x14ac:dyDescent="0.3">
      <c r="R233" s="92"/>
      <c r="S233" s="92"/>
      <c r="T233" s="92"/>
      <c r="U233" s="103"/>
      <c r="V233" s="103"/>
      <c r="W233" s="103"/>
      <c r="AV233" s="92"/>
      <c r="AW233" s="92"/>
      <c r="AX233" s="93"/>
      <c r="AY233" s="93"/>
      <c r="AZ233" s="93"/>
      <c r="BA233" s="98"/>
      <c r="BB233" s="98"/>
      <c r="BC233" s="99"/>
      <c r="BD233" s="103"/>
      <c r="BE233" s="103"/>
      <c r="CB233" s="92"/>
      <c r="CC233" s="92"/>
      <c r="CD233" s="93"/>
      <c r="CE233" s="93"/>
      <c r="CF233" s="93"/>
      <c r="CG233" s="98"/>
      <c r="CH233" s="98"/>
      <c r="CI233" s="99"/>
      <c r="CJ233" s="103"/>
      <c r="CK233" s="103"/>
    </row>
    <row r="234" spans="10:93" ht="19.2" customHeight="1" x14ac:dyDescent="0.3">
      <c r="P234" s="92"/>
      <c r="Q234" s="92"/>
      <c r="R234" s="93"/>
      <c r="S234" s="93"/>
      <c r="T234" s="93"/>
      <c r="U234" s="98"/>
      <c r="V234" s="98"/>
      <c r="W234" s="99"/>
      <c r="X234" s="103"/>
      <c r="Y234" s="103"/>
      <c r="AU234" s="92"/>
      <c r="AV234" s="93"/>
      <c r="AW234" s="93"/>
      <c r="AX234" s="93"/>
      <c r="AY234" s="93"/>
      <c r="AZ234" s="95"/>
      <c r="BA234" s="95"/>
      <c r="BB234" s="98"/>
      <c r="BC234" s="98"/>
      <c r="BD234" s="98"/>
      <c r="BE234" s="99"/>
      <c r="BF234" s="103"/>
      <c r="CA234" s="92"/>
      <c r="CB234" s="93"/>
      <c r="CC234" s="93"/>
      <c r="CD234" s="93"/>
      <c r="CE234" s="93"/>
      <c r="CF234" s="95"/>
      <c r="CG234" s="95"/>
      <c r="CH234" s="98"/>
      <c r="CI234" s="98"/>
      <c r="CJ234" s="98"/>
      <c r="CK234" s="99"/>
      <c r="CL234" s="103"/>
    </row>
    <row r="235" spans="10:93" ht="19.2" customHeight="1" x14ac:dyDescent="0.3">
      <c r="O235" s="92"/>
      <c r="P235" s="93"/>
      <c r="Q235" s="93"/>
      <c r="R235" s="93"/>
      <c r="S235" s="93"/>
      <c r="T235" s="95"/>
      <c r="U235" s="95"/>
      <c r="V235" s="98"/>
      <c r="W235" s="98"/>
      <c r="X235" s="98"/>
      <c r="Y235" s="99"/>
      <c r="Z235" s="103"/>
      <c r="AT235" s="96"/>
      <c r="AU235" s="94"/>
      <c r="AV235" s="93"/>
      <c r="AW235" s="93"/>
      <c r="AX235" s="93"/>
      <c r="AY235" s="93"/>
      <c r="AZ235" s="95"/>
      <c r="BA235" s="95"/>
      <c r="BB235" s="98"/>
      <c r="BC235" s="98"/>
      <c r="BD235" s="98"/>
      <c r="BE235" s="97"/>
      <c r="BF235" s="99"/>
      <c r="BG235" s="96"/>
      <c r="BZ235" s="96"/>
      <c r="CA235" s="94"/>
      <c r="CB235" s="93"/>
      <c r="CC235" s="93"/>
      <c r="CD235" s="93"/>
      <c r="CE235" s="93"/>
      <c r="CF235" s="95"/>
      <c r="CG235" s="95"/>
      <c r="CH235" s="98"/>
      <c r="CI235" s="98"/>
      <c r="CJ235" s="98"/>
      <c r="CK235" s="97"/>
      <c r="CL235" s="99"/>
      <c r="CM235" s="96"/>
    </row>
    <row r="236" spans="10:93" ht="19.2" customHeight="1" x14ac:dyDescent="0.3">
      <c r="N236" s="96"/>
      <c r="O236" s="94"/>
      <c r="P236" s="93"/>
      <c r="Q236" s="93"/>
      <c r="R236" s="93"/>
      <c r="S236" s="93"/>
      <c r="T236" s="95"/>
      <c r="U236" s="95"/>
      <c r="V236" s="98"/>
      <c r="W236" s="98"/>
      <c r="X236" s="98"/>
      <c r="Y236" s="97"/>
      <c r="Z236" s="99"/>
      <c r="AA236" s="96"/>
      <c r="AT236" s="96"/>
      <c r="AU236" s="94"/>
      <c r="AV236" s="93"/>
      <c r="AW236" s="93"/>
      <c r="AX236" s="93"/>
      <c r="AY236" s="93"/>
      <c r="AZ236" s="93"/>
      <c r="BA236" s="98"/>
      <c r="BB236" s="98"/>
      <c r="BC236" s="98"/>
      <c r="BD236" s="98"/>
      <c r="BE236" s="97"/>
      <c r="BF236" s="99"/>
      <c r="BG236" s="96"/>
      <c r="BZ236" s="96"/>
      <c r="CA236" s="94"/>
      <c r="CB236" s="93"/>
      <c r="CC236" s="93"/>
      <c r="CD236" s="93"/>
      <c r="CE236" s="93"/>
      <c r="CF236" s="93"/>
      <c r="CG236" s="98"/>
      <c r="CH236" s="98"/>
      <c r="CI236" s="98"/>
      <c r="CJ236" s="98"/>
      <c r="CK236" s="97"/>
      <c r="CL236" s="99"/>
      <c r="CM236" s="96"/>
    </row>
    <row r="237" spans="10:93" ht="19.2" customHeight="1" x14ac:dyDescent="0.3">
      <c r="N237" s="96"/>
      <c r="O237" s="94"/>
      <c r="P237" s="93"/>
      <c r="Q237" s="93"/>
      <c r="R237" s="93"/>
      <c r="S237" s="93"/>
      <c r="T237" s="93"/>
      <c r="U237" s="98"/>
      <c r="V237" s="98"/>
      <c r="W237" s="98"/>
      <c r="X237" s="98"/>
      <c r="Y237" s="97"/>
      <c r="Z237" s="99"/>
      <c r="AA237" s="96"/>
      <c r="AS237" s="96"/>
      <c r="AT237" s="95"/>
      <c r="AU237" s="95"/>
      <c r="AV237" s="94"/>
      <c r="AW237" s="93"/>
      <c r="AX237" s="93"/>
      <c r="AY237" s="93"/>
      <c r="AZ237" s="93"/>
      <c r="BA237" s="98"/>
      <c r="BB237" s="98"/>
      <c r="BC237" s="98"/>
      <c r="BD237" s="98"/>
      <c r="BE237" s="99"/>
      <c r="BF237" s="99"/>
      <c r="BG237" s="95"/>
      <c r="BH237" s="96"/>
      <c r="BY237" s="96"/>
      <c r="BZ237" s="95"/>
      <c r="CA237" s="95"/>
      <c r="CB237" s="94"/>
      <c r="CC237" s="93"/>
      <c r="CD237" s="93"/>
      <c r="CE237" s="93"/>
      <c r="CF237" s="93"/>
      <c r="CG237" s="98"/>
      <c r="CH237" s="98"/>
      <c r="CI237" s="98"/>
      <c r="CJ237" s="98"/>
      <c r="CK237" s="99"/>
      <c r="CL237" s="99"/>
      <c r="CM237" s="95"/>
      <c r="CN237" s="96"/>
    </row>
    <row r="238" spans="10:93" ht="19.2" customHeight="1" x14ac:dyDescent="0.3">
      <c r="M238" s="96"/>
      <c r="N238" s="95"/>
      <c r="O238" s="95"/>
      <c r="P238" s="94"/>
      <c r="Q238" s="93"/>
      <c r="R238" s="93"/>
      <c r="S238" s="93"/>
      <c r="T238" s="93"/>
      <c r="U238" s="98"/>
      <c r="V238" s="98"/>
      <c r="W238" s="98"/>
      <c r="X238" s="98"/>
      <c r="Y238" s="99"/>
      <c r="Z238" s="99"/>
      <c r="AA238" s="95"/>
      <c r="AB238" s="96"/>
      <c r="AQ238" s="92"/>
      <c r="AR238" s="92"/>
      <c r="AS238" s="96"/>
      <c r="AT238" s="94"/>
      <c r="AU238" s="92"/>
      <c r="AV238" s="95"/>
      <c r="AW238" s="94"/>
      <c r="AX238" s="93"/>
      <c r="AY238" s="93"/>
      <c r="AZ238" s="93"/>
      <c r="BA238" s="98"/>
      <c r="BB238" s="98"/>
      <c r="BC238" s="98"/>
      <c r="BD238" s="97"/>
      <c r="BE238" s="99"/>
      <c r="BF238" s="95"/>
      <c r="BG238" s="92"/>
      <c r="BH238" s="100"/>
      <c r="BI238" s="92"/>
      <c r="BW238" s="92"/>
      <c r="BX238" s="92"/>
      <c r="BY238" s="96"/>
      <c r="BZ238" s="94"/>
      <c r="CA238" s="92"/>
      <c r="CB238" s="95"/>
      <c r="CC238" s="94"/>
      <c r="CD238" s="93"/>
      <c r="CE238" s="93"/>
      <c r="CF238" s="93"/>
      <c r="CG238" s="98"/>
      <c r="CH238" s="98"/>
      <c r="CI238" s="98"/>
      <c r="CJ238" s="97"/>
      <c r="CK238" s="99"/>
      <c r="CL238" s="95"/>
      <c r="CM238" s="92"/>
      <c r="CN238" s="100"/>
      <c r="CO238" s="92"/>
    </row>
    <row r="239" spans="10:93" ht="19.2" customHeight="1" x14ac:dyDescent="0.3">
      <c r="K239" s="92"/>
      <c r="L239" s="92"/>
      <c r="M239" s="96"/>
      <c r="N239" s="94"/>
      <c r="O239" s="92"/>
      <c r="P239" s="95"/>
      <c r="Q239" s="94"/>
      <c r="R239" s="93"/>
      <c r="S239" s="93"/>
      <c r="T239" s="93"/>
      <c r="U239" s="98"/>
      <c r="V239" s="98"/>
      <c r="W239" s="98"/>
      <c r="X239" s="97"/>
      <c r="Y239" s="99"/>
      <c r="Z239" s="95"/>
      <c r="AA239" s="92"/>
      <c r="AB239" s="100"/>
      <c r="AC239" s="92"/>
      <c r="AP239" s="92"/>
      <c r="AQ239" s="95"/>
      <c r="AR239" s="95"/>
      <c r="AS239" s="103"/>
      <c r="AT239" s="92"/>
      <c r="AU239" s="94"/>
      <c r="AV239" s="92"/>
      <c r="AW239" s="94"/>
      <c r="AX239" s="94"/>
      <c r="AY239" s="94"/>
      <c r="AZ239" s="94"/>
      <c r="BA239" s="99"/>
      <c r="BB239" s="99"/>
      <c r="BC239" s="99"/>
      <c r="BD239" s="99"/>
      <c r="BE239" s="99"/>
      <c r="BF239" s="92"/>
      <c r="BG239" s="99"/>
      <c r="BH239" s="96"/>
      <c r="BV239" s="92"/>
      <c r="BW239" s="95"/>
      <c r="BX239" s="95"/>
      <c r="BY239" s="103"/>
      <c r="BZ239" s="92"/>
      <c r="CA239" s="94"/>
      <c r="CB239" s="92"/>
      <c r="CC239" s="94"/>
      <c r="CD239" s="94"/>
      <c r="CE239" s="94"/>
      <c r="CF239" s="94"/>
      <c r="CG239" s="99"/>
      <c r="CH239" s="99"/>
      <c r="CI239" s="99"/>
      <c r="CJ239" s="99"/>
      <c r="CK239" s="99"/>
      <c r="CL239" s="92"/>
      <c r="CM239" s="99"/>
      <c r="CN239" s="96"/>
    </row>
    <row r="240" spans="10:93" ht="19.2" customHeight="1" x14ac:dyDescent="0.3">
      <c r="J240" s="92"/>
      <c r="K240" s="95"/>
      <c r="L240" s="95"/>
      <c r="M240" s="103"/>
      <c r="N240" s="92"/>
      <c r="O240" s="94"/>
      <c r="P240" s="92"/>
      <c r="Q240" s="94"/>
      <c r="R240" s="94"/>
      <c r="S240" s="94"/>
      <c r="T240" s="94"/>
      <c r="U240" s="99"/>
      <c r="V240" s="99"/>
      <c r="W240" s="99"/>
      <c r="X240" s="99"/>
      <c r="Y240" s="99"/>
      <c r="Z240" s="92"/>
      <c r="AA240" s="99"/>
      <c r="AB240" s="96"/>
      <c r="AO240" s="92"/>
      <c r="AP240" s="95"/>
      <c r="AQ240" s="95"/>
      <c r="AR240" s="95"/>
      <c r="AS240" s="103"/>
      <c r="AT240" s="94"/>
      <c r="AU240" s="100"/>
      <c r="AV240" s="92"/>
      <c r="AW240" s="94"/>
      <c r="AX240" s="94"/>
      <c r="AY240" s="94"/>
      <c r="AZ240" s="94"/>
      <c r="BA240" s="99"/>
      <c r="BB240" s="99"/>
      <c r="BC240" s="99"/>
      <c r="BD240" s="99"/>
      <c r="BE240" s="99"/>
      <c r="BF240" s="95"/>
      <c r="BG240" s="99"/>
      <c r="BH240" s="92"/>
      <c r="BI240" s="96"/>
      <c r="BU240" s="92"/>
      <c r="BV240" s="95"/>
      <c r="BW240" s="95"/>
      <c r="BX240" s="95"/>
      <c r="BY240" s="103"/>
      <c r="BZ240" s="94"/>
      <c r="CA240" s="100"/>
      <c r="CB240" s="92"/>
      <c r="CC240" s="94"/>
      <c r="CD240" s="94"/>
      <c r="CE240" s="94"/>
      <c r="CF240" s="94"/>
      <c r="CG240" s="99"/>
      <c r="CH240" s="99"/>
      <c r="CI240" s="99"/>
      <c r="CJ240" s="99"/>
      <c r="CK240" s="99"/>
      <c r="CL240" s="95"/>
      <c r="CM240" s="99"/>
      <c r="CN240" s="92"/>
      <c r="CO240" s="96"/>
    </row>
    <row r="241" spans="9:94" ht="19.2" customHeight="1" x14ac:dyDescent="0.3">
      <c r="I241" s="92"/>
      <c r="J241" s="95"/>
      <c r="K241" s="95"/>
      <c r="L241" s="95"/>
      <c r="M241" s="103"/>
      <c r="N241" s="94"/>
      <c r="O241" s="100"/>
      <c r="P241" s="92"/>
      <c r="Q241" s="94"/>
      <c r="R241" s="94"/>
      <c r="S241" s="94"/>
      <c r="T241" s="94"/>
      <c r="U241" s="99"/>
      <c r="V241" s="99"/>
      <c r="W241" s="99"/>
      <c r="X241" s="99"/>
      <c r="Y241" s="99"/>
      <c r="Z241" s="95"/>
      <c r="AA241" s="99"/>
      <c r="AB241" s="92"/>
      <c r="AC241" s="96"/>
      <c r="AO241" s="92"/>
      <c r="AP241" s="95"/>
      <c r="AQ241" s="95"/>
      <c r="AR241" s="95"/>
      <c r="AS241" s="95"/>
      <c r="AT241" s="103"/>
      <c r="AU241" s="92"/>
      <c r="AV241" s="94"/>
      <c r="AW241" s="94"/>
      <c r="AX241" s="94"/>
      <c r="AY241" s="94"/>
      <c r="AZ241" s="94"/>
      <c r="BA241" s="99"/>
      <c r="BB241" s="99"/>
      <c r="BC241" s="99"/>
      <c r="BD241" s="99"/>
      <c r="BE241" s="99"/>
      <c r="BF241" s="99"/>
      <c r="BG241" s="100"/>
      <c r="BH241" s="96"/>
      <c r="BU241" s="92"/>
      <c r="BV241" s="95"/>
      <c r="BW241" s="95"/>
      <c r="BX241" s="95"/>
      <c r="BY241" s="95"/>
      <c r="BZ241" s="103"/>
      <c r="CA241" s="92"/>
      <c r="CB241" s="94"/>
      <c r="CC241" s="94"/>
      <c r="CD241" s="94"/>
      <c r="CE241" s="94"/>
      <c r="CF241" s="94"/>
      <c r="CG241" s="99"/>
      <c r="CH241" s="99"/>
      <c r="CI241" s="99"/>
      <c r="CJ241" s="99"/>
      <c r="CK241" s="99"/>
      <c r="CL241" s="99"/>
      <c r="CM241" s="100"/>
      <c r="CN241" s="96"/>
    </row>
    <row r="242" spans="9:94" ht="19.2" customHeight="1" x14ac:dyDescent="0.3">
      <c r="I242" s="92"/>
      <c r="J242" s="95"/>
      <c r="K242" s="95"/>
      <c r="L242" s="95"/>
      <c r="M242" s="95"/>
      <c r="N242" s="103"/>
      <c r="O242" s="92"/>
      <c r="P242" s="94"/>
      <c r="Q242" s="94"/>
      <c r="R242" s="94"/>
      <c r="S242" s="94"/>
      <c r="T242" s="94"/>
      <c r="U242" s="99"/>
      <c r="V242" s="99"/>
      <c r="W242" s="99"/>
      <c r="X242" s="99"/>
      <c r="Y242" s="99"/>
      <c r="Z242" s="99"/>
      <c r="AA242" s="100"/>
      <c r="AB242" s="96"/>
      <c r="AP242" s="92"/>
      <c r="AQ242" s="95"/>
      <c r="AR242" s="95"/>
      <c r="AS242" s="95"/>
      <c r="AT242" s="95"/>
      <c r="AU242" s="103"/>
      <c r="AV242" s="103"/>
      <c r="AW242" s="94"/>
      <c r="AX242" s="94"/>
      <c r="AY242" s="94"/>
      <c r="AZ242" s="94"/>
      <c r="BA242" s="99"/>
      <c r="BB242" s="99"/>
      <c r="BC242" s="99"/>
      <c r="BD242" s="99"/>
      <c r="BE242" s="99"/>
      <c r="BF242" s="100"/>
      <c r="BG242" s="100"/>
      <c r="BH242" s="100"/>
      <c r="BI242" s="96"/>
      <c r="BV242" s="92"/>
      <c r="BW242" s="95"/>
      <c r="BX242" s="95"/>
      <c r="BY242" s="95"/>
      <c r="BZ242" s="95"/>
      <c r="CA242" s="103"/>
      <c r="CB242" s="103"/>
      <c r="CC242" s="94"/>
      <c r="CD242" s="94"/>
      <c r="CE242" s="94"/>
      <c r="CF242" s="94"/>
      <c r="CG242" s="99"/>
      <c r="CH242" s="99"/>
      <c r="CI242" s="99"/>
      <c r="CJ242" s="99"/>
      <c r="CK242" s="99"/>
      <c r="CL242" s="100"/>
      <c r="CM242" s="100"/>
      <c r="CN242" s="100"/>
      <c r="CO242" s="96"/>
    </row>
    <row r="243" spans="9:94" ht="19.2" customHeight="1" x14ac:dyDescent="0.3">
      <c r="J243" s="92"/>
      <c r="K243" s="95"/>
      <c r="L243" s="95"/>
      <c r="M243" s="95"/>
      <c r="N243" s="95"/>
      <c r="O243" s="103"/>
      <c r="P243" s="103"/>
      <c r="Q243" s="94"/>
      <c r="R243" s="94"/>
      <c r="S243" s="94"/>
      <c r="T243" s="94"/>
      <c r="U243" s="99"/>
      <c r="V243" s="99"/>
      <c r="W243" s="99"/>
      <c r="X243" s="99"/>
      <c r="Y243" s="99"/>
      <c r="Z243" s="100"/>
      <c r="AA243" s="100"/>
      <c r="AB243" s="100"/>
      <c r="AC243" s="96"/>
      <c r="AQ243" s="92"/>
      <c r="AR243" s="92"/>
      <c r="AS243" s="92"/>
      <c r="AT243" s="92"/>
      <c r="AU243" s="92"/>
      <c r="AV243" s="92"/>
      <c r="AW243" s="96"/>
      <c r="AX243" s="98"/>
      <c r="AY243" s="100"/>
      <c r="AZ243" s="92"/>
      <c r="BA243" s="100"/>
      <c r="BB243" s="100"/>
      <c r="BC243" s="92"/>
      <c r="BD243" s="100"/>
      <c r="BE243" s="100"/>
      <c r="BF243" s="100"/>
      <c r="BG243" s="100"/>
      <c r="BH243" s="100"/>
      <c r="BI243" s="94"/>
      <c r="BJ243" s="96"/>
      <c r="BW243" s="92"/>
      <c r="BX243" s="92"/>
      <c r="BY243" s="92"/>
      <c r="BZ243" s="92"/>
      <c r="CA243" s="92"/>
      <c r="CB243" s="92"/>
      <c r="CC243" s="96"/>
      <c r="CD243" s="98"/>
      <c r="CE243" s="100"/>
      <c r="CF243" s="92"/>
      <c r="CG243" s="100"/>
      <c r="CH243" s="100"/>
      <c r="CI243" s="92"/>
      <c r="CJ243" s="100"/>
      <c r="CK243" s="100"/>
      <c r="CL243" s="100"/>
      <c r="CM243" s="100"/>
      <c r="CN243" s="100"/>
      <c r="CO243" s="94"/>
      <c r="CP243" s="96"/>
    </row>
    <row r="244" spans="9:94" ht="19.2" customHeight="1" x14ac:dyDescent="0.3">
      <c r="K244" s="92"/>
      <c r="L244" s="92"/>
      <c r="M244" s="92"/>
      <c r="N244" s="92"/>
      <c r="O244" s="92"/>
      <c r="P244" s="92"/>
      <c r="Q244" s="96"/>
      <c r="R244" s="98"/>
      <c r="S244" s="100"/>
      <c r="T244" s="92"/>
      <c r="U244" s="100"/>
      <c r="V244" s="100"/>
      <c r="W244" s="92"/>
      <c r="X244" s="100"/>
      <c r="Y244" s="100"/>
      <c r="Z244" s="100"/>
      <c r="AA244" s="100"/>
      <c r="AB244" s="100"/>
      <c r="AC244" s="94"/>
      <c r="AD244" s="96"/>
      <c r="AT244" s="100"/>
      <c r="AU244" s="106"/>
      <c r="AV244" s="106"/>
      <c r="AW244" s="96"/>
      <c r="AX244" s="98"/>
      <c r="AY244" s="104"/>
      <c r="AZ244" s="92"/>
      <c r="BA244" s="92"/>
      <c r="BB244" s="100"/>
      <c r="BC244" s="100"/>
      <c r="BD244" s="92"/>
      <c r="BE244" s="100"/>
      <c r="BF244" s="100"/>
      <c r="BG244" s="100"/>
      <c r="BH244" s="96"/>
      <c r="BI244" s="96"/>
      <c r="BZ244" s="100"/>
      <c r="CA244" s="106"/>
      <c r="CB244" s="106"/>
      <c r="CC244" s="96"/>
      <c r="CD244" s="98"/>
      <c r="CE244" s="104"/>
      <c r="CF244" s="92"/>
      <c r="CG244" s="92"/>
      <c r="CH244" s="100"/>
      <c r="CI244" s="100"/>
      <c r="CJ244" s="92"/>
      <c r="CK244" s="100"/>
      <c r="CL244" s="100"/>
      <c r="CM244" s="100"/>
      <c r="CN244" s="96"/>
      <c r="CO244" s="96"/>
    </row>
    <row r="245" spans="9:94" ht="19.2" customHeight="1" x14ac:dyDescent="0.3">
      <c r="N245" s="100"/>
      <c r="O245" s="106"/>
      <c r="P245" s="106"/>
      <c r="Q245" s="96"/>
      <c r="R245" s="98"/>
      <c r="S245" s="104"/>
      <c r="T245" s="92"/>
      <c r="U245" s="92"/>
      <c r="V245" s="100"/>
      <c r="W245" s="100"/>
      <c r="X245" s="92"/>
      <c r="Y245" s="100"/>
      <c r="Z245" s="100"/>
      <c r="AA245" s="100"/>
      <c r="AB245" s="96"/>
      <c r="AC245" s="96"/>
      <c r="AT245" s="104"/>
      <c r="AU245" s="106"/>
      <c r="AV245" s="106"/>
      <c r="AW245" s="106"/>
      <c r="AX245" s="106"/>
      <c r="AY245" s="104"/>
      <c r="AZ245" s="104"/>
      <c r="BA245" s="92"/>
      <c r="BB245" s="92"/>
      <c r="BC245" s="92"/>
      <c r="BD245" s="100"/>
      <c r="BE245" s="100"/>
      <c r="BF245" s="96"/>
      <c r="BG245" s="96"/>
      <c r="BZ245" s="104"/>
      <c r="CA245" s="106"/>
      <c r="CB245" s="106"/>
      <c r="CC245" s="106"/>
      <c r="CD245" s="106"/>
      <c r="CE245" s="104"/>
      <c r="CF245" s="104"/>
      <c r="CG245" s="92"/>
      <c r="CH245" s="92"/>
      <c r="CI245" s="92"/>
      <c r="CJ245" s="100"/>
      <c r="CK245" s="100"/>
      <c r="CL245" s="96"/>
      <c r="CM245" s="96"/>
    </row>
    <row r="246" spans="9:94" ht="19.2" customHeight="1" x14ac:dyDescent="0.3">
      <c r="N246" s="104"/>
      <c r="O246" s="106"/>
      <c r="P246" s="106"/>
      <c r="Q246" s="106"/>
      <c r="R246" s="106"/>
      <c r="S246" s="104"/>
      <c r="T246" s="104"/>
      <c r="U246" s="92"/>
      <c r="V246" s="92"/>
      <c r="W246" s="92"/>
      <c r="X246" s="100"/>
      <c r="Y246" s="100"/>
      <c r="Z246" s="96"/>
      <c r="AA246" s="96"/>
      <c r="AU246" s="100"/>
      <c r="AV246" s="104"/>
      <c r="AW246" s="106"/>
      <c r="AX246" s="104"/>
      <c r="AY246" s="92"/>
      <c r="AZ246" s="92"/>
      <c r="BA246" s="100"/>
      <c r="BB246" s="100"/>
      <c r="BC246" s="100"/>
      <c r="BD246" s="96"/>
      <c r="BE246" s="100"/>
      <c r="BF246" s="100"/>
      <c r="BG246" s="96"/>
      <c r="CA246" s="100"/>
      <c r="CB246" s="104"/>
      <c r="CC246" s="106"/>
      <c r="CD246" s="104"/>
      <c r="CE246" s="92"/>
      <c r="CF246" s="92"/>
      <c r="CG246" s="100"/>
      <c r="CH246" s="100"/>
      <c r="CI246" s="100"/>
      <c r="CJ246" s="96"/>
      <c r="CK246" s="100"/>
      <c r="CL246" s="100"/>
      <c r="CM246" s="96"/>
    </row>
    <row r="247" spans="9:94" ht="19.2" customHeight="1" x14ac:dyDescent="0.3">
      <c r="O247" s="100"/>
      <c r="P247" s="104"/>
      <c r="Q247" s="106"/>
      <c r="R247" s="104"/>
      <c r="S247" s="92"/>
      <c r="T247" s="92"/>
      <c r="U247" s="100"/>
      <c r="V247" s="100"/>
      <c r="W247" s="100"/>
      <c r="X247" s="96"/>
      <c r="Y247" s="100"/>
      <c r="Z247" s="100"/>
      <c r="AA247" s="96"/>
      <c r="AV247" s="96"/>
      <c r="AW247" s="96"/>
      <c r="AX247" s="100"/>
      <c r="AY247" s="96"/>
      <c r="AZ247" s="92"/>
      <c r="BA247" s="92"/>
      <c r="BB247" s="96"/>
      <c r="BC247" s="96"/>
      <c r="BE247" s="96"/>
      <c r="BF247" s="96"/>
      <c r="CB247" s="96"/>
      <c r="CC247" s="96"/>
      <c r="CD247" s="100"/>
      <c r="CE247" s="96"/>
      <c r="CF247" s="92"/>
      <c r="CG247" s="92"/>
      <c r="CH247" s="96"/>
      <c r="CI247" s="96"/>
      <c r="CJ247" s="96"/>
      <c r="CK247" s="96"/>
      <c r="CL247" s="96"/>
    </row>
    <row r="248" spans="9:94" ht="19.2" customHeight="1" x14ac:dyDescent="0.3">
      <c r="P248" s="96"/>
      <c r="Q248" s="96"/>
      <c r="R248" s="100"/>
      <c r="S248" s="96"/>
      <c r="T248" s="92"/>
      <c r="U248" s="92"/>
      <c r="V248" s="96"/>
      <c r="W248" s="96"/>
      <c r="Y248" s="96"/>
      <c r="Z248" s="96"/>
      <c r="AV248" s="96"/>
      <c r="AW248" s="104"/>
      <c r="AX248" s="96"/>
      <c r="AY248" s="99"/>
      <c r="AZ248" s="101"/>
      <c r="BA248" s="101"/>
      <c r="BB248" s="96"/>
      <c r="CE248" s="96"/>
      <c r="CF248" s="101"/>
      <c r="CG248" s="101"/>
      <c r="CH248" s="92"/>
      <c r="CI248" s="101"/>
      <c r="CJ248" s="100"/>
      <c r="CK248" s="96"/>
    </row>
    <row r="249" spans="9:94" ht="19.2" customHeight="1" x14ac:dyDescent="0.3">
      <c r="R249" s="96"/>
      <c r="S249" s="99"/>
      <c r="T249" s="101"/>
      <c r="U249" s="101"/>
      <c r="V249" s="96"/>
      <c r="AW249" s="96"/>
      <c r="AX249" s="96"/>
      <c r="AY249" s="101"/>
      <c r="AZ249" s="103"/>
      <c r="BA249" s="102"/>
      <c r="BB249" s="101"/>
      <c r="BC249" s="96"/>
      <c r="CD249" s="96"/>
      <c r="CE249" s="102"/>
      <c r="CF249" s="105"/>
      <c r="CG249" s="96"/>
      <c r="CH249" s="92"/>
      <c r="CI249" s="96"/>
      <c r="CJ249" s="104"/>
      <c r="CK249" s="96"/>
    </row>
    <row r="250" spans="9:94" ht="19.2" customHeight="1" x14ac:dyDescent="0.3">
      <c r="R250" s="96"/>
      <c r="S250" s="101"/>
      <c r="T250" s="103"/>
      <c r="U250" s="102"/>
      <c r="V250" s="101"/>
      <c r="W250" s="96"/>
      <c r="AX250" s="99"/>
      <c r="AY250" s="101"/>
      <c r="AZ250" s="92"/>
      <c r="BA250" s="92"/>
      <c r="BB250" s="102"/>
      <c r="BC250" s="96"/>
      <c r="CB250" s="96"/>
      <c r="CC250" s="96"/>
      <c r="CD250" s="105"/>
      <c r="CE250" s="102"/>
      <c r="CF250" s="96"/>
      <c r="CG250" s="101"/>
      <c r="CH250" s="101"/>
      <c r="CI250" s="96"/>
      <c r="CJ250" s="96"/>
    </row>
    <row r="251" spans="9:94" ht="19.2" customHeight="1" x14ac:dyDescent="0.3">
      <c r="R251" s="99"/>
      <c r="S251" s="101"/>
      <c r="T251" s="92"/>
      <c r="U251" s="102"/>
      <c r="V251" s="101"/>
      <c r="W251" s="96"/>
      <c r="AX251" s="92"/>
      <c r="AY251" s="92"/>
      <c r="AZ251" s="92"/>
      <c r="BA251" s="92"/>
      <c r="BB251" s="103"/>
      <c r="BC251" s="103"/>
      <c r="BD251" s="96"/>
      <c r="CA251" s="96"/>
      <c r="CB251" s="106"/>
      <c r="CC251" s="103"/>
      <c r="CD251" s="103"/>
      <c r="CE251" s="96"/>
      <c r="CF251" s="103"/>
      <c r="CG251" s="103"/>
      <c r="CH251" s="103"/>
      <c r="CI251" s="103"/>
    </row>
    <row r="252" spans="9:94" ht="19.2" customHeight="1" x14ac:dyDescent="0.3">
      <c r="R252" s="92"/>
      <c r="S252" s="92"/>
      <c r="T252" s="92"/>
      <c r="U252" s="103"/>
      <c r="V252" s="92"/>
      <c r="W252" s="96"/>
      <c r="AW252" s="96"/>
      <c r="AX252" s="97"/>
      <c r="AY252" s="105"/>
      <c r="AZ252" s="105"/>
      <c r="BA252" s="103"/>
      <c r="BB252" s="92"/>
      <c r="BC252" s="103"/>
      <c r="BD252" s="106"/>
      <c r="BE252" s="96"/>
      <c r="CA252" s="96"/>
      <c r="CB252" s="104"/>
      <c r="CC252" s="106"/>
      <c r="CD252" s="96"/>
      <c r="CE252" s="105"/>
      <c r="CF252" s="105"/>
      <c r="CG252" s="105"/>
      <c r="CH252" s="105"/>
      <c r="CI252" s="99"/>
      <c r="CJ252" s="96"/>
    </row>
    <row r="253" spans="9:94" ht="19.2" customHeight="1" x14ac:dyDescent="0.3">
      <c r="Q253" s="96"/>
      <c r="R253" s="97"/>
      <c r="S253" s="103"/>
      <c r="T253" s="106"/>
      <c r="U253" s="103"/>
      <c r="V253" s="95"/>
      <c r="W253" s="99"/>
      <c r="X253" s="96"/>
      <c r="AW253" s="96"/>
      <c r="AX253" s="97"/>
      <c r="AY253" s="105"/>
      <c r="AZ253" s="105"/>
      <c r="BA253" s="105"/>
      <c r="BB253" s="92"/>
      <c r="BC253" s="106"/>
      <c r="BD253" s="104"/>
      <c r="BE253" s="96"/>
      <c r="CB253" s="96"/>
      <c r="CC253" s="96"/>
      <c r="CD253" s="99"/>
      <c r="CE253" s="105"/>
      <c r="CF253" s="105"/>
      <c r="CG253" s="105"/>
      <c r="CH253" s="105"/>
      <c r="CI253" s="99"/>
      <c r="CJ253" s="96"/>
    </row>
    <row r="254" spans="9:94" ht="19.2" customHeight="1" x14ac:dyDescent="0.3">
      <c r="Q254" s="96"/>
      <c r="R254" s="99"/>
      <c r="S254" s="95"/>
      <c r="T254" s="104"/>
      <c r="U254" s="106"/>
      <c r="V254" s="95"/>
      <c r="W254" s="99"/>
      <c r="X254" s="96"/>
      <c r="AX254" s="96"/>
      <c r="AY254" s="97"/>
      <c r="AZ254" s="97"/>
      <c r="BA254" s="97"/>
      <c r="BB254" s="96"/>
      <c r="BC254" s="96"/>
      <c r="BD254" s="92"/>
      <c r="CC254" s="92"/>
      <c r="CD254" s="96"/>
      <c r="CE254" s="99"/>
      <c r="CF254" s="99"/>
      <c r="CG254" s="99"/>
      <c r="CH254" s="99"/>
      <c r="CI254" s="92"/>
      <c r="CJ254" s="96"/>
    </row>
    <row r="255" spans="9:94" ht="19.2" customHeight="1" x14ac:dyDescent="0.3">
      <c r="R255" s="92"/>
      <c r="S255" s="99"/>
      <c r="T255" s="95"/>
      <c r="U255" s="95"/>
      <c r="V255" s="99"/>
      <c r="W255" s="96"/>
      <c r="AW255" s="96"/>
      <c r="AX255" s="92"/>
      <c r="AY255" s="92"/>
      <c r="AZ255" s="92"/>
      <c r="BA255" s="96"/>
      <c r="BB255" s="96"/>
      <c r="BC255" s="92"/>
      <c r="BD255" s="96"/>
      <c r="BE255" s="96"/>
      <c r="CB255" s="96"/>
      <c r="CC255" s="92"/>
      <c r="CD255" s="92"/>
      <c r="CE255" s="96"/>
      <c r="CF255" s="96"/>
      <c r="CG255" s="96"/>
      <c r="CH255" s="92"/>
      <c r="CI255" s="92"/>
      <c r="CJ255" s="103"/>
      <c r="CK255" s="96"/>
    </row>
    <row r="256" spans="9:94" ht="19.2" customHeight="1" x14ac:dyDescent="0.3">
      <c r="S256" s="96"/>
      <c r="T256" s="92"/>
      <c r="U256" s="92"/>
      <c r="V256" s="96"/>
      <c r="AU256" s="96"/>
      <c r="AV256" s="94"/>
      <c r="AW256" s="92"/>
      <c r="AX256" s="92"/>
      <c r="AY256" s="92"/>
      <c r="AZ256" s="96"/>
      <c r="BC256" s="96"/>
      <c r="BD256" s="96"/>
      <c r="CC256" s="96"/>
      <c r="CD256" s="96"/>
      <c r="CE256" s="96"/>
      <c r="CI256" s="96"/>
      <c r="CJ256" s="103"/>
      <c r="CK256" s="96"/>
    </row>
    <row r="257" spans="12:96" ht="19.2" customHeight="1" x14ac:dyDescent="0.3">
      <c r="R257" s="96"/>
      <c r="S257" s="94"/>
      <c r="T257" s="94"/>
      <c r="U257" s="92"/>
      <c r="V257" s="96"/>
      <c r="AU257" s="96"/>
      <c r="AV257" s="92"/>
      <c r="AW257" s="94"/>
      <c r="AX257" s="92"/>
      <c r="AY257" s="96"/>
      <c r="CH257" s="96"/>
      <c r="CI257" s="94"/>
      <c r="CJ257" s="94"/>
      <c r="CK257" s="96"/>
    </row>
    <row r="258" spans="12:96" ht="19.2" customHeight="1" x14ac:dyDescent="0.3">
      <c r="S258" s="96"/>
      <c r="T258" s="96"/>
      <c r="U258" s="96"/>
      <c r="AW258" s="96"/>
      <c r="AX258" s="96"/>
      <c r="CI258" s="96"/>
      <c r="CJ258" s="96"/>
    </row>
    <row r="264" spans="12:96" ht="19.2" customHeight="1" x14ac:dyDescent="0.3">
      <c r="AX264" s="103"/>
      <c r="AY264" s="103"/>
      <c r="AZ264" s="103"/>
      <c r="BA264" s="92"/>
      <c r="BB264" s="92"/>
      <c r="BC264" s="92"/>
      <c r="CD264" s="103"/>
      <c r="CE264" s="103"/>
      <c r="CF264" s="103"/>
      <c r="CG264" s="92"/>
      <c r="CH264" s="92"/>
      <c r="CI264" s="92"/>
    </row>
    <row r="265" spans="12:96" ht="19.2" customHeight="1" x14ac:dyDescent="0.3">
      <c r="R265" s="103"/>
      <c r="S265" s="103"/>
      <c r="T265" s="103"/>
      <c r="U265" s="92"/>
      <c r="V265" s="92"/>
      <c r="W265" s="92"/>
      <c r="AV265" s="103"/>
      <c r="AW265" s="103"/>
      <c r="AX265" s="99"/>
      <c r="AY265" s="98"/>
      <c r="AZ265" s="98"/>
      <c r="BA265" s="93"/>
      <c r="BB265" s="93"/>
      <c r="BC265" s="93"/>
      <c r="BD265" s="92"/>
      <c r="BE265" s="92"/>
      <c r="CB265" s="103"/>
      <c r="CC265" s="103"/>
      <c r="CD265" s="99"/>
      <c r="CE265" s="98"/>
      <c r="CF265" s="98"/>
      <c r="CG265" s="93"/>
      <c r="CH265" s="93"/>
      <c r="CI265" s="93"/>
      <c r="CJ265" s="92"/>
      <c r="CK265" s="92"/>
    </row>
    <row r="266" spans="12:96" ht="19.2" customHeight="1" x14ac:dyDescent="0.3">
      <c r="P266" s="103"/>
      <c r="Q266" s="103"/>
      <c r="R266" s="99"/>
      <c r="S266" s="98"/>
      <c r="T266" s="98"/>
      <c r="U266" s="93"/>
      <c r="V266" s="93"/>
      <c r="W266" s="93"/>
      <c r="X266" s="92"/>
      <c r="Y266" s="92"/>
      <c r="AU266" s="103"/>
      <c r="AV266" s="97"/>
      <c r="AW266" s="98"/>
      <c r="AX266" s="98"/>
      <c r="AY266" s="98"/>
      <c r="AZ266" s="95"/>
      <c r="BA266" s="95"/>
      <c r="BB266" s="93"/>
      <c r="BC266" s="93"/>
      <c r="BD266" s="93"/>
      <c r="BE266" s="93"/>
      <c r="BF266" s="92"/>
      <c r="CA266" s="103"/>
      <c r="CB266" s="99"/>
      <c r="CC266" s="98"/>
      <c r="CD266" s="98"/>
      <c r="CE266" s="98"/>
      <c r="CF266" s="95"/>
      <c r="CG266" s="95"/>
      <c r="CH266" s="93"/>
      <c r="CI266" s="93"/>
      <c r="CJ266" s="93"/>
      <c r="CK266" s="93"/>
      <c r="CL266" s="92"/>
    </row>
    <row r="267" spans="12:96" ht="19.2" customHeight="1" x14ac:dyDescent="0.3">
      <c r="O267" s="103"/>
      <c r="P267" s="99"/>
      <c r="Q267" s="98"/>
      <c r="R267" s="98"/>
      <c r="S267" s="98"/>
      <c r="T267" s="95"/>
      <c r="U267" s="95"/>
      <c r="V267" s="93"/>
      <c r="W267" s="93"/>
      <c r="X267" s="93"/>
      <c r="Y267" s="93"/>
      <c r="Z267" s="92"/>
      <c r="AT267" s="96"/>
      <c r="AU267" s="99"/>
      <c r="AV267" s="97"/>
      <c r="AW267" s="98"/>
      <c r="AX267" s="98"/>
      <c r="AY267" s="98"/>
      <c r="AZ267" s="95"/>
      <c r="BA267" s="95"/>
      <c r="BB267" s="93"/>
      <c r="BC267" s="93"/>
      <c r="BD267" s="93"/>
      <c r="BE267" s="93"/>
      <c r="BF267" s="94"/>
      <c r="BG267" s="96"/>
      <c r="BZ267" s="96"/>
      <c r="CA267" s="99"/>
      <c r="CB267" s="97"/>
      <c r="CC267" s="98"/>
      <c r="CD267" s="98"/>
      <c r="CE267" s="98"/>
      <c r="CF267" s="95"/>
      <c r="CG267" s="95"/>
      <c r="CH267" s="93"/>
      <c r="CI267" s="93"/>
      <c r="CJ267" s="93"/>
      <c r="CK267" s="93"/>
      <c r="CL267" s="94"/>
      <c r="CM267" s="96"/>
    </row>
    <row r="268" spans="12:96" ht="19.2" customHeight="1" x14ac:dyDescent="0.3">
      <c r="N268" s="96"/>
      <c r="O268" s="99"/>
      <c r="P268" s="97"/>
      <c r="Q268" s="98"/>
      <c r="R268" s="98"/>
      <c r="S268" s="98"/>
      <c r="T268" s="95"/>
      <c r="U268" s="95"/>
      <c r="V268" s="93"/>
      <c r="W268" s="93"/>
      <c r="X268" s="93"/>
      <c r="Y268" s="93"/>
      <c r="Z268" s="94"/>
      <c r="AA268" s="96"/>
      <c r="AT268" s="96"/>
      <c r="AU268" s="99"/>
      <c r="AV268" s="97"/>
      <c r="AW268" s="98"/>
      <c r="AX268" s="98"/>
      <c r="AY268" s="98"/>
      <c r="AZ268" s="98"/>
      <c r="BA268" s="93"/>
      <c r="BB268" s="93"/>
      <c r="BC268" s="93"/>
      <c r="BD268" s="93"/>
      <c r="BE268" s="93"/>
      <c r="BF268" s="94"/>
      <c r="BG268" s="96"/>
      <c r="BZ268" s="96"/>
      <c r="CA268" s="99"/>
      <c r="CB268" s="97"/>
      <c r="CC268" s="98"/>
      <c r="CD268" s="98"/>
      <c r="CE268" s="98"/>
      <c r="CF268" s="98"/>
      <c r="CG268" s="93"/>
      <c r="CH268" s="93"/>
      <c r="CI268" s="93"/>
      <c r="CJ268" s="93"/>
      <c r="CK268" s="93"/>
      <c r="CL268" s="94"/>
      <c r="CM268" s="96"/>
    </row>
    <row r="269" spans="12:96" ht="19.2" customHeight="1" x14ac:dyDescent="0.3">
      <c r="N269" s="96"/>
      <c r="O269" s="99"/>
      <c r="P269" s="97"/>
      <c r="Q269" s="98"/>
      <c r="R269" s="98"/>
      <c r="S269" s="98"/>
      <c r="T269" s="98"/>
      <c r="U269" s="93"/>
      <c r="V269" s="93"/>
      <c r="W269" s="93"/>
      <c r="X269" s="93"/>
      <c r="Y269" s="93"/>
      <c r="Z269" s="94"/>
      <c r="AA269" s="96"/>
      <c r="AS269" s="96"/>
      <c r="AT269" s="95"/>
      <c r="AU269" s="99"/>
      <c r="AV269" s="99"/>
      <c r="AW269" s="98"/>
      <c r="AX269" s="98"/>
      <c r="AY269" s="98"/>
      <c r="AZ269" s="98"/>
      <c r="BA269" s="93"/>
      <c r="BB269" s="93"/>
      <c r="BC269" s="93"/>
      <c r="BD269" s="93"/>
      <c r="BE269" s="94"/>
      <c r="BF269" s="95"/>
      <c r="BG269" s="95"/>
      <c r="BH269" s="96"/>
      <c r="BY269" s="96"/>
      <c r="BZ269" s="95"/>
      <c r="CA269" s="99"/>
      <c r="CB269" s="99"/>
      <c r="CC269" s="98"/>
      <c r="CD269" s="98"/>
      <c r="CE269" s="98"/>
      <c r="CF269" s="98"/>
      <c r="CG269" s="93"/>
      <c r="CH269" s="93"/>
      <c r="CI269" s="93"/>
      <c r="CJ269" s="93"/>
      <c r="CK269" s="94"/>
      <c r="CL269" s="95"/>
      <c r="CM269" s="95"/>
      <c r="CN269" s="96"/>
    </row>
    <row r="270" spans="12:96" ht="19.2" customHeight="1" x14ac:dyDescent="0.3">
      <c r="M270" s="96"/>
      <c r="N270" s="95"/>
      <c r="O270" s="99"/>
      <c r="P270" s="99"/>
      <c r="Q270" s="98"/>
      <c r="R270" s="98"/>
      <c r="S270" s="98"/>
      <c r="T270" s="98"/>
      <c r="U270" s="93"/>
      <c r="V270" s="93"/>
      <c r="W270" s="93"/>
      <c r="X270" s="93"/>
      <c r="Y270" s="94"/>
      <c r="Z270" s="95"/>
      <c r="AA270" s="95"/>
      <c r="AB270" s="96"/>
      <c r="AR270" s="92"/>
      <c r="AS270" s="100"/>
      <c r="AT270" s="92"/>
      <c r="AU270" s="95"/>
      <c r="AV270" s="99"/>
      <c r="AW270" s="97"/>
      <c r="AX270" s="98"/>
      <c r="AY270" s="98"/>
      <c r="AZ270" s="98"/>
      <c r="BA270" s="93"/>
      <c r="BB270" s="93"/>
      <c r="BC270" s="93"/>
      <c r="BD270" s="94"/>
      <c r="BE270" s="95"/>
      <c r="BF270" s="92"/>
      <c r="BG270" s="94"/>
      <c r="BH270" s="96"/>
      <c r="BI270" s="92"/>
      <c r="BJ270" s="92"/>
      <c r="BX270" s="92"/>
      <c r="BY270" s="100"/>
      <c r="BZ270" s="92"/>
      <c r="CA270" s="95"/>
      <c r="CB270" s="99"/>
      <c r="CC270" s="97"/>
      <c r="CD270" s="98"/>
      <c r="CE270" s="98"/>
      <c r="CF270" s="98"/>
      <c r="CG270" s="93"/>
      <c r="CH270" s="93"/>
      <c r="CI270" s="93"/>
      <c r="CJ270" s="94"/>
      <c r="CK270" s="95"/>
      <c r="CL270" s="92"/>
      <c r="CM270" s="94"/>
      <c r="CN270" s="96"/>
      <c r="CO270" s="92"/>
      <c r="CP270" s="92"/>
    </row>
    <row r="271" spans="12:96" ht="19.2" customHeight="1" x14ac:dyDescent="0.3">
      <c r="L271" s="92"/>
      <c r="M271" s="100"/>
      <c r="N271" s="92"/>
      <c r="O271" s="95"/>
      <c r="P271" s="99"/>
      <c r="Q271" s="97"/>
      <c r="R271" s="98"/>
      <c r="S271" s="98"/>
      <c r="T271" s="98"/>
      <c r="U271" s="93"/>
      <c r="V271" s="93"/>
      <c r="W271" s="93"/>
      <c r="X271" s="94"/>
      <c r="Y271" s="95"/>
      <c r="Z271" s="92"/>
      <c r="AA271" s="94"/>
      <c r="AB271" s="96"/>
      <c r="AC271" s="92"/>
      <c r="AD271" s="92"/>
      <c r="AS271" s="96"/>
      <c r="AT271" s="99"/>
      <c r="AU271" s="92"/>
      <c r="AV271" s="99"/>
      <c r="AW271" s="99"/>
      <c r="AX271" s="99"/>
      <c r="AY271" s="99"/>
      <c r="AZ271" s="99"/>
      <c r="BA271" s="94"/>
      <c r="BB271" s="94"/>
      <c r="BC271" s="94"/>
      <c r="BD271" s="94"/>
      <c r="BE271" s="92"/>
      <c r="BF271" s="94"/>
      <c r="BG271" s="92"/>
      <c r="BH271" s="103"/>
      <c r="BI271" s="95"/>
      <c r="BJ271" s="95"/>
      <c r="BK271" s="92"/>
      <c r="BY271" s="96"/>
      <c r="BZ271" s="99"/>
      <c r="CA271" s="92"/>
      <c r="CB271" s="99"/>
      <c r="CC271" s="99"/>
      <c r="CD271" s="99"/>
      <c r="CE271" s="99"/>
      <c r="CF271" s="99"/>
      <c r="CG271" s="94"/>
      <c r="CH271" s="94"/>
      <c r="CI271" s="94"/>
      <c r="CJ271" s="94"/>
      <c r="CK271" s="92"/>
      <c r="CL271" s="94"/>
      <c r="CM271" s="92"/>
      <c r="CN271" s="103"/>
      <c r="CO271" s="95"/>
      <c r="CP271" s="95"/>
      <c r="CQ271" s="92"/>
    </row>
    <row r="272" spans="12:96" ht="19.2" customHeight="1" x14ac:dyDescent="0.3">
      <c r="M272" s="96"/>
      <c r="N272" s="99"/>
      <c r="O272" s="92"/>
      <c r="P272" s="99"/>
      <c r="Q272" s="99"/>
      <c r="R272" s="99"/>
      <c r="S272" s="99"/>
      <c r="T272" s="99"/>
      <c r="U272" s="94"/>
      <c r="V272" s="94"/>
      <c r="W272" s="94"/>
      <c r="X272" s="94"/>
      <c r="Y272" s="92"/>
      <c r="Z272" s="94"/>
      <c r="AA272" s="92"/>
      <c r="AB272" s="103"/>
      <c r="AC272" s="95"/>
      <c r="AD272" s="95"/>
      <c r="AE272" s="92"/>
      <c r="AR272" s="96"/>
      <c r="AS272" s="92"/>
      <c r="AT272" s="99"/>
      <c r="AU272" s="95"/>
      <c r="AV272" s="99"/>
      <c r="AW272" s="99"/>
      <c r="AX272" s="99"/>
      <c r="AY272" s="99"/>
      <c r="AZ272" s="99"/>
      <c r="BA272" s="94"/>
      <c r="BB272" s="94"/>
      <c r="BC272" s="94"/>
      <c r="BD272" s="94"/>
      <c r="BE272" s="92"/>
      <c r="BF272" s="100"/>
      <c r="BG272" s="94"/>
      <c r="BH272" s="103"/>
      <c r="BI272" s="95"/>
      <c r="BJ272" s="95"/>
      <c r="BK272" s="95"/>
      <c r="BL272" s="92"/>
      <c r="BX272" s="96"/>
      <c r="BY272" s="92"/>
      <c r="BZ272" s="99"/>
      <c r="CA272" s="95"/>
      <c r="CB272" s="99"/>
      <c r="CC272" s="99"/>
      <c r="CD272" s="99"/>
      <c r="CE272" s="99"/>
      <c r="CF272" s="99"/>
      <c r="CG272" s="94"/>
      <c r="CH272" s="94"/>
      <c r="CI272" s="94"/>
      <c r="CJ272" s="94"/>
      <c r="CK272" s="92"/>
      <c r="CL272" s="100"/>
      <c r="CM272" s="94"/>
      <c r="CN272" s="103"/>
      <c r="CO272" s="95"/>
      <c r="CP272" s="95"/>
      <c r="CQ272" s="95"/>
      <c r="CR272" s="92"/>
    </row>
    <row r="273" spans="11:96" ht="19.2" customHeight="1" x14ac:dyDescent="0.3">
      <c r="L273" s="96"/>
      <c r="M273" s="92"/>
      <c r="N273" s="99"/>
      <c r="O273" s="95"/>
      <c r="P273" s="99"/>
      <c r="Q273" s="99"/>
      <c r="R273" s="99"/>
      <c r="S273" s="99"/>
      <c r="T273" s="99"/>
      <c r="U273" s="94"/>
      <c r="V273" s="94"/>
      <c r="W273" s="94"/>
      <c r="X273" s="94"/>
      <c r="Y273" s="92"/>
      <c r="Z273" s="100"/>
      <c r="AA273" s="94"/>
      <c r="AB273" s="103"/>
      <c r="AC273" s="95"/>
      <c r="AD273" s="95"/>
      <c r="AE273" s="95"/>
      <c r="AF273" s="92"/>
      <c r="AS273" s="96"/>
      <c r="AT273" s="100"/>
      <c r="AU273" s="99"/>
      <c r="AV273" s="99"/>
      <c r="AW273" s="99"/>
      <c r="AX273" s="99"/>
      <c r="AY273" s="99"/>
      <c r="AZ273" s="99"/>
      <c r="BA273" s="94"/>
      <c r="BB273" s="94"/>
      <c r="BC273" s="94"/>
      <c r="BD273" s="94"/>
      <c r="BE273" s="94"/>
      <c r="BF273" s="92"/>
      <c r="BG273" s="103"/>
      <c r="BH273" s="95"/>
      <c r="BI273" s="95"/>
      <c r="BJ273" s="95"/>
      <c r="BK273" s="95"/>
      <c r="BL273" s="92"/>
      <c r="BY273" s="96"/>
      <c r="BZ273" s="100"/>
      <c r="CA273" s="99"/>
      <c r="CB273" s="99"/>
      <c r="CC273" s="99"/>
      <c r="CD273" s="99"/>
      <c r="CE273" s="99"/>
      <c r="CF273" s="99"/>
      <c r="CG273" s="94"/>
      <c r="CH273" s="94"/>
      <c r="CI273" s="94"/>
      <c r="CJ273" s="94"/>
      <c r="CK273" s="94"/>
      <c r="CL273" s="92"/>
      <c r="CM273" s="103"/>
      <c r="CN273" s="95"/>
      <c r="CO273" s="95"/>
      <c r="CP273" s="95"/>
      <c r="CQ273" s="95"/>
      <c r="CR273" s="92"/>
    </row>
    <row r="274" spans="11:96" ht="19.2" customHeight="1" x14ac:dyDescent="0.3">
      <c r="M274" s="96"/>
      <c r="N274" s="100"/>
      <c r="O274" s="99"/>
      <c r="P274" s="99"/>
      <c r="Q274" s="99"/>
      <c r="R274" s="99"/>
      <c r="S274" s="99"/>
      <c r="T274" s="99"/>
      <c r="U274" s="94"/>
      <c r="V274" s="94"/>
      <c r="W274" s="94"/>
      <c r="X274" s="94"/>
      <c r="Y274" s="94"/>
      <c r="Z274" s="92"/>
      <c r="AA274" s="103"/>
      <c r="AB274" s="95"/>
      <c r="AC274" s="95"/>
      <c r="AD274" s="95"/>
      <c r="AE274" s="95"/>
      <c r="AF274" s="92"/>
      <c r="AR274" s="96"/>
      <c r="AS274" s="100"/>
      <c r="AT274" s="100"/>
      <c r="AU274" s="100"/>
      <c r="AV274" s="99"/>
      <c r="AW274" s="99"/>
      <c r="AX274" s="99"/>
      <c r="AY274" s="99"/>
      <c r="AZ274" s="99"/>
      <c r="BA274" s="94"/>
      <c r="BB274" s="94"/>
      <c r="BC274" s="94"/>
      <c r="BD274" s="94"/>
      <c r="BE274" s="103"/>
      <c r="BF274" s="103"/>
      <c r="BG274" s="95"/>
      <c r="BH274" s="95"/>
      <c r="BI274" s="95"/>
      <c r="BJ274" s="95"/>
      <c r="BK274" s="92"/>
      <c r="BX274" s="96"/>
      <c r="BY274" s="100"/>
      <c r="BZ274" s="100"/>
      <c r="CA274" s="100"/>
      <c r="CB274" s="99"/>
      <c r="CC274" s="99"/>
      <c r="CD274" s="99"/>
      <c r="CE274" s="99"/>
      <c r="CF274" s="99"/>
      <c r="CG274" s="94"/>
      <c r="CH274" s="94"/>
      <c r="CI274" s="94"/>
      <c r="CJ274" s="94"/>
      <c r="CK274" s="103"/>
      <c r="CL274" s="103"/>
      <c r="CM274" s="95"/>
      <c r="CN274" s="95"/>
      <c r="CO274" s="95"/>
      <c r="CP274" s="95"/>
      <c r="CQ274" s="92"/>
    </row>
    <row r="275" spans="11:96" ht="19.2" customHeight="1" x14ac:dyDescent="0.3">
      <c r="L275" s="96"/>
      <c r="M275" s="100"/>
      <c r="N275" s="100"/>
      <c r="O275" s="100"/>
      <c r="P275" s="99"/>
      <c r="Q275" s="99"/>
      <c r="R275" s="99"/>
      <c r="S275" s="99"/>
      <c r="T275" s="99"/>
      <c r="U275" s="94"/>
      <c r="V275" s="94"/>
      <c r="W275" s="94"/>
      <c r="X275" s="94"/>
      <c r="Y275" s="103"/>
      <c r="Z275" s="103"/>
      <c r="AA275" s="95"/>
      <c r="AB275" s="95"/>
      <c r="AC275" s="95"/>
      <c r="AD275" s="95"/>
      <c r="AE275" s="92"/>
      <c r="AQ275" s="96"/>
      <c r="AR275" s="94"/>
      <c r="AS275" s="100"/>
      <c r="AT275" s="100"/>
      <c r="AU275" s="100"/>
      <c r="AV275" s="100"/>
      <c r="AW275" s="100"/>
      <c r="AX275" s="92"/>
      <c r="AY275" s="100"/>
      <c r="AZ275" s="100"/>
      <c r="BA275" s="92"/>
      <c r="BB275" s="100"/>
      <c r="BC275" s="98"/>
      <c r="BD275" s="96"/>
      <c r="BE275" s="92"/>
      <c r="BF275" s="92"/>
      <c r="BG275" s="92"/>
      <c r="BH275" s="92"/>
      <c r="BI275" s="92"/>
      <c r="BJ275" s="92"/>
      <c r="BW275" s="96"/>
      <c r="BX275" s="94"/>
      <c r="BY275" s="100"/>
      <c r="BZ275" s="100"/>
      <c r="CA275" s="100"/>
      <c r="CB275" s="100"/>
      <c r="CC275" s="100"/>
      <c r="CD275" s="92"/>
      <c r="CE275" s="100"/>
      <c r="CF275" s="100"/>
      <c r="CG275" s="92"/>
      <c r="CH275" s="100"/>
      <c r="CI275" s="98"/>
      <c r="CJ275" s="96"/>
      <c r="CK275" s="92"/>
      <c r="CL275" s="92"/>
      <c r="CM275" s="92"/>
      <c r="CN275" s="92"/>
      <c r="CO275" s="92"/>
      <c r="CP275" s="92"/>
    </row>
    <row r="276" spans="11:96" ht="19.2" customHeight="1" x14ac:dyDescent="0.3">
      <c r="K276" s="96"/>
      <c r="L276" s="94"/>
      <c r="M276" s="100"/>
      <c r="N276" s="100"/>
      <c r="O276" s="100"/>
      <c r="P276" s="100"/>
      <c r="Q276" s="100"/>
      <c r="R276" s="92"/>
      <c r="S276" s="100"/>
      <c r="T276" s="100"/>
      <c r="U276" s="92"/>
      <c r="V276" s="100"/>
      <c r="W276" s="98"/>
      <c r="X276" s="96"/>
      <c r="Y276" s="92"/>
      <c r="Z276" s="92"/>
      <c r="AA276" s="92"/>
      <c r="AB276" s="92"/>
      <c r="AC276" s="92"/>
      <c r="AD276" s="92"/>
      <c r="AR276" s="96"/>
      <c r="AS276" s="96"/>
      <c r="AT276" s="100"/>
      <c r="AU276" s="100"/>
      <c r="AV276" s="100"/>
      <c r="AW276" s="92"/>
      <c r="AX276" s="100"/>
      <c r="AY276" s="100"/>
      <c r="AZ276" s="92"/>
      <c r="BA276" s="92"/>
      <c r="BB276" s="104"/>
      <c r="BC276" s="98"/>
      <c r="BD276" s="96"/>
      <c r="BE276" s="106"/>
      <c r="BF276" s="106"/>
      <c r="BG276" s="100"/>
      <c r="BX276" s="96"/>
      <c r="BY276" s="96"/>
      <c r="BZ276" s="100"/>
      <c r="CA276" s="100"/>
      <c r="CB276" s="100"/>
      <c r="CC276" s="92"/>
      <c r="CD276" s="100"/>
      <c r="CE276" s="100"/>
      <c r="CF276" s="92"/>
      <c r="CG276" s="92"/>
      <c r="CH276" s="104"/>
      <c r="CI276" s="98"/>
      <c r="CJ276" s="96"/>
      <c r="CK276" s="106"/>
      <c r="CL276" s="106"/>
      <c r="CM276" s="100"/>
    </row>
    <row r="277" spans="11:96" ht="19.2" customHeight="1" x14ac:dyDescent="0.3">
      <c r="L277" s="96"/>
      <c r="M277" s="96"/>
      <c r="N277" s="100"/>
      <c r="O277" s="100"/>
      <c r="P277" s="100"/>
      <c r="Q277" s="92"/>
      <c r="R277" s="100"/>
      <c r="S277" s="100"/>
      <c r="T277" s="92"/>
      <c r="U277" s="92"/>
      <c r="V277" s="104"/>
      <c r="W277" s="98"/>
      <c r="X277" s="96"/>
      <c r="Y277" s="106"/>
      <c r="Z277" s="106"/>
      <c r="AA277" s="100"/>
      <c r="AT277" s="96"/>
      <c r="AU277" s="96"/>
      <c r="AV277" s="100"/>
      <c r="AW277" s="100"/>
      <c r="AX277" s="92"/>
      <c r="AY277" s="92"/>
      <c r="AZ277" s="92"/>
      <c r="BA277" s="104"/>
      <c r="BB277" s="104"/>
      <c r="BC277" s="106"/>
      <c r="BD277" s="106"/>
      <c r="BE277" s="106"/>
      <c r="BF277" s="106"/>
      <c r="BG277" s="104"/>
      <c r="BZ277" s="96"/>
      <c r="CA277" s="96"/>
      <c r="CB277" s="100"/>
      <c r="CC277" s="100"/>
      <c r="CD277" s="92"/>
      <c r="CE277" s="92"/>
      <c r="CF277" s="92"/>
      <c r="CG277" s="104"/>
      <c r="CH277" s="104"/>
      <c r="CI277" s="106"/>
      <c r="CJ277" s="106"/>
      <c r="CK277" s="106"/>
      <c r="CL277" s="106"/>
      <c r="CM277" s="104"/>
    </row>
    <row r="278" spans="11:96" ht="19.2" customHeight="1" x14ac:dyDescent="0.3">
      <c r="N278" s="96"/>
      <c r="O278" s="96"/>
      <c r="P278" s="100"/>
      <c r="Q278" s="100"/>
      <c r="R278" s="92"/>
      <c r="S278" s="92"/>
      <c r="T278" s="92"/>
      <c r="U278" s="104"/>
      <c r="V278" s="104"/>
      <c r="W278" s="106"/>
      <c r="X278" s="106"/>
      <c r="Y278" s="106"/>
      <c r="Z278" s="106"/>
      <c r="AA278" s="104"/>
      <c r="AT278" s="96"/>
      <c r="AU278" s="100"/>
      <c r="AV278" s="100"/>
      <c r="AW278" s="96"/>
      <c r="AX278" s="100"/>
      <c r="AY278" s="100"/>
      <c r="AZ278" s="100"/>
      <c r="BA278" s="92"/>
      <c r="BB278" s="92"/>
      <c r="BC278" s="104"/>
      <c r="BD278" s="106"/>
      <c r="BE278" s="104"/>
      <c r="BF278" s="100"/>
      <c r="BZ278" s="96"/>
      <c r="CA278" s="100"/>
      <c r="CB278" s="100"/>
      <c r="CC278" s="96"/>
      <c r="CD278" s="100"/>
      <c r="CE278" s="100"/>
      <c r="CF278" s="100"/>
      <c r="CG278" s="92"/>
      <c r="CH278" s="92"/>
      <c r="CI278" s="104"/>
      <c r="CJ278" s="106"/>
      <c r="CK278" s="104"/>
      <c r="CL278" s="100"/>
    </row>
    <row r="279" spans="11:96" ht="19.2" customHeight="1" x14ac:dyDescent="0.3">
      <c r="N279" s="96"/>
      <c r="O279" s="100"/>
      <c r="P279" s="100"/>
      <c r="Q279" s="96"/>
      <c r="R279" s="100"/>
      <c r="S279" s="100"/>
      <c r="T279" s="100"/>
      <c r="U279" s="92"/>
      <c r="V279" s="92"/>
      <c r="W279" s="104"/>
      <c r="X279" s="106"/>
      <c r="Y279" s="104"/>
      <c r="Z279" s="100"/>
      <c r="AU279" s="96"/>
      <c r="AV279" s="96"/>
      <c r="AX279" s="96"/>
      <c r="AY279" s="96"/>
      <c r="AZ279" s="92"/>
      <c r="BA279" s="92"/>
      <c r="BB279" s="96"/>
      <c r="BC279" s="100"/>
      <c r="BD279" s="96"/>
      <c r="BE279" s="96"/>
      <c r="CA279" s="96"/>
      <c r="CB279" s="96"/>
      <c r="CC279" s="96"/>
      <c r="CD279" s="96"/>
      <c r="CE279" s="96"/>
      <c r="CF279" s="92"/>
      <c r="CG279" s="92"/>
      <c r="CH279" s="96"/>
      <c r="CI279" s="100"/>
      <c r="CJ279" s="96"/>
      <c r="CK279" s="96"/>
    </row>
    <row r="280" spans="11:96" ht="19.2" customHeight="1" x14ac:dyDescent="0.3">
      <c r="O280" s="96"/>
      <c r="P280" s="96"/>
      <c r="R280" s="96"/>
      <c r="S280" s="96"/>
      <c r="T280" s="92"/>
      <c r="U280" s="92"/>
      <c r="V280" s="96"/>
      <c r="W280" s="100"/>
      <c r="X280" s="96"/>
      <c r="Y280" s="96"/>
      <c r="AY280" s="96"/>
      <c r="AZ280" s="101"/>
      <c r="BA280" s="101"/>
      <c r="BB280" s="99"/>
      <c r="BC280" s="96"/>
      <c r="BD280" s="104"/>
      <c r="BE280" s="96"/>
      <c r="CB280" s="96"/>
      <c r="CC280" s="100"/>
      <c r="CD280" s="101"/>
      <c r="CE280" s="92"/>
      <c r="CF280" s="101"/>
      <c r="CG280" s="101"/>
      <c r="CH280" s="96"/>
    </row>
    <row r="281" spans="11:96" ht="19.2" customHeight="1" x14ac:dyDescent="0.3">
      <c r="S281" s="96"/>
      <c r="T281" s="101"/>
      <c r="U281" s="101"/>
      <c r="V281" s="99"/>
      <c r="W281" s="96"/>
      <c r="AX281" s="96"/>
      <c r="AY281" s="101"/>
      <c r="AZ281" s="102"/>
      <c r="BA281" s="103"/>
      <c r="BB281" s="101"/>
      <c r="BC281" s="96"/>
      <c r="BD281" s="96"/>
      <c r="CB281" s="96"/>
      <c r="CC281" s="104"/>
      <c r="CD281" s="96"/>
      <c r="CE281" s="92"/>
      <c r="CF281" s="96"/>
      <c r="CG281" s="102"/>
      <c r="CH281" s="102"/>
      <c r="CI281" s="96"/>
    </row>
    <row r="282" spans="11:96" ht="19.2" customHeight="1" x14ac:dyDescent="0.3">
      <c r="R282" s="96"/>
      <c r="S282" s="101"/>
      <c r="T282" s="102"/>
      <c r="U282" s="103"/>
      <c r="V282" s="101"/>
      <c r="W282" s="96"/>
      <c r="AX282" s="96"/>
      <c r="AY282" s="102"/>
      <c r="AZ282" s="102"/>
      <c r="BA282" s="92"/>
      <c r="BB282" s="105"/>
      <c r="BC282" s="95"/>
      <c r="CC282" s="96"/>
      <c r="CD282" s="96"/>
      <c r="CE282" s="101"/>
      <c r="CF282" s="105"/>
      <c r="CG282" s="96"/>
      <c r="CH282" s="102"/>
      <c r="CI282" s="105"/>
      <c r="CJ282" s="96"/>
      <c r="CK282" s="96"/>
    </row>
    <row r="283" spans="11:96" ht="19.2" customHeight="1" x14ac:dyDescent="0.3">
      <c r="R283" s="96"/>
      <c r="S283" s="101"/>
      <c r="T283" s="102"/>
      <c r="U283" s="92"/>
      <c r="V283" s="105"/>
      <c r="W283" s="95"/>
      <c r="AW283" s="96"/>
      <c r="AX283" s="103"/>
      <c r="AY283" s="103"/>
      <c r="AZ283" s="92"/>
      <c r="BA283" s="105"/>
      <c r="BB283" s="105"/>
      <c r="BC283" s="99"/>
      <c r="BD283" s="96"/>
      <c r="CD283" s="96"/>
      <c r="CE283" s="105"/>
      <c r="CF283" s="105"/>
      <c r="CG283" s="105"/>
      <c r="CH283" s="96"/>
      <c r="CI283" s="103"/>
      <c r="CJ283" s="103"/>
      <c r="CK283" s="106"/>
      <c r="CL283" s="96"/>
    </row>
    <row r="284" spans="11:96" ht="19.2" customHeight="1" x14ac:dyDescent="0.3">
      <c r="Q284" s="96"/>
      <c r="R284" s="101"/>
      <c r="S284" s="92"/>
      <c r="T284" s="103"/>
      <c r="U284" s="92"/>
      <c r="V284" s="105"/>
      <c r="W284" s="99"/>
      <c r="X284" s="96"/>
      <c r="AV284" s="96"/>
      <c r="AW284" s="106"/>
      <c r="AX284" s="103"/>
      <c r="AY284" s="92"/>
      <c r="AZ284" s="103"/>
      <c r="BA284" s="105"/>
      <c r="BB284" s="105"/>
      <c r="BC284" s="99"/>
      <c r="BD284" s="96"/>
      <c r="CC284" s="96"/>
      <c r="CD284" s="101"/>
      <c r="CE284" s="105"/>
      <c r="CF284" s="105"/>
      <c r="CG284" s="105"/>
      <c r="CH284" s="96"/>
      <c r="CI284" s="92"/>
      <c r="CJ284" s="106"/>
      <c r="CK284" s="104"/>
      <c r="CL284" s="96"/>
    </row>
    <row r="285" spans="11:96" ht="19.2" customHeight="1" x14ac:dyDescent="0.3">
      <c r="Q285" s="96"/>
      <c r="R285" s="92"/>
      <c r="S285" s="92"/>
      <c r="T285" s="103"/>
      <c r="U285" s="106"/>
      <c r="V285" s="103"/>
      <c r="W285" s="99"/>
      <c r="X285" s="96"/>
      <c r="AV285" s="96"/>
      <c r="AW285" s="104"/>
      <c r="AX285" s="106"/>
      <c r="AY285" s="92"/>
      <c r="AZ285" s="105"/>
      <c r="BA285" s="105"/>
      <c r="BB285" s="105"/>
      <c r="BC285" s="92"/>
      <c r="BD285" s="96"/>
      <c r="CC285" s="96"/>
      <c r="CD285" s="92"/>
      <c r="CE285" s="101"/>
      <c r="CF285" s="105"/>
      <c r="CG285" s="105"/>
      <c r="CH285" s="105"/>
      <c r="CI285" s="92"/>
      <c r="CJ285" s="96"/>
      <c r="CK285" s="96"/>
    </row>
    <row r="286" spans="11:96" ht="19.2" customHeight="1" x14ac:dyDescent="0.3">
      <c r="Q286" s="96"/>
      <c r="R286" s="92"/>
      <c r="S286" s="92"/>
      <c r="T286" s="106"/>
      <c r="U286" s="104"/>
      <c r="V286" s="92"/>
      <c r="W286" s="92"/>
      <c r="X286" s="96"/>
      <c r="AW286" s="92"/>
      <c r="AX286" s="96"/>
      <c r="AY286" s="96"/>
      <c r="AZ286" s="92"/>
      <c r="BA286" s="92"/>
      <c r="BB286" s="92"/>
      <c r="BC286" s="96"/>
      <c r="CC286" s="96"/>
      <c r="CD286" s="92"/>
      <c r="CE286" s="92"/>
      <c r="CF286" s="92"/>
      <c r="CG286" s="92"/>
      <c r="CH286" s="92"/>
      <c r="CI286" s="96"/>
      <c r="CJ286" s="92"/>
    </row>
    <row r="287" spans="11:96" ht="19.2" customHeight="1" x14ac:dyDescent="0.3">
      <c r="R287" s="96"/>
      <c r="S287" s="96"/>
      <c r="T287" s="92"/>
      <c r="U287" s="92"/>
      <c r="V287" s="103"/>
      <c r="W287" s="92"/>
      <c r="AV287" s="96"/>
      <c r="AW287" s="96"/>
      <c r="AX287" s="92"/>
      <c r="AY287" s="96"/>
      <c r="AZ287" s="96"/>
      <c r="BA287" s="92"/>
      <c r="BB287" s="92"/>
      <c r="BC287" s="92"/>
      <c r="BD287" s="96"/>
      <c r="CB287" s="96"/>
      <c r="CC287" s="103"/>
      <c r="CD287" s="92"/>
      <c r="CE287" s="92"/>
      <c r="CF287" s="96"/>
      <c r="CG287" s="96"/>
      <c r="CH287" s="96"/>
      <c r="CI287" s="92"/>
      <c r="CJ287" s="92"/>
      <c r="CK287" s="96"/>
    </row>
    <row r="288" spans="11:96" ht="19.2" customHeight="1" x14ac:dyDescent="0.3">
      <c r="S288" s="96"/>
      <c r="T288" s="92"/>
      <c r="U288" s="92"/>
      <c r="V288" s="96"/>
      <c r="AW288" s="96"/>
      <c r="AX288" s="96"/>
      <c r="BA288" s="96"/>
      <c r="BB288" s="92"/>
      <c r="BC288" s="92"/>
      <c r="BD288" s="92"/>
      <c r="BE288" s="94"/>
      <c r="BF288" s="96"/>
      <c r="CB288" s="96"/>
      <c r="CC288" s="103"/>
      <c r="CD288" s="96"/>
      <c r="CH288" s="96"/>
      <c r="CI288" s="96"/>
      <c r="CJ288" s="96"/>
    </row>
    <row r="289" spans="19:83" ht="19.2" customHeight="1" x14ac:dyDescent="0.3">
      <c r="S289" s="96"/>
      <c r="T289" s="92"/>
      <c r="U289" s="94"/>
      <c r="V289" s="94"/>
      <c r="W289" s="96"/>
      <c r="BB289" s="96"/>
      <c r="BC289" s="92"/>
      <c r="BD289" s="94"/>
      <c r="BE289" s="92"/>
      <c r="BF289" s="96"/>
      <c r="CB289" s="96"/>
      <c r="CC289" s="94"/>
      <c r="CD289" s="94"/>
      <c r="CE289" s="96"/>
    </row>
    <row r="290" spans="19:83" ht="19.2" customHeight="1" x14ac:dyDescent="0.3">
      <c r="T290" s="96"/>
      <c r="U290" s="96"/>
      <c r="V290" s="96"/>
      <c r="BC290" s="96"/>
      <c r="BD290" s="96"/>
      <c r="CC290" s="96"/>
      <c r="CD290" s="9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DF596-344F-4B27-85EE-821E2BAA1BD0}">
  <sheetPr codeName="Feuil8">
    <tabColor theme="9" tint="0.79998168889431442"/>
  </sheetPr>
  <dimension ref="A1:R43"/>
  <sheetViews>
    <sheetView zoomScale="115" zoomScaleNormal="115" workbookViewId="0">
      <selection activeCell="E7" sqref="E7"/>
    </sheetView>
  </sheetViews>
  <sheetFormatPr baseColWidth="10" defaultRowHeight="14.4" x14ac:dyDescent="0.3"/>
  <cols>
    <col min="1" max="1" width="3" customWidth="1"/>
    <col min="2" max="2" width="17.33203125" bestFit="1" customWidth="1"/>
  </cols>
  <sheetData>
    <row r="1" spans="1:18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" thickBo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8" ht="15" thickBot="1" x14ac:dyDescent="0.35">
      <c r="A3" s="42"/>
      <c r="B3" s="116" t="s">
        <v>51</v>
      </c>
      <c r="C3" s="132" t="s">
        <v>49</v>
      </c>
      <c r="D3" s="133" t="s">
        <v>50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3">
      <c r="A4" s="42"/>
      <c r="B4" s="121" t="s">
        <v>53</v>
      </c>
      <c r="C4" s="135">
        <v>4</v>
      </c>
      <c r="D4" s="129">
        <v>3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1:18" x14ac:dyDescent="0.3">
      <c r="A5" s="42"/>
      <c r="B5" s="122" t="s">
        <v>56</v>
      </c>
      <c r="C5" s="136">
        <v>3</v>
      </c>
      <c r="D5" s="130">
        <v>4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1:18" x14ac:dyDescent="0.3">
      <c r="A6" s="42"/>
      <c r="B6" s="122" t="s">
        <v>57</v>
      </c>
      <c r="C6" s="136">
        <v>0</v>
      </c>
      <c r="D6" s="130">
        <v>4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3">
      <c r="A7" s="42"/>
      <c r="B7" s="122" t="s">
        <v>58</v>
      </c>
      <c r="C7" s="136">
        <v>3</v>
      </c>
      <c r="D7" s="130">
        <v>8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8" x14ac:dyDescent="0.3">
      <c r="A8" s="42"/>
      <c r="B8" s="122" t="s">
        <v>55</v>
      </c>
      <c r="C8" s="136">
        <v>29</v>
      </c>
      <c r="D8" s="130">
        <v>24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8" ht="15" thickBot="1" x14ac:dyDescent="0.35">
      <c r="A9" s="42"/>
      <c r="B9" s="123" t="s">
        <v>54</v>
      </c>
      <c r="C9" s="137">
        <v>128</v>
      </c>
      <c r="D9" s="131">
        <v>96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3">
      <c r="A10" s="42"/>
      <c r="B10" s="145" t="s">
        <v>62</v>
      </c>
      <c r="C10" s="146" cm="1">
        <f t="array" ref="C10:D10">GetImageShape(C17,C19)</f>
        <v>8.9389418877495661</v>
      </c>
      <c r="D10" s="117">
        <v>6.7041859605577256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3">
      <c r="A11" s="42"/>
      <c r="B11" s="148" t="s">
        <v>63</v>
      </c>
      <c r="C11" s="149" cm="1">
        <f t="array" ref="C11:D11">GetCropedShape(C17,C19,C8,D8,C9,D9)</f>
        <v>2.0252290214432609</v>
      </c>
      <c r="D11" s="150">
        <v>1.6760464901394314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1:18" x14ac:dyDescent="0.3">
      <c r="A12" s="42"/>
      <c r="B12" s="128" t="s">
        <v>66</v>
      </c>
      <c r="C12" s="138">
        <v>2</v>
      </c>
      <c r="D12" s="118">
        <f>D8/C8*C12</f>
        <v>1.6551724137931034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</row>
    <row r="13" spans="1:18" ht="15" thickBot="1" x14ac:dyDescent="0.35">
      <c r="A13" s="42"/>
      <c r="B13" s="147" t="s">
        <v>67</v>
      </c>
      <c r="C13" s="139">
        <f>(C9/C8)*C12</f>
        <v>8.8275862068965516</v>
      </c>
      <c r="D13" s="119">
        <f>D9/C9*C13</f>
        <v>6.6206896551724137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 ht="15" thickBot="1" x14ac:dyDescent="0.35">
      <c r="A14" s="42"/>
      <c r="B14" s="124" t="s">
        <v>52</v>
      </c>
      <c r="C14" s="140" t="b">
        <f>(C5+C6+C7*(C4-1)+C8*C4)=C9</f>
        <v>1</v>
      </c>
      <c r="D14" s="120" t="b">
        <f>(D5+D6+D7*(D4-1)+D8*D4)=D9</f>
        <v>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 x14ac:dyDescent="0.3">
      <c r="A15" s="42"/>
      <c r="B15" s="143" t="s">
        <v>65</v>
      </c>
      <c r="C15" s="160">
        <v>3</v>
      </c>
      <c r="D15" s="161">
        <v>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 ht="15" thickBot="1" x14ac:dyDescent="0.35">
      <c r="A16" s="42"/>
      <c r="B16" s="144" t="s">
        <v>68</v>
      </c>
      <c r="C16" s="162">
        <v>0.2</v>
      </c>
      <c r="D16" s="163">
        <v>1.1000000000000001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 x14ac:dyDescent="0.3">
      <c r="A17" s="42"/>
      <c r="B17" s="125" t="s">
        <v>59</v>
      </c>
      <c r="C17" s="181" t="s">
        <v>64</v>
      </c>
      <c r="D17" s="18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 x14ac:dyDescent="0.3">
      <c r="A18" s="42"/>
      <c r="B18" s="126" t="s">
        <v>60</v>
      </c>
      <c r="C18" s="183" t="s">
        <v>47</v>
      </c>
      <c r="D18" s="184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 ht="15" thickBot="1" x14ac:dyDescent="0.35">
      <c r="A19" s="42"/>
      <c r="B19" s="127" t="s">
        <v>61</v>
      </c>
      <c r="C19" s="179" t="str">
        <f>C18&amp;"_Originel"</f>
        <v>Hero_Marche_Originel</v>
      </c>
      <c r="D19" s="180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1:18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1:18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1:18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1:18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  <row r="39" spans="1:18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</row>
    <row r="40" spans="1:18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</row>
    <row r="41" spans="1:18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</row>
    <row r="42" spans="1:18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</row>
    <row r="43" spans="1:18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</row>
  </sheetData>
  <mergeCells count="3">
    <mergeCell ref="C17:D17"/>
    <mergeCell ref="C18:D18"/>
    <mergeCell ref="C19:D1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/>
  <dimension ref="B1:G27"/>
  <sheetViews>
    <sheetView showGridLines="0" zoomScale="70" zoomScaleNormal="70" workbookViewId="0">
      <selection activeCell="B4" sqref="B4:D12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2:7" ht="15" thickBot="1" x14ac:dyDescent="0.35"/>
    <row r="2" spans="2:7" x14ac:dyDescent="0.3">
      <c r="F2" s="167" t="str" cm="1">
        <f t="array" ref="F2:F27">CHAR(_xlfn.SEQUENCE(26,,65))</f>
        <v>A</v>
      </c>
      <c r="G2" s="168" t="b">
        <v>0</v>
      </c>
    </row>
    <row r="3" spans="2:7" ht="15" thickBot="1" x14ac:dyDescent="0.35">
      <c r="F3" s="169" t="str">
        <v>B</v>
      </c>
      <c r="G3" s="170" t="b">
        <v>0</v>
      </c>
    </row>
    <row r="4" spans="2:7" ht="15" thickBot="1" x14ac:dyDescent="0.35">
      <c r="C4" s="173" t="s">
        <v>76</v>
      </c>
      <c r="F4" s="169" t="str">
        <v>C</v>
      </c>
      <c r="G4" s="170" t="b">
        <v>0</v>
      </c>
    </row>
    <row r="5" spans="2:7" x14ac:dyDescent="0.3">
      <c r="B5" s="165" t="s">
        <v>70</v>
      </c>
      <c r="D5" s="165" t="s">
        <v>71</v>
      </c>
      <c r="F5" s="169" t="str">
        <v>D</v>
      </c>
      <c r="G5" s="170" t="b">
        <v>0</v>
      </c>
    </row>
    <row r="6" spans="2:7" ht="15" thickBot="1" x14ac:dyDescent="0.35">
      <c r="B6" s="166" t="b">
        <v>0</v>
      </c>
      <c r="D6" s="166" t="b">
        <v>0</v>
      </c>
      <c r="F6" s="169" t="str">
        <v>E</v>
      </c>
      <c r="G6" s="170" t="b">
        <v>0</v>
      </c>
    </row>
    <row r="7" spans="2:7" x14ac:dyDescent="0.3">
      <c r="B7" s="1"/>
      <c r="C7" s="165" t="s">
        <v>75</v>
      </c>
      <c r="D7" s="1"/>
      <c r="F7" s="169" t="str">
        <v>F</v>
      </c>
      <c r="G7" s="170" t="b">
        <v>0</v>
      </c>
    </row>
    <row r="8" spans="2:7" ht="15" thickBot="1" x14ac:dyDescent="0.35">
      <c r="C8" s="166" t="b">
        <v>0</v>
      </c>
      <c r="F8" s="169" t="str">
        <v>G</v>
      </c>
      <c r="G8" s="170" t="b">
        <v>0</v>
      </c>
    </row>
    <row r="9" spans="2:7" x14ac:dyDescent="0.3">
      <c r="B9" s="165" t="s">
        <v>73</v>
      </c>
      <c r="D9" s="165" t="s">
        <v>72</v>
      </c>
      <c r="F9" s="169" t="str">
        <v>H</v>
      </c>
      <c r="G9" s="170" t="b">
        <v>0</v>
      </c>
    </row>
    <row r="10" spans="2:7" ht="15" thickBot="1" x14ac:dyDescent="0.35">
      <c r="B10" s="166" t="b">
        <v>0</v>
      </c>
      <c r="D10" s="166" t="b">
        <v>0</v>
      </c>
      <c r="F10" s="169" t="str">
        <v>I</v>
      </c>
      <c r="G10" s="170" t="b">
        <v>0</v>
      </c>
    </row>
    <row r="11" spans="2:7" x14ac:dyDescent="0.3">
      <c r="B11" s="1"/>
      <c r="C11" s="165" t="s">
        <v>74</v>
      </c>
      <c r="D11" s="1"/>
      <c r="F11" s="169" t="str">
        <v>J</v>
      </c>
      <c r="G11" s="170" t="b">
        <v>0</v>
      </c>
    </row>
    <row r="12" spans="2:7" ht="15" thickBot="1" x14ac:dyDescent="0.35">
      <c r="C12" s="166" t="b">
        <v>0</v>
      </c>
      <c r="F12" s="169" t="str">
        <v>K</v>
      </c>
      <c r="G12" s="170" t="b">
        <v>0</v>
      </c>
    </row>
    <row r="13" spans="2:7" x14ac:dyDescent="0.3">
      <c r="F13" s="169" t="str">
        <v>L</v>
      </c>
      <c r="G13" s="170" t="b">
        <v>0</v>
      </c>
    </row>
    <row r="14" spans="2:7" x14ac:dyDescent="0.3">
      <c r="F14" s="169" t="str">
        <v>M</v>
      </c>
      <c r="G14" s="170" t="b">
        <v>0</v>
      </c>
    </row>
    <row r="15" spans="2:7" x14ac:dyDescent="0.3">
      <c r="F15" s="169" t="str">
        <v>N</v>
      </c>
      <c r="G15" s="170" t="b">
        <v>0</v>
      </c>
    </row>
    <row r="16" spans="2:7" x14ac:dyDescent="0.3">
      <c r="F16" s="169" t="str">
        <v>O</v>
      </c>
      <c r="G16" s="170" t="b">
        <v>0</v>
      </c>
    </row>
    <row r="17" spans="6:7" x14ac:dyDescent="0.3">
      <c r="F17" s="169" t="str">
        <v>P</v>
      </c>
      <c r="G17" s="170" t="b">
        <v>0</v>
      </c>
    </row>
    <row r="18" spans="6:7" x14ac:dyDescent="0.3">
      <c r="F18" s="169" t="str">
        <v>Q</v>
      </c>
      <c r="G18" s="170" t="b">
        <v>0</v>
      </c>
    </row>
    <row r="19" spans="6:7" x14ac:dyDescent="0.3">
      <c r="F19" s="169" t="str">
        <v>R</v>
      </c>
      <c r="G19" s="170" t="b">
        <v>0</v>
      </c>
    </row>
    <row r="20" spans="6:7" x14ac:dyDescent="0.3">
      <c r="F20" s="169" t="str">
        <v>S</v>
      </c>
      <c r="G20" s="170" t="b">
        <v>0</v>
      </c>
    </row>
    <row r="21" spans="6:7" x14ac:dyDescent="0.3">
      <c r="F21" s="169" t="str">
        <v>T</v>
      </c>
      <c r="G21" s="170" t="b">
        <v>0</v>
      </c>
    </row>
    <row r="22" spans="6:7" x14ac:dyDescent="0.3">
      <c r="F22" s="169" t="str">
        <v>U</v>
      </c>
      <c r="G22" s="170" t="b">
        <v>0</v>
      </c>
    </row>
    <row r="23" spans="6:7" x14ac:dyDescent="0.3">
      <c r="F23" s="169" t="str">
        <v>V</v>
      </c>
      <c r="G23" s="170" t="b">
        <v>0</v>
      </c>
    </row>
    <row r="24" spans="6:7" x14ac:dyDescent="0.3">
      <c r="F24" s="169" t="str">
        <v>W</v>
      </c>
      <c r="G24" s="170" t="b">
        <v>0</v>
      </c>
    </row>
    <row r="25" spans="6:7" x14ac:dyDescent="0.3">
      <c r="F25" s="169" t="str">
        <v>X</v>
      </c>
      <c r="G25" s="170" t="b">
        <v>0</v>
      </c>
    </row>
    <row r="26" spans="6:7" x14ac:dyDescent="0.3">
      <c r="F26" s="169" t="str">
        <v>Y</v>
      </c>
      <c r="G26" s="170" t="b">
        <v>0</v>
      </c>
    </row>
    <row r="27" spans="6:7" ht="15" thickBot="1" x14ac:dyDescent="0.35">
      <c r="F27" s="171" t="str">
        <v>Z</v>
      </c>
      <c r="G27" s="172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C1:CD997"/>
  <sheetViews>
    <sheetView tabSelected="1" zoomScale="95" zoomScaleNormal="55" workbookViewId="0">
      <selection activeCell="BF4" sqref="BF4"/>
    </sheetView>
  </sheetViews>
  <sheetFormatPr baseColWidth="10" defaultColWidth="11.109375" defaultRowHeight="60" customHeight="1" x14ac:dyDescent="0.3"/>
  <cols>
    <col min="1" max="600" width="2.21875" customWidth="1"/>
  </cols>
  <sheetData>
    <row r="1" spans="3:78" ht="12" customHeight="1" thickBot="1" x14ac:dyDescent="0.35"/>
    <row r="2" spans="3:78" ht="12" customHeight="1" thickBot="1" x14ac:dyDescent="0.35">
      <c r="C2" s="185" t="b">
        <f>Data!B3</f>
        <v>1</v>
      </c>
      <c r="D2" s="186"/>
      <c r="E2" s="187"/>
    </row>
    <row r="3" spans="3:78" ht="12" customHeight="1" x14ac:dyDescent="0.3"/>
    <row r="4" spans="3:78" ht="12" customHeight="1" x14ac:dyDescent="0.3">
      <c r="BF4" t="s">
        <v>86</v>
      </c>
    </row>
    <row r="5" spans="3:78" ht="12" customHeight="1" x14ac:dyDescent="0.3">
      <c r="AY5" s="188"/>
      <c r="BQ5" s="188"/>
    </row>
    <row r="6" spans="3:78" ht="12" customHeight="1" x14ac:dyDescent="0.3">
      <c r="AY6" s="188"/>
      <c r="BQ6" s="188"/>
    </row>
    <row r="7" spans="3:78" ht="12" customHeight="1" x14ac:dyDescent="0.3">
      <c r="AB7" s="174"/>
      <c r="AY7" s="188"/>
      <c r="BQ7" s="188"/>
    </row>
    <row r="8" spans="3:78" ht="12" customHeight="1" x14ac:dyDescent="0.3">
      <c r="AY8" s="188"/>
      <c r="BA8" t="s">
        <v>79</v>
      </c>
      <c r="BB8" t="s">
        <v>79</v>
      </c>
      <c r="BC8" s="188" t="s">
        <v>79</v>
      </c>
      <c r="BD8" t="s">
        <v>79</v>
      </c>
      <c r="BE8" s="188" t="s">
        <v>79</v>
      </c>
      <c r="BF8" t="s">
        <v>79</v>
      </c>
      <c r="BG8" t="s">
        <v>79</v>
      </c>
      <c r="BH8" t="s">
        <v>79</v>
      </c>
      <c r="BI8" t="s">
        <v>80</v>
      </c>
      <c r="BJ8" s="188" t="s">
        <v>80</v>
      </c>
      <c r="BK8" s="188" t="s">
        <v>80</v>
      </c>
      <c r="BL8" t="s">
        <v>80</v>
      </c>
      <c r="BM8" s="188" t="s">
        <v>80</v>
      </c>
      <c r="BN8" t="s">
        <v>80</v>
      </c>
      <c r="BO8" t="s">
        <v>80</v>
      </c>
      <c r="BP8" t="s">
        <v>80</v>
      </c>
      <c r="BQ8" s="188" t="s">
        <v>80</v>
      </c>
      <c r="BR8" t="s">
        <v>80</v>
      </c>
      <c r="BS8" s="188" t="s">
        <v>80</v>
      </c>
      <c r="BT8" s="188" t="s">
        <v>80</v>
      </c>
      <c r="BU8" s="188" t="s">
        <v>80</v>
      </c>
      <c r="BV8" s="188" t="s">
        <v>80</v>
      </c>
      <c r="BW8" t="s">
        <v>80</v>
      </c>
      <c r="BX8" s="188" t="s">
        <v>80</v>
      </c>
      <c r="BY8" t="s">
        <v>80</v>
      </c>
      <c r="BZ8" t="s">
        <v>80</v>
      </c>
    </row>
    <row r="9" spans="3:78" ht="12" customHeight="1" x14ac:dyDescent="0.3">
      <c r="AY9" s="188"/>
      <c r="BA9" t="s">
        <v>79</v>
      </c>
      <c r="BB9" t="s">
        <v>79</v>
      </c>
      <c r="BC9" s="188" t="s">
        <v>79</v>
      </c>
      <c r="BD9" s="188" t="s">
        <v>79</v>
      </c>
      <c r="BE9" s="188" t="s">
        <v>79</v>
      </c>
      <c r="BF9" s="188" t="s">
        <v>79</v>
      </c>
      <c r="BG9" s="188" t="s">
        <v>79</v>
      </c>
      <c r="BH9" s="188" t="s">
        <v>79</v>
      </c>
      <c r="BI9" s="188"/>
      <c r="BJ9" s="188"/>
      <c r="BK9" s="188"/>
      <c r="BL9" s="188"/>
      <c r="BM9" s="188"/>
      <c r="BN9" s="188"/>
      <c r="BO9" s="188"/>
      <c r="BP9" s="188"/>
      <c r="BQ9" s="188"/>
      <c r="BR9" s="188"/>
      <c r="BS9" s="188"/>
      <c r="BT9" s="188"/>
      <c r="BU9" s="188"/>
      <c r="BV9" s="188"/>
      <c r="BW9" s="188"/>
      <c r="BX9" s="188"/>
      <c r="BY9" s="188" t="s">
        <v>80</v>
      </c>
      <c r="BZ9" t="s">
        <v>80</v>
      </c>
    </row>
    <row r="10" spans="3:78" ht="12" customHeight="1" x14ac:dyDescent="0.3">
      <c r="AB10" s="174"/>
      <c r="AE10" s="174"/>
      <c r="AY10" s="188"/>
      <c r="BA10" t="s">
        <v>79</v>
      </c>
      <c r="BB10" t="s">
        <v>79</v>
      </c>
      <c r="BC10" s="188" t="s">
        <v>79</v>
      </c>
      <c r="BD10" s="188" t="s">
        <v>79</v>
      </c>
      <c r="BE10" s="188" t="s">
        <v>79</v>
      </c>
      <c r="BF10" s="188" t="s">
        <v>79</v>
      </c>
      <c r="BG10" s="188" t="s">
        <v>79</v>
      </c>
      <c r="BH10" s="188" t="s">
        <v>79</v>
      </c>
      <c r="BI10" s="188"/>
      <c r="BJ10" s="188"/>
      <c r="BK10" s="188"/>
      <c r="BL10" s="188"/>
      <c r="BM10" s="188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t="s">
        <v>80</v>
      </c>
      <c r="BZ10" t="s">
        <v>80</v>
      </c>
    </row>
    <row r="11" spans="3:78" ht="12" customHeight="1" x14ac:dyDescent="0.3">
      <c r="AW11" s="188"/>
      <c r="AX11" s="188"/>
      <c r="AY11" s="188"/>
      <c r="AZ11" s="188"/>
      <c r="BA11" s="188" t="s">
        <v>79</v>
      </c>
      <c r="BB11" s="188" t="s">
        <v>79</v>
      </c>
      <c r="BC11" s="188" t="s">
        <v>79</v>
      </c>
      <c r="BD11" s="188" t="s">
        <v>79</v>
      </c>
      <c r="BE11" s="188" t="s">
        <v>79</v>
      </c>
      <c r="BF11" s="188" t="s">
        <v>79</v>
      </c>
      <c r="BG11" s="188" t="s">
        <v>79</v>
      </c>
      <c r="BH11" s="188" t="s">
        <v>79</v>
      </c>
      <c r="BI11" s="188"/>
      <c r="BJ11" s="188"/>
      <c r="BK11" s="188"/>
      <c r="BL11" s="188"/>
      <c r="BM11" s="188"/>
      <c r="BN11" s="188"/>
      <c r="BO11" s="188"/>
      <c r="BP11" s="188"/>
      <c r="BQ11" s="188"/>
      <c r="BR11" s="188"/>
      <c r="BS11" s="188"/>
      <c r="BT11" s="188"/>
      <c r="BU11" s="188"/>
      <c r="BV11" s="188"/>
      <c r="BW11" s="188"/>
      <c r="BX11" s="188"/>
      <c r="BY11" t="s">
        <v>80</v>
      </c>
      <c r="BZ11" t="s">
        <v>80</v>
      </c>
    </row>
    <row r="12" spans="3:78" ht="12" customHeight="1" x14ac:dyDescent="0.3">
      <c r="AY12" s="188"/>
      <c r="BA12" t="s">
        <v>79</v>
      </c>
      <c r="BB12" t="s">
        <v>79</v>
      </c>
      <c r="BC12" s="188" t="s">
        <v>79</v>
      </c>
      <c r="BD12" s="188" t="s">
        <v>79</v>
      </c>
      <c r="BE12" s="188" t="s">
        <v>79</v>
      </c>
      <c r="BF12" s="188" t="s">
        <v>79</v>
      </c>
      <c r="BG12" s="188" t="s">
        <v>79</v>
      </c>
      <c r="BH12" s="188" t="s">
        <v>79</v>
      </c>
      <c r="BI12" s="188"/>
      <c r="BJ12" s="188"/>
      <c r="BK12" s="188"/>
      <c r="BL12" s="188"/>
      <c r="BM12" s="188"/>
      <c r="BN12" s="188"/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t="s">
        <v>80</v>
      </c>
      <c r="BZ12" t="s">
        <v>80</v>
      </c>
    </row>
    <row r="13" spans="3:78" ht="12" customHeight="1" x14ac:dyDescent="0.3">
      <c r="T13" s="188"/>
      <c r="U13" s="188"/>
      <c r="V13" s="188"/>
      <c r="AB13" s="174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Y13" s="188"/>
      <c r="BA13" t="s">
        <v>79</v>
      </c>
      <c r="BB13" t="s">
        <v>79</v>
      </c>
      <c r="BC13" s="188" t="s">
        <v>79</v>
      </c>
      <c r="BD13" s="188" t="s">
        <v>79</v>
      </c>
      <c r="BE13" s="188" t="s">
        <v>79</v>
      </c>
      <c r="BF13" s="188" t="s">
        <v>79</v>
      </c>
      <c r="BG13" s="188" t="s">
        <v>79</v>
      </c>
      <c r="BH13" s="188" t="s">
        <v>79</v>
      </c>
      <c r="BI13" s="188"/>
      <c r="BJ13" s="188"/>
      <c r="BK13" s="188"/>
      <c r="BL13" s="188"/>
      <c r="BM13" s="188"/>
      <c r="BN13" s="188"/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t="s">
        <v>80</v>
      </c>
      <c r="BZ13" t="s">
        <v>80</v>
      </c>
    </row>
    <row r="14" spans="3:78" ht="12" customHeight="1" x14ac:dyDescent="0.3">
      <c r="V14" s="188"/>
      <c r="AD14" s="188"/>
      <c r="AG14" s="188"/>
      <c r="AY14" s="188"/>
      <c r="BA14" t="s">
        <v>79</v>
      </c>
      <c r="BB14" s="188" t="s">
        <v>79</v>
      </c>
      <c r="BC14" s="188" t="s">
        <v>79</v>
      </c>
      <c r="BD14" s="188" t="s">
        <v>79</v>
      </c>
      <c r="BE14" s="188" t="s">
        <v>79</v>
      </c>
      <c r="BF14" s="188" t="s">
        <v>79</v>
      </c>
      <c r="BG14" s="188" t="s">
        <v>79</v>
      </c>
      <c r="BH14" s="188" t="s">
        <v>79</v>
      </c>
      <c r="BI14" s="188"/>
      <c r="BJ14" s="188"/>
      <c r="BK14" s="188"/>
      <c r="BL14" s="188"/>
      <c r="BM14" s="188"/>
      <c r="BN14" s="188"/>
      <c r="BO14" s="188"/>
      <c r="BP14" s="188"/>
      <c r="BQ14" s="188"/>
      <c r="BR14" s="188"/>
      <c r="BS14" s="188"/>
      <c r="BT14" s="188"/>
      <c r="BU14" s="188"/>
      <c r="BV14" s="188"/>
      <c r="BW14" s="188"/>
      <c r="BX14" s="188"/>
      <c r="BY14" s="188" t="s">
        <v>80</v>
      </c>
      <c r="BZ14" t="s">
        <v>80</v>
      </c>
    </row>
    <row r="15" spans="3:78" ht="12" customHeight="1" x14ac:dyDescent="0.3">
      <c r="V15" s="188"/>
      <c r="AD15" s="188"/>
      <c r="AE15" s="188"/>
      <c r="AG15" s="188"/>
      <c r="AY15" s="188"/>
      <c r="BA15" t="s">
        <v>80</v>
      </c>
      <c r="BB15" s="188" t="s">
        <v>80</v>
      </c>
      <c r="BC15" s="188"/>
      <c r="BD15" s="188"/>
      <c r="BE15" s="188"/>
      <c r="BF15" s="188"/>
      <c r="BG15" s="188"/>
      <c r="BH15" s="188"/>
      <c r="BI15" s="188"/>
      <c r="BJ15" s="188"/>
      <c r="BK15" s="188"/>
      <c r="BL15" s="188"/>
      <c r="BM15" s="188"/>
      <c r="BN15" s="188"/>
      <c r="BO15" s="188"/>
      <c r="BP15" s="188"/>
      <c r="BQ15" s="188"/>
      <c r="BR15" s="188"/>
      <c r="BS15" s="188"/>
      <c r="BT15" s="188"/>
      <c r="BU15" s="188"/>
      <c r="BV15" s="188"/>
      <c r="BW15" s="188"/>
      <c r="BX15" s="188"/>
      <c r="BY15" t="s">
        <v>80</v>
      </c>
      <c r="BZ15" t="s">
        <v>80</v>
      </c>
    </row>
    <row r="16" spans="3:78" ht="12" customHeight="1" x14ac:dyDescent="0.3">
      <c r="H16" s="164"/>
      <c r="V16" s="188"/>
      <c r="AD16" s="188"/>
      <c r="AE16" s="188"/>
      <c r="AG16" s="188"/>
      <c r="AY16" s="188"/>
      <c r="BA16" t="s">
        <v>80</v>
      </c>
      <c r="BB16" s="188" t="s">
        <v>80</v>
      </c>
      <c r="BC16" s="188"/>
      <c r="BD16" s="188"/>
      <c r="BE16" s="188"/>
      <c r="BF16" s="188"/>
      <c r="BG16" s="188"/>
      <c r="BH16" s="188"/>
      <c r="BI16" s="188"/>
      <c r="BJ16" s="188"/>
      <c r="BK16" s="188"/>
      <c r="BL16" s="188"/>
      <c r="BM16" s="188"/>
      <c r="BN16" s="188"/>
      <c r="BO16" s="188"/>
      <c r="BP16" s="188"/>
      <c r="BQ16" s="188"/>
      <c r="BR16" s="188"/>
      <c r="BS16" s="188"/>
      <c r="BT16" s="188"/>
      <c r="BU16" s="188"/>
      <c r="BV16" s="188"/>
      <c r="BW16" s="188"/>
      <c r="BX16" s="188"/>
      <c r="BY16" s="188" t="s">
        <v>80</v>
      </c>
      <c r="BZ16" t="s">
        <v>80</v>
      </c>
    </row>
    <row r="17" spans="8:82" ht="12" customHeight="1" x14ac:dyDescent="0.3">
      <c r="H17" s="164"/>
      <c r="V17" s="188"/>
      <c r="W17" s="188"/>
      <c r="X17" s="188"/>
      <c r="Y17" s="188"/>
      <c r="Z17" s="188"/>
      <c r="AA17" s="188"/>
      <c r="AB17" s="188"/>
      <c r="AC17" s="188"/>
      <c r="AD17" s="188"/>
      <c r="AE17" s="188"/>
      <c r="AF17" s="188"/>
      <c r="AG17" s="188"/>
      <c r="AY17" s="188"/>
      <c r="BA17" t="s">
        <v>80</v>
      </c>
      <c r="BB17" s="188" t="s">
        <v>80</v>
      </c>
      <c r="BC17" s="188"/>
      <c r="BD17" s="188"/>
      <c r="BE17" s="188"/>
      <c r="BF17" s="188"/>
      <c r="BG17" s="188"/>
      <c r="BH17" s="188"/>
      <c r="BI17" s="188"/>
      <c r="BJ17" s="188"/>
      <c r="BK17" s="188"/>
      <c r="BL17" s="188"/>
      <c r="BM17" s="188"/>
      <c r="BN17" s="188"/>
      <c r="BO17" s="188"/>
      <c r="BP17" s="188"/>
      <c r="BQ17" s="188"/>
      <c r="BR17" s="188"/>
      <c r="BS17" s="188"/>
      <c r="BT17" s="188"/>
      <c r="BU17" s="188"/>
      <c r="BV17" s="188"/>
      <c r="BW17" s="188"/>
      <c r="BX17" s="188"/>
      <c r="BY17" t="s">
        <v>80</v>
      </c>
      <c r="BZ17" t="s">
        <v>80</v>
      </c>
    </row>
    <row r="18" spans="8:82" ht="12" customHeight="1" x14ac:dyDescent="0.3">
      <c r="AD18" s="188"/>
      <c r="AE18" s="188"/>
      <c r="AG18" s="188"/>
      <c r="AY18" s="188"/>
      <c r="BA18" t="s">
        <v>80</v>
      </c>
      <c r="BB18" t="s">
        <v>80</v>
      </c>
      <c r="BC18" s="188"/>
      <c r="BD18" s="188"/>
      <c r="BE18" s="188"/>
      <c r="BF18" s="188"/>
      <c r="BG18" s="188"/>
      <c r="BH18" s="188"/>
      <c r="BI18" s="188"/>
      <c r="BJ18" s="188"/>
      <c r="BK18" s="188"/>
      <c r="BL18" s="188"/>
      <c r="BM18" s="188"/>
      <c r="BN18" s="188"/>
      <c r="BO18" s="188"/>
      <c r="BP18" s="188"/>
      <c r="BQ18" s="188"/>
      <c r="BR18" s="188"/>
      <c r="BS18" s="188"/>
      <c r="BT18" s="188"/>
      <c r="BU18" s="188"/>
      <c r="BV18" s="188"/>
      <c r="BW18" s="188"/>
      <c r="BX18" s="188"/>
      <c r="BY18" t="s">
        <v>80</v>
      </c>
      <c r="BZ18" t="s">
        <v>80</v>
      </c>
    </row>
    <row r="19" spans="8:82" ht="12" customHeight="1" x14ac:dyDescent="0.3">
      <c r="AD19" s="188"/>
      <c r="AE19" s="188"/>
      <c r="AG19" s="188"/>
      <c r="AY19" s="188"/>
      <c r="AZ19" s="188"/>
      <c r="BA19" s="188" t="s">
        <v>80</v>
      </c>
      <c r="BB19" s="188" t="s">
        <v>80</v>
      </c>
      <c r="BC19" s="188"/>
      <c r="BD19" s="188"/>
      <c r="BE19" s="188"/>
      <c r="BF19" s="188"/>
      <c r="BG19" s="188"/>
      <c r="BH19" s="188"/>
      <c r="BI19" s="188"/>
      <c r="BJ19" s="188"/>
      <c r="BK19" s="188"/>
      <c r="BL19" s="188"/>
      <c r="BM19" s="188"/>
      <c r="BN19" s="188"/>
      <c r="BO19" s="188"/>
      <c r="BP19" s="188"/>
      <c r="BQ19" s="188"/>
      <c r="BR19" s="188"/>
      <c r="BS19" s="188"/>
      <c r="BT19" s="188"/>
      <c r="BU19" s="188"/>
      <c r="BV19" s="188"/>
      <c r="BW19" s="188"/>
      <c r="BX19" s="188"/>
      <c r="BY19" s="188" t="s">
        <v>80</v>
      </c>
      <c r="BZ19" s="188" t="s">
        <v>80</v>
      </c>
      <c r="CA19" s="188"/>
      <c r="CB19" s="188"/>
      <c r="CC19" s="188"/>
      <c r="CD19" s="188"/>
    </row>
    <row r="20" spans="8:82" ht="12" customHeight="1" x14ac:dyDescent="0.3"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Y20" s="188"/>
      <c r="BA20" t="s">
        <v>80</v>
      </c>
      <c r="BB20" t="s">
        <v>80</v>
      </c>
      <c r="BC20" s="188"/>
      <c r="BD20" s="188"/>
      <c r="BE20" s="188"/>
      <c r="BF20" s="188"/>
      <c r="BG20" s="188"/>
      <c r="BH20" s="188"/>
      <c r="BI20" s="188"/>
      <c r="BJ20" s="188"/>
      <c r="BK20" s="188"/>
      <c r="BL20" s="188"/>
      <c r="BM20" s="188"/>
      <c r="BN20" s="188"/>
      <c r="BO20" s="188"/>
      <c r="BP20" s="188"/>
      <c r="BQ20" s="188"/>
      <c r="BR20" s="188"/>
      <c r="BS20" s="188"/>
      <c r="BT20" s="188"/>
      <c r="BU20" s="188"/>
      <c r="BV20" s="188"/>
      <c r="BW20" s="188"/>
      <c r="BX20" s="188"/>
      <c r="BY20" t="s">
        <v>80</v>
      </c>
      <c r="BZ20" t="s">
        <v>80</v>
      </c>
    </row>
    <row r="21" spans="8:82" ht="12" customHeight="1" x14ac:dyDescent="0.3">
      <c r="AE21" s="188"/>
      <c r="AG21" s="188"/>
      <c r="AY21" s="188"/>
      <c r="BA21" t="s">
        <v>80</v>
      </c>
      <c r="BB21" t="s">
        <v>80</v>
      </c>
      <c r="BC21" s="188"/>
      <c r="BD21" s="188"/>
      <c r="BE21" s="188"/>
      <c r="BF21" s="188"/>
      <c r="BG21" s="188"/>
      <c r="BH21" s="188"/>
      <c r="BI21" s="188"/>
      <c r="BJ21" s="188"/>
      <c r="BK21" s="188"/>
      <c r="BL21" s="188"/>
      <c r="BM21" s="188"/>
      <c r="BN21" s="188"/>
      <c r="BO21" s="188"/>
      <c r="BP21" s="188"/>
      <c r="BQ21" s="188"/>
      <c r="BR21" s="188"/>
      <c r="BS21" s="188"/>
      <c r="BT21" s="188"/>
      <c r="BU21" s="188"/>
      <c r="BV21" s="188"/>
      <c r="BW21" s="188"/>
      <c r="BX21" s="188"/>
      <c r="BY21" t="s">
        <v>80</v>
      </c>
      <c r="BZ21" t="s">
        <v>80</v>
      </c>
    </row>
    <row r="22" spans="8:82" ht="12" customHeight="1" x14ac:dyDescent="0.3">
      <c r="AE22" s="188"/>
      <c r="AY22" s="188"/>
      <c r="BA22" t="s">
        <v>80</v>
      </c>
      <c r="BB22" t="s">
        <v>80</v>
      </c>
      <c r="BC22" s="188"/>
      <c r="BD22" s="188"/>
      <c r="BE22" s="188"/>
      <c r="BF22" s="188"/>
      <c r="BG22" s="188"/>
      <c r="BH22" s="188"/>
      <c r="BI22" s="188"/>
      <c r="BJ22" s="188"/>
      <c r="BK22" s="188"/>
      <c r="BL22" s="188"/>
      <c r="BM22" s="188"/>
      <c r="BN22" s="188"/>
      <c r="BO22" s="188"/>
      <c r="BP22" s="188"/>
      <c r="BQ22" s="188"/>
      <c r="BR22" s="188"/>
      <c r="BS22" s="188"/>
      <c r="BT22" s="188"/>
      <c r="BU22" s="188"/>
      <c r="BV22" s="188"/>
      <c r="BW22" s="188"/>
      <c r="BX22" s="188"/>
      <c r="BY22" t="s">
        <v>80</v>
      </c>
      <c r="BZ22" t="s">
        <v>80</v>
      </c>
    </row>
    <row r="23" spans="8:82" ht="12" customHeight="1" x14ac:dyDescent="0.3">
      <c r="AE23" s="188"/>
      <c r="AY23" s="188"/>
      <c r="BA23" t="s">
        <v>80</v>
      </c>
      <c r="BB23" t="s">
        <v>80</v>
      </c>
      <c r="BC23" t="s">
        <v>80</v>
      </c>
      <c r="BD23" s="188" t="s">
        <v>80</v>
      </c>
      <c r="BE23" t="s">
        <v>80</v>
      </c>
      <c r="BF23" s="188" t="s">
        <v>80</v>
      </c>
      <c r="BG23" s="188"/>
      <c r="BH23" s="188" t="s">
        <v>80</v>
      </c>
      <c r="BI23" t="s">
        <v>80</v>
      </c>
      <c r="BJ23" s="188" t="s">
        <v>80</v>
      </c>
      <c r="BK23" t="s">
        <v>80</v>
      </c>
      <c r="BL23" t="s">
        <v>80</v>
      </c>
      <c r="BM23" s="188" t="s">
        <v>80</v>
      </c>
      <c r="BN23" s="188" t="s">
        <v>80</v>
      </c>
      <c r="BO23" s="188" t="s">
        <v>80</v>
      </c>
      <c r="BP23" s="188" t="s">
        <v>80</v>
      </c>
      <c r="BQ23" s="188" t="s">
        <v>80</v>
      </c>
      <c r="BR23" s="188" t="s">
        <v>80</v>
      </c>
      <c r="BS23" s="188" t="s">
        <v>80</v>
      </c>
      <c r="BT23" s="188" t="s">
        <v>80</v>
      </c>
      <c r="BU23" s="188" t="s">
        <v>80</v>
      </c>
      <c r="BV23" s="188" t="s">
        <v>80</v>
      </c>
      <c r="BW23" s="188" t="s">
        <v>80</v>
      </c>
      <c r="BX23" s="188" t="s">
        <v>80</v>
      </c>
      <c r="BY23" t="s">
        <v>80</v>
      </c>
      <c r="BZ23" t="s">
        <v>80</v>
      </c>
    </row>
    <row r="24" spans="8:82" ht="12" customHeight="1" x14ac:dyDescent="0.3">
      <c r="AE24" s="188"/>
      <c r="AY24" s="188"/>
      <c r="BG24" s="188"/>
      <c r="BY24" t="s">
        <v>80</v>
      </c>
      <c r="BZ24" t="s">
        <v>80</v>
      </c>
    </row>
    <row r="25" spans="8:82" ht="12" customHeight="1" x14ac:dyDescent="0.3">
      <c r="AE25" s="188"/>
      <c r="AY25" s="188"/>
      <c r="BG25" s="188"/>
    </row>
    <row r="26" spans="8:82" ht="12" customHeight="1" x14ac:dyDescent="0.3">
      <c r="AE26" s="188"/>
      <c r="AY26" s="188"/>
      <c r="BG26" s="188"/>
    </row>
    <row r="27" spans="8:82" ht="12" customHeight="1" x14ac:dyDescent="0.3">
      <c r="AE27" s="188"/>
      <c r="AF27" s="188"/>
      <c r="AG27" s="188"/>
      <c r="AH27" s="188"/>
      <c r="AI27" s="188"/>
      <c r="AJ27" s="188"/>
      <c r="AK27" s="188"/>
      <c r="AL27" s="188"/>
      <c r="AM27" s="188"/>
      <c r="AN27" s="188"/>
      <c r="AO27" s="188"/>
      <c r="AP27" s="188"/>
      <c r="AQ27" s="188"/>
      <c r="AR27" s="188"/>
      <c r="AS27" s="188"/>
      <c r="AT27" s="188"/>
      <c r="AU27" s="188"/>
      <c r="AV27" s="188"/>
      <c r="AW27" s="188"/>
      <c r="AX27" s="188"/>
      <c r="AY27" s="188"/>
      <c r="AZ27" s="188"/>
      <c r="BA27" s="188"/>
      <c r="BB27" s="188"/>
      <c r="BC27" s="188"/>
      <c r="BD27" s="188"/>
      <c r="BE27" s="188"/>
      <c r="BF27" s="188"/>
      <c r="BG27" s="188"/>
    </row>
    <row r="28" spans="8:82" ht="12" customHeight="1" x14ac:dyDescent="0.3">
      <c r="AE28" s="188"/>
      <c r="AU28" s="188"/>
      <c r="AY28" s="188"/>
      <c r="BC28" s="188"/>
      <c r="BG28" s="188"/>
    </row>
    <row r="29" spans="8:82" ht="12" customHeight="1" x14ac:dyDescent="0.3">
      <c r="AE29" s="188"/>
      <c r="AU29" s="188"/>
      <c r="AY29" s="188"/>
      <c r="BC29" s="188"/>
      <c r="BD29" s="188"/>
      <c r="BE29" s="188"/>
      <c r="BF29" s="188"/>
      <c r="BG29" s="188"/>
      <c r="BH29" s="188"/>
      <c r="BI29" s="188"/>
      <c r="BJ29" s="188"/>
    </row>
    <row r="30" spans="8:82" ht="12" customHeight="1" x14ac:dyDescent="0.3">
      <c r="AE30" s="188"/>
      <c r="AY30" s="188"/>
      <c r="BG30" s="188"/>
    </row>
    <row r="31" spans="8:82" ht="12" customHeight="1" x14ac:dyDescent="0.3">
      <c r="AY31" s="188"/>
      <c r="BG31" s="188"/>
    </row>
    <row r="32" spans="8:82" ht="12" customHeight="1" x14ac:dyDescent="0.3">
      <c r="AY32" s="188"/>
      <c r="BG32" s="188"/>
    </row>
    <row r="33" spans="51:59" ht="12" customHeight="1" x14ac:dyDescent="0.3">
      <c r="AY33" s="188"/>
      <c r="BG33" s="188"/>
    </row>
    <row r="34" spans="51:59" ht="12" customHeight="1" x14ac:dyDescent="0.3">
      <c r="AY34" s="188"/>
      <c r="BG34" s="188"/>
    </row>
    <row r="35" spans="51:59" ht="12" customHeight="1" x14ac:dyDescent="0.3">
      <c r="AY35" s="188"/>
      <c r="BG35" s="188"/>
    </row>
    <row r="36" spans="51:59" ht="12" customHeight="1" x14ac:dyDescent="0.3">
      <c r="AY36" s="188"/>
    </row>
    <row r="37" spans="51:59" ht="12" customHeight="1" x14ac:dyDescent="0.3">
      <c r="AY37" s="188"/>
    </row>
    <row r="38" spans="51:59" ht="12" customHeight="1" x14ac:dyDescent="0.3">
      <c r="AY38" s="188"/>
    </row>
    <row r="39" spans="51:59" ht="12" customHeight="1" x14ac:dyDescent="0.3">
      <c r="AY39" s="188"/>
    </row>
    <row r="40" spans="51:59" ht="12" customHeight="1" x14ac:dyDescent="0.3">
      <c r="AY40" s="188"/>
    </row>
    <row r="41" spans="51:59" ht="12" customHeight="1" x14ac:dyDescent="0.3">
      <c r="AY41" s="188"/>
    </row>
    <row r="42" spans="51:59" ht="12" customHeight="1" x14ac:dyDescent="0.3">
      <c r="AY42" s="188"/>
    </row>
    <row r="43" spans="51:59" ht="12" customHeight="1" x14ac:dyDescent="0.3">
      <c r="AY43" s="188"/>
    </row>
    <row r="44" spans="51:59" ht="12" customHeight="1" x14ac:dyDescent="0.3">
      <c r="AY44" s="188"/>
    </row>
    <row r="45" spans="51:59" ht="12" customHeight="1" x14ac:dyDescent="0.3"/>
    <row r="46" spans="51:59" ht="12" customHeight="1" x14ac:dyDescent="0.3"/>
    <row r="47" spans="51:59" ht="12" customHeight="1" x14ac:dyDescent="0.3"/>
    <row r="48" spans="51:59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  <row r="434" ht="12" customHeight="1" x14ac:dyDescent="0.3"/>
    <row r="435" ht="12" customHeight="1" x14ac:dyDescent="0.3"/>
    <row r="436" ht="12" customHeight="1" x14ac:dyDescent="0.3"/>
    <row r="437" ht="12" customHeight="1" x14ac:dyDescent="0.3"/>
    <row r="438" ht="12" customHeight="1" x14ac:dyDescent="0.3"/>
    <row r="439" ht="12" customHeight="1" x14ac:dyDescent="0.3"/>
    <row r="440" ht="12" customHeight="1" x14ac:dyDescent="0.3"/>
    <row r="441" ht="12" customHeight="1" x14ac:dyDescent="0.3"/>
    <row r="442" ht="12" customHeight="1" x14ac:dyDescent="0.3"/>
    <row r="443" ht="12" customHeight="1" x14ac:dyDescent="0.3"/>
    <row r="444" ht="12" customHeight="1" x14ac:dyDescent="0.3"/>
    <row r="445" ht="12" customHeight="1" x14ac:dyDescent="0.3"/>
    <row r="446" ht="12" customHeight="1" x14ac:dyDescent="0.3"/>
    <row r="447" ht="12" customHeight="1" x14ac:dyDescent="0.3"/>
    <row r="448" ht="12" customHeight="1" x14ac:dyDescent="0.3"/>
    <row r="449" ht="12" customHeight="1" x14ac:dyDescent="0.3"/>
    <row r="450" ht="12" customHeight="1" x14ac:dyDescent="0.3"/>
    <row r="451" ht="12" customHeight="1" x14ac:dyDescent="0.3"/>
    <row r="452" ht="12" customHeight="1" x14ac:dyDescent="0.3"/>
    <row r="453" ht="12" customHeight="1" x14ac:dyDescent="0.3"/>
    <row r="454" ht="12" customHeight="1" x14ac:dyDescent="0.3"/>
    <row r="455" ht="12" customHeight="1" x14ac:dyDescent="0.3"/>
    <row r="456" ht="12" customHeight="1" x14ac:dyDescent="0.3"/>
    <row r="457" ht="12" customHeight="1" x14ac:dyDescent="0.3"/>
    <row r="458" ht="12" customHeight="1" x14ac:dyDescent="0.3"/>
    <row r="459" ht="12" customHeight="1" x14ac:dyDescent="0.3"/>
    <row r="460" ht="12" customHeight="1" x14ac:dyDescent="0.3"/>
    <row r="461" ht="12" customHeight="1" x14ac:dyDescent="0.3"/>
    <row r="462" ht="12" customHeight="1" x14ac:dyDescent="0.3"/>
    <row r="463" ht="12" customHeight="1" x14ac:dyDescent="0.3"/>
    <row r="464" ht="12" customHeight="1" x14ac:dyDescent="0.3"/>
    <row r="465" ht="12" customHeight="1" x14ac:dyDescent="0.3"/>
    <row r="466" ht="12" customHeight="1" x14ac:dyDescent="0.3"/>
    <row r="467" ht="12" customHeight="1" x14ac:dyDescent="0.3"/>
    <row r="468" ht="12" customHeight="1" x14ac:dyDescent="0.3"/>
    <row r="469" ht="12" customHeight="1" x14ac:dyDescent="0.3"/>
    <row r="470" ht="12" customHeight="1" x14ac:dyDescent="0.3"/>
    <row r="471" ht="12" customHeight="1" x14ac:dyDescent="0.3"/>
    <row r="472" ht="12" customHeight="1" x14ac:dyDescent="0.3"/>
    <row r="473" ht="12" customHeight="1" x14ac:dyDescent="0.3"/>
    <row r="474" ht="12" customHeight="1" x14ac:dyDescent="0.3"/>
    <row r="475" ht="12" customHeight="1" x14ac:dyDescent="0.3"/>
    <row r="476" ht="12" customHeight="1" x14ac:dyDescent="0.3"/>
    <row r="477" ht="12" customHeight="1" x14ac:dyDescent="0.3"/>
    <row r="478" ht="12" customHeight="1" x14ac:dyDescent="0.3"/>
    <row r="479" ht="12" customHeight="1" x14ac:dyDescent="0.3"/>
    <row r="480" ht="12" customHeight="1" x14ac:dyDescent="0.3"/>
    <row r="481" ht="12" customHeight="1" x14ac:dyDescent="0.3"/>
    <row r="482" ht="12" customHeight="1" x14ac:dyDescent="0.3"/>
    <row r="483" ht="12" customHeight="1" x14ac:dyDescent="0.3"/>
    <row r="484" ht="12" customHeight="1" x14ac:dyDescent="0.3"/>
    <row r="485" ht="12" customHeight="1" x14ac:dyDescent="0.3"/>
    <row r="486" ht="12" customHeight="1" x14ac:dyDescent="0.3"/>
    <row r="487" ht="12" customHeight="1" x14ac:dyDescent="0.3"/>
    <row r="488" ht="12" customHeight="1" x14ac:dyDescent="0.3"/>
    <row r="489" ht="12" customHeight="1" x14ac:dyDescent="0.3"/>
    <row r="490" ht="12" customHeight="1" x14ac:dyDescent="0.3"/>
    <row r="491" ht="12" customHeight="1" x14ac:dyDescent="0.3"/>
    <row r="492" ht="12" customHeight="1" x14ac:dyDescent="0.3"/>
    <row r="493" ht="12" customHeight="1" x14ac:dyDescent="0.3"/>
    <row r="494" ht="12" customHeight="1" x14ac:dyDescent="0.3"/>
    <row r="495" ht="12" customHeight="1" x14ac:dyDescent="0.3"/>
    <row r="496" ht="12" customHeight="1" x14ac:dyDescent="0.3"/>
    <row r="497" ht="12" customHeight="1" x14ac:dyDescent="0.3"/>
    <row r="498" ht="12" customHeight="1" x14ac:dyDescent="0.3"/>
    <row r="499" ht="12" customHeight="1" x14ac:dyDescent="0.3"/>
    <row r="500" ht="12" customHeight="1" x14ac:dyDescent="0.3"/>
    <row r="501" ht="12" customHeight="1" x14ac:dyDescent="0.3"/>
    <row r="502" ht="12" customHeight="1" x14ac:dyDescent="0.3"/>
    <row r="503" ht="12" customHeight="1" x14ac:dyDescent="0.3"/>
    <row r="504" ht="12" customHeight="1" x14ac:dyDescent="0.3"/>
    <row r="505" ht="12" customHeight="1" x14ac:dyDescent="0.3"/>
    <row r="506" ht="12" customHeight="1" x14ac:dyDescent="0.3"/>
    <row r="507" ht="12" customHeight="1" x14ac:dyDescent="0.3"/>
    <row r="508" ht="12" customHeight="1" x14ac:dyDescent="0.3"/>
    <row r="509" ht="12" customHeight="1" x14ac:dyDescent="0.3"/>
    <row r="510" ht="12" customHeight="1" x14ac:dyDescent="0.3"/>
    <row r="511" ht="12" customHeight="1" x14ac:dyDescent="0.3"/>
    <row r="512" ht="12" customHeight="1" x14ac:dyDescent="0.3"/>
    <row r="513" ht="12" customHeight="1" x14ac:dyDescent="0.3"/>
    <row r="514" ht="12" customHeight="1" x14ac:dyDescent="0.3"/>
    <row r="515" ht="12" customHeight="1" x14ac:dyDescent="0.3"/>
    <row r="516" ht="12" customHeight="1" x14ac:dyDescent="0.3"/>
    <row r="517" ht="12" customHeight="1" x14ac:dyDescent="0.3"/>
    <row r="518" ht="12" customHeight="1" x14ac:dyDescent="0.3"/>
    <row r="519" ht="12" customHeight="1" x14ac:dyDescent="0.3"/>
    <row r="520" ht="12" customHeight="1" x14ac:dyDescent="0.3"/>
    <row r="521" ht="12" customHeight="1" x14ac:dyDescent="0.3"/>
    <row r="522" ht="12" customHeight="1" x14ac:dyDescent="0.3"/>
    <row r="523" ht="12" customHeight="1" x14ac:dyDescent="0.3"/>
    <row r="524" ht="12" customHeight="1" x14ac:dyDescent="0.3"/>
    <row r="525" ht="12" customHeight="1" x14ac:dyDescent="0.3"/>
    <row r="526" ht="12" customHeight="1" x14ac:dyDescent="0.3"/>
    <row r="527" ht="12" customHeight="1" x14ac:dyDescent="0.3"/>
    <row r="528" ht="12" customHeight="1" x14ac:dyDescent="0.3"/>
    <row r="529" ht="12" customHeight="1" x14ac:dyDescent="0.3"/>
    <row r="530" ht="12" customHeight="1" x14ac:dyDescent="0.3"/>
    <row r="531" ht="12" customHeight="1" x14ac:dyDescent="0.3"/>
    <row r="532" ht="12" customHeight="1" x14ac:dyDescent="0.3"/>
    <row r="533" ht="12" customHeight="1" x14ac:dyDescent="0.3"/>
    <row r="534" ht="12" customHeight="1" x14ac:dyDescent="0.3"/>
    <row r="535" ht="12" customHeight="1" x14ac:dyDescent="0.3"/>
    <row r="536" ht="12" customHeight="1" x14ac:dyDescent="0.3"/>
    <row r="537" ht="12" customHeight="1" x14ac:dyDescent="0.3"/>
    <row r="538" ht="12" customHeight="1" x14ac:dyDescent="0.3"/>
    <row r="539" ht="12" customHeight="1" x14ac:dyDescent="0.3"/>
    <row r="540" ht="12" customHeight="1" x14ac:dyDescent="0.3"/>
    <row r="541" ht="12" customHeight="1" x14ac:dyDescent="0.3"/>
    <row r="542" ht="12" customHeight="1" x14ac:dyDescent="0.3"/>
    <row r="543" ht="12" customHeight="1" x14ac:dyDescent="0.3"/>
    <row r="544" ht="12" customHeight="1" x14ac:dyDescent="0.3"/>
    <row r="545" ht="12" customHeight="1" x14ac:dyDescent="0.3"/>
    <row r="546" ht="12" customHeight="1" x14ac:dyDescent="0.3"/>
    <row r="547" ht="12" customHeight="1" x14ac:dyDescent="0.3"/>
    <row r="548" ht="12" customHeight="1" x14ac:dyDescent="0.3"/>
    <row r="549" ht="12" customHeight="1" x14ac:dyDescent="0.3"/>
    <row r="550" ht="12" customHeight="1" x14ac:dyDescent="0.3"/>
    <row r="551" ht="12" customHeight="1" x14ac:dyDescent="0.3"/>
    <row r="552" ht="12" customHeight="1" x14ac:dyDescent="0.3"/>
    <row r="553" ht="12" customHeight="1" x14ac:dyDescent="0.3"/>
    <row r="554" ht="12" customHeight="1" x14ac:dyDescent="0.3"/>
    <row r="555" ht="12" customHeight="1" x14ac:dyDescent="0.3"/>
    <row r="556" ht="12" customHeight="1" x14ac:dyDescent="0.3"/>
    <row r="557" ht="12" customHeight="1" x14ac:dyDescent="0.3"/>
    <row r="558" ht="12" customHeight="1" x14ac:dyDescent="0.3"/>
    <row r="559" ht="12" customHeight="1" x14ac:dyDescent="0.3"/>
    <row r="560" ht="12" customHeight="1" x14ac:dyDescent="0.3"/>
    <row r="561" ht="12" customHeight="1" x14ac:dyDescent="0.3"/>
    <row r="562" ht="12" customHeight="1" x14ac:dyDescent="0.3"/>
    <row r="563" ht="12" customHeight="1" x14ac:dyDescent="0.3"/>
    <row r="564" ht="12" customHeight="1" x14ac:dyDescent="0.3"/>
    <row r="565" ht="12" customHeight="1" x14ac:dyDescent="0.3"/>
    <row r="566" ht="12" customHeight="1" x14ac:dyDescent="0.3"/>
    <row r="567" ht="12" customHeight="1" x14ac:dyDescent="0.3"/>
    <row r="568" ht="12" customHeight="1" x14ac:dyDescent="0.3"/>
    <row r="569" ht="12" customHeight="1" x14ac:dyDescent="0.3"/>
    <row r="570" ht="12" customHeight="1" x14ac:dyDescent="0.3"/>
    <row r="571" ht="12" customHeight="1" x14ac:dyDescent="0.3"/>
    <row r="572" ht="12" customHeight="1" x14ac:dyDescent="0.3"/>
    <row r="573" ht="12" customHeight="1" x14ac:dyDescent="0.3"/>
    <row r="574" ht="12" customHeight="1" x14ac:dyDescent="0.3"/>
    <row r="575" ht="12" customHeight="1" x14ac:dyDescent="0.3"/>
    <row r="576" ht="12" customHeight="1" x14ac:dyDescent="0.3"/>
    <row r="577" ht="12" customHeight="1" x14ac:dyDescent="0.3"/>
    <row r="578" ht="12" customHeight="1" x14ac:dyDescent="0.3"/>
    <row r="579" ht="12" customHeight="1" x14ac:dyDescent="0.3"/>
    <row r="580" ht="12" customHeight="1" x14ac:dyDescent="0.3"/>
    <row r="581" ht="12" customHeight="1" x14ac:dyDescent="0.3"/>
    <row r="582" ht="12" customHeight="1" x14ac:dyDescent="0.3"/>
    <row r="583" ht="12" customHeight="1" x14ac:dyDescent="0.3"/>
    <row r="584" ht="12" customHeight="1" x14ac:dyDescent="0.3"/>
    <row r="585" ht="12" customHeight="1" x14ac:dyDescent="0.3"/>
    <row r="586" ht="12" customHeight="1" x14ac:dyDescent="0.3"/>
    <row r="587" ht="12" customHeight="1" x14ac:dyDescent="0.3"/>
    <row r="588" ht="12" customHeight="1" x14ac:dyDescent="0.3"/>
    <row r="589" ht="12" customHeight="1" x14ac:dyDescent="0.3"/>
    <row r="590" ht="12" customHeight="1" x14ac:dyDescent="0.3"/>
    <row r="591" ht="12" customHeight="1" x14ac:dyDescent="0.3"/>
    <row r="592" ht="12" customHeight="1" x14ac:dyDescent="0.3"/>
    <row r="593" ht="12" customHeight="1" x14ac:dyDescent="0.3"/>
    <row r="594" ht="12" customHeight="1" x14ac:dyDescent="0.3"/>
    <row r="595" ht="12" customHeight="1" x14ac:dyDescent="0.3"/>
    <row r="596" ht="12" customHeight="1" x14ac:dyDescent="0.3"/>
    <row r="597" ht="12" customHeight="1" x14ac:dyDescent="0.3"/>
    <row r="598" ht="12" customHeight="1" x14ac:dyDescent="0.3"/>
    <row r="599" ht="12" customHeight="1" x14ac:dyDescent="0.3"/>
    <row r="600" ht="12" customHeight="1" x14ac:dyDescent="0.3"/>
    <row r="601" ht="12" customHeight="1" x14ac:dyDescent="0.3"/>
    <row r="602" ht="12" customHeight="1" x14ac:dyDescent="0.3"/>
    <row r="603" ht="12" customHeight="1" x14ac:dyDescent="0.3"/>
    <row r="604" ht="12" customHeight="1" x14ac:dyDescent="0.3"/>
    <row r="605" ht="12" customHeight="1" x14ac:dyDescent="0.3"/>
    <row r="606" ht="12" customHeight="1" x14ac:dyDescent="0.3"/>
    <row r="607" ht="12" customHeight="1" x14ac:dyDescent="0.3"/>
    <row r="608" ht="12" customHeight="1" x14ac:dyDescent="0.3"/>
    <row r="609" ht="12" customHeight="1" x14ac:dyDescent="0.3"/>
    <row r="610" ht="12" customHeight="1" x14ac:dyDescent="0.3"/>
    <row r="611" ht="12" customHeight="1" x14ac:dyDescent="0.3"/>
    <row r="612" ht="12" customHeight="1" x14ac:dyDescent="0.3"/>
    <row r="613" ht="12" customHeight="1" x14ac:dyDescent="0.3"/>
    <row r="614" ht="12" customHeight="1" x14ac:dyDescent="0.3"/>
    <row r="615" ht="12" customHeight="1" x14ac:dyDescent="0.3"/>
    <row r="616" ht="12" customHeight="1" x14ac:dyDescent="0.3"/>
    <row r="617" ht="12" customHeight="1" x14ac:dyDescent="0.3"/>
    <row r="618" ht="12" customHeight="1" x14ac:dyDescent="0.3"/>
    <row r="619" ht="12" customHeight="1" x14ac:dyDescent="0.3"/>
    <row r="620" ht="12" customHeight="1" x14ac:dyDescent="0.3"/>
    <row r="621" ht="12" customHeight="1" x14ac:dyDescent="0.3"/>
    <row r="622" ht="12" customHeight="1" x14ac:dyDescent="0.3"/>
    <row r="623" ht="12" customHeight="1" x14ac:dyDescent="0.3"/>
    <row r="624" ht="12" customHeight="1" x14ac:dyDescent="0.3"/>
    <row r="625" ht="12" customHeight="1" x14ac:dyDescent="0.3"/>
    <row r="626" ht="12" customHeight="1" x14ac:dyDescent="0.3"/>
    <row r="627" ht="12" customHeight="1" x14ac:dyDescent="0.3"/>
    <row r="628" ht="12" customHeight="1" x14ac:dyDescent="0.3"/>
    <row r="629" ht="12" customHeight="1" x14ac:dyDescent="0.3"/>
    <row r="630" ht="12" customHeight="1" x14ac:dyDescent="0.3"/>
    <row r="631" ht="12" customHeight="1" x14ac:dyDescent="0.3"/>
    <row r="632" ht="12" customHeight="1" x14ac:dyDescent="0.3"/>
    <row r="633" ht="12" customHeight="1" x14ac:dyDescent="0.3"/>
    <row r="634" ht="12" customHeight="1" x14ac:dyDescent="0.3"/>
    <row r="635" ht="12" customHeight="1" x14ac:dyDescent="0.3"/>
    <row r="636" ht="12" customHeight="1" x14ac:dyDescent="0.3"/>
    <row r="637" ht="12" customHeight="1" x14ac:dyDescent="0.3"/>
    <row r="638" ht="12" customHeight="1" x14ac:dyDescent="0.3"/>
    <row r="639" ht="12" customHeight="1" x14ac:dyDescent="0.3"/>
    <row r="640" ht="12" customHeight="1" x14ac:dyDescent="0.3"/>
    <row r="641" ht="12" customHeight="1" x14ac:dyDescent="0.3"/>
    <row r="642" ht="12" customHeight="1" x14ac:dyDescent="0.3"/>
    <row r="643" ht="12" customHeight="1" x14ac:dyDescent="0.3"/>
    <row r="644" ht="12" customHeight="1" x14ac:dyDescent="0.3"/>
    <row r="645" ht="12" customHeight="1" x14ac:dyDescent="0.3"/>
    <row r="646" ht="12" customHeight="1" x14ac:dyDescent="0.3"/>
    <row r="647" ht="12" customHeight="1" x14ac:dyDescent="0.3"/>
    <row r="648" ht="12" customHeight="1" x14ac:dyDescent="0.3"/>
    <row r="649" ht="12" customHeight="1" x14ac:dyDescent="0.3"/>
    <row r="650" ht="12" customHeight="1" x14ac:dyDescent="0.3"/>
    <row r="651" ht="12" customHeight="1" x14ac:dyDescent="0.3"/>
    <row r="652" ht="12" customHeight="1" x14ac:dyDescent="0.3"/>
    <row r="653" ht="12" customHeight="1" x14ac:dyDescent="0.3"/>
    <row r="654" ht="12" customHeight="1" x14ac:dyDescent="0.3"/>
    <row r="655" ht="12" customHeight="1" x14ac:dyDescent="0.3"/>
    <row r="656" ht="12" customHeight="1" x14ac:dyDescent="0.3"/>
    <row r="657" ht="12" customHeight="1" x14ac:dyDescent="0.3"/>
    <row r="658" ht="12" customHeight="1" x14ac:dyDescent="0.3"/>
    <row r="659" ht="12" customHeight="1" x14ac:dyDescent="0.3"/>
    <row r="660" ht="12" customHeight="1" x14ac:dyDescent="0.3"/>
    <row r="661" ht="12" customHeight="1" x14ac:dyDescent="0.3"/>
    <row r="662" ht="12" customHeight="1" x14ac:dyDescent="0.3"/>
    <row r="663" ht="12" customHeight="1" x14ac:dyDescent="0.3"/>
    <row r="664" ht="12" customHeight="1" x14ac:dyDescent="0.3"/>
    <row r="665" ht="12" customHeight="1" x14ac:dyDescent="0.3"/>
    <row r="666" ht="12" customHeight="1" x14ac:dyDescent="0.3"/>
    <row r="667" ht="12" customHeight="1" x14ac:dyDescent="0.3"/>
    <row r="668" ht="12" customHeight="1" x14ac:dyDescent="0.3"/>
    <row r="669" ht="12" customHeight="1" x14ac:dyDescent="0.3"/>
    <row r="670" ht="12" customHeight="1" x14ac:dyDescent="0.3"/>
    <row r="671" ht="12" customHeight="1" x14ac:dyDescent="0.3"/>
    <row r="672" ht="12" customHeight="1" x14ac:dyDescent="0.3"/>
    <row r="673" ht="12" customHeight="1" x14ac:dyDescent="0.3"/>
    <row r="674" ht="12" customHeight="1" x14ac:dyDescent="0.3"/>
    <row r="675" ht="12" customHeight="1" x14ac:dyDescent="0.3"/>
    <row r="676" ht="12" customHeight="1" x14ac:dyDescent="0.3"/>
    <row r="677" ht="12" customHeight="1" x14ac:dyDescent="0.3"/>
    <row r="678" ht="12" customHeight="1" x14ac:dyDescent="0.3"/>
    <row r="679" ht="12" customHeight="1" x14ac:dyDescent="0.3"/>
    <row r="680" ht="12" customHeight="1" x14ac:dyDescent="0.3"/>
    <row r="681" ht="12" customHeight="1" x14ac:dyDescent="0.3"/>
    <row r="682" ht="12" customHeight="1" x14ac:dyDescent="0.3"/>
    <row r="683" ht="12" customHeight="1" x14ac:dyDescent="0.3"/>
    <row r="684" ht="12" customHeight="1" x14ac:dyDescent="0.3"/>
    <row r="685" ht="12" customHeight="1" x14ac:dyDescent="0.3"/>
    <row r="686" ht="12" customHeight="1" x14ac:dyDescent="0.3"/>
    <row r="687" ht="12" customHeight="1" x14ac:dyDescent="0.3"/>
    <row r="688" ht="12" customHeight="1" x14ac:dyDescent="0.3"/>
    <row r="689" ht="12" customHeight="1" x14ac:dyDescent="0.3"/>
    <row r="690" ht="12" customHeight="1" x14ac:dyDescent="0.3"/>
    <row r="691" ht="12" customHeight="1" x14ac:dyDescent="0.3"/>
    <row r="692" ht="12" customHeight="1" x14ac:dyDescent="0.3"/>
    <row r="693" ht="12" customHeight="1" x14ac:dyDescent="0.3"/>
    <row r="694" ht="12" customHeight="1" x14ac:dyDescent="0.3"/>
    <row r="695" ht="12" customHeight="1" x14ac:dyDescent="0.3"/>
    <row r="696" ht="12" customHeight="1" x14ac:dyDescent="0.3"/>
    <row r="697" ht="12" customHeight="1" x14ac:dyDescent="0.3"/>
    <row r="698" ht="12" customHeight="1" x14ac:dyDescent="0.3"/>
    <row r="699" ht="12" customHeight="1" x14ac:dyDescent="0.3"/>
    <row r="700" ht="12" customHeight="1" x14ac:dyDescent="0.3"/>
    <row r="701" ht="12" customHeight="1" x14ac:dyDescent="0.3"/>
    <row r="702" ht="12" customHeight="1" x14ac:dyDescent="0.3"/>
    <row r="703" ht="12" customHeight="1" x14ac:dyDescent="0.3"/>
    <row r="704" ht="12" customHeight="1" x14ac:dyDescent="0.3"/>
    <row r="705" ht="12" customHeight="1" x14ac:dyDescent="0.3"/>
    <row r="706" ht="12" customHeight="1" x14ac:dyDescent="0.3"/>
    <row r="707" ht="12" customHeight="1" x14ac:dyDescent="0.3"/>
    <row r="708" ht="12" customHeight="1" x14ac:dyDescent="0.3"/>
    <row r="709" ht="12" customHeight="1" x14ac:dyDescent="0.3"/>
    <row r="710" ht="12" customHeight="1" x14ac:dyDescent="0.3"/>
    <row r="711" ht="12" customHeight="1" x14ac:dyDescent="0.3"/>
    <row r="712" ht="12" customHeight="1" x14ac:dyDescent="0.3"/>
    <row r="713" ht="12" customHeight="1" x14ac:dyDescent="0.3"/>
    <row r="714" ht="12" customHeight="1" x14ac:dyDescent="0.3"/>
    <row r="715" ht="12" customHeight="1" x14ac:dyDescent="0.3"/>
    <row r="716" ht="12" customHeight="1" x14ac:dyDescent="0.3"/>
    <row r="717" ht="12" customHeight="1" x14ac:dyDescent="0.3"/>
    <row r="718" ht="12" customHeight="1" x14ac:dyDescent="0.3"/>
    <row r="719" ht="12" customHeight="1" x14ac:dyDescent="0.3"/>
    <row r="720" ht="12" customHeight="1" x14ac:dyDescent="0.3"/>
    <row r="721" ht="12" customHeight="1" x14ac:dyDescent="0.3"/>
    <row r="722" ht="12" customHeight="1" x14ac:dyDescent="0.3"/>
    <row r="723" ht="12" customHeight="1" x14ac:dyDescent="0.3"/>
    <row r="724" ht="12" customHeight="1" x14ac:dyDescent="0.3"/>
    <row r="725" ht="12" customHeight="1" x14ac:dyDescent="0.3"/>
    <row r="726" ht="12" customHeight="1" x14ac:dyDescent="0.3"/>
    <row r="727" ht="12" customHeight="1" x14ac:dyDescent="0.3"/>
    <row r="728" ht="12" customHeight="1" x14ac:dyDescent="0.3"/>
    <row r="729" ht="12" customHeight="1" x14ac:dyDescent="0.3"/>
    <row r="730" ht="12" customHeight="1" x14ac:dyDescent="0.3"/>
    <row r="731" ht="12" customHeight="1" x14ac:dyDescent="0.3"/>
    <row r="732" ht="12" customHeight="1" x14ac:dyDescent="0.3"/>
    <row r="733" ht="12" customHeight="1" x14ac:dyDescent="0.3"/>
    <row r="734" ht="12" customHeight="1" x14ac:dyDescent="0.3"/>
    <row r="735" ht="12" customHeight="1" x14ac:dyDescent="0.3"/>
    <row r="736" ht="12" customHeight="1" x14ac:dyDescent="0.3"/>
    <row r="737" ht="12" customHeight="1" x14ac:dyDescent="0.3"/>
    <row r="738" ht="12" customHeight="1" x14ac:dyDescent="0.3"/>
    <row r="739" ht="12" customHeight="1" x14ac:dyDescent="0.3"/>
    <row r="740" ht="12" customHeight="1" x14ac:dyDescent="0.3"/>
    <row r="741" ht="12" customHeight="1" x14ac:dyDescent="0.3"/>
    <row r="742" ht="12" customHeight="1" x14ac:dyDescent="0.3"/>
    <row r="743" ht="12" customHeight="1" x14ac:dyDescent="0.3"/>
    <row r="744" ht="12" customHeight="1" x14ac:dyDescent="0.3"/>
    <row r="745" ht="12" customHeight="1" x14ac:dyDescent="0.3"/>
    <row r="746" ht="12" customHeight="1" x14ac:dyDescent="0.3"/>
    <row r="747" ht="12" customHeight="1" x14ac:dyDescent="0.3"/>
    <row r="748" ht="12" customHeight="1" x14ac:dyDescent="0.3"/>
    <row r="749" ht="12" customHeight="1" x14ac:dyDescent="0.3"/>
    <row r="750" ht="12" customHeight="1" x14ac:dyDescent="0.3"/>
    <row r="751" ht="12" customHeight="1" x14ac:dyDescent="0.3"/>
    <row r="752" ht="12" customHeight="1" x14ac:dyDescent="0.3"/>
    <row r="753" ht="12" customHeight="1" x14ac:dyDescent="0.3"/>
    <row r="754" ht="12" customHeight="1" x14ac:dyDescent="0.3"/>
    <row r="755" ht="12" customHeight="1" x14ac:dyDescent="0.3"/>
    <row r="756" ht="12" customHeight="1" x14ac:dyDescent="0.3"/>
    <row r="757" ht="12" customHeight="1" x14ac:dyDescent="0.3"/>
    <row r="758" ht="12" customHeight="1" x14ac:dyDescent="0.3"/>
    <row r="759" ht="12" customHeight="1" x14ac:dyDescent="0.3"/>
    <row r="760" ht="12" customHeight="1" x14ac:dyDescent="0.3"/>
    <row r="761" ht="12" customHeight="1" x14ac:dyDescent="0.3"/>
    <row r="762" ht="12" customHeight="1" x14ac:dyDescent="0.3"/>
    <row r="763" ht="12" customHeight="1" x14ac:dyDescent="0.3"/>
    <row r="764" ht="12" customHeight="1" x14ac:dyDescent="0.3"/>
    <row r="765" ht="12" customHeight="1" x14ac:dyDescent="0.3"/>
    <row r="766" ht="12" customHeight="1" x14ac:dyDescent="0.3"/>
    <row r="767" ht="12" customHeight="1" x14ac:dyDescent="0.3"/>
    <row r="768" ht="12" customHeight="1" x14ac:dyDescent="0.3"/>
    <row r="769" ht="12" customHeight="1" x14ac:dyDescent="0.3"/>
    <row r="770" ht="12" customHeight="1" x14ac:dyDescent="0.3"/>
    <row r="771" ht="12" customHeight="1" x14ac:dyDescent="0.3"/>
    <row r="772" ht="12" customHeight="1" x14ac:dyDescent="0.3"/>
    <row r="773" ht="12" customHeight="1" x14ac:dyDescent="0.3"/>
    <row r="774" ht="12" customHeight="1" x14ac:dyDescent="0.3"/>
    <row r="775" ht="12" customHeight="1" x14ac:dyDescent="0.3"/>
    <row r="776" ht="12" customHeight="1" x14ac:dyDescent="0.3"/>
    <row r="777" ht="12" customHeight="1" x14ac:dyDescent="0.3"/>
    <row r="778" ht="12" customHeight="1" x14ac:dyDescent="0.3"/>
    <row r="779" ht="12" customHeight="1" x14ac:dyDescent="0.3"/>
    <row r="780" ht="12" customHeight="1" x14ac:dyDescent="0.3"/>
    <row r="781" ht="12" customHeight="1" x14ac:dyDescent="0.3"/>
    <row r="782" ht="12" customHeight="1" x14ac:dyDescent="0.3"/>
    <row r="783" ht="12" customHeight="1" x14ac:dyDescent="0.3"/>
    <row r="784" ht="12" customHeight="1" x14ac:dyDescent="0.3"/>
    <row r="785" ht="12" customHeight="1" x14ac:dyDescent="0.3"/>
    <row r="786" ht="12" customHeight="1" x14ac:dyDescent="0.3"/>
    <row r="787" ht="12" customHeight="1" x14ac:dyDescent="0.3"/>
    <row r="788" ht="12" customHeight="1" x14ac:dyDescent="0.3"/>
    <row r="789" ht="12" customHeight="1" x14ac:dyDescent="0.3"/>
    <row r="790" ht="12" customHeight="1" x14ac:dyDescent="0.3"/>
    <row r="791" ht="12" customHeight="1" x14ac:dyDescent="0.3"/>
    <row r="792" ht="12" customHeight="1" x14ac:dyDescent="0.3"/>
    <row r="793" ht="12" customHeight="1" x14ac:dyDescent="0.3"/>
    <row r="794" ht="12" customHeight="1" x14ac:dyDescent="0.3"/>
    <row r="795" ht="12" customHeight="1" x14ac:dyDescent="0.3"/>
    <row r="796" ht="12" customHeight="1" x14ac:dyDescent="0.3"/>
    <row r="797" ht="12" customHeight="1" x14ac:dyDescent="0.3"/>
    <row r="798" ht="12" customHeight="1" x14ac:dyDescent="0.3"/>
    <row r="799" ht="12" customHeight="1" x14ac:dyDescent="0.3"/>
    <row r="800" ht="12" customHeight="1" x14ac:dyDescent="0.3"/>
    <row r="801" ht="12" customHeight="1" x14ac:dyDescent="0.3"/>
    <row r="802" ht="12" customHeight="1" x14ac:dyDescent="0.3"/>
    <row r="803" ht="12" customHeight="1" x14ac:dyDescent="0.3"/>
    <row r="804" ht="12" customHeight="1" x14ac:dyDescent="0.3"/>
    <row r="805" ht="12" customHeight="1" x14ac:dyDescent="0.3"/>
    <row r="806" ht="12" customHeight="1" x14ac:dyDescent="0.3"/>
    <row r="807" ht="12" customHeight="1" x14ac:dyDescent="0.3"/>
    <row r="808" ht="12" customHeight="1" x14ac:dyDescent="0.3"/>
    <row r="809" ht="12" customHeight="1" x14ac:dyDescent="0.3"/>
    <row r="810" ht="12" customHeight="1" x14ac:dyDescent="0.3"/>
    <row r="811" ht="12" customHeight="1" x14ac:dyDescent="0.3"/>
    <row r="812" ht="12" customHeight="1" x14ac:dyDescent="0.3"/>
    <row r="813" ht="12" customHeight="1" x14ac:dyDescent="0.3"/>
    <row r="814" ht="12" customHeight="1" x14ac:dyDescent="0.3"/>
    <row r="815" ht="12" customHeight="1" x14ac:dyDescent="0.3"/>
    <row r="816" ht="12" customHeight="1" x14ac:dyDescent="0.3"/>
    <row r="817" ht="12" customHeight="1" x14ac:dyDescent="0.3"/>
    <row r="818" ht="12" customHeight="1" x14ac:dyDescent="0.3"/>
    <row r="819" ht="12" customHeight="1" x14ac:dyDescent="0.3"/>
    <row r="820" ht="12" customHeight="1" x14ac:dyDescent="0.3"/>
    <row r="821" ht="12" customHeight="1" x14ac:dyDescent="0.3"/>
    <row r="822" ht="12" customHeight="1" x14ac:dyDescent="0.3"/>
    <row r="823" ht="12" customHeight="1" x14ac:dyDescent="0.3"/>
    <row r="824" ht="12" customHeight="1" x14ac:dyDescent="0.3"/>
    <row r="825" ht="12" customHeight="1" x14ac:dyDescent="0.3"/>
    <row r="826" ht="12" customHeight="1" x14ac:dyDescent="0.3"/>
    <row r="827" ht="12" customHeight="1" x14ac:dyDescent="0.3"/>
    <row r="828" ht="12" customHeight="1" x14ac:dyDescent="0.3"/>
    <row r="829" ht="12" customHeight="1" x14ac:dyDescent="0.3"/>
    <row r="830" ht="12" customHeight="1" x14ac:dyDescent="0.3"/>
    <row r="831" ht="12" customHeight="1" x14ac:dyDescent="0.3"/>
    <row r="832" ht="12" customHeight="1" x14ac:dyDescent="0.3"/>
    <row r="833" ht="12" customHeight="1" x14ac:dyDescent="0.3"/>
    <row r="834" ht="12" customHeight="1" x14ac:dyDescent="0.3"/>
    <row r="835" ht="12" customHeight="1" x14ac:dyDescent="0.3"/>
    <row r="836" ht="12" customHeight="1" x14ac:dyDescent="0.3"/>
    <row r="837" ht="12" customHeight="1" x14ac:dyDescent="0.3"/>
    <row r="838" ht="12" customHeight="1" x14ac:dyDescent="0.3"/>
    <row r="839" ht="12" customHeight="1" x14ac:dyDescent="0.3"/>
    <row r="840" ht="12" customHeight="1" x14ac:dyDescent="0.3"/>
    <row r="841" ht="12" customHeight="1" x14ac:dyDescent="0.3"/>
    <row r="842" ht="12" customHeight="1" x14ac:dyDescent="0.3"/>
    <row r="843" ht="12" customHeight="1" x14ac:dyDescent="0.3"/>
    <row r="844" ht="12" customHeight="1" x14ac:dyDescent="0.3"/>
    <row r="845" ht="12" customHeight="1" x14ac:dyDescent="0.3"/>
    <row r="846" ht="12" customHeight="1" x14ac:dyDescent="0.3"/>
    <row r="847" ht="12" customHeight="1" x14ac:dyDescent="0.3"/>
    <row r="848" ht="12" customHeight="1" x14ac:dyDescent="0.3"/>
    <row r="849" ht="12" customHeight="1" x14ac:dyDescent="0.3"/>
    <row r="850" ht="12" customHeight="1" x14ac:dyDescent="0.3"/>
    <row r="851" ht="12" customHeight="1" x14ac:dyDescent="0.3"/>
    <row r="852" ht="12" customHeight="1" x14ac:dyDescent="0.3"/>
    <row r="853" ht="12" customHeight="1" x14ac:dyDescent="0.3"/>
    <row r="854" ht="12" customHeight="1" x14ac:dyDescent="0.3"/>
    <row r="855" ht="12" customHeight="1" x14ac:dyDescent="0.3"/>
    <row r="856" ht="12" customHeight="1" x14ac:dyDescent="0.3"/>
    <row r="857" ht="12" customHeight="1" x14ac:dyDescent="0.3"/>
    <row r="858" ht="12" customHeight="1" x14ac:dyDescent="0.3"/>
    <row r="859" ht="12" customHeight="1" x14ac:dyDescent="0.3"/>
    <row r="860" ht="12" customHeight="1" x14ac:dyDescent="0.3"/>
    <row r="861" ht="12" customHeight="1" x14ac:dyDescent="0.3"/>
    <row r="862" ht="12" customHeight="1" x14ac:dyDescent="0.3"/>
    <row r="863" ht="12" customHeight="1" x14ac:dyDescent="0.3"/>
    <row r="864" ht="12" customHeight="1" x14ac:dyDescent="0.3"/>
    <row r="865" ht="12" customHeight="1" x14ac:dyDescent="0.3"/>
    <row r="866" ht="12" customHeight="1" x14ac:dyDescent="0.3"/>
    <row r="867" ht="12" customHeight="1" x14ac:dyDescent="0.3"/>
    <row r="868" ht="12" customHeight="1" x14ac:dyDescent="0.3"/>
    <row r="869" ht="12" customHeight="1" x14ac:dyDescent="0.3"/>
    <row r="870" ht="12" customHeight="1" x14ac:dyDescent="0.3"/>
    <row r="871" ht="12" customHeight="1" x14ac:dyDescent="0.3"/>
    <row r="872" ht="12" customHeight="1" x14ac:dyDescent="0.3"/>
    <row r="873" ht="12" customHeight="1" x14ac:dyDescent="0.3"/>
    <row r="874" ht="12" customHeight="1" x14ac:dyDescent="0.3"/>
    <row r="875" ht="12" customHeight="1" x14ac:dyDescent="0.3"/>
    <row r="876" ht="12" customHeight="1" x14ac:dyDescent="0.3"/>
    <row r="877" ht="12" customHeight="1" x14ac:dyDescent="0.3"/>
    <row r="878" ht="12" customHeight="1" x14ac:dyDescent="0.3"/>
    <row r="879" ht="12" customHeight="1" x14ac:dyDescent="0.3"/>
    <row r="880" ht="12" customHeight="1" x14ac:dyDescent="0.3"/>
    <row r="881" ht="12" customHeight="1" x14ac:dyDescent="0.3"/>
    <row r="882" ht="12" customHeight="1" x14ac:dyDescent="0.3"/>
    <row r="883" ht="12" customHeight="1" x14ac:dyDescent="0.3"/>
    <row r="884" ht="12" customHeight="1" x14ac:dyDescent="0.3"/>
    <row r="885" ht="12" customHeight="1" x14ac:dyDescent="0.3"/>
    <row r="886" ht="12" customHeight="1" x14ac:dyDescent="0.3"/>
    <row r="887" ht="12" customHeight="1" x14ac:dyDescent="0.3"/>
    <row r="888" ht="12" customHeight="1" x14ac:dyDescent="0.3"/>
    <row r="889" ht="12" customHeight="1" x14ac:dyDescent="0.3"/>
    <row r="890" ht="12" customHeight="1" x14ac:dyDescent="0.3"/>
    <row r="891" ht="12" customHeight="1" x14ac:dyDescent="0.3"/>
    <row r="892" ht="12" customHeight="1" x14ac:dyDescent="0.3"/>
    <row r="893" ht="12" customHeight="1" x14ac:dyDescent="0.3"/>
    <row r="894" ht="12" customHeight="1" x14ac:dyDescent="0.3"/>
    <row r="895" ht="12" customHeight="1" x14ac:dyDescent="0.3"/>
    <row r="896" ht="12" customHeight="1" x14ac:dyDescent="0.3"/>
    <row r="897" ht="12" customHeight="1" x14ac:dyDescent="0.3"/>
    <row r="898" ht="12" customHeight="1" x14ac:dyDescent="0.3"/>
    <row r="899" ht="12" customHeight="1" x14ac:dyDescent="0.3"/>
    <row r="900" ht="12" customHeight="1" x14ac:dyDescent="0.3"/>
    <row r="901" ht="12" customHeight="1" x14ac:dyDescent="0.3"/>
    <row r="902" ht="12" customHeight="1" x14ac:dyDescent="0.3"/>
    <row r="903" ht="12" customHeight="1" x14ac:dyDescent="0.3"/>
    <row r="904" ht="12" customHeight="1" x14ac:dyDescent="0.3"/>
    <row r="905" ht="12" customHeight="1" x14ac:dyDescent="0.3"/>
    <row r="906" ht="12" customHeight="1" x14ac:dyDescent="0.3"/>
    <row r="907" ht="12" customHeight="1" x14ac:dyDescent="0.3"/>
    <row r="908" ht="12" customHeight="1" x14ac:dyDescent="0.3"/>
    <row r="909" ht="12" customHeight="1" x14ac:dyDescent="0.3"/>
    <row r="910" ht="12" customHeight="1" x14ac:dyDescent="0.3"/>
    <row r="911" ht="12" customHeight="1" x14ac:dyDescent="0.3"/>
    <row r="912" ht="12" customHeight="1" x14ac:dyDescent="0.3"/>
    <row r="913" ht="12" customHeight="1" x14ac:dyDescent="0.3"/>
    <row r="914" ht="12" customHeight="1" x14ac:dyDescent="0.3"/>
    <row r="915" ht="12" customHeight="1" x14ac:dyDescent="0.3"/>
    <row r="916" ht="12" customHeight="1" x14ac:dyDescent="0.3"/>
    <row r="917" ht="12" customHeight="1" x14ac:dyDescent="0.3"/>
    <row r="918" ht="12" customHeight="1" x14ac:dyDescent="0.3"/>
    <row r="919" ht="12" customHeight="1" x14ac:dyDescent="0.3"/>
    <row r="920" ht="12" customHeight="1" x14ac:dyDescent="0.3"/>
    <row r="921" ht="12" customHeight="1" x14ac:dyDescent="0.3"/>
    <row r="922" ht="12" customHeight="1" x14ac:dyDescent="0.3"/>
    <row r="923" ht="12" customHeight="1" x14ac:dyDescent="0.3"/>
    <row r="924" ht="12" customHeight="1" x14ac:dyDescent="0.3"/>
    <row r="925" ht="12" customHeight="1" x14ac:dyDescent="0.3"/>
    <row r="926" ht="12" customHeight="1" x14ac:dyDescent="0.3"/>
    <row r="927" ht="12" customHeight="1" x14ac:dyDescent="0.3"/>
    <row r="928" ht="12" customHeight="1" x14ac:dyDescent="0.3"/>
    <row r="929" ht="12" customHeight="1" x14ac:dyDescent="0.3"/>
    <row r="930" ht="12" customHeight="1" x14ac:dyDescent="0.3"/>
    <row r="931" ht="12" customHeight="1" x14ac:dyDescent="0.3"/>
    <row r="932" ht="12" customHeight="1" x14ac:dyDescent="0.3"/>
    <row r="933" ht="12" customHeight="1" x14ac:dyDescent="0.3"/>
    <row r="934" ht="12" customHeight="1" x14ac:dyDescent="0.3"/>
    <row r="935" ht="12" customHeight="1" x14ac:dyDescent="0.3"/>
    <row r="936" ht="12" customHeight="1" x14ac:dyDescent="0.3"/>
    <row r="937" ht="12" customHeight="1" x14ac:dyDescent="0.3"/>
    <row r="938" ht="12" customHeight="1" x14ac:dyDescent="0.3"/>
    <row r="939" ht="12" customHeight="1" x14ac:dyDescent="0.3"/>
    <row r="940" ht="12" customHeight="1" x14ac:dyDescent="0.3"/>
    <row r="941" ht="12" customHeight="1" x14ac:dyDescent="0.3"/>
    <row r="942" ht="12" customHeight="1" x14ac:dyDescent="0.3"/>
    <row r="943" ht="12" customHeight="1" x14ac:dyDescent="0.3"/>
    <row r="944" ht="12" customHeight="1" x14ac:dyDescent="0.3"/>
    <row r="945" ht="12" customHeight="1" x14ac:dyDescent="0.3"/>
    <row r="946" ht="12" customHeight="1" x14ac:dyDescent="0.3"/>
    <row r="947" ht="12" customHeight="1" x14ac:dyDescent="0.3"/>
    <row r="948" ht="12" customHeight="1" x14ac:dyDescent="0.3"/>
    <row r="949" ht="12" customHeight="1" x14ac:dyDescent="0.3"/>
    <row r="950" ht="12" customHeight="1" x14ac:dyDescent="0.3"/>
    <row r="951" ht="12" customHeight="1" x14ac:dyDescent="0.3"/>
    <row r="952" ht="12" customHeight="1" x14ac:dyDescent="0.3"/>
    <row r="953" ht="12" customHeight="1" x14ac:dyDescent="0.3"/>
    <row r="954" ht="12" customHeight="1" x14ac:dyDescent="0.3"/>
    <row r="955" ht="12" customHeight="1" x14ac:dyDescent="0.3"/>
    <row r="956" ht="12" customHeight="1" x14ac:dyDescent="0.3"/>
    <row r="957" ht="12" customHeight="1" x14ac:dyDescent="0.3"/>
    <row r="958" ht="12" customHeight="1" x14ac:dyDescent="0.3"/>
    <row r="959" ht="12" customHeight="1" x14ac:dyDescent="0.3"/>
    <row r="960" ht="12" customHeight="1" x14ac:dyDescent="0.3"/>
    <row r="961" ht="12" customHeight="1" x14ac:dyDescent="0.3"/>
    <row r="962" ht="12" customHeight="1" x14ac:dyDescent="0.3"/>
    <row r="963" ht="12" customHeight="1" x14ac:dyDescent="0.3"/>
    <row r="964" ht="12" customHeight="1" x14ac:dyDescent="0.3"/>
    <row r="965" ht="12" customHeight="1" x14ac:dyDescent="0.3"/>
    <row r="966" ht="12" customHeight="1" x14ac:dyDescent="0.3"/>
    <row r="967" ht="12" customHeight="1" x14ac:dyDescent="0.3"/>
    <row r="968" ht="12" customHeight="1" x14ac:dyDescent="0.3"/>
    <row r="969" ht="12" customHeight="1" x14ac:dyDescent="0.3"/>
    <row r="970" ht="12" customHeight="1" x14ac:dyDescent="0.3"/>
    <row r="971" ht="12" customHeight="1" x14ac:dyDescent="0.3"/>
    <row r="972" ht="12" customHeight="1" x14ac:dyDescent="0.3"/>
    <row r="973" ht="12" customHeight="1" x14ac:dyDescent="0.3"/>
    <row r="974" ht="12" customHeight="1" x14ac:dyDescent="0.3"/>
    <row r="975" ht="12" customHeight="1" x14ac:dyDescent="0.3"/>
    <row r="976" ht="12" customHeight="1" x14ac:dyDescent="0.3"/>
    <row r="977" ht="12" customHeight="1" x14ac:dyDescent="0.3"/>
    <row r="978" ht="12" customHeight="1" x14ac:dyDescent="0.3"/>
    <row r="979" ht="12" customHeight="1" x14ac:dyDescent="0.3"/>
    <row r="980" ht="12" customHeight="1" x14ac:dyDescent="0.3"/>
    <row r="981" ht="12" customHeight="1" x14ac:dyDescent="0.3"/>
    <row r="982" ht="12" customHeight="1" x14ac:dyDescent="0.3"/>
    <row r="983" ht="12" customHeight="1" x14ac:dyDescent="0.3"/>
    <row r="984" ht="12" customHeight="1" x14ac:dyDescent="0.3"/>
    <row r="985" ht="12" customHeight="1" x14ac:dyDescent="0.3"/>
    <row r="986" ht="12" customHeight="1" x14ac:dyDescent="0.3"/>
    <row r="987" ht="12" customHeight="1" x14ac:dyDescent="0.3"/>
    <row r="988" ht="12" customHeight="1" x14ac:dyDescent="0.3"/>
    <row r="989" ht="12" customHeight="1" x14ac:dyDescent="0.3"/>
    <row r="990" ht="12" customHeight="1" x14ac:dyDescent="0.3"/>
    <row r="991" ht="12" customHeight="1" x14ac:dyDescent="0.3"/>
    <row r="992" ht="12" customHeight="1" x14ac:dyDescent="0.3"/>
    <row r="993" ht="12" customHeight="1" x14ac:dyDescent="0.3"/>
    <row r="994" ht="12" customHeight="1" x14ac:dyDescent="0.3"/>
    <row r="995" ht="12" customHeight="1" x14ac:dyDescent="0.3"/>
    <row r="996" ht="12" customHeight="1" x14ac:dyDescent="0.3"/>
    <row r="997" ht="12" customHeight="1" x14ac:dyDescent="0.3"/>
  </sheetData>
  <mergeCells count="1">
    <mergeCell ref="C2:E2"/>
  </mergeCells>
  <conditionalFormatting sqref="C2">
    <cfRule type="expression" dxfId="1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6" name="Button 20">
              <controlPr defaultSize="0" print="0" autoFill="0" autoPict="0" macro="[0]!AA1_ResetComportement">
                <anchor moveWithCells="1" sizeWithCells="1">
                  <from>
                    <xdr:col>1</xdr:col>
                    <xdr:colOff>22860</xdr:colOff>
                    <xdr:row>16</xdr:row>
                    <xdr:rowOff>144780</xdr:rowOff>
                  </from>
                  <to>
                    <xdr:col>9</xdr:col>
                    <xdr:colOff>15240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7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8" name="Bouton 22">
              <controlPr defaultSize="0" autoFill="0" autoPict="0" macro="[0]!MouvementHero_Bas">
                <anchor moveWithCells="1" sizeWithCells="1">
                  <from>
                    <xdr:col>85</xdr:col>
                    <xdr:colOff>68580</xdr:colOff>
                    <xdr:row>14</xdr:row>
                    <xdr:rowOff>22860</xdr:rowOff>
                  </from>
                  <to>
                    <xdr:col>87</xdr:col>
                    <xdr:colOff>121920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9" name="Bouton 23">
              <controlPr defaultSize="0" autoFill="0" autoPict="0" macro="[0]!MouvementHero_Droite">
                <anchor moveWithCells="1" sizeWithCells="1">
                  <from>
                    <xdr:col>88</xdr:col>
                    <xdr:colOff>60960</xdr:colOff>
                    <xdr:row>11</xdr:row>
                    <xdr:rowOff>45720</xdr:rowOff>
                  </from>
                  <to>
                    <xdr:col>90</xdr:col>
                    <xdr:colOff>114300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0" name="Bouton 24">
              <controlPr defaultSize="0" autoFill="0" autoPict="0" macro="[0]!MouvementHero_Gauche">
                <anchor moveWithCells="1" sizeWithCells="1">
                  <from>
                    <xdr:col>82</xdr:col>
                    <xdr:colOff>99060</xdr:colOff>
                    <xdr:row>11</xdr:row>
                    <xdr:rowOff>45720</xdr:rowOff>
                  </from>
                  <to>
                    <xdr:col>85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1" name="Bouton 25">
              <controlPr defaultSize="0" autoFill="0" autoPict="0" macro="[0]!MouvementHero_Haut">
                <anchor moveWithCells="1" sizeWithCells="1">
                  <from>
                    <xdr:col>85</xdr:col>
                    <xdr:colOff>83820</xdr:colOff>
                    <xdr:row>8</xdr:row>
                    <xdr:rowOff>83820</xdr:rowOff>
                  </from>
                  <to>
                    <xdr:col>87</xdr:col>
                    <xdr:colOff>144780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/>
  <dimension ref="B1:B10"/>
  <sheetViews>
    <sheetView workbookViewId="0">
      <selection activeCell="B11" sqref="B11"/>
    </sheetView>
  </sheetViews>
  <sheetFormatPr baseColWidth="10" defaultRowHeight="14.4" x14ac:dyDescent="0.3"/>
  <sheetData>
    <row r="1" spans="2:2" ht="15" thickBot="1" x14ac:dyDescent="0.35">
      <c r="B1" s="1"/>
    </row>
    <row r="2" spans="2:2" x14ac:dyDescent="0.3">
      <c r="B2" s="175" t="s">
        <v>78</v>
      </c>
    </row>
    <row r="3" spans="2:2" ht="15" thickBot="1" x14ac:dyDescent="0.35">
      <c r="B3" s="176" t="b">
        <v>1</v>
      </c>
    </row>
    <row r="6" spans="2:2" x14ac:dyDescent="0.3">
      <c r="B6" t="s">
        <v>81</v>
      </c>
    </row>
    <row r="7" spans="2:2" x14ac:dyDescent="0.3">
      <c r="B7" t="s">
        <v>82</v>
      </c>
    </row>
    <row r="8" spans="2:2" x14ac:dyDescent="0.3">
      <c r="B8" t="s">
        <v>83</v>
      </c>
    </row>
    <row r="9" spans="2:2" x14ac:dyDescent="0.3">
      <c r="B9" t="s">
        <v>84</v>
      </c>
    </row>
    <row r="10" spans="2:2" x14ac:dyDescent="0.3">
      <c r="B10" t="s">
        <v>85</v>
      </c>
    </row>
  </sheetData>
  <conditionalFormatting sqref="B2:B3">
    <cfRule type="expression" dxfId="0" priority="1">
      <formula>$B$3=FALSE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22</vt:i4>
      </vt:variant>
    </vt:vector>
  </HeadingPairs>
  <TitlesOfParts>
    <vt:vector size="35" baseType="lpstr">
      <vt:lpstr>Mascotte</vt:lpstr>
      <vt:lpstr>Sprites</vt:lpstr>
      <vt:lpstr>Paramètres</vt:lpstr>
      <vt:lpstr>BDD_Sprite</vt:lpstr>
      <vt:lpstr>Taille Pixel</vt:lpstr>
      <vt:lpstr>Create Sprite</vt:lpstr>
      <vt:lpstr>Dimension Sprite</vt:lpstr>
      <vt:lpstr>Listes_Sprites</vt:lpstr>
      <vt:lpstr>Listes_Sprite Sheet</vt:lpstr>
      <vt:lpstr>Original Sprites</vt:lpstr>
      <vt:lpstr>Testing KeyState</vt:lpstr>
      <vt:lpstr>Bourg Palette</vt:lpstr>
      <vt:lpstr>Data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2023-05-18T22:50:59Z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